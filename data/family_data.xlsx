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0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88_YuHui\Streamlit\"/>
    </mc:Choice>
  </mc:AlternateContent>
  <xr:revisionPtr revIDLastSave="0" documentId="13_ncr:1_{CFC64ADB-B037-477E-B31A-94EE1771992D}" xr6:coauthVersionLast="47" xr6:coauthVersionMax="47" xr10:uidLastSave="{00000000-0000-0000-0000-000000000000}"/>
  <bookViews>
    <workbookView xWindow="-120" yWindow="-120" windowWidth="29040" windowHeight="15720" tabRatio="807" activeTab="10" xr2:uid="{00000000-000D-0000-FFFF-FFFF00000000}"/>
  </bookViews>
  <sheets>
    <sheet name="總投報率" sheetId="18" r:id="rId1"/>
    <sheet name="2026" sheetId="48" r:id="rId2"/>
    <sheet name="25" sheetId="45" r:id="rId3"/>
    <sheet name="24" sheetId="40" r:id="rId4"/>
    <sheet name="23" sheetId="39" r:id="rId5"/>
    <sheet name="22" sheetId="38" r:id="rId6"/>
    <sheet name="21" sheetId="34" r:id="rId7"/>
    <sheet name="20" sheetId="28" r:id="rId8"/>
    <sheet name="19" sheetId="27" r:id="rId9"/>
    <sheet name="Family" sheetId="49" r:id="rId10"/>
    <sheet name="Richard" sheetId="46" r:id="rId11"/>
    <sheet name="台股行情" sheetId="36" r:id="rId12"/>
    <sheet name="美股行情" sheetId="42" r:id="rId13"/>
    <sheet name="匯率" sheetId="43" r:id="rId14"/>
    <sheet name="Family-帳戶紀錄_old" sheetId="12" state="hidden" r:id="rId15"/>
    <sheet name="Family-帳戶紀錄" sheetId="50" r:id="rId16"/>
    <sheet name="Richard-帳戶紀錄" sheetId="47" r:id="rId17"/>
    <sheet name="改版紀錄" sheetId="30" r:id="rId18"/>
  </sheets>
  <definedNames>
    <definedName name="_xlnm._FilterDatabase" localSheetId="8" hidden="1">'19'!$A$1:$AA$76</definedName>
    <definedName name="_xlnm._FilterDatabase" localSheetId="7" hidden="1">'20'!$A$1:$AA$47</definedName>
    <definedName name="_xlnm._FilterDatabase" localSheetId="1" hidden="1">'2026'!$A$1:$AA$115</definedName>
    <definedName name="_xlnm._FilterDatabase" localSheetId="6" hidden="1">'21'!$A$1:$AA$136</definedName>
    <definedName name="_xlnm._FilterDatabase" localSheetId="5" hidden="1">'22'!$A$1:$AA$58</definedName>
    <definedName name="_xlnm._FilterDatabase" localSheetId="4" hidden="1">'23'!$A$1:$AA$42</definedName>
    <definedName name="_xlnm._FilterDatabase" localSheetId="3" hidden="1">'24'!$A$1:$AA$65</definedName>
    <definedName name="_xlnm._FilterDatabase" localSheetId="2" hidden="1">'25'!$A$1:$AA$75</definedName>
    <definedName name="_xlnm._FilterDatabase" localSheetId="9" hidden="1">Family!$A$1:$AA$21</definedName>
    <definedName name="_xlnm._FilterDatabase" localSheetId="10" hidden="1">Richard!$A$1:$AA$141</definedName>
    <definedName name="uHead">#REF!</definedName>
    <definedName name="外部資料_9" localSheetId="13" hidden="1">匯率!$A$2:$G$26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6" i="46" l="1"/>
  <c r="Z96" i="46"/>
  <c r="Y96" i="46"/>
  <c r="O96" i="46" s="1"/>
  <c r="Q96" i="46" s="1"/>
  <c r="T96" i="46"/>
  <c r="P96" i="46"/>
  <c r="X96" i="46" s="1"/>
  <c r="M96" i="46"/>
  <c r="L96" i="46"/>
  <c r="K96" i="46"/>
  <c r="D96" i="46"/>
  <c r="AA95" i="46"/>
  <c r="Z95" i="46"/>
  <c r="Y95" i="46"/>
  <c r="O95" i="46" s="1"/>
  <c r="Q95" i="46" s="1"/>
  <c r="T95" i="46"/>
  <c r="P95" i="46"/>
  <c r="X95" i="46" s="1"/>
  <c r="M95" i="46"/>
  <c r="L95" i="46"/>
  <c r="K95" i="46"/>
  <c r="D95" i="46"/>
  <c r="AA94" i="46"/>
  <c r="Z94" i="46"/>
  <c r="Y94" i="46"/>
  <c r="O94" i="46" s="1"/>
  <c r="Q94" i="46" s="1"/>
  <c r="T94" i="46"/>
  <c r="P94" i="46"/>
  <c r="X94" i="46" s="1"/>
  <c r="M94" i="46"/>
  <c r="L94" i="46"/>
  <c r="K94" i="46"/>
  <c r="D94" i="46"/>
  <c r="Z92" i="48"/>
  <c r="Y92" i="48"/>
  <c r="O92" i="48" s="1"/>
  <c r="U92" i="48"/>
  <c r="T92" i="48"/>
  <c r="P92" i="48"/>
  <c r="M92" i="48"/>
  <c r="L92" i="48"/>
  <c r="K92" i="48"/>
  <c r="G92" i="48"/>
  <c r="AA92" i="48" s="1"/>
  <c r="D92" i="48"/>
  <c r="AA91" i="48"/>
  <c r="Z91" i="48"/>
  <c r="Y91" i="48"/>
  <c r="O91" i="48" s="1"/>
  <c r="U91" i="48"/>
  <c r="T91" i="48"/>
  <c r="P91" i="48"/>
  <c r="M91" i="48"/>
  <c r="L91" i="48"/>
  <c r="K91" i="48"/>
  <c r="D91" i="48"/>
  <c r="AA90" i="48"/>
  <c r="Z90" i="48"/>
  <c r="Y90" i="48"/>
  <c r="O90" i="48" s="1"/>
  <c r="U90" i="48"/>
  <c r="T90" i="48"/>
  <c r="P90" i="48"/>
  <c r="M90" i="48"/>
  <c r="L90" i="48"/>
  <c r="K90" i="48"/>
  <c r="D90" i="48"/>
  <c r="AA89" i="48"/>
  <c r="Z89" i="48"/>
  <c r="Y89" i="48"/>
  <c r="O89" i="48" s="1"/>
  <c r="U89" i="48"/>
  <c r="T89" i="48"/>
  <c r="P89" i="48"/>
  <c r="M89" i="48"/>
  <c r="L89" i="48"/>
  <c r="K89" i="48"/>
  <c r="D89" i="48"/>
  <c r="AA79" i="48"/>
  <c r="Z79" i="48"/>
  <c r="Y79" i="48"/>
  <c r="O79" i="48" s="1"/>
  <c r="U79" i="48"/>
  <c r="T79" i="48"/>
  <c r="P79" i="48"/>
  <c r="M79" i="48"/>
  <c r="L79" i="48"/>
  <c r="K79" i="48"/>
  <c r="D79" i="48"/>
  <c r="AA78" i="48"/>
  <c r="Z78" i="48"/>
  <c r="Y78" i="48"/>
  <c r="O78" i="48" s="1"/>
  <c r="U78" i="48"/>
  <c r="T78" i="48"/>
  <c r="P78" i="48"/>
  <c r="M78" i="48"/>
  <c r="L78" i="48"/>
  <c r="K78" i="48"/>
  <c r="D78" i="48"/>
  <c r="AA125" i="46"/>
  <c r="Z125" i="46"/>
  <c r="Y125" i="46"/>
  <c r="O125" i="46" s="1"/>
  <c r="T125" i="46"/>
  <c r="P125" i="46"/>
  <c r="K125" i="46"/>
  <c r="D125" i="46"/>
  <c r="AA99" i="46"/>
  <c r="Z99" i="46"/>
  <c r="Y99" i="46"/>
  <c r="O99" i="46" s="1"/>
  <c r="T99" i="46"/>
  <c r="P99" i="46"/>
  <c r="M99" i="46"/>
  <c r="L99" i="46"/>
  <c r="K99" i="46"/>
  <c r="D99" i="46"/>
  <c r="AA98" i="46"/>
  <c r="Z98" i="46"/>
  <c r="Y98" i="46"/>
  <c r="O98" i="46" s="1"/>
  <c r="T98" i="46"/>
  <c r="P98" i="46"/>
  <c r="M98" i="46"/>
  <c r="L98" i="46"/>
  <c r="K98" i="46"/>
  <c r="D98" i="46"/>
  <c r="AA351" i="49"/>
  <c r="Z351" i="49"/>
  <c r="Y351" i="49"/>
  <c r="O351" i="49" s="1"/>
  <c r="U351" i="49"/>
  <c r="T351" i="49"/>
  <c r="P351" i="49"/>
  <c r="M351" i="49"/>
  <c r="L351" i="49"/>
  <c r="K351" i="49"/>
  <c r="D351" i="49"/>
  <c r="AA350" i="49"/>
  <c r="Z350" i="49"/>
  <c r="Y350" i="49"/>
  <c r="O350" i="49" s="1"/>
  <c r="U350" i="49"/>
  <c r="T350" i="49"/>
  <c r="P350" i="49"/>
  <c r="M350" i="49"/>
  <c r="L350" i="49"/>
  <c r="K350" i="49"/>
  <c r="D350" i="49"/>
  <c r="AA349" i="49"/>
  <c r="Z349" i="49"/>
  <c r="Y349" i="49"/>
  <c r="O349" i="49" s="1"/>
  <c r="U349" i="49"/>
  <c r="T349" i="49"/>
  <c r="P349" i="49"/>
  <c r="M349" i="49"/>
  <c r="L349" i="49"/>
  <c r="K349" i="49"/>
  <c r="D349" i="49"/>
  <c r="AA80" i="48"/>
  <c r="Z80" i="48"/>
  <c r="Y80" i="48"/>
  <c r="O80" i="48" s="1"/>
  <c r="U80" i="48"/>
  <c r="T80" i="48"/>
  <c r="P80" i="48"/>
  <c r="M80" i="48"/>
  <c r="L80" i="48"/>
  <c r="K80" i="48"/>
  <c r="D80" i="48"/>
  <c r="AA88" i="48"/>
  <c r="Z88" i="48"/>
  <c r="Y88" i="48"/>
  <c r="O88" i="48" s="1"/>
  <c r="U88" i="48"/>
  <c r="T88" i="48"/>
  <c r="P88" i="48"/>
  <c r="M88" i="48"/>
  <c r="L88" i="48"/>
  <c r="K88" i="48"/>
  <c r="D88" i="48"/>
  <c r="AA87" i="48"/>
  <c r="Z87" i="48"/>
  <c r="Y87" i="48"/>
  <c r="O87" i="48" s="1"/>
  <c r="U87" i="48"/>
  <c r="T87" i="48"/>
  <c r="P87" i="48"/>
  <c r="M87" i="48"/>
  <c r="L87" i="48"/>
  <c r="K87" i="48"/>
  <c r="D87" i="48"/>
  <c r="K2" i="50"/>
  <c r="K3" i="50" s="1"/>
  <c r="K4" i="50" s="1"/>
  <c r="K5" i="50" s="1"/>
  <c r="K6" i="50" s="1"/>
  <c r="K7" i="50" s="1"/>
  <c r="K8" i="50" s="1"/>
  <c r="K9" i="50" s="1"/>
  <c r="K10" i="50" s="1"/>
  <c r="K11" i="50" s="1"/>
  <c r="K12" i="50" s="1"/>
  <c r="K13" i="50" s="1"/>
  <c r="K14" i="50" s="1"/>
  <c r="K15" i="50" s="1"/>
  <c r="K16" i="50" s="1"/>
  <c r="K17" i="50" s="1"/>
  <c r="K18" i="50" s="1"/>
  <c r="K19" i="50" s="1"/>
  <c r="K20" i="50" s="1"/>
  <c r="K21" i="50" s="1"/>
  <c r="K22" i="50" s="1"/>
  <c r="K23" i="50" s="1"/>
  <c r="K24" i="50" s="1"/>
  <c r="K25" i="50" s="1"/>
  <c r="K26" i="50" s="1"/>
  <c r="K27" i="50" s="1"/>
  <c r="K28" i="50" s="1"/>
  <c r="K29" i="50" s="1"/>
  <c r="K30" i="50" s="1"/>
  <c r="K31" i="50" s="1"/>
  <c r="K32" i="50" s="1"/>
  <c r="K33" i="50" s="1"/>
  <c r="K34" i="50" s="1"/>
  <c r="K35" i="50" s="1"/>
  <c r="K36" i="50" s="1"/>
  <c r="K37" i="50" s="1"/>
  <c r="K38" i="50" s="1"/>
  <c r="K39" i="50" s="1"/>
  <c r="K40" i="50" s="1"/>
  <c r="K41" i="50" s="1"/>
  <c r="K42" i="50" s="1"/>
  <c r="K43" i="50" s="1"/>
  <c r="K44" i="50" s="1"/>
  <c r="K45" i="50" s="1"/>
  <c r="K46" i="50" s="1"/>
  <c r="K47" i="50" s="1"/>
  <c r="K48" i="50" s="1"/>
  <c r="K49" i="50" s="1"/>
  <c r="K50" i="50" s="1"/>
  <c r="K51" i="50" s="1"/>
  <c r="K52" i="50" s="1"/>
  <c r="K53" i="50" s="1"/>
  <c r="K54" i="50" s="1"/>
  <c r="K55" i="50" s="1"/>
  <c r="K56" i="50" s="1"/>
  <c r="K57" i="50" s="1"/>
  <c r="K58" i="50" s="1"/>
  <c r="K59" i="50" s="1"/>
  <c r="K60" i="50" s="1"/>
  <c r="K61" i="50" s="1"/>
  <c r="K62" i="50" s="1"/>
  <c r="K63" i="50" s="1"/>
  <c r="K64" i="50" s="1"/>
  <c r="K65" i="50" s="1"/>
  <c r="K66" i="50" s="1"/>
  <c r="K67" i="50" s="1"/>
  <c r="K68" i="50" s="1"/>
  <c r="K69" i="50" s="1"/>
  <c r="K70" i="50" s="1"/>
  <c r="K71" i="50" s="1"/>
  <c r="K72" i="50" s="1"/>
  <c r="K73" i="50" s="1"/>
  <c r="K74" i="50" s="1"/>
  <c r="K75" i="50" s="1"/>
  <c r="K76" i="50" s="1"/>
  <c r="K77" i="50" s="1"/>
  <c r="K78" i="50" s="1"/>
  <c r="K79" i="50" s="1"/>
  <c r="K80" i="50" s="1"/>
  <c r="K81" i="50" s="1"/>
  <c r="K82" i="50" s="1"/>
  <c r="K83" i="50" s="1"/>
  <c r="K84" i="50" s="1"/>
  <c r="K85" i="50" s="1"/>
  <c r="K86" i="50" s="1"/>
  <c r="K87" i="50" s="1"/>
  <c r="K88" i="50" s="1"/>
  <c r="K89" i="50" s="1"/>
  <c r="K90" i="50" s="1"/>
  <c r="K91" i="50" s="1"/>
  <c r="K92" i="50" s="1"/>
  <c r="K93" i="50" s="1"/>
  <c r="K94" i="50" s="1"/>
  <c r="K95" i="50" s="1"/>
  <c r="K96" i="50" s="1"/>
  <c r="K97" i="50" s="1"/>
  <c r="K98" i="50" s="1"/>
  <c r="K99" i="50" s="1"/>
  <c r="K100" i="50" s="1"/>
  <c r="K101" i="50" s="1"/>
  <c r="K102" i="50" s="1"/>
  <c r="K103" i="50" s="1"/>
  <c r="K104" i="50" s="1"/>
  <c r="K105" i="50" s="1"/>
  <c r="K106" i="50" s="1"/>
  <c r="K107" i="50" s="1"/>
  <c r="K108" i="50" s="1"/>
  <c r="K109" i="50" s="1"/>
  <c r="K110" i="50" s="1"/>
  <c r="K111" i="50" s="1"/>
  <c r="K112" i="50" s="1"/>
  <c r="K113" i="50" s="1"/>
  <c r="K114" i="50" s="1"/>
  <c r="K115" i="50" s="1"/>
  <c r="K116" i="50" s="1"/>
  <c r="K117" i="50" s="1"/>
  <c r="K118" i="50" s="1"/>
  <c r="K119" i="50" s="1"/>
  <c r="K120" i="50" s="1"/>
  <c r="K121" i="50" s="1"/>
  <c r="K122" i="50" s="1"/>
  <c r="K123" i="50" s="1"/>
  <c r="K124" i="50" s="1"/>
  <c r="K125" i="50" s="1"/>
  <c r="K126" i="50" s="1"/>
  <c r="K127" i="50" s="1"/>
  <c r="K128" i="50" s="1"/>
  <c r="K129" i="50" s="1"/>
  <c r="K130" i="50" s="1"/>
  <c r="K131" i="50" s="1"/>
  <c r="K132" i="50" s="1"/>
  <c r="K133" i="50" s="1"/>
  <c r="K134" i="50" s="1"/>
  <c r="K135" i="50" s="1"/>
  <c r="K136" i="50" s="1"/>
  <c r="K137" i="50" s="1"/>
  <c r="K138" i="50" s="1"/>
  <c r="K139" i="50" s="1"/>
  <c r="K140" i="50" s="1"/>
  <c r="K141" i="50" s="1"/>
  <c r="K142" i="50" s="1"/>
  <c r="K143" i="50" s="1"/>
  <c r="K144" i="50" s="1"/>
  <c r="K145" i="50" s="1"/>
  <c r="K146" i="50" s="1"/>
  <c r="K147" i="50" s="1"/>
  <c r="K148" i="50" s="1"/>
  <c r="K149" i="50" s="1"/>
  <c r="K150" i="50" s="1"/>
  <c r="K151" i="50" s="1"/>
  <c r="K152" i="50" s="1"/>
  <c r="K153" i="50" s="1"/>
  <c r="K154" i="50" s="1"/>
  <c r="K155" i="50" s="1"/>
  <c r="K156" i="50" s="1"/>
  <c r="K157" i="50" s="1"/>
  <c r="K158" i="50" s="1"/>
  <c r="K159" i="50" s="1"/>
  <c r="K160" i="50" s="1"/>
  <c r="K161" i="50" s="1"/>
  <c r="K162" i="50" s="1"/>
  <c r="K163" i="50" s="1"/>
  <c r="K164" i="50" s="1"/>
  <c r="K165" i="50" s="1"/>
  <c r="K166" i="50" s="1"/>
  <c r="K167" i="50" s="1"/>
  <c r="K168" i="50" s="1"/>
  <c r="K169" i="50" s="1"/>
  <c r="K170" i="50" s="1"/>
  <c r="K171" i="50" s="1"/>
  <c r="K172" i="50" s="1"/>
  <c r="K173" i="50" s="1"/>
  <c r="K174" i="50" s="1"/>
  <c r="K175" i="50" s="1"/>
  <c r="K176" i="50" s="1"/>
  <c r="K177" i="50" s="1"/>
  <c r="K178" i="50" s="1"/>
  <c r="K179" i="50" s="1"/>
  <c r="K180" i="50" s="1"/>
  <c r="K181" i="50" s="1"/>
  <c r="K182" i="50" s="1"/>
  <c r="K183" i="50" s="1"/>
  <c r="K184" i="50" s="1"/>
  <c r="K185" i="50" s="1"/>
  <c r="K186" i="50" s="1"/>
  <c r="K187" i="50" s="1"/>
  <c r="K188" i="50" s="1"/>
  <c r="K189" i="50" s="1"/>
  <c r="K190" i="50" s="1"/>
  <c r="K191" i="50" s="1"/>
  <c r="K192" i="50" s="1"/>
  <c r="K193" i="50" s="1"/>
  <c r="K194" i="50" s="1"/>
  <c r="K195" i="50" s="1"/>
  <c r="K196" i="50" s="1"/>
  <c r="K197" i="50" s="1"/>
  <c r="K198" i="50" s="1"/>
  <c r="K199" i="50" s="1"/>
  <c r="K200" i="50" s="1"/>
  <c r="K201" i="50" s="1"/>
  <c r="K202" i="50" s="1"/>
  <c r="K203" i="50" s="1"/>
  <c r="K204" i="50" s="1"/>
  <c r="K205" i="50" s="1"/>
  <c r="K206" i="50" s="1"/>
  <c r="K207" i="50" s="1"/>
  <c r="K208" i="50" s="1"/>
  <c r="K209" i="50" s="1"/>
  <c r="K210" i="50" s="1"/>
  <c r="K211" i="50" s="1"/>
  <c r="K212" i="50" s="1"/>
  <c r="K213" i="50" s="1"/>
  <c r="K214" i="50" s="1"/>
  <c r="K215" i="50" s="1"/>
  <c r="K216" i="50" s="1"/>
  <c r="K217" i="50" s="1"/>
  <c r="K218" i="50" s="1"/>
  <c r="K219" i="50" s="1"/>
  <c r="K220" i="50" s="1"/>
  <c r="K221" i="50" s="1"/>
  <c r="K222" i="50" s="1"/>
  <c r="K223" i="50" s="1"/>
  <c r="K224" i="50" s="1"/>
  <c r="K225" i="50" s="1"/>
  <c r="K226" i="50" s="1"/>
  <c r="K227" i="50" s="1"/>
  <c r="K228" i="50" s="1"/>
  <c r="K229" i="50" s="1"/>
  <c r="K230" i="50" s="1"/>
  <c r="K231" i="50" s="1"/>
  <c r="K232" i="50" s="1"/>
  <c r="K233" i="50" s="1"/>
  <c r="K234" i="50" s="1"/>
  <c r="K235" i="50" s="1"/>
  <c r="K236" i="50" s="1"/>
  <c r="K237" i="50" s="1"/>
  <c r="K238" i="50" s="1"/>
  <c r="K239" i="50" s="1"/>
  <c r="K240" i="50" s="1"/>
  <c r="K241" i="50" s="1"/>
  <c r="K242" i="50" s="1"/>
  <c r="K243" i="50" s="1"/>
  <c r="K244" i="50" s="1"/>
  <c r="K245" i="50" s="1"/>
  <c r="K246" i="50" s="1"/>
  <c r="K247" i="50" s="1"/>
  <c r="K248" i="50" s="1"/>
  <c r="K249" i="50" s="1"/>
  <c r="K250" i="50" s="1"/>
  <c r="K251" i="50" s="1"/>
  <c r="K252" i="50" s="1"/>
  <c r="K253" i="50" s="1"/>
  <c r="K254" i="50" s="1"/>
  <c r="K255" i="50" s="1"/>
  <c r="K256" i="50" s="1"/>
  <c r="K257" i="50" s="1"/>
  <c r="K258" i="50" s="1"/>
  <c r="K259" i="50" s="1"/>
  <c r="K260" i="50" s="1"/>
  <c r="K261" i="50" s="1"/>
  <c r="K262" i="50" s="1"/>
  <c r="K263" i="50" s="1"/>
  <c r="K264" i="50" s="1"/>
  <c r="K265" i="50" s="1"/>
  <c r="K266" i="50" s="1"/>
  <c r="K267" i="50" s="1"/>
  <c r="K268" i="50" s="1"/>
  <c r="K269" i="50" s="1"/>
  <c r="K270" i="50" s="1"/>
  <c r="K271" i="50" s="1"/>
  <c r="K272" i="50" s="1"/>
  <c r="K273" i="50" s="1"/>
  <c r="K274" i="50" s="1"/>
  <c r="K275" i="50" s="1"/>
  <c r="K276" i="50" s="1"/>
  <c r="K277" i="50" s="1"/>
  <c r="K278" i="50" s="1"/>
  <c r="K279" i="50" s="1"/>
  <c r="K280" i="50" s="1"/>
  <c r="K281" i="50" s="1"/>
  <c r="K282" i="50" s="1"/>
  <c r="K283" i="50" s="1"/>
  <c r="K284" i="50" s="1"/>
  <c r="K285" i="50" s="1"/>
  <c r="K286" i="50" s="1"/>
  <c r="K287" i="50" s="1"/>
  <c r="K288" i="50" s="1"/>
  <c r="K289" i="50" s="1"/>
  <c r="K290" i="50" s="1"/>
  <c r="K291" i="50" s="1"/>
  <c r="K292" i="50" s="1"/>
  <c r="K293" i="50" s="1"/>
  <c r="K294" i="50" s="1"/>
  <c r="K295" i="50" s="1"/>
  <c r="K296" i="50" s="1"/>
  <c r="K297" i="50" s="1"/>
  <c r="K298" i="50" s="1"/>
  <c r="K299" i="50" s="1"/>
  <c r="K300" i="50" s="1"/>
  <c r="K301" i="50" s="1"/>
  <c r="K302" i="50" s="1"/>
  <c r="K303" i="50" s="1"/>
  <c r="K304" i="50" s="1"/>
  <c r="K305" i="50" s="1"/>
  <c r="K306" i="50" s="1"/>
  <c r="K307" i="50" s="1"/>
  <c r="K308" i="50" s="1"/>
  <c r="K309" i="50" s="1"/>
  <c r="K310" i="50" s="1"/>
  <c r="K311" i="50" s="1"/>
  <c r="K312" i="50" s="1"/>
  <c r="K313" i="50" s="1"/>
  <c r="K314" i="50" s="1"/>
  <c r="K315" i="50" s="1"/>
  <c r="K316" i="50" s="1"/>
  <c r="K317" i="50" s="1"/>
  <c r="K318" i="50" s="1"/>
  <c r="K319" i="50" s="1"/>
  <c r="K320" i="50" s="1"/>
  <c r="K321" i="50" s="1"/>
  <c r="K322" i="50" s="1"/>
  <c r="K323" i="50" s="1"/>
  <c r="K324" i="50" s="1"/>
  <c r="K325" i="50" s="1"/>
  <c r="K326" i="50" s="1"/>
  <c r="K327" i="50" s="1"/>
  <c r="K328" i="50" s="1"/>
  <c r="K329" i="50" s="1"/>
  <c r="K330" i="50" s="1"/>
  <c r="K331" i="50" s="1"/>
  <c r="K332" i="50" s="1"/>
  <c r="K333" i="50" s="1"/>
  <c r="K334" i="50" s="1"/>
  <c r="K335" i="50" s="1"/>
  <c r="K336" i="50" s="1"/>
  <c r="K337" i="50" s="1"/>
  <c r="K338" i="50" s="1"/>
  <c r="K339" i="50" s="1"/>
  <c r="K340" i="50" s="1"/>
  <c r="K341" i="50" s="1"/>
  <c r="K342" i="50" s="1"/>
  <c r="K343" i="50" s="1"/>
  <c r="K344" i="50" s="1"/>
  <c r="K345" i="50" s="1"/>
  <c r="K346" i="50" s="1"/>
  <c r="K347" i="50" s="1"/>
  <c r="K348" i="50" s="1"/>
  <c r="K349" i="50" s="1"/>
  <c r="K350" i="50" s="1"/>
  <c r="K351" i="50" s="1"/>
  <c r="K352" i="50" s="1"/>
  <c r="K353" i="50" s="1"/>
  <c r="K354" i="50" s="1"/>
  <c r="K355" i="50" s="1"/>
  <c r="K356" i="50" s="1"/>
  <c r="K357" i="50" s="1"/>
  <c r="K358" i="50" s="1"/>
  <c r="K359" i="50" s="1"/>
  <c r="K360" i="50" s="1"/>
  <c r="K361" i="50" s="1"/>
  <c r="K362" i="50" s="1"/>
  <c r="K363" i="50" s="1"/>
  <c r="K364" i="50" s="1"/>
  <c r="K365" i="50" s="1"/>
  <c r="K366" i="50" s="1"/>
  <c r="K367" i="50" s="1"/>
  <c r="K368" i="50" s="1"/>
  <c r="K369" i="50" s="1"/>
  <c r="K370" i="50" s="1"/>
  <c r="K371" i="50" s="1"/>
  <c r="K372" i="50" s="1"/>
  <c r="K373" i="50" s="1"/>
  <c r="K374" i="50" s="1"/>
  <c r="K375" i="50" s="1"/>
  <c r="K376" i="50" s="1"/>
  <c r="K377" i="50" s="1"/>
  <c r="K378" i="50" s="1"/>
  <c r="K379" i="50" s="1"/>
  <c r="K380" i="50" s="1"/>
  <c r="K381" i="50" s="1"/>
  <c r="K382" i="50" s="1"/>
  <c r="K383" i="50" s="1"/>
  <c r="K384" i="50" s="1"/>
  <c r="K385" i="50" s="1"/>
  <c r="K386" i="50" s="1"/>
  <c r="K387" i="50" s="1"/>
  <c r="K388" i="50" s="1"/>
  <c r="K389" i="50" s="1"/>
  <c r="K390" i="50" s="1"/>
  <c r="K391" i="50" s="1"/>
  <c r="K392" i="50" s="1"/>
  <c r="K393" i="50" s="1"/>
  <c r="K394" i="50" s="1"/>
  <c r="K395" i="50" s="1"/>
  <c r="K396" i="50" s="1"/>
  <c r="K397" i="50" s="1"/>
  <c r="K398" i="50" s="1"/>
  <c r="K399" i="50" s="1"/>
  <c r="K400" i="50" s="1"/>
  <c r="K401" i="50" s="1"/>
  <c r="K402" i="50" s="1"/>
  <c r="K403" i="50" s="1"/>
  <c r="K404" i="50" s="1"/>
  <c r="K405" i="50" s="1"/>
  <c r="K406" i="50" s="1"/>
  <c r="K407" i="50" s="1"/>
  <c r="K408" i="50" s="1"/>
  <c r="K409" i="50" s="1"/>
  <c r="K410" i="50" s="1"/>
  <c r="K411" i="50" s="1"/>
  <c r="K412" i="50" s="1"/>
  <c r="K413" i="50" s="1"/>
  <c r="K414" i="50" s="1"/>
  <c r="K415" i="50" s="1"/>
  <c r="K416" i="50" s="1"/>
  <c r="K417" i="50" s="1"/>
  <c r="K418" i="50" s="1"/>
  <c r="K419" i="50" s="1"/>
  <c r="K420" i="50" s="1"/>
  <c r="K421" i="50" s="1"/>
  <c r="K422" i="50" s="1"/>
  <c r="K423" i="50" s="1"/>
  <c r="K424" i="50" s="1"/>
  <c r="K425" i="50" s="1"/>
  <c r="K426" i="50" s="1"/>
  <c r="K427" i="50" s="1"/>
  <c r="K428" i="50" s="1"/>
  <c r="K429" i="50" s="1"/>
  <c r="K430" i="50" s="1"/>
  <c r="K431" i="50" s="1"/>
  <c r="K432" i="50" s="1"/>
  <c r="K433" i="50" s="1"/>
  <c r="K434" i="50" s="1"/>
  <c r="K435" i="50" s="1"/>
  <c r="K436" i="50" s="1"/>
  <c r="K437" i="50" s="1"/>
  <c r="K438" i="50" s="1"/>
  <c r="K439" i="50" s="1"/>
  <c r="K440" i="50" s="1"/>
  <c r="K441" i="50" s="1"/>
  <c r="K442" i="50" s="1"/>
  <c r="K443" i="50" s="1"/>
  <c r="K444" i="50" s="1"/>
  <c r="K445" i="50" s="1"/>
  <c r="K446" i="50" s="1"/>
  <c r="K447" i="50" s="1"/>
  <c r="K448" i="50" s="1"/>
  <c r="K449" i="50" s="1"/>
  <c r="K450" i="50" s="1"/>
  <c r="K451" i="50" s="1"/>
  <c r="K452" i="50" s="1"/>
  <c r="K453" i="50" s="1"/>
  <c r="K454" i="50" s="1"/>
  <c r="K455" i="50" s="1"/>
  <c r="K456" i="50" s="1"/>
  <c r="K457" i="50" s="1"/>
  <c r="K458" i="50" s="1"/>
  <c r="K459" i="50" s="1"/>
  <c r="K460" i="50" s="1"/>
  <c r="K461" i="50" s="1"/>
  <c r="K462" i="50" s="1"/>
  <c r="K463" i="50" s="1"/>
  <c r="K464" i="50" s="1"/>
  <c r="K465" i="50" s="1"/>
  <c r="K466" i="50" s="1"/>
  <c r="K467" i="50" s="1"/>
  <c r="K468" i="50" s="1"/>
  <c r="K469" i="50" s="1"/>
  <c r="K470" i="50" s="1"/>
  <c r="K471" i="50" s="1"/>
  <c r="K472" i="50" s="1"/>
  <c r="K473" i="50" s="1"/>
  <c r="K474" i="50" s="1"/>
  <c r="K475" i="50" s="1"/>
  <c r="K476" i="50" s="1"/>
  <c r="K477" i="50" s="1"/>
  <c r="K478" i="50" s="1"/>
  <c r="K479" i="50" s="1"/>
  <c r="K480" i="50" s="1"/>
  <c r="K481" i="50" s="1"/>
  <c r="K482" i="50" s="1"/>
  <c r="K483" i="50" s="1"/>
  <c r="K484" i="50" s="1"/>
  <c r="K485" i="50" s="1"/>
  <c r="K486" i="50" s="1"/>
  <c r="K487" i="50" s="1"/>
  <c r="K488" i="50" s="1"/>
  <c r="K489" i="50" s="1"/>
  <c r="K490" i="50" s="1"/>
  <c r="K491" i="50" s="1"/>
  <c r="K492" i="50" s="1"/>
  <c r="K493" i="50" s="1"/>
  <c r="K494" i="50" s="1"/>
  <c r="K495" i="50" s="1"/>
  <c r="K496" i="50" s="1"/>
  <c r="K497" i="50" s="1"/>
  <c r="K498" i="50" s="1"/>
  <c r="K499" i="50" s="1"/>
  <c r="K500" i="50" s="1"/>
  <c r="K501" i="50" s="1"/>
  <c r="K502" i="50" s="1"/>
  <c r="K503" i="50" s="1"/>
  <c r="K504" i="50" s="1"/>
  <c r="K505" i="50" s="1"/>
  <c r="K506" i="50" s="1"/>
  <c r="K507" i="50" s="1"/>
  <c r="K508" i="50" s="1"/>
  <c r="K509" i="50" s="1"/>
  <c r="K510" i="50" s="1"/>
  <c r="K511" i="50" s="1"/>
  <c r="K512" i="50" s="1"/>
  <c r="K513" i="50" s="1"/>
  <c r="K514" i="50" s="1"/>
  <c r="K515" i="50" s="1"/>
  <c r="K516" i="50" s="1"/>
  <c r="K517" i="50" s="1"/>
  <c r="K518" i="50" s="1"/>
  <c r="K519" i="50" s="1"/>
  <c r="K520" i="50" s="1"/>
  <c r="K521" i="50" s="1"/>
  <c r="K522" i="50" s="1"/>
  <c r="K523" i="50" s="1"/>
  <c r="K524" i="50" s="1"/>
  <c r="K525" i="50" s="1"/>
  <c r="K526" i="50" s="1"/>
  <c r="K527" i="50" s="1"/>
  <c r="K528" i="50" s="1"/>
  <c r="K529" i="50" s="1"/>
  <c r="K530" i="50" s="1"/>
  <c r="K531" i="50" s="1"/>
  <c r="K532" i="50" s="1"/>
  <c r="K533" i="50" s="1"/>
  <c r="K534" i="50" s="1"/>
  <c r="K535" i="50" s="1"/>
  <c r="K536" i="50" s="1"/>
  <c r="K537" i="50" s="1"/>
  <c r="K538" i="50" s="1"/>
  <c r="K539" i="50" s="1"/>
  <c r="K540" i="50" s="1"/>
  <c r="K541" i="50" s="1"/>
  <c r="K542" i="50" s="1"/>
  <c r="K543" i="50" s="1"/>
  <c r="K544" i="50" s="1"/>
  <c r="K545" i="50" s="1"/>
  <c r="K546" i="50" s="1"/>
  <c r="K547" i="50" s="1"/>
  <c r="K548" i="50" s="1"/>
  <c r="K549" i="50" s="1"/>
  <c r="K550" i="50" s="1"/>
  <c r="K551" i="50" s="1"/>
  <c r="K552" i="50" s="1"/>
  <c r="K553" i="50" s="1"/>
  <c r="K554" i="50" s="1"/>
  <c r="K555" i="50" s="1"/>
  <c r="K556" i="50" s="1"/>
  <c r="K557" i="50" s="1"/>
  <c r="K558" i="50" s="1"/>
  <c r="K559" i="50" s="1"/>
  <c r="K560" i="50" s="1"/>
  <c r="K561" i="50" s="1"/>
  <c r="K562" i="50" s="1"/>
  <c r="K563" i="50" s="1"/>
  <c r="K564" i="50" s="1"/>
  <c r="K565" i="50" s="1"/>
  <c r="K566" i="50" s="1"/>
  <c r="K567" i="50" s="1"/>
  <c r="K568" i="50" s="1"/>
  <c r="K569" i="50" s="1"/>
  <c r="K570" i="50" s="1"/>
  <c r="K571" i="50" s="1"/>
  <c r="K572" i="50" s="1"/>
  <c r="K573" i="50" s="1"/>
  <c r="K574" i="50" s="1"/>
  <c r="K575" i="50" s="1"/>
  <c r="K576" i="50" s="1"/>
  <c r="K577" i="50" s="1"/>
  <c r="K578" i="50" s="1"/>
  <c r="K579" i="50" s="1"/>
  <c r="K580" i="50" s="1"/>
  <c r="K581" i="50" s="1"/>
  <c r="K582" i="50" s="1"/>
  <c r="K583" i="50" s="1"/>
  <c r="K584" i="50" s="1"/>
  <c r="K585" i="50" s="1"/>
  <c r="K586" i="50" s="1"/>
  <c r="K587" i="50" s="1"/>
  <c r="K588" i="50" s="1"/>
  <c r="K589" i="50" s="1"/>
  <c r="K590" i="50" s="1"/>
  <c r="K591" i="50" s="1"/>
  <c r="K592" i="50" s="1"/>
  <c r="K593" i="50" s="1"/>
  <c r="K594" i="50" s="1"/>
  <c r="K595" i="50" s="1"/>
  <c r="K596" i="50" s="1"/>
  <c r="K597" i="50" s="1"/>
  <c r="K598" i="50" s="1"/>
  <c r="K599" i="50" s="1"/>
  <c r="K600" i="50" s="1"/>
  <c r="K601" i="50" s="1"/>
  <c r="K602" i="50" s="1"/>
  <c r="K603" i="50" s="1"/>
  <c r="K604" i="50" s="1"/>
  <c r="K605" i="50" s="1"/>
  <c r="K606" i="50" s="1"/>
  <c r="K607" i="50" s="1"/>
  <c r="K608" i="50" s="1"/>
  <c r="K609" i="50" s="1"/>
  <c r="K610" i="50" s="1"/>
  <c r="K611" i="50" s="1"/>
  <c r="K612" i="50" s="1"/>
  <c r="K613" i="50" s="1"/>
  <c r="K614" i="50" s="1"/>
  <c r="K615" i="50" s="1"/>
  <c r="K616" i="50" s="1"/>
  <c r="K617" i="50" s="1"/>
  <c r="K618" i="50" s="1"/>
  <c r="K619" i="50" s="1"/>
  <c r="K620" i="50" s="1"/>
  <c r="K621" i="50" s="1"/>
  <c r="K622" i="50" s="1"/>
  <c r="K623" i="50" s="1"/>
  <c r="K624" i="50" s="1"/>
  <c r="K625" i="50" s="1"/>
  <c r="K626" i="50" s="1"/>
  <c r="K627" i="50" s="1"/>
  <c r="K628" i="50" s="1"/>
  <c r="K629" i="50" s="1"/>
  <c r="K630" i="50" s="1"/>
  <c r="K631" i="50" s="1"/>
  <c r="K632" i="50" s="1"/>
  <c r="K633" i="50" s="1"/>
  <c r="K634" i="50" s="1"/>
  <c r="K635" i="50" s="1"/>
  <c r="K636" i="50" s="1"/>
  <c r="K637" i="50" s="1"/>
  <c r="K638" i="50" s="1"/>
  <c r="K639" i="50" s="1"/>
  <c r="K640" i="50" s="1"/>
  <c r="K641" i="50" s="1"/>
  <c r="K642" i="50" s="1"/>
  <c r="K643" i="50" s="1"/>
  <c r="K644" i="50" s="1"/>
  <c r="K645" i="50" s="1"/>
  <c r="K646" i="50" s="1"/>
  <c r="K647" i="50" s="1"/>
  <c r="K648" i="50" s="1"/>
  <c r="K649" i="50" s="1"/>
  <c r="K650" i="50" s="1"/>
  <c r="K651" i="50" s="1"/>
  <c r="K652" i="50" s="1"/>
  <c r="K653" i="50" s="1"/>
  <c r="K654" i="50" s="1"/>
  <c r="K655" i="50" s="1"/>
  <c r="K656" i="50" s="1"/>
  <c r="K657" i="50" s="1"/>
  <c r="K658" i="50" s="1"/>
  <c r="K659" i="50" s="1"/>
  <c r="K660" i="50" s="1"/>
  <c r="K661" i="50" s="1"/>
  <c r="K662" i="50" s="1"/>
  <c r="K663" i="50" s="1"/>
  <c r="K664" i="50" s="1"/>
  <c r="K665" i="50" s="1"/>
  <c r="K666" i="50" s="1"/>
  <c r="K667" i="50" s="1"/>
  <c r="K668" i="50" s="1"/>
  <c r="K669" i="50" s="1"/>
  <c r="K670" i="50" s="1"/>
  <c r="K671" i="50" s="1"/>
  <c r="K672" i="50" s="1"/>
  <c r="K673" i="50" s="1"/>
  <c r="K674" i="50" s="1"/>
  <c r="K675" i="50" s="1"/>
  <c r="K676" i="50" s="1"/>
  <c r="K677" i="50" s="1"/>
  <c r="K678" i="50" s="1"/>
  <c r="K679" i="50" s="1"/>
  <c r="K680" i="50" s="1"/>
  <c r="K681" i="50" s="1"/>
  <c r="K682" i="50" s="1"/>
  <c r="K683" i="50" s="1"/>
  <c r="K684" i="50" s="1"/>
  <c r="K685" i="50" s="1"/>
  <c r="K686" i="50" s="1"/>
  <c r="K687" i="50" s="1"/>
  <c r="K688" i="50" s="1"/>
  <c r="K689" i="50" s="1"/>
  <c r="K690" i="50" s="1"/>
  <c r="K691" i="50" s="1"/>
  <c r="K692" i="50" s="1"/>
  <c r="K693" i="50" s="1"/>
  <c r="K694" i="50" s="1"/>
  <c r="Z348" i="49"/>
  <c r="Y348" i="49"/>
  <c r="O348" i="49" s="1"/>
  <c r="U348" i="49"/>
  <c r="T348" i="49"/>
  <c r="P348" i="49"/>
  <c r="M348" i="49"/>
  <c r="L348" i="49"/>
  <c r="K348" i="49"/>
  <c r="G348" i="49"/>
  <c r="AA348" i="49" s="1"/>
  <c r="D348" i="49"/>
  <c r="Z86" i="48"/>
  <c r="Y86" i="48"/>
  <c r="O86" i="48" s="1"/>
  <c r="U86" i="48"/>
  <c r="T86" i="48"/>
  <c r="P86" i="48"/>
  <c r="M86" i="48"/>
  <c r="L86" i="48"/>
  <c r="K86" i="48"/>
  <c r="G86" i="48"/>
  <c r="AA86" i="48" s="1"/>
  <c r="AA77" i="48"/>
  <c r="Z77" i="48"/>
  <c r="Y77" i="48"/>
  <c r="O77" i="48" s="1"/>
  <c r="U77" i="48"/>
  <c r="T77" i="48"/>
  <c r="P77" i="48"/>
  <c r="M77" i="48"/>
  <c r="L77" i="48"/>
  <c r="K77" i="48"/>
  <c r="D77" i="48"/>
  <c r="R116" i="46"/>
  <c r="P116" i="46" s="1"/>
  <c r="AA122" i="46"/>
  <c r="Z122" i="46"/>
  <c r="Y122" i="46"/>
  <c r="O122" i="46" s="1"/>
  <c r="T122" i="46"/>
  <c r="P122" i="46"/>
  <c r="K122" i="46"/>
  <c r="D122" i="46"/>
  <c r="AA121" i="46"/>
  <c r="Z121" i="46"/>
  <c r="Y121" i="46"/>
  <c r="O121" i="46" s="1"/>
  <c r="T121" i="46"/>
  <c r="P121" i="46"/>
  <c r="K121" i="46"/>
  <c r="D121" i="46"/>
  <c r="AA97" i="46"/>
  <c r="Z97" i="46"/>
  <c r="Y97" i="46"/>
  <c r="O97" i="46" s="1"/>
  <c r="T97" i="46"/>
  <c r="P97" i="46"/>
  <c r="M97" i="46"/>
  <c r="L97" i="46"/>
  <c r="K97" i="46"/>
  <c r="D97" i="46"/>
  <c r="AA93" i="46"/>
  <c r="Z93" i="46"/>
  <c r="Y93" i="46"/>
  <c r="O93" i="46" s="1"/>
  <c r="T93" i="46"/>
  <c r="P93" i="46"/>
  <c r="M93" i="46"/>
  <c r="L93" i="46"/>
  <c r="K93" i="46"/>
  <c r="D93" i="46"/>
  <c r="M85" i="46"/>
  <c r="AA347" i="49"/>
  <c r="Z347" i="49"/>
  <c r="Y347" i="49"/>
  <c r="O347" i="49" s="1"/>
  <c r="U347" i="49"/>
  <c r="T347" i="49"/>
  <c r="P347" i="49"/>
  <c r="M347" i="49"/>
  <c r="L347" i="49"/>
  <c r="K347" i="49"/>
  <c r="D347" i="49"/>
  <c r="AA346" i="49"/>
  <c r="Z346" i="49"/>
  <c r="Y346" i="49"/>
  <c r="O346" i="49" s="1"/>
  <c r="U346" i="49"/>
  <c r="T346" i="49"/>
  <c r="P346" i="49"/>
  <c r="M346" i="49"/>
  <c r="L346" i="49"/>
  <c r="K346" i="49"/>
  <c r="D346" i="49"/>
  <c r="AA345" i="49"/>
  <c r="Z345" i="49"/>
  <c r="Y345" i="49"/>
  <c r="O345" i="49" s="1"/>
  <c r="U345" i="49"/>
  <c r="T345" i="49"/>
  <c r="P345" i="49"/>
  <c r="M345" i="49"/>
  <c r="L345" i="49"/>
  <c r="K345" i="49"/>
  <c r="D345" i="49"/>
  <c r="AA344" i="49"/>
  <c r="Z344" i="49"/>
  <c r="Y344" i="49"/>
  <c r="O344" i="49" s="1"/>
  <c r="U344" i="49"/>
  <c r="T344" i="49"/>
  <c r="P344" i="49"/>
  <c r="M344" i="49"/>
  <c r="L344" i="49"/>
  <c r="K344" i="49"/>
  <c r="D344" i="49"/>
  <c r="AA343" i="49"/>
  <c r="Z343" i="49"/>
  <c r="Y343" i="49"/>
  <c r="O343" i="49" s="1"/>
  <c r="U343" i="49"/>
  <c r="T343" i="49"/>
  <c r="P343" i="49"/>
  <c r="M343" i="49"/>
  <c r="L343" i="49"/>
  <c r="K343" i="49"/>
  <c r="D343" i="49"/>
  <c r="D86" i="48"/>
  <c r="AA76" i="48"/>
  <c r="Z76" i="48"/>
  <c r="Y76" i="48"/>
  <c r="O76" i="48" s="1"/>
  <c r="U76" i="48"/>
  <c r="T76" i="48"/>
  <c r="P76" i="48"/>
  <c r="M76" i="48"/>
  <c r="L76" i="48"/>
  <c r="K76" i="48"/>
  <c r="D76" i="48"/>
  <c r="AA75" i="48"/>
  <c r="Z75" i="48"/>
  <c r="Y75" i="48"/>
  <c r="O75" i="48" s="1"/>
  <c r="U75" i="48"/>
  <c r="T75" i="48"/>
  <c r="P75" i="48"/>
  <c r="M75" i="48"/>
  <c r="L75" i="48"/>
  <c r="K75" i="48"/>
  <c r="D75" i="48"/>
  <c r="AA57" i="48"/>
  <c r="Z57" i="48"/>
  <c r="Y57" i="48"/>
  <c r="O57" i="48" s="1"/>
  <c r="U57" i="48"/>
  <c r="T57" i="48"/>
  <c r="P57" i="48"/>
  <c r="M57" i="48"/>
  <c r="L57" i="48"/>
  <c r="K57" i="48"/>
  <c r="D57" i="48"/>
  <c r="AA41" i="48"/>
  <c r="Z41" i="48"/>
  <c r="Y41" i="48"/>
  <c r="O41" i="48" s="1"/>
  <c r="U41" i="48"/>
  <c r="T41" i="48"/>
  <c r="P41" i="48"/>
  <c r="M41" i="48"/>
  <c r="L41" i="48"/>
  <c r="K41" i="48"/>
  <c r="D41" i="48"/>
  <c r="R123" i="46"/>
  <c r="P123" i="46" s="1"/>
  <c r="R115" i="46"/>
  <c r="R114" i="46"/>
  <c r="Z342" i="49"/>
  <c r="Y342" i="49"/>
  <c r="O342" i="49" s="1"/>
  <c r="U342" i="49"/>
  <c r="T342" i="49"/>
  <c r="P342" i="49"/>
  <c r="M342" i="49"/>
  <c r="L342" i="49"/>
  <c r="K342" i="49"/>
  <c r="G342" i="49"/>
  <c r="AA342" i="49" s="1"/>
  <c r="D342" i="49"/>
  <c r="AA341" i="49"/>
  <c r="Z341" i="49"/>
  <c r="Y341" i="49"/>
  <c r="O341" i="49" s="1"/>
  <c r="U341" i="49"/>
  <c r="T341" i="49"/>
  <c r="P341" i="49"/>
  <c r="M341" i="49"/>
  <c r="L341" i="49"/>
  <c r="K341" i="49"/>
  <c r="D341" i="49"/>
  <c r="AA340" i="49"/>
  <c r="Z340" i="49"/>
  <c r="Y340" i="49"/>
  <c r="O340" i="49" s="1"/>
  <c r="U340" i="49"/>
  <c r="T340" i="49"/>
  <c r="P340" i="49"/>
  <c r="M340" i="49"/>
  <c r="L340" i="49"/>
  <c r="K340" i="49"/>
  <c r="D340" i="49"/>
  <c r="Z68" i="46"/>
  <c r="Y68" i="46"/>
  <c r="O68" i="46" s="1"/>
  <c r="T68" i="46"/>
  <c r="L68" i="46"/>
  <c r="K68" i="46"/>
  <c r="G68" i="46"/>
  <c r="AA68" i="46" s="1"/>
  <c r="D68" i="46"/>
  <c r="Z74" i="48"/>
  <c r="Y74" i="48"/>
  <c r="O74" i="48" s="1"/>
  <c r="U74" i="48"/>
  <c r="T74" i="48"/>
  <c r="P74" i="48"/>
  <c r="M74" i="48"/>
  <c r="L74" i="48"/>
  <c r="K74" i="48"/>
  <c r="G74" i="48"/>
  <c r="AA74" i="48" s="1"/>
  <c r="D74" i="48"/>
  <c r="AA72" i="48"/>
  <c r="Z72" i="48"/>
  <c r="Y72" i="48"/>
  <c r="O72" i="48" s="1"/>
  <c r="U72" i="48"/>
  <c r="T72" i="48"/>
  <c r="P72" i="48"/>
  <c r="M72" i="48"/>
  <c r="L72" i="48"/>
  <c r="K72" i="48"/>
  <c r="D72" i="48"/>
  <c r="AA73" i="48"/>
  <c r="Z73" i="48"/>
  <c r="Y73" i="48"/>
  <c r="O73" i="48" s="1"/>
  <c r="U73" i="48"/>
  <c r="T73" i="48"/>
  <c r="P73" i="48"/>
  <c r="M73" i="48"/>
  <c r="L73" i="48"/>
  <c r="K73" i="48"/>
  <c r="D73" i="48"/>
  <c r="P74" i="46"/>
  <c r="P75" i="46"/>
  <c r="P76" i="46"/>
  <c r="P77" i="46"/>
  <c r="P78" i="46"/>
  <c r="P82" i="46"/>
  <c r="P87" i="46"/>
  <c r="P88" i="46"/>
  <c r="P73" i="46"/>
  <c r="P79" i="46"/>
  <c r="P83" i="46"/>
  <c r="P89" i="46"/>
  <c r="P91" i="46"/>
  <c r="P84" i="46"/>
  <c r="P80" i="46"/>
  <c r="P90" i="46"/>
  <c r="P81" i="46"/>
  <c r="P92" i="46"/>
  <c r="P85" i="46"/>
  <c r="P117" i="46"/>
  <c r="P118" i="46"/>
  <c r="P120" i="46"/>
  <c r="P119" i="46"/>
  <c r="P124" i="46"/>
  <c r="P126" i="46"/>
  <c r="Z85" i="46"/>
  <c r="Y85" i="46"/>
  <c r="O85" i="46" s="1"/>
  <c r="T85" i="46"/>
  <c r="L85" i="46"/>
  <c r="K85" i="46"/>
  <c r="G85" i="46"/>
  <c r="AA85" i="46" s="1"/>
  <c r="D85" i="46"/>
  <c r="AA81" i="46"/>
  <c r="Z81" i="46"/>
  <c r="Y81" i="46"/>
  <c r="O81" i="46" s="1"/>
  <c r="T81" i="46"/>
  <c r="M81" i="46"/>
  <c r="L81" i="46"/>
  <c r="K81" i="46"/>
  <c r="D81" i="46"/>
  <c r="AA90" i="46"/>
  <c r="Z90" i="46"/>
  <c r="Y90" i="46"/>
  <c r="O90" i="46" s="1"/>
  <c r="T90" i="46"/>
  <c r="M90" i="46"/>
  <c r="L90" i="46"/>
  <c r="K90" i="46"/>
  <c r="D90" i="46"/>
  <c r="Z92" i="46"/>
  <c r="Y92" i="46"/>
  <c r="O92" i="46" s="1"/>
  <c r="T92" i="46"/>
  <c r="M92" i="46"/>
  <c r="L92" i="46"/>
  <c r="K92" i="46"/>
  <c r="AA92" i="46"/>
  <c r="D92" i="46"/>
  <c r="P48" i="48"/>
  <c r="P68" i="48"/>
  <c r="P40" i="48"/>
  <c r="P69" i="48"/>
  <c r="P56" i="48"/>
  <c r="P70" i="48"/>
  <c r="P71" i="48"/>
  <c r="AA36" i="48"/>
  <c r="AA37" i="48"/>
  <c r="AA42" i="48"/>
  <c r="AA43" i="48"/>
  <c r="AA44" i="48"/>
  <c r="AA45" i="48"/>
  <c r="AA46" i="48"/>
  <c r="AA47" i="48"/>
  <c r="AA49" i="48"/>
  <c r="AA50" i="48"/>
  <c r="AA51" i="48"/>
  <c r="AA52" i="48"/>
  <c r="AA53" i="48"/>
  <c r="AA54" i="48"/>
  <c r="AA59" i="48"/>
  <c r="AA60" i="48"/>
  <c r="AA61" i="48"/>
  <c r="AA63" i="48"/>
  <c r="AA65" i="48"/>
  <c r="AA67" i="48"/>
  <c r="AA55" i="48"/>
  <c r="AA48" i="48"/>
  <c r="AA68" i="48"/>
  <c r="AA40" i="48"/>
  <c r="AA56" i="48"/>
  <c r="AA70" i="48"/>
  <c r="Z71" i="48"/>
  <c r="Y71" i="48"/>
  <c r="O71" i="48" s="1"/>
  <c r="U71" i="48"/>
  <c r="T71" i="48"/>
  <c r="M71" i="48"/>
  <c r="L71" i="48"/>
  <c r="K71" i="48"/>
  <c r="G71" i="48"/>
  <c r="AA71" i="48" s="1"/>
  <c r="D71" i="48"/>
  <c r="Z70" i="48"/>
  <c r="Y70" i="48"/>
  <c r="O70" i="48" s="1"/>
  <c r="U70" i="48"/>
  <c r="T70" i="48"/>
  <c r="M70" i="48"/>
  <c r="L70" i="48"/>
  <c r="K70" i="48"/>
  <c r="D70" i="48"/>
  <c r="Z56" i="48"/>
  <c r="Y56" i="48"/>
  <c r="O56" i="48" s="1"/>
  <c r="U56" i="48"/>
  <c r="T56" i="48"/>
  <c r="M56" i="48"/>
  <c r="L56" i="48"/>
  <c r="K56" i="48"/>
  <c r="D56" i="48"/>
  <c r="Z69" i="48"/>
  <c r="Y69" i="48"/>
  <c r="O69" i="48" s="1"/>
  <c r="U69" i="48"/>
  <c r="T69" i="48"/>
  <c r="M69" i="48"/>
  <c r="L69" i="48"/>
  <c r="K69" i="48"/>
  <c r="G69" i="48"/>
  <c r="AA69" i="48" s="1"/>
  <c r="D69" i="48"/>
  <c r="AA273" i="49"/>
  <c r="AA274" i="49"/>
  <c r="AA275" i="49"/>
  <c r="AA276" i="49"/>
  <c r="AA277" i="49"/>
  <c r="AA278" i="49"/>
  <c r="AA279" i="49"/>
  <c r="AA280" i="49"/>
  <c r="AA290" i="49"/>
  <c r="AA291" i="49"/>
  <c r="AA292" i="49"/>
  <c r="AA293" i="49"/>
  <c r="AA301" i="49"/>
  <c r="AA302" i="49"/>
  <c r="AA305" i="49"/>
  <c r="AA306" i="49"/>
  <c r="AA307" i="49"/>
  <c r="AA308" i="49"/>
  <c r="AA309" i="49"/>
  <c r="AA310" i="49"/>
  <c r="AA311" i="49"/>
  <c r="AA312" i="49"/>
  <c r="AA313" i="49"/>
  <c r="AA314" i="49"/>
  <c r="AA315" i="49"/>
  <c r="AA316" i="49"/>
  <c r="AA318" i="49"/>
  <c r="AA319" i="49"/>
  <c r="AA320" i="49"/>
  <c r="AA322" i="49"/>
  <c r="AA324" i="49"/>
  <c r="AA326" i="49"/>
  <c r="AA332" i="49"/>
  <c r="AA333" i="49"/>
  <c r="AA334" i="49"/>
  <c r="AA335" i="49"/>
  <c r="AA337" i="49"/>
  <c r="AA338" i="49"/>
  <c r="Z339" i="49"/>
  <c r="Y339" i="49"/>
  <c r="O339" i="49" s="1"/>
  <c r="U339" i="49"/>
  <c r="T339" i="49"/>
  <c r="P339" i="49"/>
  <c r="M339" i="49"/>
  <c r="L339" i="49"/>
  <c r="K339" i="49"/>
  <c r="G339" i="49"/>
  <c r="AA339" i="49" s="1"/>
  <c r="D339" i="49"/>
  <c r="Z338" i="49"/>
  <c r="Y338" i="49"/>
  <c r="O338" i="49" s="1"/>
  <c r="U338" i="49"/>
  <c r="T338" i="49"/>
  <c r="P338" i="49"/>
  <c r="M338" i="49"/>
  <c r="L338" i="49"/>
  <c r="K338" i="49"/>
  <c r="D338" i="49"/>
  <c r="Z337" i="49"/>
  <c r="Y337" i="49"/>
  <c r="O337" i="49" s="1"/>
  <c r="U337" i="49"/>
  <c r="T337" i="49"/>
  <c r="P337" i="49"/>
  <c r="M337" i="49"/>
  <c r="L337" i="49"/>
  <c r="K337" i="49"/>
  <c r="D337" i="49"/>
  <c r="Z336" i="49"/>
  <c r="Y336" i="49"/>
  <c r="O336" i="49" s="1"/>
  <c r="U336" i="49"/>
  <c r="T336" i="49"/>
  <c r="P336" i="49"/>
  <c r="M336" i="49"/>
  <c r="L336" i="49"/>
  <c r="K336" i="49"/>
  <c r="G336" i="49"/>
  <c r="AA336" i="49" s="1"/>
  <c r="D336" i="49"/>
  <c r="Z335" i="49"/>
  <c r="Y335" i="49"/>
  <c r="O335" i="49" s="1"/>
  <c r="U335" i="49"/>
  <c r="T335" i="49"/>
  <c r="P335" i="49"/>
  <c r="M335" i="49"/>
  <c r="L335" i="49"/>
  <c r="K335" i="49"/>
  <c r="D335" i="49"/>
  <c r="AA80" i="46"/>
  <c r="Z80" i="46"/>
  <c r="Y80" i="46"/>
  <c r="O80" i="46" s="1"/>
  <c r="T80" i="46"/>
  <c r="M80" i="46"/>
  <c r="L80" i="46"/>
  <c r="K80" i="46"/>
  <c r="D80" i="46"/>
  <c r="Z40" i="48"/>
  <c r="Y40" i="48"/>
  <c r="O40" i="48" s="1"/>
  <c r="U40" i="48"/>
  <c r="T40" i="48"/>
  <c r="M40" i="48"/>
  <c r="L40" i="48"/>
  <c r="K40" i="48"/>
  <c r="D40" i="48"/>
  <c r="Z334" i="49"/>
  <c r="Y334" i="49"/>
  <c r="O334" i="49" s="1"/>
  <c r="U334" i="49"/>
  <c r="T334" i="49"/>
  <c r="P334" i="49"/>
  <c r="M334" i="49"/>
  <c r="L334" i="49"/>
  <c r="K334" i="49"/>
  <c r="D334" i="49"/>
  <c r="Z326" i="49"/>
  <c r="Y326" i="49"/>
  <c r="O326" i="49" s="1"/>
  <c r="U326" i="49"/>
  <c r="T326" i="49"/>
  <c r="P326" i="49"/>
  <c r="M326" i="49"/>
  <c r="L326" i="49"/>
  <c r="K326" i="49"/>
  <c r="D326" i="49"/>
  <c r="Z67" i="48"/>
  <c r="Y67" i="48"/>
  <c r="O67" i="48" s="1"/>
  <c r="U67" i="48"/>
  <c r="T67" i="48"/>
  <c r="P67" i="48"/>
  <c r="M67" i="48"/>
  <c r="L67" i="48"/>
  <c r="K67" i="48"/>
  <c r="D67" i="48"/>
  <c r="AA124" i="46"/>
  <c r="Z124" i="46"/>
  <c r="Y124" i="46"/>
  <c r="O124" i="46" s="1"/>
  <c r="T124" i="46"/>
  <c r="K124" i="46"/>
  <c r="D124" i="46"/>
  <c r="R32" i="48"/>
  <c r="D47" i="45"/>
  <c r="G47" i="45"/>
  <c r="AA47" i="45" s="1"/>
  <c r="K47" i="45"/>
  <c r="M47" i="45"/>
  <c r="O47" i="45"/>
  <c r="Q47" i="45"/>
  <c r="T47" i="45"/>
  <c r="U47" i="45"/>
  <c r="Y47" i="45"/>
  <c r="Z47" i="45"/>
  <c r="M73" i="46"/>
  <c r="L73" i="46"/>
  <c r="K73" i="46"/>
  <c r="M84" i="46"/>
  <c r="L84" i="46"/>
  <c r="K84" i="46"/>
  <c r="M91" i="46"/>
  <c r="L91" i="46"/>
  <c r="K91" i="46"/>
  <c r="M89" i="46"/>
  <c r="L89" i="46"/>
  <c r="K89" i="46"/>
  <c r="Z89" i="46"/>
  <c r="Y89" i="46"/>
  <c r="O89" i="46" s="1"/>
  <c r="T89" i="46"/>
  <c r="G89" i="46"/>
  <c r="AA89" i="46" s="1"/>
  <c r="D89" i="46"/>
  <c r="Z91" i="46"/>
  <c r="Y91" i="46"/>
  <c r="O91" i="46" s="1"/>
  <c r="T91" i="46"/>
  <c r="G91" i="46"/>
  <c r="AA91" i="46" s="1"/>
  <c r="D91" i="46"/>
  <c r="Z84" i="46"/>
  <c r="Y84" i="46"/>
  <c r="O84" i="46" s="1"/>
  <c r="T84" i="46"/>
  <c r="G84" i="46"/>
  <c r="AA84" i="46" s="1"/>
  <c r="D84" i="46"/>
  <c r="Q125" i="46" l="1"/>
  <c r="X125" i="46" s="1"/>
  <c r="Q78" i="48"/>
  <c r="X78" i="48" s="1"/>
  <c r="Q91" i="48"/>
  <c r="Q92" i="48"/>
  <c r="Q89" i="48"/>
  <c r="X91" i="48"/>
  <c r="X92" i="48"/>
  <c r="Q90" i="48"/>
  <c r="X90" i="48" s="1"/>
  <c r="X89" i="48"/>
  <c r="Q79" i="48"/>
  <c r="X79" i="48" s="1"/>
  <c r="Q99" i="46"/>
  <c r="X99" i="46" s="1"/>
  <c r="Q80" i="48"/>
  <c r="X80" i="48" s="1"/>
  <c r="Q351" i="49"/>
  <c r="X351" i="49" s="1"/>
  <c r="Q98" i="46"/>
  <c r="X98" i="46" s="1"/>
  <c r="Q88" i="48"/>
  <c r="X88" i="48" s="1"/>
  <c r="Q350" i="49"/>
  <c r="X350" i="49" s="1"/>
  <c r="Q349" i="49"/>
  <c r="X349" i="49" s="1"/>
  <c r="Q87" i="48"/>
  <c r="X87" i="48" s="1"/>
  <c r="Q77" i="48"/>
  <c r="X77" i="48" s="1"/>
  <c r="Q348" i="49"/>
  <c r="X348" i="49" s="1"/>
  <c r="Q93" i="46"/>
  <c r="X93" i="46" s="1"/>
  <c r="Q97" i="46"/>
  <c r="X97" i="46" s="1"/>
  <c r="Q122" i="46"/>
  <c r="X122" i="46" s="1"/>
  <c r="Q121" i="46"/>
  <c r="X121" i="46" s="1"/>
  <c r="Q86" i="48"/>
  <c r="X86" i="48" s="1"/>
  <c r="Q345" i="49"/>
  <c r="X345" i="49" s="1"/>
  <c r="Q75" i="48"/>
  <c r="X75" i="48" s="1"/>
  <c r="Q344" i="49"/>
  <c r="X344" i="49" s="1"/>
  <c r="Q41" i="48"/>
  <c r="X41" i="48" s="1"/>
  <c r="Q347" i="49"/>
  <c r="X347" i="49" s="1"/>
  <c r="Q343" i="49"/>
  <c r="X343" i="49" s="1"/>
  <c r="Q346" i="49"/>
  <c r="X346" i="49" s="1"/>
  <c r="Q76" i="48"/>
  <c r="X76" i="48" s="1"/>
  <c r="Q57" i="48"/>
  <c r="X57" i="48" s="1"/>
  <c r="Q340" i="49"/>
  <c r="X340" i="49" s="1"/>
  <c r="P68" i="46"/>
  <c r="Q342" i="49"/>
  <c r="X342" i="49" s="1"/>
  <c r="Q341" i="49"/>
  <c r="X341" i="49" s="1"/>
  <c r="Q68" i="46"/>
  <c r="Q72" i="48"/>
  <c r="X72" i="48" s="1"/>
  <c r="Q73" i="48"/>
  <c r="X73" i="48" s="1"/>
  <c r="Q74" i="48"/>
  <c r="X74" i="48" s="1"/>
  <c r="Q90" i="46"/>
  <c r="X90" i="46" s="1"/>
  <c r="Q335" i="49"/>
  <c r="X335" i="49" s="1"/>
  <c r="Q56" i="48"/>
  <c r="X56" i="48" s="1"/>
  <c r="Q71" i="48"/>
  <c r="X71" i="48" s="1"/>
  <c r="Q338" i="49"/>
  <c r="X338" i="49" s="1"/>
  <c r="Q81" i="46"/>
  <c r="X81" i="46" s="1"/>
  <c r="Q69" i="48"/>
  <c r="X69" i="48" s="1"/>
  <c r="Q70" i="48"/>
  <c r="X70" i="48" s="1"/>
  <c r="Q85" i="46"/>
  <c r="X85" i="46" s="1"/>
  <c r="Q92" i="46"/>
  <c r="X92" i="46" s="1"/>
  <c r="Q339" i="49"/>
  <c r="X339" i="49" s="1"/>
  <c r="Q337" i="49"/>
  <c r="X337" i="49" s="1"/>
  <c r="Q336" i="49"/>
  <c r="X336" i="49" s="1"/>
  <c r="Q124" i="46"/>
  <c r="X124" i="46" s="1"/>
  <c r="Q80" i="46"/>
  <c r="X80" i="46" s="1"/>
  <c r="Q334" i="49"/>
  <c r="X334" i="49" s="1"/>
  <c r="Q40" i="48"/>
  <c r="X40" i="48" s="1"/>
  <c r="Q67" i="48"/>
  <c r="X67" i="48" s="1"/>
  <c r="Q326" i="49"/>
  <c r="X326" i="49" s="1"/>
  <c r="P47" i="45"/>
  <c r="X47" i="45" s="1"/>
  <c r="Q89" i="46"/>
  <c r="X89" i="46" s="1"/>
  <c r="Q91" i="46"/>
  <c r="X91" i="46" s="1"/>
  <c r="Q84" i="46"/>
  <c r="X84" i="46" s="1"/>
  <c r="X68" i="46" l="1"/>
  <c r="K63" i="46"/>
  <c r="AA126" i="46"/>
  <c r="Z126" i="46"/>
  <c r="Y126" i="46"/>
  <c r="O126" i="46" s="1"/>
  <c r="T126" i="46"/>
  <c r="K126" i="46"/>
  <c r="D126" i="46"/>
  <c r="Q126" i="46" l="1"/>
  <c r="X126" i="46" s="1"/>
  <c r="Z23" i="48" l="1"/>
  <c r="Y23" i="48"/>
  <c r="U23" i="48"/>
  <c r="T23" i="48"/>
  <c r="Q23" i="48"/>
  <c r="O23" i="48"/>
  <c r="K23" i="48"/>
  <c r="D23" i="48"/>
  <c r="Z22" i="48"/>
  <c r="Y22" i="48"/>
  <c r="U22" i="48"/>
  <c r="T22" i="48"/>
  <c r="Q22" i="48"/>
  <c r="O22" i="48"/>
  <c r="K22" i="48"/>
  <c r="D22" i="48"/>
  <c r="Z21" i="48"/>
  <c r="Y21" i="48"/>
  <c r="U21" i="48"/>
  <c r="T21" i="48"/>
  <c r="Q21" i="48"/>
  <c r="O21" i="48"/>
  <c r="K21" i="48"/>
  <c r="D21" i="48"/>
  <c r="D59" i="48"/>
  <c r="K59" i="48"/>
  <c r="L59" i="48"/>
  <c r="M59" i="48"/>
  <c r="P59" i="48"/>
  <c r="T59" i="48"/>
  <c r="U59" i="48"/>
  <c r="Y59" i="48"/>
  <c r="O59" i="48" s="1"/>
  <c r="Z59" i="48"/>
  <c r="P23" i="48" l="1"/>
  <c r="X23" i="48" s="1"/>
  <c r="P22" i="48"/>
  <c r="X22" i="48" s="1"/>
  <c r="P21" i="48"/>
  <c r="X21" i="48" s="1"/>
  <c r="Q59" i="48"/>
  <c r="X59" i="48" s="1"/>
  <c r="AA67" i="46" l="1"/>
  <c r="Z67" i="46"/>
  <c r="Y67" i="46"/>
  <c r="O67" i="46" s="1"/>
  <c r="T67" i="46"/>
  <c r="K67" i="46"/>
  <c r="D67" i="46"/>
  <c r="Z292" i="49"/>
  <c r="Y292" i="49"/>
  <c r="O292" i="49" s="1"/>
  <c r="Q292" i="49" s="1"/>
  <c r="U292" i="49"/>
  <c r="T292" i="49"/>
  <c r="K292" i="49"/>
  <c r="D292" i="49"/>
  <c r="AA23" i="48"/>
  <c r="Z68" i="48"/>
  <c r="Y68" i="48"/>
  <c r="O68" i="48" s="1"/>
  <c r="U68" i="48"/>
  <c r="T68" i="48"/>
  <c r="M68" i="48"/>
  <c r="L68" i="48"/>
  <c r="K68" i="48"/>
  <c r="D68" i="48"/>
  <c r="AA363" i="49"/>
  <c r="AA359" i="49"/>
  <c r="P292" i="49" l="1"/>
  <c r="X292" i="49" s="1"/>
  <c r="P67" i="46"/>
  <c r="Q67" i="46"/>
  <c r="Q68" i="48"/>
  <c r="X68" i="48" s="1"/>
  <c r="Z325" i="49"/>
  <c r="Y325" i="49"/>
  <c r="O325" i="49" s="1"/>
  <c r="U325" i="49"/>
  <c r="T325" i="49"/>
  <c r="P325" i="49"/>
  <c r="M325" i="49"/>
  <c r="L325" i="49"/>
  <c r="K325" i="49"/>
  <c r="G325" i="49"/>
  <c r="AA325" i="49" s="1"/>
  <c r="D325" i="49"/>
  <c r="Z66" i="48"/>
  <c r="Y66" i="48"/>
  <c r="O66" i="48" s="1"/>
  <c r="U66" i="48"/>
  <c r="T66" i="48"/>
  <c r="P66" i="48"/>
  <c r="M66" i="48"/>
  <c r="L66" i="48"/>
  <c r="K66" i="48"/>
  <c r="G66" i="48"/>
  <c r="AA66" i="48" s="1"/>
  <c r="D66" i="48"/>
  <c r="Z296" i="49"/>
  <c r="Y296" i="49"/>
  <c r="O296" i="49" s="1"/>
  <c r="U296" i="49"/>
  <c r="R296" i="49"/>
  <c r="T296" i="49" s="1"/>
  <c r="M296" i="49"/>
  <c r="L296" i="49"/>
  <c r="K296" i="49"/>
  <c r="H296" i="49"/>
  <c r="G296" i="49"/>
  <c r="AA296" i="49" s="1"/>
  <c r="D296" i="49"/>
  <c r="Z48" i="48"/>
  <c r="Y48" i="48"/>
  <c r="O48" i="48" s="1"/>
  <c r="U48" i="48"/>
  <c r="T48" i="48"/>
  <c r="M48" i="48"/>
  <c r="L48" i="48"/>
  <c r="K48" i="48"/>
  <c r="D48" i="48"/>
  <c r="Z55" i="48"/>
  <c r="Y55" i="48"/>
  <c r="O55" i="48" s="1"/>
  <c r="U55" i="48"/>
  <c r="T55" i="48"/>
  <c r="P55" i="48"/>
  <c r="M55" i="48"/>
  <c r="L55" i="48"/>
  <c r="K55" i="48"/>
  <c r="D55" i="48"/>
  <c r="Z65" i="48"/>
  <c r="Y65" i="48"/>
  <c r="O65" i="48" s="1"/>
  <c r="U65" i="48"/>
  <c r="T65" i="48"/>
  <c r="P65" i="48"/>
  <c r="M65" i="48"/>
  <c r="L65" i="48"/>
  <c r="K65" i="48"/>
  <c r="D65" i="48"/>
  <c r="AA79" i="46"/>
  <c r="Z79" i="46"/>
  <c r="Y79" i="46"/>
  <c r="O79" i="46" s="1"/>
  <c r="T79" i="46"/>
  <c r="M79" i="46"/>
  <c r="L79" i="46"/>
  <c r="K79" i="46"/>
  <c r="D79" i="46"/>
  <c r="D83" i="46"/>
  <c r="G83" i="46"/>
  <c r="AA83" i="46" s="1"/>
  <c r="K83" i="46"/>
  <c r="L83" i="46"/>
  <c r="M83" i="46"/>
  <c r="T83" i="46"/>
  <c r="Y83" i="46"/>
  <c r="O83" i="46" s="1"/>
  <c r="Z83" i="46"/>
  <c r="Z333" i="49"/>
  <c r="Y333" i="49"/>
  <c r="O333" i="49" s="1"/>
  <c r="U333" i="49"/>
  <c r="T333" i="49"/>
  <c r="P333" i="49"/>
  <c r="M333" i="49"/>
  <c r="L333" i="49"/>
  <c r="K333" i="49"/>
  <c r="D333" i="49"/>
  <c r="Z332" i="49"/>
  <c r="Y332" i="49"/>
  <c r="O332" i="49" s="1"/>
  <c r="U332" i="49"/>
  <c r="T332" i="49"/>
  <c r="P332" i="49"/>
  <c r="M332" i="49"/>
  <c r="L332" i="49"/>
  <c r="K332" i="49"/>
  <c r="D332" i="49"/>
  <c r="Z324" i="49"/>
  <c r="Y324" i="49"/>
  <c r="O324" i="49" s="1"/>
  <c r="U324" i="49"/>
  <c r="T324" i="49"/>
  <c r="P324" i="49"/>
  <c r="M324" i="49"/>
  <c r="L324" i="49"/>
  <c r="K324" i="49"/>
  <c r="D324" i="49"/>
  <c r="Z323" i="49"/>
  <c r="Y323" i="49"/>
  <c r="O323" i="49" s="1"/>
  <c r="U323" i="49"/>
  <c r="T323" i="49"/>
  <c r="P323" i="49"/>
  <c r="M323" i="49"/>
  <c r="L323" i="49"/>
  <c r="K323" i="49"/>
  <c r="G323" i="49"/>
  <c r="AA323" i="49" s="1"/>
  <c r="D323" i="49"/>
  <c r="Z322" i="49"/>
  <c r="Y322" i="49"/>
  <c r="O322" i="49" s="1"/>
  <c r="U322" i="49"/>
  <c r="T322" i="49"/>
  <c r="P322" i="49"/>
  <c r="M322" i="49"/>
  <c r="L322" i="49"/>
  <c r="K322" i="49"/>
  <c r="D322" i="49"/>
  <c r="Z321" i="49"/>
  <c r="Y321" i="49"/>
  <c r="O321" i="49" s="1"/>
  <c r="U321" i="49"/>
  <c r="T321" i="49"/>
  <c r="P321" i="49"/>
  <c r="M321" i="49"/>
  <c r="L321" i="49"/>
  <c r="K321" i="49"/>
  <c r="G321" i="49"/>
  <c r="AA321" i="49" s="1"/>
  <c r="D321" i="49"/>
  <c r="Z310" i="49"/>
  <c r="Y310" i="49"/>
  <c r="O310" i="49" s="1"/>
  <c r="U310" i="49"/>
  <c r="T310" i="49"/>
  <c r="P310" i="49"/>
  <c r="M310" i="49"/>
  <c r="L310" i="49"/>
  <c r="K310" i="49"/>
  <c r="D310" i="49"/>
  <c r="Z316" i="49"/>
  <c r="Y316" i="49"/>
  <c r="O316" i="49" s="1"/>
  <c r="U316" i="49"/>
  <c r="T316" i="49"/>
  <c r="P316" i="49"/>
  <c r="M316" i="49"/>
  <c r="L316" i="49"/>
  <c r="K316" i="49"/>
  <c r="D316" i="49"/>
  <c r="Z320" i="49"/>
  <c r="Y320" i="49"/>
  <c r="O320" i="49" s="1"/>
  <c r="U320" i="49"/>
  <c r="T320" i="49"/>
  <c r="P320" i="49"/>
  <c r="M320" i="49"/>
  <c r="L320" i="49"/>
  <c r="K320" i="49"/>
  <c r="D320" i="49"/>
  <c r="Q48" i="48" l="1"/>
  <c r="X48" i="48" s="1"/>
  <c r="X67" i="46"/>
  <c r="Q325" i="49"/>
  <c r="X325" i="49" s="1"/>
  <c r="P296" i="49"/>
  <c r="Q66" i="48"/>
  <c r="X66" i="48" s="1"/>
  <c r="Q296" i="49"/>
  <c r="Q333" i="49"/>
  <c r="X333" i="49" s="1"/>
  <c r="Q79" i="46"/>
  <c r="X79" i="46" s="1"/>
  <c r="Q332" i="49"/>
  <c r="X332" i="49" s="1"/>
  <c r="Q65" i="48"/>
  <c r="X65" i="48" s="1"/>
  <c r="Q83" i="46"/>
  <c r="X83" i="46" s="1"/>
  <c r="Q324" i="49"/>
  <c r="X324" i="49" s="1"/>
  <c r="Q55" i="48"/>
  <c r="X55" i="48" s="1"/>
  <c r="Q316" i="49"/>
  <c r="X316" i="49" s="1"/>
  <c r="Q322" i="49"/>
  <c r="X322" i="49" s="1"/>
  <c r="Q320" i="49"/>
  <c r="X320" i="49" s="1"/>
  <c r="Q323" i="49"/>
  <c r="X323" i="49" s="1"/>
  <c r="Q310" i="49"/>
  <c r="X310" i="49" s="1"/>
  <c r="Q321" i="49"/>
  <c r="X321" i="49" s="1"/>
  <c r="X296" i="49" l="1"/>
  <c r="Z73" i="46"/>
  <c r="Y73" i="46"/>
  <c r="O73" i="46" s="1"/>
  <c r="T73" i="46"/>
  <c r="G73" i="46"/>
  <c r="AA73" i="46" s="1"/>
  <c r="D73" i="46"/>
  <c r="Z64" i="48"/>
  <c r="Y64" i="48"/>
  <c r="O64" i="48" s="1"/>
  <c r="U64" i="48"/>
  <c r="T64" i="48"/>
  <c r="P64" i="48"/>
  <c r="M64" i="48"/>
  <c r="L64" i="48"/>
  <c r="K64" i="48"/>
  <c r="G64" i="48"/>
  <c r="AA64" i="48" s="1"/>
  <c r="D64" i="48"/>
  <c r="Z63" i="48"/>
  <c r="Y63" i="48"/>
  <c r="O63" i="48" s="1"/>
  <c r="U63" i="48"/>
  <c r="T63" i="48"/>
  <c r="P63" i="48"/>
  <c r="M63" i="48"/>
  <c r="L63" i="48"/>
  <c r="K63" i="48"/>
  <c r="D63" i="48"/>
  <c r="Q73" i="46" l="1"/>
  <c r="X73" i="46" s="1"/>
  <c r="Q64" i="48"/>
  <c r="X64" i="48" s="1"/>
  <c r="Q63" i="48"/>
  <c r="X63" i="48" s="1"/>
  <c r="K115" i="46" l="1"/>
  <c r="K116" i="46"/>
  <c r="K117" i="46"/>
  <c r="K118" i="46"/>
  <c r="K120" i="46"/>
  <c r="K123" i="46"/>
  <c r="K119" i="46"/>
  <c r="AA119" i="46"/>
  <c r="Z119" i="46"/>
  <c r="Y119" i="46"/>
  <c r="O119" i="46" s="1"/>
  <c r="T119" i="46"/>
  <c r="D119" i="46"/>
  <c r="Q119" i="46" l="1"/>
  <c r="X119" i="46" s="1"/>
  <c r="Z289" i="49" l="1"/>
  <c r="Y289" i="49"/>
  <c r="U289" i="49"/>
  <c r="T289" i="49"/>
  <c r="Q289" i="49"/>
  <c r="O289" i="49"/>
  <c r="M289" i="49"/>
  <c r="L289" i="49"/>
  <c r="K289" i="49"/>
  <c r="G289" i="49"/>
  <c r="AA289" i="49" s="1"/>
  <c r="D289" i="49"/>
  <c r="G62" i="48"/>
  <c r="AA62" i="48" s="1"/>
  <c r="Z62" i="48"/>
  <c r="Y62" i="48"/>
  <c r="O62" i="48" s="1"/>
  <c r="U62" i="48"/>
  <c r="T62" i="48"/>
  <c r="P62" i="48"/>
  <c r="M62" i="48"/>
  <c r="L62" i="48"/>
  <c r="K62" i="48"/>
  <c r="D62" i="48"/>
  <c r="Z47" i="48"/>
  <c r="Y47" i="48"/>
  <c r="O47" i="48" s="1"/>
  <c r="U47" i="48"/>
  <c r="T47" i="48"/>
  <c r="P47" i="48"/>
  <c r="M47" i="48"/>
  <c r="L47" i="48"/>
  <c r="K47" i="48"/>
  <c r="D47" i="48"/>
  <c r="Z54" i="48"/>
  <c r="Y54" i="48"/>
  <c r="O54" i="48" s="1"/>
  <c r="U54" i="48"/>
  <c r="T54" i="48"/>
  <c r="P54" i="48"/>
  <c r="M54" i="48"/>
  <c r="L54" i="48"/>
  <c r="K54" i="48"/>
  <c r="D54" i="48"/>
  <c r="Z61" i="48"/>
  <c r="Y61" i="48"/>
  <c r="O61" i="48" s="1"/>
  <c r="U61" i="48"/>
  <c r="T61" i="48"/>
  <c r="P61" i="48"/>
  <c r="M61" i="48"/>
  <c r="L61" i="48"/>
  <c r="K61" i="48"/>
  <c r="D61" i="48"/>
  <c r="Z288" i="49"/>
  <c r="Y288" i="49"/>
  <c r="U288" i="49"/>
  <c r="T288" i="49"/>
  <c r="Q288" i="49"/>
  <c r="O288" i="49"/>
  <c r="M288" i="49"/>
  <c r="L288" i="49"/>
  <c r="K288" i="49"/>
  <c r="G288" i="49"/>
  <c r="AA288" i="49" s="1"/>
  <c r="D288" i="49"/>
  <c r="AA66" i="46"/>
  <c r="Z66" i="46"/>
  <c r="Y66" i="46"/>
  <c r="T66" i="46"/>
  <c r="K66" i="46"/>
  <c r="D66" i="46"/>
  <c r="P66" i="46" l="1"/>
  <c r="Q47" i="48"/>
  <c r="X47" i="48" s="1"/>
  <c r="O66" i="46"/>
  <c r="Q66" i="46" s="1"/>
  <c r="Q62" i="48"/>
  <c r="X62" i="48" s="1"/>
  <c r="P289" i="49"/>
  <c r="X289" i="49" s="1"/>
  <c r="P288" i="49"/>
  <c r="X288" i="49" s="1"/>
  <c r="Q54" i="48"/>
  <c r="X54" i="48" s="1"/>
  <c r="Q61" i="48"/>
  <c r="X61" i="48" s="1"/>
  <c r="C634" i="50"/>
  <c r="Z331" i="49"/>
  <c r="Y331" i="49"/>
  <c r="O331" i="49" s="1"/>
  <c r="U331" i="49"/>
  <c r="T331" i="49"/>
  <c r="P331" i="49"/>
  <c r="M331" i="49"/>
  <c r="L331" i="49"/>
  <c r="K331" i="49"/>
  <c r="G331" i="49"/>
  <c r="AA331" i="49" s="1"/>
  <c r="D331" i="49"/>
  <c r="Z330" i="49"/>
  <c r="Y330" i="49"/>
  <c r="O330" i="49" s="1"/>
  <c r="U330" i="49"/>
  <c r="T330" i="49"/>
  <c r="P330" i="49"/>
  <c r="M330" i="49"/>
  <c r="L330" i="49"/>
  <c r="K330" i="49"/>
  <c r="G330" i="49"/>
  <c r="AA330" i="49" s="1"/>
  <c r="D330" i="49"/>
  <c r="Z329" i="49"/>
  <c r="Y329" i="49"/>
  <c r="O329" i="49" s="1"/>
  <c r="U329" i="49"/>
  <c r="T329" i="49"/>
  <c r="P329" i="49"/>
  <c r="M329" i="49"/>
  <c r="L329" i="49"/>
  <c r="K329" i="49"/>
  <c r="G329" i="49"/>
  <c r="AA329" i="49" s="1"/>
  <c r="D329" i="49"/>
  <c r="Z319" i="49"/>
  <c r="Y319" i="49"/>
  <c r="O319" i="49" s="1"/>
  <c r="U319" i="49"/>
  <c r="T319" i="49"/>
  <c r="P319" i="49"/>
  <c r="M319" i="49"/>
  <c r="L319" i="49"/>
  <c r="K319" i="49"/>
  <c r="D319" i="49"/>
  <c r="Z85" i="48"/>
  <c r="Y85" i="48"/>
  <c r="O85" i="48" s="1"/>
  <c r="U85" i="48"/>
  <c r="T85" i="48"/>
  <c r="P85" i="48"/>
  <c r="M85" i="48"/>
  <c r="L85" i="48"/>
  <c r="K85" i="48"/>
  <c r="G85" i="48"/>
  <c r="AA85" i="48" s="1"/>
  <c r="D85" i="48"/>
  <c r="Z84" i="48"/>
  <c r="Y84" i="48"/>
  <c r="O84" i="48" s="1"/>
  <c r="U84" i="48"/>
  <c r="T84" i="48"/>
  <c r="P84" i="48"/>
  <c r="M84" i="48"/>
  <c r="L84" i="48"/>
  <c r="K84" i="48"/>
  <c r="G84" i="48"/>
  <c r="AA84" i="48" s="1"/>
  <c r="D84" i="48"/>
  <c r="Z83" i="48"/>
  <c r="Y83" i="48"/>
  <c r="O83" i="48" s="1"/>
  <c r="U83" i="48"/>
  <c r="T83" i="48"/>
  <c r="P83" i="48"/>
  <c r="M83" i="48"/>
  <c r="L83" i="48"/>
  <c r="K83" i="48"/>
  <c r="G83" i="48"/>
  <c r="AA83" i="48" s="1"/>
  <c r="D83" i="48"/>
  <c r="Z60" i="48"/>
  <c r="Y60" i="48"/>
  <c r="O60" i="48" s="1"/>
  <c r="U60" i="48"/>
  <c r="T60" i="48"/>
  <c r="P60" i="48"/>
  <c r="M60" i="48"/>
  <c r="L60" i="48"/>
  <c r="K60" i="48"/>
  <c r="D60" i="48"/>
  <c r="P81" i="48"/>
  <c r="P39" i="48"/>
  <c r="P53" i="48"/>
  <c r="P82" i="48"/>
  <c r="Z328" i="49"/>
  <c r="Y328" i="49"/>
  <c r="O328" i="49" s="1"/>
  <c r="U328" i="49"/>
  <c r="T328" i="49"/>
  <c r="P328" i="49"/>
  <c r="M328" i="49"/>
  <c r="L328" i="49"/>
  <c r="K328" i="49"/>
  <c r="G328" i="49"/>
  <c r="AA328" i="49" s="1"/>
  <c r="D328" i="49"/>
  <c r="Z315" i="49"/>
  <c r="Y315" i="49"/>
  <c r="O315" i="49" s="1"/>
  <c r="U315" i="49"/>
  <c r="T315" i="49"/>
  <c r="P315" i="49"/>
  <c r="M315" i="49"/>
  <c r="L315" i="49"/>
  <c r="K315" i="49"/>
  <c r="D315" i="49"/>
  <c r="Z304" i="49"/>
  <c r="Y304" i="49"/>
  <c r="O304" i="49" s="1"/>
  <c r="U304" i="49"/>
  <c r="T304" i="49"/>
  <c r="P304" i="49"/>
  <c r="M304" i="49"/>
  <c r="L304" i="49"/>
  <c r="K304" i="49"/>
  <c r="G304" i="49"/>
  <c r="AA304" i="49" s="1"/>
  <c r="D304" i="49"/>
  <c r="Z327" i="49"/>
  <c r="Y327" i="49"/>
  <c r="O327" i="49" s="1"/>
  <c r="U327" i="49"/>
  <c r="T327" i="49"/>
  <c r="P327" i="49"/>
  <c r="M327" i="49"/>
  <c r="L327" i="49"/>
  <c r="K327" i="49"/>
  <c r="G327" i="49"/>
  <c r="AA327" i="49" s="1"/>
  <c r="D327" i="49"/>
  <c r="Z309" i="49"/>
  <c r="Y309" i="49"/>
  <c r="O309" i="49" s="1"/>
  <c r="U309" i="49"/>
  <c r="T309" i="49"/>
  <c r="P309" i="49"/>
  <c r="M309" i="49"/>
  <c r="L309" i="49"/>
  <c r="K309" i="49"/>
  <c r="D309" i="49"/>
  <c r="Z148" i="49"/>
  <c r="Y148" i="49"/>
  <c r="U148" i="49"/>
  <c r="R148" i="49"/>
  <c r="T148" i="49" s="1"/>
  <c r="Q148" i="49"/>
  <c r="O148" i="49"/>
  <c r="M148" i="49"/>
  <c r="L148" i="49"/>
  <c r="K148" i="49"/>
  <c r="G148" i="49"/>
  <c r="D148" i="49"/>
  <c r="D109" i="34"/>
  <c r="G109" i="34"/>
  <c r="AA109" i="34" s="1"/>
  <c r="K109" i="34"/>
  <c r="L109" i="34"/>
  <c r="M109" i="34"/>
  <c r="O109" i="34"/>
  <c r="Q109" i="34"/>
  <c r="R109" i="34"/>
  <c r="T109" i="34" s="1"/>
  <c r="U109" i="34"/>
  <c r="Y109" i="34"/>
  <c r="Z109" i="34"/>
  <c r="Z19" i="48"/>
  <c r="Y19" i="48"/>
  <c r="O19" i="48" s="1"/>
  <c r="U19" i="48"/>
  <c r="T19" i="48"/>
  <c r="M19" i="48"/>
  <c r="L19" i="48"/>
  <c r="K19" i="48"/>
  <c r="G19" i="48"/>
  <c r="AA19" i="48" s="1"/>
  <c r="D19" i="48"/>
  <c r="Z82" i="48"/>
  <c r="Y82" i="48"/>
  <c r="O82" i="48" s="1"/>
  <c r="U82" i="48"/>
  <c r="T82" i="48"/>
  <c r="M82" i="48"/>
  <c r="L82" i="48"/>
  <c r="K82" i="48"/>
  <c r="G82" i="48"/>
  <c r="AA82" i="48" s="1"/>
  <c r="D82" i="48"/>
  <c r="Z39" i="48"/>
  <c r="Y39" i="48"/>
  <c r="O39" i="48" s="1"/>
  <c r="U39" i="48"/>
  <c r="T39" i="48"/>
  <c r="M39" i="48"/>
  <c r="L39" i="48"/>
  <c r="K39" i="48"/>
  <c r="G39" i="48"/>
  <c r="AA39" i="48" s="1"/>
  <c r="D39" i="48"/>
  <c r="X66" i="46" l="1"/>
  <c r="P19" i="48"/>
  <c r="Q329" i="49"/>
  <c r="X329" i="49" s="1"/>
  <c r="Q331" i="49"/>
  <c r="X331" i="49" s="1"/>
  <c r="Q319" i="49"/>
  <c r="X319" i="49" s="1"/>
  <c r="Q330" i="49"/>
  <c r="X330" i="49" s="1"/>
  <c r="Q315" i="49"/>
  <c r="X315" i="49" s="1"/>
  <c r="Q85" i="48"/>
  <c r="X85" i="48" s="1"/>
  <c r="Q309" i="49"/>
  <c r="X309" i="49" s="1"/>
  <c r="Q304" i="49"/>
  <c r="X304" i="49" s="1"/>
  <c r="Q60" i="48"/>
  <c r="X60" i="48" s="1"/>
  <c r="Q328" i="49"/>
  <c r="X328" i="49" s="1"/>
  <c r="Q84" i="48"/>
  <c r="X84" i="48" s="1"/>
  <c r="Q83" i="48"/>
  <c r="X83" i="48" s="1"/>
  <c r="Q327" i="49"/>
  <c r="X327" i="49" s="1"/>
  <c r="P109" i="34"/>
  <c r="X109" i="34" s="1"/>
  <c r="P148" i="49"/>
  <c r="X148" i="49" s="1"/>
  <c r="Q82" i="48"/>
  <c r="X82" i="48" s="1"/>
  <c r="Q19" i="48"/>
  <c r="Q39" i="48"/>
  <c r="X39" i="48" s="1"/>
  <c r="X19" i="48" l="1"/>
  <c r="H31" i="48"/>
  <c r="G31" i="48"/>
  <c r="Z81" i="48"/>
  <c r="Y81" i="48"/>
  <c r="O81" i="48" s="1"/>
  <c r="U81" i="48"/>
  <c r="T81" i="48"/>
  <c r="M81" i="48"/>
  <c r="L81" i="48"/>
  <c r="K81" i="48"/>
  <c r="G81" i="48"/>
  <c r="AA81" i="48" s="1"/>
  <c r="D81" i="48"/>
  <c r="Z53" i="48"/>
  <c r="Y53" i="48"/>
  <c r="O53" i="48" s="1"/>
  <c r="U53" i="48"/>
  <c r="T53" i="48"/>
  <c r="M53" i="48"/>
  <c r="L53" i="48"/>
  <c r="K53" i="48"/>
  <c r="D53" i="48"/>
  <c r="Z46" i="48"/>
  <c r="Y46" i="48"/>
  <c r="O46" i="48" s="1"/>
  <c r="U46" i="48"/>
  <c r="T46" i="48"/>
  <c r="P46" i="48"/>
  <c r="M46" i="48"/>
  <c r="L46" i="48"/>
  <c r="K46" i="48"/>
  <c r="D46" i="48"/>
  <c r="P38" i="48"/>
  <c r="AA78" i="46"/>
  <c r="Z78" i="46"/>
  <c r="Y78" i="46"/>
  <c r="O78" i="46" s="1"/>
  <c r="T78" i="46"/>
  <c r="M78" i="46"/>
  <c r="L78" i="46"/>
  <c r="K78" i="46"/>
  <c r="D78" i="46"/>
  <c r="Q78" i="46" l="1"/>
  <c r="X78" i="46" s="1"/>
  <c r="Q46" i="48"/>
  <c r="X46" i="48" s="1"/>
  <c r="Q53" i="48"/>
  <c r="X53" i="48" s="1"/>
  <c r="Q81" i="48"/>
  <c r="X81" i="48" s="1"/>
  <c r="Z318" i="49"/>
  <c r="Y318" i="49"/>
  <c r="O318" i="49" s="1"/>
  <c r="U318" i="49"/>
  <c r="T318" i="49"/>
  <c r="P318" i="49"/>
  <c r="M318" i="49"/>
  <c r="L318" i="49"/>
  <c r="K318" i="49"/>
  <c r="D318" i="49"/>
  <c r="Z303" i="49"/>
  <c r="Y303" i="49"/>
  <c r="O303" i="49" s="1"/>
  <c r="U303" i="49"/>
  <c r="T303" i="49"/>
  <c r="P303" i="49"/>
  <c r="M303" i="49"/>
  <c r="L303" i="49"/>
  <c r="K303" i="49"/>
  <c r="G303" i="49"/>
  <c r="AA303" i="49" s="1"/>
  <c r="D303" i="49"/>
  <c r="Z38" i="48"/>
  <c r="Y38" i="48"/>
  <c r="O38" i="48" s="1"/>
  <c r="U38" i="48"/>
  <c r="T38" i="48"/>
  <c r="M38" i="48"/>
  <c r="L38" i="48"/>
  <c r="K38" i="48"/>
  <c r="G38" i="48"/>
  <c r="AA38" i="48" s="1"/>
  <c r="D38" i="48"/>
  <c r="Q303" i="49" l="1"/>
  <c r="X303" i="49" s="1"/>
  <c r="Q318" i="49"/>
  <c r="X318" i="49" s="1"/>
  <c r="Q38" i="48"/>
  <c r="X38" i="48" s="1"/>
  <c r="Z270" i="49" l="1"/>
  <c r="Y270" i="49"/>
  <c r="U270" i="49"/>
  <c r="T270" i="49"/>
  <c r="Q270" i="49"/>
  <c r="O270" i="49"/>
  <c r="K270" i="49"/>
  <c r="G270" i="49"/>
  <c r="D270" i="49"/>
  <c r="D46" i="45"/>
  <c r="G46" i="45"/>
  <c r="AA46" i="45" s="1"/>
  <c r="K46" i="45"/>
  <c r="O46" i="45"/>
  <c r="Q46" i="45"/>
  <c r="T46" i="45"/>
  <c r="U46" i="45"/>
  <c r="Y46" i="45"/>
  <c r="Z46" i="45"/>
  <c r="Z287" i="49"/>
  <c r="Y287" i="49"/>
  <c r="U287" i="49"/>
  <c r="T287" i="49"/>
  <c r="Q287" i="49"/>
  <c r="O287" i="49"/>
  <c r="K287" i="49"/>
  <c r="G287" i="49"/>
  <c r="AA287" i="49" s="1"/>
  <c r="D287" i="49"/>
  <c r="B598" i="50"/>
  <c r="B603" i="50"/>
  <c r="C601" i="50"/>
  <c r="B583" i="50"/>
  <c r="B590" i="50"/>
  <c r="C590" i="50"/>
  <c r="C583" i="50"/>
  <c r="C581" i="50"/>
  <c r="C576" i="50"/>
  <c r="B576" i="50"/>
  <c r="B573" i="50"/>
  <c r="C563" i="50"/>
  <c r="B563" i="50"/>
  <c r="C561" i="50"/>
  <c r="B561" i="50"/>
  <c r="B530" i="50"/>
  <c r="G2" i="50"/>
  <c r="G3" i="50" s="1"/>
  <c r="G4" i="50" s="1"/>
  <c r="G5" i="50" s="1"/>
  <c r="G6" i="50" s="1"/>
  <c r="G7" i="50" s="1"/>
  <c r="G8" i="50" s="1"/>
  <c r="G9" i="50" s="1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24" i="50" s="1"/>
  <c r="G25" i="50" s="1"/>
  <c r="G26" i="50" s="1"/>
  <c r="G27" i="50" s="1"/>
  <c r="G28" i="50" s="1"/>
  <c r="G29" i="50" s="1"/>
  <c r="G30" i="50" s="1"/>
  <c r="G31" i="50" s="1"/>
  <c r="G32" i="50" s="1"/>
  <c r="G33" i="50" s="1"/>
  <c r="G34" i="50" s="1"/>
  <c r="G35" i="50" s="1"/>
  <c r="G36" i="50" s="1"/>
  <c r="G37" i="50" s="1"/>
  <c r="G38" i="50" s="1"/>
  <c r="G39" i="50" s="1"/>
  <c r="G40" i="50" s="1"/>
  <c r="G41" i="50" s="1"/>
  <c r="G42" i="50" s="1"/>
  <c r="G43" i="50" s="1"/>
  <c r="G44" i="50" s="1"/>
  <c r="G45" i="50" s="1"/>
  <c r="G46" i="50" s="1"/>
  <c r="G47" i="50" s="1"/>
  <c r="G48" i="50" s="1"/>
  <c r="G49" i="50" s="1"/>
  <c r="G50" i="50" s="1"/>
  <c r="G51" i="50" s="1"/>
  <c r="G52" i="50" s="1"/>
  <c r="G53" i="50" s="1"/>
  <c r="G54" i="50" s="1"/>
  <c r="G55" i="50" s="1"/>
  <c r="G56" i="50" s="1"/>
  <c r="G57" i="50" s="1"/>
  <c r="G58" i="50" s="1"/>
  <c r="G59" i="50" s="1"/>
  <c r="G60" i="50" s="1"/>
  <c r="G61" i="50" s="1"/>
  <c r="G62" i="50" s="1"/>
  <c r="G63" i="50" s="1"/>
  <c r="G64" i="50" s="1"/>
  <c r="G65" i="50" s="1"/>
  <c r="G66" i="50" s="1"/>
  <c r="G67" i="50" s="1"/>
  <c r="G68" i="50" s="1"/>
  <c r="G69" i="50" s="1"/>
  <c r="G70" i="50" s="1"/>
  <c r="G71" i="50" s="1"/>
  <c r="G72" i="50" s="1"/>
  <c r="G73" i="50" s="1"/>
  <c r="G74" i="50" s="1"/>
  <c r="G75" i="50" s="1"/>
  <c r="G76" i="50" s="1"/>
  <c r="G77" i="50" s="1"/>
  <c r="G78" i="50" s="1"/>
  <c r="G79" i="50" s="1"/>
  <c r="G80" i="50" s="1"/>
  <c r="G81" i="50" s="1"/>
  <c r="G82" i="50" s="1"/>
  <c r="G83" i="50" s="1"/>
  <c r="G84" i="50" s="1"/>
  <c r="G85" i="50" s="1"/>
  <c r="G86" i="50" s="1"/>
  <c r="G87" i="50" s="1"/>
  <c r="G88" i="50" s="1"/>
  <c r="G89" i="50" s="1"/>
  <c r="G90" i="50" s="1"/>
  <c r="G91" i="50" s="1"/>
  <c r="G92" i="50" s="1"/>
  <c r="G93" i="50" s="1"/>
  <c r="G94" i="50" s="1"/>
  <c r="G95" i="50" s="1"/>
  <c r="G96" i="50" s="1"/>
  <c r="G97" i="50" s="1"/>
  <c r="G98" i="50" s="1"/>
  <c r="G99" i="50" s="1"/>
  <c r="G100" i="50" s="1"/>
  <c r="G101" i="50" s="1"/>
  <c r="G102" i="50" s="1"/>
  <c r="G103" i="50" s="1"/>
  <c r="G104" i="50" s="1"/>
  <c r="G105" i="50" s="1"/>
  <c r="G106" i="50" s="1"/>
  <c r="G107" i="50" s="1"/>
  <c r="G108" i="50" s="1"/>
  <c r="G109" i="50" s="1"/>
  <c r="G110" i="50" s="1"/>
  <c r="G111" i="50" s="1"/>
  <c r="G112" i="50" s="1"/>
  <c r="G113" i="50" s="1"/>
  <c r="G114" i="50" s="1"/>
  <c r="G115" i="50" s="1"/>
  <c r="G116" i="50" s="1"/>
  <c r="G117" i="50" s="1"/>
  <c r="G118" i="50" s="1"/>
  <c r="G119" i="50" s="1"/>
  <c r="G120" i="50" s="1"/>
  <c r="G121" i="50" s="1"/>
  <c r="G122" i="50" s="1"/>
  <c r="G123" i="50" s="1"/>
  <c r="G124" i="50" s="1"/>
  <c r="G125" i="50" s="1"/>
  <c r="G126" i="50" s="1"/>
  <c r="G127" i="50" s="1"/>
  <c r="G128" i="50" s="1"/>
  <c r="G129" i="50" s="1"/>
  <c r="G130" i="50" s="1"/>
  <c r="G131" i="50" s="1"/>
  <c r="G132" i="50" s="1"/>
  <c r="G133" i="50" s="1"/>
  <c r="G134" i="50" s="1"/>
  <c r="G135" i="50" s="1"/>
  <c r="G136" i="50" s="1"/>
  <c r="G137" i="50" s="1"/>
  <c r="G138" i="50" s="1"/>
  <c r="G139" i="50" s="1"/>
  <c r="G140" i="50" s="1"/>
  <c r="G141" i="50" s="1"/>
  <c r="G142" i="50" s="1"/>
  <c r="G143" i="50" s="1"/>
  <c r="G144" i="50" s="1"/>
  <c r="G145" i="50" s="1"/>
  <c r="G146" i="50" s="1"/>
  <c r="G147" i="50" s="1"/>
  <c r="G148" i="50" s="1"/>
  <c r="G149" i="50" s="1"/>
  <c r="G150" i="50" s="1"/>
  <c r="G151" i="50" s="1"/>
  <c r="G152" i="50" s="1"/>
  <c r="G153" i="50" s="1"/>
  <c r="G154" i="50" s="1"/>
  <c r="G155" i="50" s="1"/>
  <c r="G156" i="50" s="1"/>
  <c r="G157" i="50" s="1"/>
  <c r="G158" i="50" s="1"/>
  <c r="G159" i="50" s="1"/>
  <c r="G160" i="50" s="1"/>
  <c r="G161" i="50" s="1"/>
  <c r="G162" i="50" s="1"/>
  <c r="G163" i="50" s="1"/>
  <c r="G164" i="50" s="1"/>
  <c r="G165" i="50" s="1"/>
  <c r="G166" i="50" s="1"/>
  <c r="G167" i="50" s="1"/>
  <c r="G168" i="50" s="1"/>
  <c r="G169" i="50" s="1"/>
  <c r="G170" i="50" s="1"/>
  <c r="G171" i="50" s="1"/>
  <c r="G172" i="50" s="1"/>
  <c r="G173" i="50" s="1"/>
  <c r="G174" i="50" s="1"/>
  <c r="G175" i="50" s="1"/>
  <c r="G176" i="50" s="1"/>
  <c r="G177" i="50" s="1"/>
  <c r="G178" i="50" s="1"/>
  <c r="G179" i="50" s="1"/>
  <c r="G180" i="50" s="1"/>
  <c r="G181" i="50" s="1"/>
  <c r="G182" i="50" s="1"/>
  <c r="G183" i="50" s="1"/>
  <c r="G184" i="50" s="1"/>
  <c r="G185" i="50" s="1"/>
  <c r="G186" i="50" s="1"/>
  <c r="G187" i="50" s="1"/>
  <c r="G188" i="50" s="1"/>
  <c r="G189" i="50" s="1"/>
  <c r="G190" i="50" s="1"/>
  <c r="G191" i="50" s="1"/>
  <c r="G192" i="50" s="1"/>
  <c r="G193" i="50" s="1"/>
  <c r="G194" i="50" s="1"/>
  <c r="G195" i="50" s="1"/>
  <c r="G196" i="50" s="1"/>
  <c r="G197" i="50" s="1"/>
  <c r="G198" i="50" s="1"/>
  <c r="G199" i="50" s="1"/>
  <c r="G200" i="50" s="1"/>
  <c r="G201" i="50" s="1"/>
  <c r="G202" i="50" s="1"/>
  <c r="G203" i="50" s="1"/>
  <c r="G204" i="50" s="1"/>
  <c r="G205" i="50" s="1"/>
  <c r="G206" i="50" s="1"/>
  <c r="G207" i="50" s="1"/>
  <c r="G208" i="50" s="1"/>
  <c r="G209" i="50" s="1"/>
  <c r="G210" i="50" s="1"/>
  <c r="G211" i="50" s="1"/>
  <c r="G212" i="50" s="1"/>
  <c r="G213" i="50" s="1"/>
  <c r="G214" i="50" s="1"/>
  <c r="G215" i="50" s="1"/>
  <c r="G216" i="50" s="1"/>
  <c r="G217" i="50" s="1"/>
  <c r="G218" i="50" s="1"/>
  <c r="G219" i="50" s="1"/>
  <c r="G220" i="50" s="1"/>
  <c r="G221" i="50" s="1"/>
  <c r="G222" i="50" s="1"/>
  <c r="G223" i="50" s="1"/>
  <c r="G224" i="50" s="1"/>
  <c r="G225" i="50" s="1"/>
  <c r="G226" i="50" s="1"/>
  <c r="G227" i="50" s="1"/>
  <c r="G228" i="50" s="1"/>
  <c r="G229" i="50" s="1"/>
  <c r="G230" i="50" s="1"/>
  <c r="G231" i="50" s="1"/>
  <c r="G232" i="50" s="1"/>
  <c r="G233" i="50" s="1"/>
  <c r="G234" i="50" s="1"/>
  <c r="G235" i="50" s="1"/>
  <c r="G236" i="50" s="1"/>
  <c r="G237" i="50" s="1"/>
  <c r="G238" i="50" s="1"/>
  <c r="G239" i="50" s="1"/>
  <c r="G240" i="50" s="1"/>
  <c r="G241" i="50" s="1"/>
  <c r="G242" i="50" s="1"/>
  <c r="G243" i="50" s="1"/>
  <c r="G244" i="50" s="1"/>
  <c r="G245" i="50" s="1"/>
  <c r="G246" i="50" s="1"/>
  <c r="G247" i="50" s="1"/>
  <c r="G248" i="50" s="1"/>
  <c r="G249" i="50" s="1"/>
  <c r="G250" i="50" s="1"/>
  <c r="G251" i="50" s="1"/>
  <c r="G252" i="50" s="1"/>
  <c r="G253" i="50" s="1"/>
  <c r="G254" i="50" s="1"/>
  <c r="G255" i="50" s="1"/>
  <c r="G256" i="50" s="1"/>
  <c r="G257" i="50" s="1"/>
  <c r="G258" i="50" s="1"/>
  <c r="G259" i="50" s="1"/>
  <c r="G260" i="50" s="1"/>
  <c r="G261" i="50" s="1"/>
  <c r="G262" i="50" s="1"/>
  <c r="G263" i="50" s="1"/>
  <c r="G264" i="50" s="1"/>
  <c r="G265" i="50" s="1"/>
  <c r="G266" i="50" s="1"/>
  <c r="G267" i="50" s="1"/>
  <c r="G268" i="50" s="1"/>
  <c r="G269" i="50" s="1"/>
  <c r="G270" i="50" s="1"/>
  <c r="G271" i="50" s="1"/>
  <c r="G272" i="50" s="1"/>
  <c r="G273" i="50" s="1"/>
  <c r="G274" i="50" s="1"/>
  <c r="G275" i="50" s="1"/>
  <c r="G276" i="50" s="1"/>
  <c r="G277" i="50" s="1"/>
  <c r="G278" i="50" s="1"/>
  <c r="G279" i="50" s="1"/>
  <c r="G280" i="50" s="1"/>
  <c r="G281" i="50" s="1"/>
  <c r="G282" i="50" s="1"/>
  <c r="G283" i="50" s="1"/>
  <c r="G284" i="50" s="1"/>
  <c r="G285" i="50" s="1"/>
  <c r="G286" i="50" s="1"/>
  <c r="G287" i="50" s="1"/>
  <c r="G288" i="50" s="1"/>
  <c r="G289" i="50" s="1"/>
  <c r="G290" i="50" s="1"/>
  <c r="G291" i="50" s="1"/>
  <c r="G292" i="50" s="1"/>
  <c r="G293" i="50" s="1"/>
  <c r="G294" i="50" s="1"/>
  <c r="G295" i="50" s="1"/>
  <c r="G296" i="50" s="1"/>
  <c r="G297" i="50" s="1"/>
  <c r="G298" i="50" s="1"/>
  <c r="G299" i="50" s="1"/>
  <c r="G300" i="50" s="1"/>
  <c r="G301" i="50" s="1"/>
  <c r="G302" i="50" s="1"/>
  <c r="G303" i="50" s="1"/>
  <c r="G304" i="50" s="1"/>
  <c r="G305" i="50" s="1"/>
  <c r="G306" i="50" s="1"/>
  <c r="G307" i="50" s="1"/>
  <c r="G308" i="50" s="1"/>
  <c r="G309" i="50" s="1"/>
  <c r="G310" i="50" s="1"/>
  <c r="G311" i="50" s="1"/>
  <c r="G312" i="50" s="1"/>
  <c r="G313" i="50" s="1"/>
  <c r="G314" i="50" s="1"/>
  <c r="G315" i="50" s="1"/>
  <c r="G316" i="50" s="1"/>
  <c r="G317" i="50" s="1"/>
  <c r="G318" i="50" s="1"/>
  <c r="G319" i="50" s="1"/>
  <c r="G320" i="50" s="1"/>
  <c r="G321" i="50" s="1"/>
  <c r="G322" i="50" s="1"/>
  <c r="G323" i="50" s="1"/>
  <c r="G324" i="50" s="1"/>
  <c r="G325" i="50" s="1"/>
  <c r="G326" i="50" s="1"/>
  <c r="G327" i="50" s="1"/>
  <c r="G328" i="50" s="1"/>
  <c r="G329" i="50" s="1"/>
  <c r="G330" i="50" s="1"/>
  <c r="G331" i="50" s="1"/>
  <c r="G332" i="50" s="1"/>
  <c r="G333" i="50" s="1"/>
  <c r="G334" i="50" s="1"/>
  <c r="G335" i="50" s="1"/>
  <c r="G336" i="50" s="1"/>
  <c r="G337" i="50" s="1"/>
  <c r="G338" i="50" s="1"/>
  <c r="G339" i="50" s="1"/>
  <c r="G340" i="50" s="1"/>
  <c r="G341" i="50" s="1"/>
  <c r="G342" i="50" s="1"/>
  <c r="G343" i="50" s="1"/>
  <c r="G344" i="50" s="1"/>
  <c r="G345" i="50" s="1"/>
  <c r="G346" i="50" s="1"/>
  <c r="G347" i="50" s="1"/>
  <c r="G348" i="50" s="1"/>
  <c r="G349" i="50" s="1"/>
  <c r="G350" i="50" s="1"/>
  <c r="G351" i="50" s="1"/>
  <c r="G352" i="50" s="1"/>
  <c r="G353" i="50" s="1"/>
  <c r="G354" i="50" s="1"/>
  <c r="G355" i="50" s="1"/>
  <c r="G356" i="50" s="1"/>
  <c r="G357" i="50" s="1"/>
  <c r="G358" i="50" s="1"/>
  <c r="G359" i="50" s="1"/>
  <c r="G360" i="50" s="1"/>
  <c r="G361" i="50" s="1"/>
  <c r="G362" i="50" s="1"/>
  <c r="G363" i="50" s="1"/>
  <c r="G364" i="50" s="1"/>
  <c r="G365" i="50" s="1"/>
  <c r="G366" i="50" s="1"/>
  <c r="G367" i="50" s="1"/>
  <c r="G368" i="50" s="1"/>
  <c r="G369" i="50" s="1"/>
  <c r="G370" i="50" s="1"/>
  <c r="G371" i="50" s="1"/>
  <c r="G372" i="50" s="1"/>
  <c r="G373" i="50" s="1"/>
  <c r="G374" i="50" s="1"/>
  <c r="G375" i="50" s="1"/>
  <c r="G376" i="50" s="1"/>
  <c r="G377" i="50" s="1"/>
  <c r="G378" i="50" s="1"/>
  <c r="G379" i="50" s="1"/>
  <c r="G380" i="50" s="1"/>
  <c r="G381" i="50" s="1"/>
  <c r="G382" i="50" s="1"/>
  <c r="G383" i="50" s="1"/>
  <c r="G384" i="50" s="1"/>
  <c r="G385" i="50" s="1"/>
  <c r="G386" i="50" s="1"/>
  <c r="G387" i="50" s="1"/>
  <c r="G388" i="50" s="1"/>
  <c r="G389" i="50" s="1"/>
  <c r="G390" i="50" s="1"/>
  <c r="G391" i="50" s="1"/>
  <c r="G392" i="50" s="1"/>
  <c r="G393" i="50" s="1"/>
  <c r="G394" i="50" s="1"/>
  <c r="G395" i="50" s="1"/>
  <c r="G396" i="50" s="1"/>
  <c r="G397" i="50" s="1"/>
  <c r="G398" i="50" s="1"/>
  <c r="G399" i="50" s="1"/>
  <c r="G400" i="50" s="1"/>
  <c r="G401" i="50" s="1"/>
  <c r="G402" i="50" s="1"/>
  <c r="G403" i="50" s="1"/>
  <c r="G404" i="50" s="1"/>
  <c r="G405" i="50" s="1"/>
  <c r="G406" i="50" s="1"/>
  <c r="G407" i="50" s="1"/>
  <c r="G408" i="50" s="1"/>
  <c r="G409" i="50" s="1"/>
  <c r="G410" i="50" s="1"/>
  <c r="G411" i="50" s="1"/>
  <c r="G412" i="50" s="1"/>
  <c r="G413" i="50" s="1"/>
  <c r="G414" i="50" s="1"/>
  <c r="G415" i="50" s="1"/>
  <c r="G416" i="50" s="1"/>
  <c r="G417" i="50" s="1"/>
  <c r="G418" i="50" s="1"/>
  <c r="G419" i="50" s="1"/>
  <c r="G420" i="50" s="1"/>
  <c r="G421" i="50" s="1"/>
  <c r="G422" i="50" s="1"/>
  <c r="G423" i="50" s="1"/>
  <c r="G424" i="50" s="1"/>
  <c r="G425" i="50" s="1"/>
  <c r="G426" i="50" s="1"/>
  <c r="G427" i="50" s="1"/>
  <c r="G428" i="50" s="1"/>
  <c r="G429" i="50" s="1"/>
  <c r="G430" i="50" s="1"/>
  <c r="G431" i="50" s="1"/>
  <c r="G432" i="50" s="1"/>
  <c r="G433" i="50" s="1"/>
  <c r="G434" i="50" s="1"/>
  <c r="G435" i="50" s="1"/>
  <c r="G436" i="50" s="1"/>
  <c r="G437" i="50" s="1"/>
  <c r="G438" i="50" s="1"/>
  <c r="G439" i="50" s="1"/>
  <c r="G440" i="50" s="1"/>
  <c r="G441" i="50" s="1"/>
  <c r="G442" i="50" s="1"/>
  <c r="G443" i="50" s="1"/>
  <c r="G444" i="50" s="1"/>
  <c r="G445" i="50" s="1"/>
  <c r="G446" i="50" s="1"/>
  <c r="G447" i="50" s="1"/>
  <c r="G448" i="50" s="1"/>
  <c r="G449" i="50" s="1"/>
  <c r="G450" i="50" s="1"/>
  <c r="G451" i="50" s="1"/>
  <c r="G452" i="50" s="1"/>
  <c r="G453" i="50" s="1"/>
  <c r="G454" i="50" s="1"/>
  <c r="G455" i="50" s="1"/>
  <c r="G456" i="50" s="1"/>
  <c r="G457" i="50" s="1"/>
  <c r="G458" i="50" s="1"/>
  <c r="G459" i="50" s="1"/>
  <c r="G460" i="50" s="1"/>
  <c r="G461" i="50" s="1"/>
  <c r="G462" i="50" s="1"/>
  <c r="G463" i="50" s="1"/>
  <c r="G464" i="50" s="1"/>
  <c r="G465" i="50" s="1"/>
  <c r="G466" i="50" s="1"/>
  <c r="G467" i="50" s="1"/>
  <c r="G468" i="50" s="1"/>
  <c r="G469" i="50" s="1"/>
  <c r="G470" i="50" s="1"/>
  <c r="G471" i="50" s="1"/>
  <c r="G472" i="50" s="1"/>
  <c r="G473" i="50" s="1"/>
  <c r="G474" i="50" s="1"/>
  <c r="G475" i="50" s="1"/>
  <c r="G476" i="50" s="1"/>
  <c r="G477" i="50" s="1"/>
  <c r="G478" i="50" s="1"/>
  <c r="G479" i="50" s="1"/>
  <c r="G480" i="50" s="1"/>
  <c r="G481" i="50" s="1"/>
  <c r="G482" i="50" s="1"/>
  <c r="G483" i="50" s="1"/>
  <c r="G484" i="50" s="1"/>
  <c r="G485" i="50" s="1"/>
  <c r="G486" i="50" s="1"/>
  <c r="G487" i="50" s="1"/>
  <c r="G488" i="50" s="1"/>
  <c r="G489" i="50" s="1"/>
  <c r="G490" i="50" s="1"/>
  <c r="G491" i="50" s="1"/>
  <c r="G492" i="50" s="1"/>
  <c r="G493" i="50" s="1"/>
  <c r="G494" i="50" s="1"/>
  <c r="G495" i="50" s="1"/>
  <c r="G496" i="50" s="1"/>
  <c r="G497" i="50" s="1"/>
  <c r="G498" i="50" s="1"/>
  <c r="G499" i="50" s="1"/>
  <c r="G500" i="50" s="1"/>
  <c r="G501" i="50" s="1"/>
  <c r="G502" i="50" s="1"/>
  <c r="G503" i="50" s="1"/>
  <c r="G504" i="50" s="1"/>
  <c r="G505" i="50" s="1"/>
  <c r="G506" i="50" s="1"/>
  <c r="G507" i="50" s="1"/>
  <c r="G508" i="50" s="1"/>
  <c r="G509" i="50" s="1"/>
  <c r="G510" i="50" s="1"/>
  <c r="G511" i="50" s="1"/>
  <c r="G512" i="50" s="1"/>
  <c r="G513" i="50" s="1"/>
  <c r="G514" i="50" s="1"/>
  <c r="G515" i="50" s="1"/>
  <c r="G516" i="50" s="1"/>
  <c r="G517" i="50" s="1"/>
  <c r="G518" i="50" s="1"/>
  <c r="G519" i="50" s="1"/>
  <c r="G520" i="50" s="1"/>
  <c r="G521" i="50" s="1"/>
  <c r="G522" i="50" s="1"/>
  <c r="G523" i="50" s="1"/>
  <c r="G524" i="50" s="1"/>
  <c r="G525" i="50" s="1"/>
  <c r="G526" i="50" s="1"/>
  <c r="G527" i="50" s="1"/>
  <c r="G528" i="50" s="1"/>
  <c r="G529" i="50" s="1"/>
  <c r="G530" i="50" s="1"/>
  <c r="G531" i="50" s="1"/>
  <c r="G532" i="50" s="1"/>
  <c r="G533" i="50" s="1"/>
  <c r="D2" i="50"/>
  <c r="D3" i="50" s="1"/>
  <c r="C343" i="50"/>
  <c r="C342" i="50"/>
  <c r="C341" i="50"/>
  <c r="C340" i="50"/>
  <c r="C339" i="50"/>
  <c r="C338" i="50"/>
  <c r="C325" i="50"/>
  <c r="C275" i="50"/>
  <c r="C157" i="50"/>
  <c r="Z117" i="46"/>
  <c r="Y117" i="46"/>
  <c r="O117" i="46" s="1"/>
  <c r="T117" i="46"/>
  <c r="AA117" i="46"/>
  <c r="D117" i="46"/>
  <c r="Z116" i="46"/>
  <c r="Y116" i="46"/>
  <c r="O116" i="46" s="1"/>
  <c r="D116" i="46"/>
  <c r="Z115" i="46"/>
  <c r="Y115" i="46"/>
  <c r="O115" i="46" s="1"/>
  <c r="G115" i="46"/>
  <c r="AA115" i="46" s="1"/>
  <c r="D115" i="46"/>
  <c r="Z114" i="46"/>
  <c r="Y114" i="46"/>
  <c r="O114" i="46" s="1"/>
  <c r="K114" i="46"/>
  <c r="G114" i="46"/>
  <c r="H114" i="46" s="1"/>
  <c r="D114" i="46"/>
  <c r="Z113" i="46"/>
  <c r="Y113" i="46"/>
  <c r="T113" i="46"/>
  <c r="Q113" i="46"/>
  <c r="O113" i="46"/>
  <c r="K113" i="46"/>
  <c r="G113" i="46"/>
  <c r="AA113" i="46" s="1"/>
  <c r="D113" i="46"/>
  <c r="Z86" i="46"/>
  <c r="Y86" i="46"/>
  <c r="O86" i="46" s="1"/>
  <c r="T86" i="46"/>
  <c r="K86" i="46"/>
  <c r="G86" i="46"/>
  <c r="AA86" i="46" s="1"/>
  <c r="D86" i="46"/>
  <c r="Z82" i="46"/>
  <c r="Y82" i="46"/>
  <c r="O82" i="46" s="1"/>
  <c r="T82" i="46"/>
  <c r="M82" i="46"/>
  <c r="L82" i="46"/>
  <c r="K82" i="46"/>
  <c r="G82" i="46"/>
  <c r="AA82" i="46" s="1"/>
  <c r="D82" i="46"/>
  <c r="Z87" i="46"/>
  <c r="Y87" i="46"/>
  <c r="O87" i="46" s="1"/>
  <c r="T87" i="46"/>
  <c r="M87" i="46"/>
  <c r="L87" i="46"/>
  <c r="K87" i="46"/>
  <c r="G87" i="46"/>
  <c r="AA87" i="46" s="1"/>
  <c r="D87" i="46"/>
  <c r="Z286" i="49"/>
  <c r="Y286" i="49"/>
  <c r="U286" i="49"/>
  <c r="T286" i="49"/>
  <c r="Q286" i="49"/>
  <c r="O286" i="49"/>
  <c r="K286" i="49"/>
  <c r="G286" i="49"/>
  <c r="AA286" i="49" s="1"/>
  <c r="D286" i="49"/>
  <c r="P86" i="46" l="1"/>
  <c r="P113" i="46"/>
  <c r="X113" i="46" s="1"/>
  <c r="T115" i="46"/>
  <c r="Q115" i="46" s="1"/>
  <c r="P114" i="46"/>
  <c r="R135" i="46"/>
  <c r="P270" i="49"/>
  <c r="X270" i="49" s="1"/>
  <c r="P46" i="45"/>
  <c r="X46" i="45" s="1"/>
  <c r="P287" i="49"/>
  <c r="X287" i="49" s="1"/>
  <c r="G534" i="50"/>
  <c r="G535" i="50" s="1"/>
  <c r="G536" i="50" s="1"/>
  <c r="G537" i="50" s="1"/>
  <c r="G538" i="50" s="1"/>
  <c r="G539" i="50" s="1"/>
  <c r="G540" i="50" s="1"/>
  <c r="G541" i="50" s="1"/>
  <c r="G542" i="50" s="1"/>
  <c r="G543" i="50" s="1"/>
  <c r="G544" i="50" s="1"/>
  <c r="G545" i="50" s="1"/>
  <c r="G546" i="50" s="1"/>
  <c r="G547" i="50" s="1"/>
  <c r="G548" i="50" s="1"/>
  <c r="G549" i="50" s="1"/>
  <c r="G550" i="50" s="1"/>
  <c r="G551" i="50" s="1"/>
  <c r="G552" i="50" s="1"/>
  <c r="G553" i="50" s="1"/>
  <c r="G554" i="50" s="1"/>
  <c r="G555" i="50" s="1"/>
  <c r="G556" i="50" s="1"/>
  <c r="G557" i="50" s="1"/>
  <c r="G558" i="50" s="1"/>
  <c r="G559" i="50" s="1"/>
  <c r="G560" i="50" s="1"/>
  <c r="G561" i="50" s="1"/>
  <c r="G562" i="50" s="1"/>
  <c r="G563" i="50" s="1"/>
  <c r="G564" i="50" s="1"/>
  <c r="L2" i="50"/>
  <c r="L3" i="50" s="1"/>
  <c r="L4" i="50" s="1"/>
  <c r="L5" i="50" s="1"/>
  <c r="L6" i="50" s="1"/>
  <c r="L7" i="50" s="1"/>
  <c r="L8" i="50" s="1"/>
  <c r="L9" i="50" s="1"/>
  <c r="L10" i="50" s="1"/>
  <c r="L11" i="50" s="1"/>
  <c r="L12" i="50" s="1"/>
  <c r="L13" i="50" s="1"/>
  <c r="L14" i="50" s="1"/>
  <c r="L15" i="50" s="1"/>
  <c r="L16" i="50" s="1"/>
  <c r="L17" i="50" s="1"/>
  <c r="L18" i="50" s="1"/>
  <c r="L19" i="50" s="1"/>
  <c r="L20" i="50" s="1"/>
  <c r="L21" i="50" s="1"/>
  <c r="L22" i="50" s="1"/>
  <c r="L23" i="50" s="1"/>
  <c r="L24" i="50" s="1"/>
  <c r="L25" i="50" s="1"/>
  <c r="L26" i="50" s="1"/>
  <c r="L27" i="50" s="1"/>
  <c r="L28" i="50" s="1"/>
  <c r="L29" i="50" s="1"/>
  <c r="L30" i="50" s="1"/>
  <c r="L31" i="50" s="1"/>
  <c r="L32" i="50" s="1"/>
  <c r="L33" i="50" s="1"/>
  <c r="L34" i="50" s="1"/>
  <c r="L35" i="50" s="1"/>
  <c r="L36" i="50" s="1"/>
  <c r="L37" i="50" s="1"/>
  <c r="L38" i="50" s="1"/>
  <c r="L39" i="50" s="1"/>
  <c r="L40" i="50" s="1"/>
  <c r="L41" i="50" s="1"/>
  <c r="L42" i="50" s="1"/>
  <c r="L43" i="50" s="1"/>
  <c r="L44" i="50" s="1"/>
  <c r="L45" i="50" s="1"/>
  <c r="L46" i="50" s="1"/>
  <c r="L47" i="50" s="1"/>
  <c r="L48" i="50" s="1"/>
  <c r="L49" i="50" s="1"/>
  <c r="L50" i="50" s="1"/>
  <c r="L51" i="50" s="1"/>
  <c r="L52" i="50" s="1"/>
  <c r="L53" i="50" s="1"/>
  <c r="L54" i="50" s="1"/>
  <c r="L55" i="50" s="1"/>
  <c r="L56" i="50" s="1"/>
  <c r="L57" i="50" s="1"/>
  <c r="L58" i="50" s="1"/>
  <c r="L59" i="50" s="1"/>
  <c r="L60" i="50" s="1"/>
  <c r="L61" i="50" s="1"/>
  <c r="L62" i="50" s="1"/>
  <c r="L63" i="50" s="1"/>
  <c r="L64" i="50" s="1"/>
  <c r="L65" i="50" s="1"/>
  <c r="L66" i="50" s="1"/>
  <c r="L67" i="50" s="1"/>
  <c r="L68" i="50" s="1"/>
  <c r="L69" i="50" s="1"/>
  <c r="L70" i="50" s="1"/>
  <c r="L71" i="50" s="1"/>
  <c r="L72" i="50" s="1"/>
  <c r="L73" i="50" s="1"/>
  <c r="L74" i="50" s="1"/>
  <c r="L75" i="50" s="1"/>
  <c r="L76" i="50" s="1"/>
  <c r="L77" i="50" s="1"/>
  <c r="L78" i="50" s="1"/>
  <c r="L79" i="50" s="1"/>
  <c r="L80" i="50" s="1"/>
  <c r="L81" i="50" s="1"/>
  <c r="L82" i="50" s="1"/>
  <c r="L83" i="50" s="1"/>
  <c r="L84" i="50" s="1"/>
  <c r="L85" i="50" s="1"/>
  <c r="L86" i="50" s="1"/>
  <c r="L87" i="50" s="1"/>
  <c r="L88" i="50" s="1"/>
  <c r="L89" i="50" s="1"/>
  <c r="L90" i="50" s="1"/>
  <c r="L91" i="50" s="1"/>
  <c r="L92" i="50" s="1"/>
  <c r="L93" i="50" s="1"/>
  <c r="L94" i="50" s="1"/>
  <c r="L95" i="50" s="1"/>
  <c r="L96" i="50" s="1"/>
  <c r="L97" i="50" s="1"/>
  <c r="L98" i="50" s="1"/>
  <c r="L99" i="50" s="1"/>
  <c r="L100" i="50" s="1"/>
  <c r="L101" i="50" s="1"/>
  <c r="L102" i="50" s="1"/>
  <c r="L103" i="50" s="1"/>
  <c r="L104" i="50" s="1"/>
  <c r="L105" i="50" s="1"/>
  <c r="L106" i="50" s="1"/>
  <c r="L107" i="50" s="1"/>
  <c r="L108" i="50" s="1"/>
  <c r="L109" i="50" s="1"/>
  <c r="L110" i="50" s="1"/>
  <c r="L111" i="50" s="1"/>
  <c r="L112" i="50" s="1"/>
  <c r="L113" i="50" s="1"/>
  <c r="L114" i="50" s="1"/>
  <c r="L115" i="50" s="1"/>
  <c r="L116" i="50" s="1"/>
  <c r="L117" i="50" s="1"/>
  <c r="L118" i="50" s="1"/>
  <c r="L119" i="50" s="1"/>
  <c r="L120" i="50" s="1"/>
  <c r="L121" i="50" s="1"/>
  <c r="L122" i="50" s="1"/>
  <c r="L123" i="50" s="1"/>
  <c r="L124" i="50" s="1"/>
  <c r="L125" i="50" s="1"/>
  <c r="L126" i="50" s="1"/>
  <c r="L127" i="50" s="1"/>
  <c r="L128" i="50" s="1"/>
  <c r="L129" i="50" s="1"/>
  <c r="L130" i="50" s="1"/>
  <c r="L131" i="50" s="1"/>
  <c r="L132" i="50" s="1"/>
  <c r="L133" i="50" s="1"/>
  <c r="L134" i="50" s="1"/>
  <c r="L135" i="50" s="1"/>
  <c r="L136" i="50" s="1"/>
  <c r="L137" i="50" s="1"/>
  <c r="L138" i="50" s="1"/>
  <c r="L139" i="50" s="1"/>
  <c r="L140" i="50" s="1"/>
  <c r="L141" i="50" s="1"/>
  <c r="L142" i="50" s="1"/>
  <c r="L143" i="50" s="1"/>
  <c r="L144" i="50" s="1"/>
  <c r="L145" i="50" s="1"/>
  <c r="L146" i="50" s="1"/>
  <c r="L147" i="50" s="1"/>
  <c r="L148" i="50" s="1"/>
  <c r="L149" i="50" s="1"/>
  <c r="L150" i="50" s="1"/>
  <c r="L151" i="50" s="1"/>
  <c r="L152" i="50" s="1"/>
  <c r="L153" i="50" s="1"/>
  <c r="L154" i="50" s="1"/>
  <c r="L155" i="50" s="1"/>
  <c r="L156" i="50" s="1"/>
  <c r="L157" i="50" s="1"/>
  <c r="L158" i="50" s="1"/>
  <c r="L159" i="50" s="1"/>
  <c r="L160" i="50" s="1"/>
  <c r="L161" i="50" s="1"/>
  <c r="L162" i="50" s="1"/>
  <c r="L163" i="50" s="1"/>
  <c r="L164" i="50" s="1"/>
  <c r="L165" i="50" s="1"/>
  <c r="L166" i="50" s="1"/>
  <c r="L167" i="50" s="1"/>
  <c r="L168" i="50" s="1"/>
  <c r="L169" i="50" s="1"/>
  <c r="L170" i="50" s="1"/>
  <c r="L171" i="50" s="1"/>
  <c r="L172" i="50" s="1"/>
  <c r="L173" i="50" s="1"/>
  <c r="L174" i="50" s="1"/>
  <c r="L175" i="50" s="1"/>
  <c r="L176" i="50" s="1"/>
  <c r="L177" i="50" s="1"/>
  <c r="L178" i="50" s="1"/>
  <c r="L179" i="50" s="1"/>
  <c r="L180" i="50" s="1"/>
  <c r="L181" i="50" s="1"/>
  <c r="L182" i="50" s="1"/>
  <c r="L183" i="50" s="1"/>
  <c r="L184" i="50" s="1"/>
  <c r="L185" i="50" s="1"/>
  <c r="L186" i="50" s="1"/>
  <c r="L187" i="50" s="1"/>
  <c r="L188" i="50" s="1"/>
  <c r="L189" i="50" s="1"/>
  <c r="L190" i="50" s="1"/>
  <c r="L191" i="50" s="1"/>
  <c r="L192" i="50" s="1"/>
  <c r="L193" i="50" s="1"/>
  <c r="L194" i="50" s="1"/>
  <c r="L195" i="50" s="1"/>
  <c r="L196" i="50" s="1"/>
  <c r="L197" i="50" s="1"/>
  <c r="L198" i="50" s="1"/>
  <c r="L199" i="50" s="1"/>
  <c r="L200" i="50" s="1"/>
  <c r="L201" i="50" s="1"/>
  <c r="L202" i="50" s="1"/>
  <c r="L203" i="50" s="1"/>
  <c r="L204" i="50" s="1"/>
  <c r="L205" i="50" s="1"/>
  <c r="L206" i="50" s="1"/>
  <c r="L207" i="50" s="1"/>
  <c r="L208" i="50" s="1"/>
  <c r="L209" i="50" s="1"/>
  <c r="L210" i="50" s="1"/>
  <c r="L211" i="50" s="1"/>
  <c r="L212" i="50" s="1"/>
  <c r="L213" i="50" s="1"/>
  <c r="L214" i="50" s="1"/>
  <c r="L215" i="50" s="1"/>
  <c r="L216" i="50" s="1"/>
  <c r="L217" i="50" s="1"/>
  <c r="L218" i="50" s="1"/>
  <c r="L219" i="50" s="1"/>
  <c r="L220" i="50" s="1"/>
  <c r="L221" i="50" s="1"/>
  <c r="L222" i="50" s="1"/>
  <c r="L223" i="50" s="1"/>
  <c r="L224" i="50" s="1"/>
  <c r="L225" i="50" s="1"/>
  <c r="L226" i="50" s="1"/>
  <c r="L227" i="50" s="1"/>
  <c r="L228" i="50" s="1"/>
  <c r="L229" i="50" s="1"/>
  <c r="L230" i="50" s="1"/>
  <c r="L231" i="50" s="1"/>
  <c r="L232" i="50" s="1"/>
  <c r="L233" i="50" s="1"/>
  <c r="L234" i="50" s="1"/>
  <c r="L235" i="50" s="1"/>
  <c r="L236" i="50" s="1"/>
  <c r="L237" i="50" s="1"/>
  <c r="L238" i="50" s="1"/>
  <c r="L239" i="50" s="1"/>
  <c r="L240" i="50" s="1"/>
  <c r="L241" i="50" s="1"/>
  <c r="L242" i="50" s="1"/>
  <c r="L243" i="50" s="1"/>
  <c r="L244" i="50" s="1"/>
  <c r="L245" i="50" s="1"/>
  <c r="L246" i="50" s="1"/>
  <c r="L247" i="50" s="1"/>
  <c r="L248" i="50" s="1"/>
  <c r="L249" i="50" s="1"/>
  <c r="L250" i="50" s="1"/>
  <c r="L251" i="50" s="1"/>
  <c r="L252" i="50" s="1"/>
  <c r="L253" i="50" s="1"/>
  <c r="L254" i="50" s="1"/>
  <c r="L255" i="50" s="1"/>
  <c r="L256" i="50" s="1"/>
  <c r="L257" i="50" s="1"/>
  <c r="L258" i="50" s="1"/>
  <c r="L259" i="50" s="1"/>
  <c r="L260" i="50" s="1"/>
  <c r="L261" i="50" s="1"/>
  <c r="L262" i="50" s="1"/>
  <c r="L263" i="50" s="1"/>
  <c r="L264" i="50" s="1"/>
  <c r="L265" i="50" s="1"/>
  <c r="L266" i="50" s="1"/>
  <c r="L267" i="50" s="1"/>
  <c r="L268" i="50" s="1"/>
  <c r="L269" i="50" s="1"/>
  <c r="L270" i="50" s="1"/>
  <c r="L271" i="50" s="1"/>
  <c r="L272" i="50" s="1"/>
  <c r="L273" i="50" s="1"/>
  <c r="L274" i="50" s="1"/>
  <c r="L275" i="50" s="1"/>
  <c r="L276" i="50" s="1"/>
  <c r="L277" i="50" s="1"/>
  <c r="L278" i="50" s="1"/>
  <c r="L279" i="50" s="1"/>
  <c r="L280" i="50" s="1"/>
  <c r="L281" i="50" s="1"/>
  <c r="L282" i="50" s="1"/>
  <c r="L283" i="50" s="1"/>
  <c r="L284" i="50" s="1"/>
  <c r="L285" i="50" s="1"/>
  <c r="L286" i="50" s="1"/>
  <c r="L287" i="50" s="1"/>
  <c r="L288" i="50" s="1"/>
  <c r="L289" i="50" s="1"/>
  <c r="L290" i="50" s="1"/>
  <c r="L291" i="50" s="1"/>
  <c r="L292" i="50" s="1"/>
  <c r="L293" i="50" s="1"/>
  <c r="L294" i="50" s="1"/>
  <c r="L295" i="50" s="1"/>
  <c r="L296" i="50" s="1"/>
  <c r="L297" i="50" s="1"/>
  <c r="L298" i="50" s="1"/>
  <c r="L299" i="50" s="1"/>
  <c r="L300" i="50" s="1"/>
  <c r="L301" i="50" s="1"/>
  <c r="L302" i="50" s="1"/>
  <c r="L303" i="50" s="1"/>
  <c r="L304" i="50" s="1"/>
  <c r="L305" i="50" s="1"/>
  <c r="L306" i="50" s="1"/>
  <c r="L307" i="50" s="1"/>
  <c r="L308" i="50" s="1"/>
  <c r="L309" i="50" s="1"/>
  <c r="L310" i="50" s="1"/>
  <c r="L311" i="50" s="1"/>
  <c r="L312" i="50" s="1"/>
  <c r="L313" i="50" s="1"/>
  <c r="L314" i="50" s="1"/>
  <c r="L315" i="50" s="1"/>
  <c r="L316" i="50" s="1"/>
  <c r="L317" i="50" s="1"/>
  <c r="L318" i="50" s="1"/>
  <c r="L319" i="50" s="1"/>
  <c r="L320" i="50" s="1"/>
  <c r="L321" i="50" s="1"/>
  <c r="L322" i="50" s="1"/>
  <c r="L323" i="50" s="1"/>
  <c r="L324" i="50" s="1"/>
  <c r="L325" i="50" s="1"/>
  <c r="L326" i="50" s="1"/>
  <c r="L327" i="50" s="1"/>
  <c r="L328" i="50" s="1"/>
  <c r="L329" i="50" s="1"/>
  <c r="L330" i="50" s="1"/>
  <c r="L331" i="50" s="1"/>
  <c r="L332" i="50" s="1"/>
  <c r="L333" i="50" s="1"/>
  <c r="L334" i="50" s="1"/>
  <c r="L335" i="50" s="1"/>
  <c r="L336" i="50" s="1"/>
  <c r="L337" i="50" s="1"/>
  <c r="L338" i="50" s="1"/>
  <c r="L339" i="50" s="1"/>
  <c r="L340" i="50" s="1"/>
  <c r="L341" i="50" s="1"/>
  <c r="L342" i="50" s="1"/>
  <c r="L343" i="50" s="1"/>
  <c r="L344" i="50" s="1"/>
  <c r="L345" i="50" s="1"/>
  <c r="L346" i="50" s="1"/>
  <c r="L347" i="50" s="1"/>
  <c r="L348" i="50" s="1"/>
  <c r="L349" i="50" s="1"/>
  <c r="L350" i="50" s="1"/>
  <c r="L351" i="50" s="1"/>
  <c r="L352" i="50" s="1"/>
  <c r="L353" i="50" s="1"/>
  <c r="L354" i="50" s="1"/>
  <c r="L355" i="50" s="1"/>
  <c r="L356" i="50" s="1"/>
  <c r="L357" i="50" s="1"/>
  <c r="L358" i="50" s="1"/>
  <c r="L359" i="50" s="1"/>
  <c r="L360" i="50" s="1"/>
  <c r="L361" i="50" s="1"/>
  <c r="L362" i="50" s="1"/>
  <c r="L363" i="50" s="1"/>
  <c r="L364" i="50" s="1"/>
  <c r="L365" i="50" s="1"/>
  <c r="L366" i="50" s="1"/>
  <c r="L367" i="50" s="1"/>
  <c r="L368" i="50" s="1"/>
  <c r="L369" i="50" s="1"/>
  <c r="L370" i="50" s="1"/>
  <c r="L371" i="50" s="1"/>
  <c r="L372" i="50" s="1"/>
  <c r="L373" i="50" s="1"/>
  <c r="L374" i="50" s="1"/>
  <c r="L375" i="50" s="1"/>
  <c r="L376" i="50" s="1"/>
  <c r="L377" i="50" s="1"/>
  <c r="L378" i="50" s="1"/>
  <c r="L379" i="50" s="1"/>
  <c r="L380" i="50" s="1"/>
  <c r="L381" i="50" s="1"/>
  <c r="L382" i="50" s="1"/>
  <c r="L383" i="50" s="1"/>
  <c r="L384" i="50" s="1"/>
  <c r="L385" i="50" s="1"/>
  <c r="L386" i="50" s="1"/>
  <c r="L387" i="50" s="1"/>
  <c r="L388" i="50" s="1"/>
  <c r="L389" i="50" s="1"/>
  <c r="L390" i="50" s="1"/>
  <c r="L391" i="50" s="1"/>
  <c r="L392" i="50" s="1"/>
  <c r="L393" i="50" s="1"/>
  <c r="L394" i="50" s="1"/>
  <c r="L395" i="50" s="1"/>
  <c r="L396" i="50" s="1"/>
  <c r="L397" i="50" s="1"/>
  <c r="L398" i="50" s="1"/>
  <c r="L399" i="50" s="1"/>
  <c r="L400" i="50" s="1"/>
  <c r="L401" i="50" s="1"/>
  <c r="L402" i="50" s="1"/>
  <c r="L403" i="50" s="1"/>
  <c r="L404" i="50" s="1"/>
  <c r="L405" i="50" s="1"/>
  <c r="L406" i="50" s="1"/>
  <c r="L407" i="50" s="1"/>
  <c r="L408" i="50" s="1"/>
  <c r="L409" i="50" s="1"/>
  <c r="L410" i="50" s="1"/>
  <c r="L411" i="50" s="1"/>
  <c r="L412" i="50" s="1"/>
  <c r="L413" i="50" s="1"/>
  <c r="L414" i="50" s="1"/>
  <c r="L415" i="50" s="1"/>
  <c r="L416" i="50" s="1"/>
  <c r="L417" i="50" s="1"/>
  <c r="L418" i="50" s="1"/>
  <c r="L419" i="50" s="1"/>
  <c r="L420" i="50" s="1"/>
  <c r="L421" i="50" s="1"/>
  <c r="L422" i="50" s="1"/>
  <c r="L423" i="50" s="1"/>
  <c r="L424" i="50" s="1"/>
  <c r="L425" i="50" s="1"/>
  <c r="L426" i="50" s="1"/>
  <c r="L427" i="50" s="1"/>
  <c r="L428" i="50" s="1"/>
  <c r="L429" i="50" s="1"/>
  <c r="L430" i="50" s="1"/>
  <c r="L431" i="50" s="1"/>
  <c r="L432" i="50" s="1"/>
  <c r="L433" i="50" s="1"/>
  <c r="L434" i="50" s="1"/>
  <c r="L435" i="50" s="1"/>
  <c r="L436" i="50" s="1"/>
  <c r="L437" i="50" s="1"/>
  <c r="L438" i="50" s="1"/>
  <c r="L439" i="50" s="1"/>
  <c r="L440" i="50" s="1"/>
  <c r="L441" i="50" s="1"/>
  <c r="L442" i="50" s="1"/>
  <c r="L443" i="50" s="1"/>
  <c r="L444" i="50" s="1"/>
  <c r="L445" i="50" s="1"/>
  <c r="L446" i="50" s="1"/>
  <c r="L447" i="50" s="1"/>
  <c r="L448" i="50" s="1"/>
  <c r="L449" i="50" s="1"/>
  <c r="L450" i="50" s="1"/>
  <c r="L451" i="50" s="1"/>
  <c r="L452" i="50" s="1"/>
  <c r="L453" i="50" s="1"/>
  <c r="L454" i="50" s="1"/>
  <c r="L455" i="50" s="1"/>
  <c r="L456" i="50" s="1"/>
  <c r="L457" i="50" s="1"/>
  <c r="L458" i="50" s="1"/>
  <c r="L459" i="50" s="1"/>
  <c r="L460" i="50" s="1"/>
  <c r="L461" i="50" s="1"/>
  <c r="L462" i="50" s="1"/>
  <c r="L463" i="50" s="1"/>
  <c r="L464" i="50" s="1"/>
  <c r="L465" i="50" s="1"/>
  <c r="L466" i="50" s="1"/>
  <c r="L467" i="50" s="1"/>
  <c r="L468" i="50" s="1"/>
  <c r="L469" i="50" s="1"/>
  <c r="L470" i="50" s="1"/>
  <c r="L471" i="50" s="1"/>
  <c r="L472" i="50" s="1"/>
  <c r="L473" i="50" s="1"/>
  <c r="L474" i="50" s="1"/>
  <c r="L475" i="50" s="1"/>
  <c r="L476" i="50" s="1"/>
  <c r="L477" i="50" s="1"/>
  <c r="L478" i="50" s="1"/>
  <c r="L479" i="50" s="1"/>
  <c r="L480" i="50" s="1"/>
  <c r="L481" i="50" s="1"/>
  <c r="L482" i="50" s="1"/>
  <c r="L483" i="50" s="1"/>
  <c r="L484" i="50" s="1"/>
  <c r="L485" i="50" s="1"/>
  <c r="L486" i="50" s="1"/>
  <c r="L487" i="50" s="1"/>
  <c r="L488" i="50" s="1"/>
  <c r="L489" i="50" s="1"/>
  <c r="L490" i="50" s="1"/>
  <c r="L491" i="50" s="1"/>
  <c r="L492" i="50" s="1"/>
  <c r="L493" i="50" s="1"/>
  <c r="L494" i="50" s="1"/>
  <c r="L495" i="50" s="1"/>
  <c r="L496" i="50" s="1"/>
  <c r="L497" i="50" s="1"/>
  <c r="L498" i="50" s="1"/>
  <c r="L499" i="50" s="1"/>
  <c r="L500" i="50" s="1"/>
  <c r="L501" i="50" s="1"/>
  <c r="L502" i="50" s="1"/>
  <c r="L503" i="50" s="1"/>
  <c r="L504" i="50" s="1"/>
  <c r="L505" i="50" s="1"/>
  <c r="L506" i="50" s="1"/>
  <c r="L507" i="50" s="1"/>
  <c r="L508" i="50" s="1"/>
  <c r="L509" i="50" s="1"/>
  <c r="L510" i="50" s="1"/>
  <c r="L511" i="50" s="1"/>
  <c r="L512" i="50" s="1"/>
  <c r="L513" i="50" s="1"/>
  <c r="L514" i="50" s="1"/>
  <c r="L515" i="50" s="1"/>
  <c r="L516" i="50" s="1"/>
  <c r="L517" i="50" s="1"/>
  <c r="L518" i="50" s="1"/>
  <c r="L519" i="50" s="1"/>
  <c r="L520" i="50" s="1"/>
  <c r="L521" i="50" s="1"/>
  <c r="L522" i="50" s="1"/>
  <c r="L523" i="50" s="1"/>
  <c r="L524" i="50" s="1"/>
  <c r="L525" i="50" s="1"/>
  <c r="L526" i="50" s="1"/>
  <c r="L527" i="50" s="1"/>
  <c r="L528" i="50" s="1"/>
  <c r="L529" i="50" s="1"/>
  <c r="L530" i="50" s="1"/>
  <c r="L531" i="50" s="1"/>
  <c r="L532" i="50" s="1"/>
  <c r="L533" i="50" s="1"/>
  <c r="L534" i="50" s="1"/>
  <c r="L535" i="50" s="1"/>
  <c r="L536" i="50" s="1"/>
  <c r="L537" i="50" s="1"/>
  <c r="L538" i="50" s="1"/>
  <c r="L539" i="50" s="1"/>
  <c r="L540" i="50" s="1"/>
  <c r="L541" i="50" s="1"/>
  <c r="L542" i="50" s="1"/>
  <c r="L543" i="50" s="1"/>
  <c r="L544" i="50" s="1"/>
  <c r="L545" i="50" s="1"/>
  <c r="L546" i="50" s="1"/>
  <c r="L547" i="50" s="1"/>
  <c r="L548" i="50" s="1"/>
  <c r="L549" i="50" s="1"/>
  <c r="L550" i="50" s="1"/>
  <c r="L551" i="50" s="1"/>
  <c r="L552" i="50" s="1"/>
  <c r="L553" i="50" s="1"/>
  <c r="L554" i="50" s="1"/>
  <c r="L555" i="50" s="1"/>
  <c r="L556" i="50" s="1"/>
  <c r="L557" i="50" s="1"/>
  <c r="L558" i="50" s="1"/>
  <c r="L559" i="50" s="1"/>
  <c r="L560" i="50" s="1"/>
  <c r="L561" i="50" s="1"/>
  <c r="L562" i="50" s="1"/>
  <c r="L563" i="50" s="1"/>
  <c r="L564" i="50" s="1"/>
  <c r="L565" i="50" s="1"/>
  <c r="L566" i="50" s="1"/>
  <c r="L567" i="50" s="1"/>
  <c r="L568" i="50" s="1"/>
  <c r="L569" i="50" s="1"/>
  <c r="L570" i="50" s="1"/>
  <c r="L571" i="50" s="1"/>
  <c r="L572" i="50" s="1"/>
  <c r="L573" i="50" s="1"/>
  <c r="L574" i="50" s="1"/>
  <c r="L575" i="50" s="1"/>
  <c r="L576" i="50" s="1"/>
  <c r="L577" i="50" s="1"/>
  <c r="L578" i="50" s="1"/>
  <c r="L579" i="50" s="1"/>
  <c r="L580" i="50" s="1"/>
  <c r="L581" i="50" s="1"/>
  <c r="L582" i="50" s="1"/>
  <c r="L583" i="50" s="1"/>
  <c r="L584" i="50" s="1"/>
  <c r="L585" i="50" s="1"/>
  <c r="L586" i="50" s="1"/>
  <c r="L587" i="50" s="1"/>
  <c r="L588" i="50" s="1"/>
  <c r="L589" i="50" s="1"/>
  <c r="L590" i="50" s="1"/>
  <c r="L591" i="50" s="1"/>
  <c r="L592" i="50" s="1"/>
  <c r="L593" i="50" s="1"/>
  <c r="L594" i="50" s="1"/>
  <c r="L595" i="50" s="1"/>
  <c r="L596" i="50" s="1"/>
  <c r="L597" i="50" s="1"/>
  <c r="L598" i="50" s="1"/>
  <c r="L599" i="50" s="1"/>
  <c r="L600" i="50" s="1"/>
  <c r="L601" i="50" s="1"/>
  <c r="L602" i="50" s="1"/>
  <c r="L603" i="50" s="1"/>
  <c r="L604" i="50" s="1"/>
  <c r="L605" i="50" s="1"/>
  <c r="L606" i="50" s="1"/>
  <c r="L607" i="50" s="1"/>
  <c r="L608" i="50" s="1"/>
  <c r="L609" i="50" s="1"/>
  <c r="L610" i="50" s="1"/>
  <c r="L611" i="50" s="1"/>
  <c r="L612" i="50" s="1"/>
  <c r="L613" i="50" s="1"/>
  <c r="L614" i="50" s="1"/>
  <c r="L615" i="50" s="1"/>
  <c r="L616" i="50" s="1"/>
  <c r="L617" i="50" s="1"/>
  <c r="L618" i="50" s="1"/>
  <c r="L619" i="50" s="1"/>
  <c r="L620" i="50" s="1"/>
  <c r="L621" i="50" s="1"/>
  <c r="L622" i="50" s="1"/>
  <c r="L623" i="50" s="1"/>
  <c r="L624" i="50" s="1"/>
  <c r="L625" i="50" s="1"/>
  <c r="L626" i="50" s="1"/>
  <c r="L627" i="50" s="1"/>
  <c r="L628" i="50" s="1"/>
  <c r="L629" i="50" s="1"/>
  <c r="L630" i="50" s="1"/>
  <c r="L631" i="50" s="1"/>
  <c r="L632" i="50" s="1"/>
  <c r="L633" i="50" s="1"/>
  <c r="L634" i="50" s="1"/>
  <c r="L635" i="50" s="1"/>
  <c r="L636" i="50" s="1"/>
  <c r="L637" i="50" s="1"/>
  <c r="L638" i="50" s="1"/>
  <c r="L639" i="50" s="1"/>
  <c r="L640" i="50" s="1"/>
  <c r="L641" i="50" s="1"/>
  <c r="L642" i="50" s="1"/>
  <c r="L643" i="50" s="1"/>
  <c r="L644" i="50" s="1"/>
  <c r="L645" i="50" s="1"/>
  <c r="L646" i="50" s="1"/>
  <c r="L647" i="50" s="1"/>
  <c r="L648" i="50" s="1"/>
  <c r="L649" i="50" s="1"/>
  <c r="L650" i="50" s="1"/>
  <c r="L651" i="50" s="1"/>
  <c r="L652" i="50" s="1"/>
  <c r="L653" i="50" s="1"/>
  <c r="L654" i="50" s="1"/>
  <c r="L655" i="50" s="1"/>
  <c r="L656" i="50" s="1"/>
  <c r="L657" i="50" s="1"/>
  <c r="L658" i="50" s="1"/>
  <c r="L659" i="50" s="1"/>
  <c r="L660" i="50" s="1"/>
  <c r="L661" i="50" s="1"/>
  <c r="L662" i="50" s="1"/>
  <c r="L663" i="50" s="1"/>
  <c r="L664" i="50" s="1"/>
  <c r="L665" i="50" s="1"/>
  <c r="L666" i="50" s="1"/>
  <c r="L667" i="50" s="1"/>
  <c r="L668" i="50" s="1"/>
  <c r="L669" i="50" s="1"/>
  <c r="L670" i="50" s="1"/>
  <c r="L671" i="50" s="1"/>
  <c r="L672" i="50" s="1"/>
  <c r="L673" i="50" s="1"/>
  <c r="L674" i="50" s="1"/>
  <c r="L675" i="50" s="1"/>
  <c r="L676" i="50" s="1"/>
  <c r="L677" i="50" s="1"/>
  <c r="L678" i="50" s="1"/>
  <c r="L679" i="50" s="1"/>
  <c r="L680" i="50" s="1"/>
  <c r="L681" i="50" s="1"/>
  <c r="L682" i="50" s="1"/>
  <c r="L683" i="50" s="1"/>
  <c r="L684" i="50" s="1"/>
  <c r="L685" i="50" s="1"/>
  <c r="L686" i="50" s="1"/>
  <c r="L687" i="50" s="1"/>
  <c r="L688" i="50" s="1"/>
  <c r="L689" i="50" s="1"/>
  <c r="L690" i="50" s="1"/>
  <c r="L691" i="50" s="1"/>
  <c r="L692" i="50" s="1"/>
  <c r="L693" i="50" s="1"/>
  <c r="L694" i="50" s="1"/>
  <c r="D4" i="50"/>
  <c r="D5" i="50" s="1"/>
  <c r="D6" i="50" s="1"/>
  <c r="D7" i="50" s="1"/>
  <c r="D8" i="50" s="1"/>
  <c r="D9" i="50" s="1"/>
  <c r="D10" i="50" s="1"/>
  <c r="D11" i="50" s="1"/>
  <c r="D12" i="50" s="1"/>
  <c r="D13" i="50" s="1"/>
  <c r="D14" i="50" s="1"/>
  <c r="D15" i="50" s="1"/>
  <c r="D16" i="50" s="1"/>
  <c r="D17" i="50" s="1"/>
  <c r="D18" i="50" s="1"/>
  <c r="Q117" i="46"/>
  <c r="AA116" i="46"/>
  <c r="T116" i="46"/>
  <c r="Q116" i="46" s="1"/>
  <c r="Q87" i="46"/>
  <c r="X87" i="46" s="1"/>
  <c r="AA114" i="46"/>
  <c r="T114" i="46"/>
  <c r="Q114" i="46" s="1"/>
  <c r="H115" i="46"/>
  <c r="P115" i="46" s="1"/>
  <c r="Q86" i="46"/>
  <c r="X86" i="46" s="1"/>
  <c r="Q82" i="46"/>
  <c r="X82" i="46" s="1"/>
  <c r="P286" i="49"/>
  <c r="X286" i="49" s="1"/>
  <c r="X115" i="46" l="1"/>
  <c r="G565" i="50"/>
  <c r="G566" i="50" s="1"/>
  <c r="G567" i="50" s="1"/>
  <c r="G568" i="50" s="1"/>
  <c r="G569" i="50" s="1"/>
  <c r="G570" i="50" s="1"/>
  <c r="G571" i="50" s="1"/>
  <c r="G572" i="50" s="1"/>
  <c r="G573" i="50" s="1"/>
  <c r="G574" i="50" s="1"/>
  <c r="G575" i="50" s="1"/>
  <c r="G576" i="50" s="1"/>
  <c r="G577" i="50" s="1"/>
  <c r="G578" i="50" s="1"/>
  <c r="G579" i="50" s="1"/>
  <c r="G580" i="50" s="1"/>
  <c r="G581" i="50" s="1"/>
  <c r="G582" i="50" s="1"/>
  <c r="G583" i="50" s="1"/>
  <c r="G584" i="50" s="1"/>
  <c r="G585" i="50" s="1"/>
  <c r="G586" i="50" s="1"/>
  <c r="G587" i="50" s="1"/>
  <c r="G588" i="50" s="1"/>
  <c r="G589" i="50" s="1"/>
  <c r="G590" i="50" s="1"/>
  <c r="G591" i="50" s="1"/>
  <c r="G592" i="50" s="1"/>
  <c r="G593" i="50" s="1"/>
  <c r="D19" i="50"/>
  <c r="D20" i="50" s="1"/>
  <c r="D21" i="50" s="1"/>
  <c r="X117" i="46"/>
  <c r="X116" i="46"/>
  <c r="X114" i="46"/>
  <c r="Z173" i="49"/>
  <c r="Y173" i="49"/>
  <c r="U173" i="49"/>
  <c r="R173" i="49"/>
  <c r="T173" i="49" s="1"/>
  <c r="Q173" i="49"/>
  <c r="O173" i="49"/>
  <c r="K173" i="49"/>
  <c r="G173" i="49"/>
  <c r="D173" i="49"/>
  <c r="Z172" i="49"/>
  <c r="Y172" i="49"/>
  <c r="U172" i="49"/>
  <c r="T172" i="49"/>
  <c r="Q172" i="49"/>
  <c r="O172" i="49"/>
  <c r="K172" i="49"/>
  <c r="G172" i="49"/>
  <c r="AA172" i="49" s="1"/>
  <c r="Z26" i="38"/>
  <c r="Y26" i="38"/>
  <c r="U26" i="38"/>
  <c r="R26" i="38"/>
  <c r="T26" i="38" s="1"/>
  <c r="Q26" i="38"/>
  <c r="O26" i="38"/>
  <c r="K26" i="38"/>
  <c r="G26" i="38"/>
  <c r="D26" i="38"/>
  <c r="Z25" i="38"/>
  <c r="Y25" i="38"/>
  <c r="U25" i="38"/>
  <c r="T25" i="38"/>
  <c r="Q25" i="38"/>
  <c r="O25" i="38"/>
  <c r="K25" i="38"/>
  <c r="G25" i="38"/>
  <c r="AA25" i="38" s="1"/>
  <c r="K32" i="48"/>
  <c r="L32" i="48"/>
  <c r="M32" i="48"/>
  <c r="Z285" i="49"/>
  <c r="Y285" i="49"/>
  <c r="U285" i="49"/>
  <c r="T285" i="49"/>
  <c r="Q285" i="49"/>
  <c r="O285" i="49"/>
  <c r="L285" i="49"/>
  <c r="K285" i="49"/>
  <c r="G285" i="49"/>
  <c r="AA285" i="49" s="1"/>
  <c r="D285" i="49"/>
  <c r="Z225" i="49"/>
  <c r="Y225" i="49"/>
  <c r="U225" i="49"/>
  <c r="R225" i="49"/>
  <c r="T225" i="49" s="1"/>
  <c r="Q225" i="49"/>
  <c r="O225" i="49"/>
  <c r="M225" i="49"/>
  <c r="L225" i="49"/>
  <c r="K225" i="49"/>
  <c r="G225" i="49"/>
  <c r="D225" i="49"/>
  <c r="D224" i="49"/>
  <c r="G224" i="49"/>
  <c r="AA224" i="49" s="1"/>
  <c r="K224" i="49"/>
  <c r="L224" i="49"/>
  <c r="O224" i="49"/>
  <c r="Q224" i="49"/>
  <c r="R224" i="49"/>
  <c r="T224" i="49" s="1"/>
  <c r="U224" i="49"/>
  <c r="Y224" i="49"/>
  <c r="Z224" i="49"/>
  <c r="D36" i="40"/>
  <c r="G36" i="40"/>
  <c r="AA36" i="40" s="1"/>
  <c r="K36" i="40"/>
  <c r="L36" i="40"/>
  <c r="M36" i="40"/>
  <c r="R36" i="40"/>
  <c r="T36" i="40" s="1"/>
  <c r="U36" i="40"/>
  <c r="Y36" i="40"/>
  <c r="O36" i="40" s="1"/>
  <c r="Q36" i="40" s="1"/>
  <c r="Z36" i="40"/>
  <c r="G594" i="50" l="1"/>
  <c r="G595" i="50" s="1"/>
  <c r="G596" i="50" s="1"/>
  <c r="D22" i="50"/>
  <c r="D23" i="50" s="1"/>
  <c r="D24" i="50" s="1"/>
  <c r="D25" i="50" s="1"/>
  <c r="D26" i="50" s="1"/>
  <c r="D27" i="50" s="1"/>
  <c r="D28" i="50" s="1"/>
  <c r="D29" i="50" s="1"/>
  <c r="D30" i="50" s="1"/>
  <c r="D31" i="50" s="1"/>
  <c r="D32" i="50" s="1"/>
  <c r="D33" i="50" s="1"/>
  <c r="D34" i="50" s="1"/>
  <c r="D35" i="50" s="1"/>
  <c r="D36" i="50" s="1"/>
  <c r="D37" i="50" s="1"/>
  <c r="D38" i="50" s="1"/>
  <c r="D39" i="50" s="1"/>
  <c r="D40" i="50" s="1"/>
  <c r="D41" i="50" s="1"/>
  <c r="D42" i="50" s="1"/>
  <c r="D43" i="50" s="1"/>
  <c r="D44" i="50" s="1"/>
  <c r="D45" i="50" s="1"/>
  <c r="D46" i="50" s="1"/>
  <c r="D47" i="50" s="1"/>
  <c r="D48" i="50" s="1"/>
  <c r="D49" i="50" s="1"/>
  <c r="D50" i="50" s="1"/>
  <c r="D51" i="50" s="1"/>
  <c r="D52" i="50" s="1"/>
  <c r="D53" i="50" s="1"/>
  <c r="D54" i="50" s="1"/>
  <c r="D55" i="50" s="1"/>
  <c r="D56" i="50" s="1"/>
  <c r="D57" i="50" s="1"/>
  <c r="D58" i="50" s="1"/>
  <c r="D59" i="50" s="1"/>
  <c r="D60" i="50" s="1"/>
  <c r="D61" i="50" s="1"/>
  <c r="D62" i="50" s="1"/>
  <c r="D63" i="50" s="1"/>
  <c r="D64" i="50" s="1"/>
  <c r="P172" i="49"/>
  <c r="X172" i="49" s="1"/>
  <c r="P25" i="38"/>
  <c r="X25" i="38" s="1"/>
  <c r="P26" i="38"/>
  <c r="X26" i="38" s="1"/>
  <c r="P173" i="49"/>
  <c r="X173" i="49" s="1"/>
  <c r="P36" i="40"/>
  <c r="X36" i="40" s="1"/>
  <c r="P224" i="49"/>
  <c r="X224" i="49" s="1"/>
  <c r="P285" i="49"/>
  <c r="X285" i="49" s="1"/>
  <c r="P225" i="49"/>
  <c r="X225" i="49" s="1"/>
  <c r="Z354" i="49"/>
  <c r="Y354" i="49"/>
  <c r="O354" i="49" s="1"/>
  <c r="U354" i="49"/>
  <c r="R354" i="49"/>
  <c r="K354" i="49"/>
  <c r="G354" i="49"/>
  <c r="D354" i="49"/>
  <c r="Z353" i="49"/>
  <c r="Y353" i="49"/>
  <c r="U353" i="49"/>
  <c r="T353" i="49"/>
  <c r="Q353" i="49"/>
  <c r="O353" i="49"/>
  <c r="K353" i="49"/>
  <c r="G353" i="49"/>
  <c r="AA353" i="49" s="1"/>
  <c r="D353" i="49"/>
  <c r="Z291" i="49"/>
  <c r="Y291" i="49"/>
  <c r="O291" i="49" s="1"/>
  <c r="U291" i="49"/>
  <c r="T291" i="49"/>
  <c r="K291" i="49"/>
  <c r="D291" i="49"/>
  <c r="Z314" i="49"/>
  <c r="Y314" i="49"/>
  <c r="O314" i="49" s="1"/>
  <c r="U314" i="49"/>
  <c r="T314" i="49"/>
  <c r="P314" i="49"/>
  <c r="M314" i="49"/>
  <c r="L314" i="49"/>
  <c r="K314" i="49"/>
  <c r="D314" i="49"/>
  <c r="Z308" i="49"/>
  <c r="Y308" i="49"/>
  <c r="O308" i="49" s="1"/>
  <c r="U308" i="49"/>
  <c r="T308" i="49"/>
  <c r="P308" i="49"/>
  <c r="M308" i="49"/>
  <c r="L308" i="49"/>
  <c r="K308" i="49"/>
  <c r="D308" i="49"/>
  <c r="Z290" i="49"/>
  <c r="Y290" i="49"/>
  <c r="O290" i="49" s="1"/>
  <c r="U290" i="49"/>
  <c r="T290" i="49"/>
  <c r="K290" i="49"/>
  <c r="D290" i="49"/>
  <c r="Z307" i="49"/>
  <c r="Y307" i="49"/>
  <c r="O307" i="49" s="1"/>
  <c r="U307" i="49"/>
  <c r="T307" i="49"/>
  <c r="P307" i="49"/>
  <c r="M307" i="49"/>
  <c r="L307" i="49"/>
  <c r="K307" i="49"/>
  <c r="D307" i="49"/>
  <c r="Z313" i="49"/>
  <c r="Y313" i="49"/>
  <c r="O313" i="49" s="1"/>
  <c r="U313" i="49"/>
  <c r="T313" i="49"/>
  <c r="P313" i="49"/>
  <c r="M313" i="49"/>
  <c r="L313" i="49"/>
  <c r="K313" i="49"/>
  <c r="D313" i="49"/>
  <c r="Z317" i="49"/>
  <c r="Y317" i="49"/>
  <c r="O317" i="49" s="1"/>
  <c r="U317" i="49"/>
  <c r="T317" i="49"/>
  <c r="P317" i="49"/>
  <c r="M317" i="49"/>
  <c r="L317" i="49"/>
  <c r="K317" i="49"/>
  <c r="G317" i="49"/>
  <c r="AA317" i="49" s="1"/>
  <c r="D317" i="49"/>
  <c r="Z312" i="49"/>
  <c r="Y312" i="49"/>
  <c r="O312" i="49" s="1"/>
  <c r="U312" i="49"/>
  <c r="T312" i="49"/>
  <c r="P312" i="49"/>
  <c r="M312" i="49"/>
  <c r="L312" i="49"/>
  <c r="K312" i="49"/>
  <c r="D312" i="49"/>
  <c r="Z306" i="49"/>
  <c r="Y306" i="49"/>
  <c r="O306" i="49" s="1"/>
  <c r="U306" i="49"/>
  <c r="T306" i="49"/>
  <c r="P306" i="49"/>
  <c r="M306" i="49"/>
  <c r="L306" i="49"/>
  <c r="K306" i="49"/>
  <c r="D306" i="49"/>
  <c r="Z311" i="49"/>
  <c r="Y311" i="49"/>
  <c r="O311" i="49" s="1"/>
  <c r="U311" i="49"/>
  <c r="T311" i="49"/>
  <c r="P311" i="49"/>
  <c r="M311" i="49"/>
  <c r="L311" i="49"/>
  <c r="K311" i="49"/>
  <c r="D311" i="49"/>
  <c r="Z305" i="49"/>
  <c r="Y305" i="49"/>
  <c r="O305" i="49" s="1"/>
  <c r="U305" i="49"/>
  <c r="T305" i="49"/>
  <c r="P305" i="49"/>
  <c r="M305" i="49"/>
  <c r="L305" i="49"/>
  <c r="K305" i="49"/>
  <c r="D305" i="49"/>
  <c r="Z302" i="49"/>
  <c r="Y302" i="49"/>
  <c r="O302" i="49" s="1"/>
  <c r="U302" i="49"/>
  <c r="T302" i="49"/>
  <c r="P302" i="49"/>
  <c r="M302" i="49"/>
  <c r="L302" i="49"/>
  <c r="K302" i="49"/>
  <c r="D302" i="49"/>
  <c r="Z301" i="49"/>
  <c r="Y301" i="49"/>
  <c r="O301" i="49" s="1"/>
  <c r="U301" i="49"/>
  <c r="T301" i="49"/>
  <c r="P301" i="49"/>
  <c r="M301" i="49"/>
  <c r="L301" i="49"/>
  <c r="K301" i="49"/>
  <c r="D301" i="49"/>
  <c r="Z300" i="49"/>
  <c r="Y300" i="49"/>
  <c r="O300" i="49" s="1"/>
  <c r="U300" i="49"/>
  <c r="T300" i="49"/>
  <c r="P300" i="49"/>
  <c r="M300" i="49"/>
  <c r="L300" i="49"/>
  <c r="K300" i="49"/>
  <c r="G300" i="49"/>
  <c r="AA300" i="49" s="1"/>
  <c r="D300" i="49"/>
  <c r="Z299" i="49"/>
  <c r="Y299" i="49"/>
  <c r="O299" i="49" s="1"/>
  <c r="U299" i="49"/>
  <c r="T299" i="49"/>
  <c r="P299" i="49"/>
  <c r="M299" i="49"/>
  <c r="L299" i="49"/>
  <c r="K299" i="49"/>
  <c r="G299" i="49"/>
  <c r="AA299" i="49" s="1"/>
  <c r="D299" i="49"/>
  <c r="Z298" i="49"/>
  <c r="Y298" i="49"/>
  <c r="O298" i="49" s="1"/>
  <c r="U298" i="49"/>
  <c r="T298" i="49"/>
  <c r="M298" i="49"/>
  <c r="K298" i="49"/>
  <c r="G298" i="49"/>
  <c r="AA298" i="49" s="1"/>
  <c r="D298" i="49"/>
  <c r="AA270" i="49"/>
  <c r="Z297" i="49"/>
  <c r="Y297" i="49"/>
  <c r="O297" i="49" s="1"/>
  <c r="U297" i="49"/>
  <c r="R297" i="49"/>
  <c r="T297" i="49" s="1"/>
  <c r="M297" i="49"/>
  <c r="L297" i="49"/>
  <c r="K297" i="49"/>
  <c r="G297" i="49"/>
  <c r="AA297" i="49" s="1"/>
  <c r="D297" i="49"/>
  <c r="Z295" i="49"/>
  <c r="Y295" i="49"/>
  <c r="O295" i="49" s="1"/>
  <c r="U295" i="49"/>
  <c r="R295" i="49"/>
  <c r="T295" i="49" s="1"/>
  <c r="M295" i="49"/>
  <c r="L295" i="49"/>
  <c r="K295" i="49"/>
  <c r="G295" i="49"/>
  <c r="AA295" i="49" s="1"/>
  <c r="D295" i="49"/>
  <c r="Z294" i="49"/>
  <c r="Y294" i="49"/>
  <c r="O294" i="49" s="1"/>
  <c r="U294" i="49"/>
  <c r="R294" i="49"/>
  <c r="T294" i="49" s="1"/>
  <c r="M294" i="49"/>
  <c r="L294" i="49"/>
  <c r="K294" i="49"/>
  <c r="G294" i="49"/>
  <c r="AA294" i="49" s="1"/>
  <c r="D294" i="49"/>
  <c r="Z293" i="49"/>
  <c r="Y293" i="49"/>
  <c r="O293" i="49" s="1"/>
  <c r="U293" i="49"/>
  <c r="R293" i="49"/>
  <c r="T293" i="49" s="1"/>
  <c r="M293" i="49"/>
  <c r="L293" i="49"/>
  <c r="K293" i="49"/>
  <c r="AA148" i="49"/>
  <c r="Z284" i="49"/>
  <c r="Y284" i="49"/>
  <c r="U284" i="49"/>
  <c r="Q284" i="49"/>
  <c r="O284" i="49"/>
  <c r="L284" i="49"/>
  <c r="K284" i="49"/>
  <c r="G284" i="49"/>
  <c r="AA284" i="49" s="1"/>
  <c r="D284" i="49"/>
  <c r="Z283" i="49"/>
  <c r="Y283" i="49"/>
  <c r="U283" i="49"/>
  <c r="Q283" i="49"/>
  <c r="O283" i="49"/>
  <c r="L283" i="49"/>
  <c r="K283" i="49"/>
  <c r="G283" i="49"/>
  <c r="AA283" i="49" s="1"/>
  <c r="D283" i="49"/>
  <c r="Z282" i="49"/>
  <c r="Y282" i="49"/>
  <c r="U282" i="49"/>
  <c r="Q282" i="49"/>
  <c r="O282" i="49"/>
  <c r="K282" i="49"/>
  <c r="G282" i="49"/>
  <c r="AA282" i="49" s="1"/>
  <c r="D282" i="49"/>
  <c r="Z281" i="49"/>
  <c r="Y281" i="49"/>
  <c r="U281" i="49"/>
  <c r="Q281" i="49"/>
  <c r="O281" i="49"/>
  <c r="L281" i="49"/>
  <c r="K281" i="49"/>
  <c r="G281" i="49"/>
  <c r="AA281" i="49" s="1"/>
  <c r="D281" i="49"/>
  <c r="Z280" i="49"/>
  <c r="Y280" i="49"/>
  <c r="U280" i="49"/>
  <c r="Q280" i="49"/>
  <c r="O280" i="49"/>
  <c r="K280" i="49"/>
  <c r="P280" i="49" s="1"/>
  <c r="D280" i="49"/>
  <c r="Z279" i="49"/>
  <c r="Y279" i="49"/>
  <c r="U279" i="49"/>
  <c r="Q279" i="49"/>
  <c r="O279" i="49"/>
  <c r="K279" i="49"/>
  <c r="P279" i="49" s="1"/>
  <c r="D279" i="49"/>
  <c r="Z278" i="49"/>
  <c r="Y278" i="49"/>
  <c r="U278" i="49"/>
  <c r="Q278" i="49"/>
  <c r="O278" i="49"/>
  <c r="M278" i="49"/>
  <c r="L278" i="49"/>
  <c r="K278" i="49"/>
  <c r="D278" i="49"/>
  <c r="Z277" i="49"/>
  <c r="Y277" i="49"/>
  <c r="U277" i="49"/>
  <c r="Q277" i="49"/>
  <c r="O277" i="49"/>
  <c r="M277" i="49"/>
  <c r="L277" i="49"/>
  <c r="K277" i="49"/>
  <c r="D277" i="49"/>
  <c r="Z276" i="49"/>
  <c r="Y276" i="49"/>
  <c r="U276" i="49"/>
  <c r="Q276" i="49"/>
  <c r="O276" i="49"/>
  <c r="M276" i="49"/>
  <c r="L276" i="49"/>
  <c r="K276" i="49"/>
  <c r="D276" i="49"/>
  <c r="Z275" i="49"/>
  <c r="Y275" i="49"/>
  <c r="U275" i="49"/>
  <c r="Q275" i="49"/>
  <c r="O275" i="49"/>
  <c r="M275" i="49"/>
  <c r="L275" i="49"/>
  <c r="K275" i="49"/>
  <c r="D275" i="49"/>
  <c r="Z274" i="49"/>
  <c r="Y274" i="49"/>
  <c r="U274" i="49"/>
  <c r="Q274" i="49"/>
  <c r="O274" i="49"/>
  <c r="M274" i="49"/>
  <c r="L274" i="49"/>
  <c r="K274" i="49"/>
  <c r="D274" i="49"/>
  <c r="Z273" i="49"/>
  <c r="Y273" i="49"/>
  <c r="U273" i="49"/>
  <c r="Q273" i="49"/>
  <c r="O273" i="49"/>
  <c r="M273" i="49"/>
  <c r="L273" i="49"/>
  <c r="K273" i="49"/>
  <c r="D273" i="49"/>
  <c r="Z272" i="49"/>
  <c r="Y272" i="49"/>
  <c r="U272" i="49"/>
  <c r="Q272" i="49"/>
  <c r="O272" i="49"/>
  <c r="K272" i="49"/>
  <c r="G272" i="49"/>
  <c r="AA272" i="49" s="1"/>
  <c r="D272" i="49"/>
  <c r="Z271" i="49"/>
  <c r="Y271" i="49"/>
  <c r="U271" i="49"/>
  <c r="Q271" i="49"/>
  <c r="O271" i="49"/>
  <c r="K271" i="49"/>
  <c r="G271" i="49"/>
  <c r="AA271" i="49" s="1"/>
  <c r="D271" i="49"/>
  <c r="Z269" i="49"/>
  <c r="Y269" i="49"/>
  <c r="U269" i="49"/>
  <c r="Q269" i="49"/>
  <c r="O269" i="49"/>
  <c r="M269" i="49"/>
  <c r="L269" i="49"/>
  <c r="K269" i="49"/>
  <c r="D269" i="49"/>
  <c r="Z268" i="49"/>
  <c r="Y268" i="49"/>
  <c r="U268" i="49"/>
  <c r="Q268" i="49"/>
  <c r="O268" i="49"/>
  <c r="M268" i="49"/>
  <c r="L268" i="49"/>
  <c r="K268" i="49"/>
  <c r="D268" i="49"/>
  <c r="Z267" i="49"/>
  <c r="Y267" i="49"/>
  <c r="U267" i="49"/>
  <c r="Q267" i="49"/>
  <c r="O267" i="49"/>
  <c r="M267" i="49"/>
  <c r="L267" i="49"/>
  <c r="K267" i="49"/>
  <c r="D267" i="49"/>
  <c r="Z266" i="49"/>
  <c r="Y266" i="49"/>
  <c r="U266" i="49"/>
  <c r="Q266" i="49"/>
  <c r="O266" i="49"/>
  <c r="M266" i="49"/>
  <c r="L266" i="49"/>
  <c r="K266" i="49"/>
  <c r="D266" i="49"/>
  <c r="Z265" i="49"/>
  <c r="Y265" i="49"/>
  <c r="U265" i="49"/>
  <c r="Q265" i="49"/>
  <c r="O265" i="49"/>
  <c r="M265" i="49"/>
  <c r="L265" i="49"/>
  <c r="K265" i="49"/>
  <c r="D265" i="49"/>
  <c r="Z264" i="49"/>
  <c r="Y264" i="49"/>
  <c r="U264" i="49"/>
  <c r="Q264" i="49"/>
  <c r="O264" i="49"/>
  <c r="M264" i="49"/>
  <c r="L264" i="49"/>
  <c r="K264" i="49"/>
  <c r="D264" i="49"/>
  <c r="Z263" i="49"/>
  <c r="Y263" i="49"/>
  <c r="U263" i="49"/>
  <c r="Q263" i="49"/>
  <c r="O263" i="49"/>
  <c r="M263" i="49"/>
  <c r="L263" i="49"/>
  <c r="K263" i="49"/>
  <c r="D263" i="49"/>
  <c r="Z262" i="49"/>
  <c r="Y262" i="49"/>
  <c r="U262" i="49"/>
  <c r="Q262" i="49"/>
  <c r="O262" i="49"/>
  <c r="M262" i="49"/>
  <c r="L262" i="49"/>
  <c r="K262" i="49"/>
  <c r="D262" i="49"/>
  <c r="Z261" i="49"/>
  <c r="Y261" i="49"/>
  <c r="U261" i="49"/>
  <c r="Q261" i="49"/>
  <c r="O261" i="49"/>
  <c r="M261" i="49"/>
  <c r="L261" i="49"/>
  <c r="K261" i="49"/>
  <c r="D261" i="49"/>
  <c r="Z260" i="49"/>
  <c r="Y260" i="49"/>
  <c r="U260" i="49"/>
  <c r="Q260" i="49"/>
  <c r="O260" i="49"/>
  <c r="M260" i="49"/>
  <c r="L260" i="49"/>
  <c r="K260" i="49"/>
  <c r="G260" i="49"/>
  <c r="D260" i="49"/>
  <c r="Z259" i="49"/>
  <c r="Y259" i="49"/>
  <c r="Z258" i="49"/>
  <c r="Y258" i="49"/>
  <c r="Z257" i="49"/>
  <c r="Y257" i="49"/>
  <c r="Z256" i="49"/>
  <c r="Y256" i="49"/>
  <c r="Z255" i="49"/>
  <c r="Y255" i="49"/>
  <c r="Z254" i="49"/>
  <c r="Y254" i="49"/>
  <c r="Z253" i="49"/>
  <c r="Y253" i="49"/>
  <c r="Z252" i="49"/>
  <c r="Y252" i="49"/>
  <c r="Z251" i="49"/>
  <c r="Y251" i="49"/>
  <c r="Z250" i="49"/>
  <c r="Y250" i="49"/>
  <c r="Z249" i="49"/>
  <c r="Y249" i="49"/>
  <c r="Z248" i="49"/>
  <c r="Y248" i="49"/>
  <c r="Z247" i="49"/>
  <c r="Y247" i="49"/>
  <c r="Z246" i="49"/>
  <c r="Y246" i="49"/>
  <c r="Z245" i="49"/>
  <c r="Y245" i="49"/>
  <c r="Z244" i="49"/>
  <c r="Y244" i="49"/>
  <c r="Z243" i="49"/>
  <c r="Y243" i="49"/>
  <c r="Z242" i="49"/>
  <c r="Y242" i="49"/>
  <c r="Z241" i="49"/>
  <c r="Y241" i="49"/>
  <c r="Z240" i="49"/>
  <c r="Y240" i="49"/>
  <c r="Z239" i="49"/>
  <c r="Y239" i="49"/>
  <c r="Z238" i="49"/>
  <c r="Y238" i="49"/>
  <c r="Z237" i="49"/>
  <c r="Y237" i="49"/>
  <c r="Z236" i="49"/>
  <c r="Y236" i="49"/>
  <c r="Z235" i="49"/>
  <c r="Y235" i="49"/>
  <c r="Z234" i="49"/>
  <c r="Y234" i="49"/>
  <c r="Z233" i="49"/>
  <c r="Y233" i="49"/>
  <c r="Z232" i="49"/>
  <c r="Y232" i="49"/>
  <c r="Z231" i="49"/>
  <c r="Y231" i="49"/>
  <c r="Z230" i="49"/>
  <c r="Y230" i="49"/>
  <c r="Z229" i="49"/>
  <c r="Y229" i="49"/>
  <c r="Z228" i="49"/>
  <c r="Y228" i="49"/>
  <c r="Z227" i="49"/>
  <c r="Y227" i="49"/>
  <c r="Z226" i="49"/>
  <c r="Y226" i="49"/>
  <c r="Z223" i="49"/>
  <c r="Y223" i="49"/>
  <c r="U223" i="49"/>
  <c r="Q223" i="49"/>
  <c r="O223" i="49"/>
  <c r="K223" i="49"/>
  <c r="G223" i="49"/>
  <c r="D223" i="49"/>
  <c r="Z222" i="49"/>
  <c r="Y222" i="49"/>
  <c r="U222" i="49"/>
  <c r="R222" i="49"/>
  <c r="Q222" i="49"/>
  <c r="O222" i="49"/>
  <c r="K222" i="49"/>
  <c r="G222" i="49"/>
  <c r="AA222" i="49" s="1"/>
  <c r="D222" i="49"/>
  <c r="Z221" i="49"/>
  <c r="Y221" i="49"/>
  <c r="U221" i="49"/>
  <c r="Q221" i="49"/>
  <c r="O221" i="49"/>
  <c r="K221" i="49"/>
  <c r="G221" i="49"/>
  <c r="D221" i="49"/>
  <c r="Z220" i="49"/>
  <c r="Y220" i="49"/>
  <c r="U220" i="49"/>
  <c r="Q220" i="49"/>
  <c r="O220" i="49"/>
  <c r="K220" i="49"/>
  <c r="G220" i="49"/>
  <c r="D220" i="49"/>
  <c r="Z219" i="49"/>
  <c r="Y219" i="49"/>
  <c r="U219" i="49"/>
  <c r="R219" i="49"/>
  <c r="Q219" i="49"/>
  <c r="O219" i="49"/>
  <c r="K219" i="49"/>
  <c r="G219" i="49"/>
  <c r="D219" i="49"/>
  <c r="Z218" i="49"/>
  <c r="Y218" i="49"/>
  <c r="U218" i="49"/>
  <c r="Q218" i="49"/>
  <c r="O218" i="49"/>
  <c r="K218" i="49"/>
  <c r="G218" i="49"/>
  <c r="D218" i="49"/>
  <c r="Z217" i="49"/>
  <c r="Y217" i="49"/>
  <c r="U217" i="49"/>
  <c r="Q217" i="49"/>
  <c r="O217" i="49"/>
  <c r="K217" i="49"/>
  <c r="G217" i="49"/>
  <c r="D217" i="49"/>
  <c r="Z216" i="49"/>
  <c r="Y216" i="49"/>
  <c r="U216" i="49"/>
  <c r="Q216" i="49"/>
  <c r="O216" i="49"/>
  <c r="K216" i="49"/>
  <c r="G216" i="49"/>
  <c r="D216" i="49"/>
  <c r="Z215" i="49"/>
  <c r="Y215" i="49"/>
  <c r="U215" i="49"/>
  <c r="Q215" i="49"/>
  <c r="O215" i="49"/>
  <c r="K215" i="49"/>
  <c r="G215" i="49"/>
  <c r="AA215" i="49" s="1"/>
  <c r="D215" i="49"/>
  <c r="Z214" i="49"/>
  <c r="Y214" i="49"/>
  <c r="U214" i="49"/>
  <c r="Q214" i="49"/>
  <c r="O214" i="49"/>
  <c r="K214" i="49"/>
  <c r="G214" i="49"/>
  <c r="D214" i="49"/>
  <c r="Z213" i="49"/>
  <c r="Y213" i="49"/>
  <c r="U213" i="49"/>
  <c r="Q213" i="49"/>
  <c r="O213" i="49"/>
  <c r="K213" i="49"/>
  <c r="G213" i="49"/>
  <c r="D213" i="49"/>
  <c r="Z212" i="49"/>
  <c r="Y212" i="49"/>
  <c r="U212" i="49"/>
  <c r="R212" i="49"/>
  <c r="Q212" i="49"/>
  <c r="O212" i="49"/>
  <c r="K212" i="49"/>
  <c r="G212" i="49"/>
  <c r="Z211" i="49"/>
  <c r="Y211" i="49"/>
  <c r="U211" i="49"/>
  <c r="Q211" i="49"/>
  <c r="O211" i="49"/>
  <c r="K211" i="49"/>
  <c r="G211" i="49"/>
  <c r="D211" i="49"/>
  <c r="Z210" i="49"/>
  <c r="Y210" i="49"/>
  <c r="U210" i="49"/>
  <c r="Q210" i="49"/>
  <c r="O210" i="49"/>
  <c r="K210" i="49"/>
  <c r="G210" i="49"/>
  <c r="D210" i="49"/>
  <c r="Z209" i="49"/>
  <c r="Y209" i="49"/>
  <c r="U209" i="49"/>
  <c r="Q209" i="49"/>
  <c r="O209" i="49"/>
  <c r="K209" i="49"/>
  <c r="G209" i="49"/>
  <c r="D209" i="49"/>
  <c r="Z208" i="49"/>
  <c r="Y208" i="49"/>
  <c r="U208" i="49"/>
  <c r="Q208" i="49"/>
  <c r="O208" i="49"/>
  <c r="K208" i="49"/>
  <c r="G208" i="49"/>
  <c r="D208" i="49"/>
  <c r="Z207" i="49"/>
  <c r="Y207" i="49"/>
  <c r="U207" i="49"/>
  <c r="Q207" i="49"/>
  <c r="O207" i="49"/>
  <c r="K207" i="49"/>
  <c r="G207" i="49"/>
  <c r="D207" i="49"/>
  <c r="Z206" i="49"/>
  <c r="Y206" i="49"/>
  <c r="U206" i="49"/>
  <c r="Q206" i="49"/>
  <c r="O206" i="49"/>
  <c r="K206" i="49"/>
  <c r="G206" i="49"/>
  <c r="D206" i="49"/>
  <c r="Z205" i="49"/>
  <c r="Y205" i="49"/>
  <c r="U205" i="49"/>
  <c r="Q205" i="49"/>
  <c r="O205" i="49"/>
  <c r="K205" i="49"/>
  <c r="G205" i="49"/>
  <c r="D205" i="49"/>
  <c r="Z204" i="49"/>
  <c r="Y204" i="49"/>
  <c r="U204" i="49"/>
  <c r="Q204" i="49"/>
  <c r="O204" i="49"/>
  <c r="K204" i="49"/>
  <c r="G204" i="49"/>
  <c r="D204" i="49"/>
  <c r="Z203" i="49"/>
  <c r="Y203" i="49"/>
  <c r="U203" i="49"/>
  <c r="Q203" i="49"/>
  <c r="O203" i="49"/>
  <c r="K203" i="49"/>
  <c r="G203" i="49"/>
  <c r="D203" i="49"/>
  <c r="Z202" i="49"/>
  <c r="Y202" i="49"/>
  <c r="U202" i="49"/>
  <c r="Q202" i="49"/>
  <c r="O202" i="49"/>
  <c r="K202" i="49"/>
  <c r="G202" i="49"/>
  <c r="D202" i="49"/>
  <c r="Z201" i="49"/>
  <c r="Y201" i="49"/>
  <c r="U201" i="49"/>
  <c r="Q201" i="49"/>
  <c r="O201" i="49"/>
  <c r="K201" i="49"/>
  <c r="G201" i="49"/>
  <c r="D201" i="49"/>
  <c r="Z200" i="49"/>
  <c r="Y200" i="49"/>
  <c r="U200" i="49"/>
  <c r="Q200" i="49"/>
  <c r="O200" i="49"/>
  <c r="K200" i="49"/>
  <c r="G200" i="49"/>
  <c r="D200" i="49"/>
  <c r="Z199" i="49"/>
  <c r="Y199" i="49"/>
  <c r="U199" i="49"/>
  <c r="Q199" i="49"/>
  <c r="O199" i="49"/>
  <c r="K199" i="49"/>
  <c r="G199" i="49"/>
  <c r="D199" i="49"/>
  <c r="Z198" i="49"/>
  <c r="Y198" i="49"/>
  <c r="U198" i="49"/>
  <c r="Q198" i="49"/>
  <c r="O198" i="49"/>
  <c r="K198" i="49"/>
  <c r="G198" i="49"/>
  <c r="D198" i="49"/>
  <c r="Z197" i="49"/>
  <c r="Y197" i="49"/>
  <c r="U197" i="49"/>
  <c r="Q197" i="49"/>
  <c r="O197" i="49"/>
  <c r="K197" i="49"/>
  <c r="G197" i="49"/>
  <c r="D197" i="49"/>
  <c r="Z196" i="49"/>
  <c r="Y196" i="49"/>
  <c r="U196" i="49"/>
  <c r="Q196" i="49"/>
  <c r="O196" i="49"/>
  <c r="K196" i="49"/>
  <c r="G196" i="49"/>
  <c r="D196" i="49"/>
  <c r="Z195" i="49"/>
  <c r="Y195" i="49"/>
  <c r="U195" i="49"/>
  <c r="Q195" i="49"/>
  <c r="O195" i="49"/>
  <c r="K195" i="49"/>
  <c r="G195" i="49"/>
  <c r="D195" i="49"/>
  <c r="Z194" i="49"/>
  <c r="Y194" i="49"/>
  <c r="U194" i="49"/>
  <c r="Q194" i="49"/>
  <c r="O194" i="49"/>
  <c r="K194" i="49"/>
  <c r="G194" i="49"/>
  <c r="D194" i="49"/>
  <c r="Z193" i="49"/>
  <c r="Y193" i="49"/>
  <c r="U193" i="49"/>
  <c r="Q193" i="49"/>
  <c r="O193" i="49"/>
  <c r="K193" i="49"/>
  <c r="G193" i="49"/>
  <c r="D193" i="49"/>
  <c r="Z192" i="49"/>
  <c r="Y192" i="49"/>
  <c r="U192" i="49"/>
  <c r="Q192" i="49"/>
  <c r="O192" i="49"/>
  <c r="K192" i="49"/>
  <c r="G192" i="49"/>
  <c r="D192" i="49"/>
  <c r="Z191" i="49"/>
  <c r="Y191" i="49"/>
  <c r="U191" i="49"/>
  <c r="Q191" i="49"/>
  <c r="O191" i="49"/>
  <c r="K191" i="49"/>
  <c r="G191" i="49"/>
  <c r="D191" i="49"/>
  <c r="Z190" i="49"/>
  <c r="Y190" i="49"/>
  <c r="U190" i="49"/>
  <c r="R190" i="49"/>
  <c r="Q190" i="49"/>
  <c r="O190" i="49"/>
  <c r="K190" i="49"/>
  <c r="G190" i="49"/>
  <c r="D190" i="49"/>
  <c r="Z189" i="49"/>
  <c r="Y189" i="49"/>
  <c r="U189" i="49"/>
  <c r="R189" i="49"/>
  <c r="Q189" i="49"/>
  <c r="O189" i="49"/>
  <c r="K189" i="49"/>
  <c r="G189" i="49"/>
  <c r="D189" i="49"/>
  <c r="Z188" i="49"/>
  <c r="Y188" i="49"/>
  <c r="U188" i="49"/>
  <c r="R188" i="49"/>
  <c r="Q188" i="49"/>
  <c r="O188" i="49"/>
  <c r="K188" i="49"/>
  <c r="G188" i="49"/>
  <c r="D188" i="49"/>
  <c r="Z187" i="49"/>
  <c r="Y187" i="49"/>
  <c r="U187" i="49"/>
  <c r="R187" i="49"/>
  <c r="Q187" i="49"/>
  <c r="O187" i="49"/>
  <c r="K187" i="49"/>
  <c r="G187" i="49"/>
  <c r="D187" i="49"/>
  <c r="Z186" i="49"/>
  <c r="Y186" i="49"/>
  <c r="U186" i="49"/>
  <c r="R186" i="49"/>
  <c r="Q186" i="49"/>
  <c r="O186" i="49"/>
  <c r="K186" i="49"/>
  <c r="G186" i="49"/>
  <c r="D186" i="49"/>
  <c r="Z185" i="49"/>
  <c r="Y185" i="49"/>
  <c r="U185" i="49"/>
  <c r="Q185" i="49"/>
  <c r="O185" i="49"/>
  <c r="K185" i="49"/>
  <c r="G185" i="49"/>
  <c r="D185" i="49"/>
  <c r="Z184" i="49"/>
  <c r="Y184" i="49"/>
  <c r="U184" i="49"/>
  <c r="Q184" i="49"/>
  <c r="O184" i="49"/>
  <c r="K184" i="49"/>
  <c r="G184" i="49"/>
  <c r="Z183" i="49"/>
  <c r="Y183" i="49"/>
  <c r="U183" i="49"/>
  <c r="Q183" i="49"/>
  <c r="O183" i="49"/>
  <c r="K183" i="49"/>
  <c r="G183" i="49"/>
  <c r="Z182" i="49"/>
  <c r="Y182" i="49"/>
  <c r="U182" i="49"/>
  <c r="Q182" i="49"/>
  <c r="O182" i="49"/>
  <c r="K182" i="49"/>
  <c r="G182" i="49"/>
  <c r="Z181" i="49"/>
  <c r="Y181" i="49"/>
  <c r="U181" i="49"/>
  <c r="Q181" i="49"/>
  <c r="O181" i="49"/>
  <c r="K181" i="49"/>
  <c r="G181" i="49"/>
  <c r="Z180" i="49"/>
  <c r="Y180" i="49"/>
  <c r="U180" i="49"/>
  <c r="Q180" i="49"/>
  <c r="O180" i="49"/>
  <c r="K180" i="49"/>
  <c r="G180" i="49"/>
  <c r="Z179" i="49"/>
  <c r="Y179" i="49"/>
  <c r="U179" i="49"/>
  <c r="Q179" i="49"/>
  <c r="O179" i="49"/>
  <c r="K179" i="49"/>
  <c r="G179" i="49"/>
  <c r="Z178" i="49"/>
  <c r="Y178" i="49"/>
  <c r="U178" i="49"/>
  <c r="Q178" i="49"/>
  <c r="O178" i="49"/>
  <c r="K178" i="49"/>
  <c r="G178" i="49"/>
  <c r="Z177" i="49"/>
  <c r="Y177" i="49"/>
  <c r="U177" i="49"/>
  <c r="Q177" i="49"/>
  <c r="O177" i="49"/>
  <c r="K177" i="49"/>
  <c r="G177" i="49"/>
  <c r="Z176" i="49"/>
  <c r="Y176" i="49"/>
  <c r="U176" i="49"/>
  <c r="Q176" i="49"/>
  <c r="O176" i="49"/>
  <c r="K176" i="49"/>
  <c r="G176" i="49"/>
  <c r="Z175" i="49"/>
  <c r="Y175" i="49"/>
  <c r="U175" i="49"/>
  <c r="Q175" i="49"/>
  <c r="O175" i="49"/>
  <c r="K175" i="49"/>
  <c r="G175" i="49"/>
  <c r="Z174" i="49"/>
  <c r="Y174" i="49"/>
  <c r="U174" i="49"/>
  <c r="P174" i="49"/>
  <c r="X174" i="49" s="1"/>
  <c r="Z171" i="49"/>
  <c r="Y171" i="49"/>
  <c r="U171" i="49"/>
  <c r="R171" i="49"/>
  <c r="T171" i="49" s="1"/>
  <c r="Q171" i="49"/>
  <c r="O171" i="49"/>
  <c r="G171" i="49"/>
  <c r="D171" i="49"/>
  <c r="Z170" i="49"/>
  <c r="Y170" i="49"/>
  <c r="U170" i="49"/>
  <c r="T170" i="49"/>
  <c r="Q170" i="49"/>
  <c r="O170" i="49"/>
  <c r="K170" i="49"/>
  <c r="Z169" i="49"/>
  <c r="Y169" i="49"/>
  <c r="U169" i="49"/>
  <c r="R169" i="49"/>
  <c r="T169" i="49" s="1"/>
  <c r="Q169" i="49"/>
  <c r="O169" i="49"/>
  <c r="K169" i="49"/>
  <c r="G169" i="49"/>
  <c r="Z168" i="49"/>
  <c r="Y168" i="49"/>
  <c r="U168" i="49"/>
  <c r="R168" i="49"/>
  <c r="T168" i="49" s="1"/>
  <c r="Q168" i="49"/>
  <c r="O168" i="49"/>
  <c r="K168" i="49"/>
  <c r="G168" i="49"/>
  <c r="Z167" i="49"/>
  <c r="Y167" i="49"/>
  <c r="U167" i="49"/>
  <c r="T167" i="49"/>
  <c r="Q167" i="49"/>
  <c r="O167" i="49"/>
  <c r="K167" i="49"/>
  <c r="G167" i="49"/>
  <c r="Z166" i="49"/>
  <c r="Y166" i="49"/>
  <c r="U166" i="49"/>
  <c r="T166" i="49"/>
  <c r="Q166" i="49"/>
  <c r="O166" i="49"/>
  <c r="K166" i="49"/>
  <c r="G166" i="49"/>
  <c r="Z165" i="49"/>
  <c r="Y165" i="49"/>
  <c r="U165" i="49"/>
  <c r="T165" i="49"/>
  <c r="Q165" i="49"/>
  <c r="O165" i="49"/>
  <c r="K165" i="49"/>
  <c r="G165" i="49"/>
  <c r="Z164" i="49"/>
  <c r="Y164" i="49"/>
  <c r="U164" i="49"/>
  <c r="T164" i="49"/>
  <c r="Q164" i="49"/>
  <c r="O164" i="49"/>
  <c r="K164" i="49"/>
  <c r="G164" i="49"/>
  <c r="Z163" i="49"/>
  <c r="Y163" i="49"/>
  <c r="U163" i="49"/>
  <c r="T163" i="49"/>
  <c r="Q163" i="49"/>
  <c r="O163" i="49"/>
  <c r="K163" i="49"/>
  <c r="G163" i="49"/>
  <c r="Z162" i="49"/>
  <c r="Y162" i="49"/>
  <c r="U162" i="49"/>
  <c r="T162" i="49"/>
  <c r="Q162" i="49"/>
  <c r="O162" i="49"/>
  <c r="K162" i="49"/>
  <c r="G162" i="49"/>
  <c r="Z161" i="49"/>
  <c r="Y161" i="49"/>
  <c r="U161" i="49"/>
  <c r="T161" i="49"/>
  <c r="Q161" i="49"/>
  <c r="O161" i="49"/>
  <c r="K161" i="49"/>
  <c r="G161" i="49"/>
  <c r="Z160" i="49"/>
  <c r="Y160" i="49"/>
  <c r="U160" i="49"/>
  <c r="T160" i="49"/>
  <c r="Q160" i="49"/>
  <c r="O160" i="49"/>
  <c r="K160" i="49"/>
  <c r="G160" i="49"/>
  <c r="Z159" i="49"/>
  <c r="Y159" i="49"/>
  <c r="U159" i="49"/>
  <c r="T159" i="49"/>
  <c r="Q159" i="49"/>
  <c r="O159" i="49"/>
  <c r="K159" i="49"/>
  <c r="G159" i="49"/>
  <c r="Z158" i="49"/>
  <c r="Y158" i="49"/>
  <c r="U158" i="49"/>
  <c r="T158" i="49"/>
  <c r="Q158" i="49"/>
  <c r="O158" i="49"/>
  <c r="K158" i="49"/>
  <c r="G158" i="49"/>
  <c r="Z157" i="49"/>
  <c r="Y157" i="49"/>
  <c r="U157" i="49"/>
  <c r="T157" i="49"/>
  <c r="Q157" i="49"/>
  <c r="O157" i="49"/>
  <c r="K157" i="49"/>
  <c r="G157" i="49"/>
  <c r="Z156" i="49"/>
  <c r="Y156" i="49"/>
  <c r="U156" i="49"/>
  <c r="T156" i="49"/>
  <c r="Q156" i="49"/>
  <c r="O156" i="49"/>
  <c r="K156" i="49"/>
  <c r="G156" i="49"/>
  <c r="Z155" i="49"/>
  <c r="Y155" i="49"/>
  <c r="U155" i="49"/>
  <c r="T155" i="49"/>
  <c r="Q155" i="49"/>
  <c r="O155" i="49"/>
  <c r="K155" i="49"/>
  <c r="G155" i="49"/>
  <c r="Z154" i="49"/>
  <c r="Y154" i="49"/>
  <c r="U154" i="49"/>
  <c r="T154" i="49"/>
  <c r="Q154" i="49"/>
  <c r="O154" i="49"/>
  <c r="K154" i="49"/>
  <c r="G154" i="49"/>
  <c r="Z153" i="49"/>
  <c r="Y153" i="49"/>
  <c r="U153" i="49"/>
  <c r="T153" i="49"/>
  <c r="Q153" i="49"/>
  <c r="O153" i="49"/>
  <c r="K153" i="49"/>
  <c r="G153" i="49"/>
  <c r="Z152" i="49"/>
  <c r="Y152" i="49"/>
  <c r="U152" i="49"/>
  <c r="T152" i="49"/>
  <c r="Q152" i="49"/>
  <c r="O152" i="49"/>
  <c r="K152" i="49"/>
  <c r="G152" i="49"/>
  <c r="Z151" i="49"/>
  <c r="Y151" i="49"/>
  <c r="U151" i="49"/>
  <c r="T151" i="49"/>
  <c r="Q151" i="49"/>
  <c r="O151" i="49"/>
  <c r="K151" i="49"/>
  <c r="G151" i="49"/>
  <c r="Z150" i="49"/>
  <c r="Y150" i="49"/>
  <c r="U150" i="49"/>
  <c r="T150" i="49"/>
  <c r="Q150" i="49"/>
  <c r="O150" i="49"/>
  <c r="K150" i="49"/>
  <c r="G150" i="49"/>
  <c r="Z149" i="49"/>
  <c r="Y149" i="49"/>
  <c r="U149" i="49"/>
  <c r="T149" i="49"/>
  <c r="Q149" i="49"/>
  <c r="O149" i="49"/>
  <c r="K149" i="49"/>
  <c r="G149" i="49"/>
  <c r="Z147" i="49"/>
  <c r="Y147" i="49"/>
  <c r="U147" i="49"/>
  <c r="R147" i="49"/>
  <c r="T147" i="49" s="1"/>
  <c r="Q147" i="49"/>
  <c r="O147" i="49"/>
  <c r="M147" i="49"/>
  <c r="K147" i="49"/>
  <c r="D147" i="49"/>
  <c r="Z146" i="49"/>
  <c r="Y146" i="49"/>
  <c r="U146" i="49"/>
  <c r="R146" i="49"/>
  <c r="T146" i="49" s="1"/>
  <c r="Q146" i="49"/>
  <c r="O146" i="49"/>
  <c r="K146" i="49"/>
  <c r="G146" i="49"/>
  <c r="D146" i="49"/>
  <c r="Z145" i="49"/>
  <c r="Y145" i="49"/>
  <c r="U145" i="49"/>
  <c r="R145" i="49"/>
  <c r="T145" i="49" s="1"/>
  <c r="Q145" i="49"/>
  <c r="O145" i="49"/>
  <c r="M145" i="49"/>
  <c r="L145" i="49"/>
  <c r="K145" i="49"/>
  <c r="G145" i="49"/>
  <c r="AA145" i="49" s="1"/>
  <c r="D145" i="49"/>
  <c r="Z144" i="49"/>
  <c r="Y144" i="49"/>
  <c r="U144" i="49"/>
  <c r="R144" i="49"/>
  <c r="T144" i="49" s="1"/>
  <c r="Q144" i="49"/>
  <c r="O144" i="49"/>
  <c r="M144" i="49"/>
  <c r="L144" i="49"/>
  <c r="K144" i="49"/>
  <c r="G144" i="49"/>
  <c r="AA144" i="49" s="1"/>
  <c r="D144" i="49"/>
  <c r="Z143" i="49"/>
  <c r="Z142" i="49"/>
  <c r="Y142" i="49"/>
  <c r="U142" i="49"/>
  <c r="R142" i="49"/>
  <c r="Q142" i="49"/>
  <c r="O142" i="49"/>
  <c r="Z141" i="49"/>
  <c r="Y141" i="49"/>
  <c r="U141" i="49"/>
  <c r="R141" i="49"/>
  <c r="Q141" i="49"/>
  <c r="O141" i="49"/>
  <c r="K141" i="49"/>
  <c r="G141" i="49"/>
  <c r="Z140" i="49"/>
  <c r="Y140" i="49"/>
  <c r="U140" i="49"/>
  <c r="T140" i="49"/>
  <c r="Q140" i="49"/>
  <c r="O140" i="49"/>
  <c r="K140" i="49"/>
  <c r="G140" i="49"/>
  <c r="Z139" i="49"/>
  <c r="Y139" i="49"/>
  <c r="U139" i="49"/>
  <c r="T139" i="49"/>
  <c r="Q139" i="49"/>
  <c r="O139" i="49"/>
  <c r="K139" i="49"/>
  <c r="G139" i="49"/>
  <c r="Z138" i="49"/>
  <c r="Y138" i="49"/>
  <c r="U138" i="49"/>
  <c r="T138" i="49"/>
  <c r="Q138" i="49"/>
  <c r="O138" i="49"/>
  <c r="K138" i="49"/>
  <c r="G138" i="49"/>
  <c r="Z137" i="49"/>
  <c r="Y137" i="49"/>
  <c r="U137" i="49"/>
  <c r="R137" i="49"/>
  <c r="T137" i="49" s="1"/>
  <c r="Q137" i="49"/>
  <c r="O137" i="49"/>
  <c r="K137" i="49"/>
  <c r="G137" i="49"/>
  <c r="Z136" i="49"/>
  <c r="Y136" i="49"/>
  <c r="U136" i="49"/>
  <c r="T136" i="49"/>
  <c r="Q136" i="49"/>
  <c r="O136" i="49"/>
  <c r="K136" i="49"/>
  <c r="G136" i="49"/>
  <c r="Z135" i="49"/>
  <c r="Y135" i="49"/>
  <c r="U135" i="49"/>
  <c r="T135" i="49"/>
  <c r="Q135" i="49"/>
  <c r="O135" i="49"/>
  <c r="K135" i="49"/>
  <c r="G135" i="49"/>
  <c r="Z134" i="49"/>
  <c r="Y134" i="49"/>
  <c r="U134" i="49"/>
  <c r="T134" i="49"/>
  <c r="Q134" i="49"/>
  <c r="O134" i="49"/>
  <c r="K134" i="49"/>
  <c r="G134" i="49"/>
  <c r="Z133" i="49"/>
  <c r="Y133" i="49"/>
  <c r="U133" i="49"/>
  <c r="T133" i="49"/>
  <c r="Q133" i="49"/>
  <c r="O133" i="49"/>
  <c r="K133" i="49"/>
  <c r="G133" i="49"/>
  <c r="Z132" i="49"/>
  <c r="Y132" i="49"/>
  <c r="U132" i="49"/>
  <c r="T132" i="49"/>
  <c r="Q132" i="49"/>
  <c r="O132" i="49"/>
  <c r="K132" i="49"/>
  <c r="G132" i="49"/>
  <c r="Z131" i="49"/>
  <c r="Y131" i="49"/>
  <c r="U131" i="49"/>
  <c r="T131" i="49"/>
  <c r="Q131" i="49"/>
  <c r="O131" i="49"/>
  <c r="K131" i="49"/>
  <c r="G131" i="49"/>
  <c r="Z130" i="49"/>
  <c r="Y130" i="49"/>
  <c r="U130" i="49"/>
  <c r="T130" i="49"/>
  <c r="Q130" i="49"/>
  <c r="O130" i="49"/>
  <c r="K130" i="49"/>
  <c r="G130" i="49"/>
  <c r="Z129" i="49"/>
  <c r="Y129" i="49"/>
  <c r="U129" i="49"/>
  <c r="T129" i="49"/>
  <c r="Q129" i="49"/>
  <c r="O129" i="49"/>
  <c r="K129" i="49"/>
  <c r="G129" i="49"/>
  <c r="Z128" i="49"/>
  <c r="Y128" i="49"/>
  <c r="U128" i="49"/>
  <c r="T128" i="49"/>
  <c r="Q128" i="49"/>
  <c r="O128" i="49"/>
  <c r="K128" i="49"/>
  <c r="G128" i="49"/>
  <c r="Z127" i="49"/>
  <c r="Y127" i="49"/>
  <c r="U127" i="49"/>
  <c r="T127" i="49"/>
  <c r="Q127" i="49"/>
  <c r="O127" i="49"/>
  <c r="K127" i="49"/>
  <c r="G127" i="49"/>
  <c r="Z126" i="49"/>
  <c r="Y126" i="49"/>
  <c r="U126" i="49"/>
  <c r="T126" i="49"/>
  <c r="Q126" i="49"/>
  <c r="O126" i="49"/>
  <c r="K126" i="49"/>
  <c r="G126" i="49"/>
  <c r="Z125" i="49"/>
  <c r="Y125" i="49"/>
  <c r="U125" i="49"/>
  <c r="T125" i="49"/>
  <c r="Q125" i="49"/>
  <c r="O125" i="49"/>
  <c r="K125" i="49"/>
  <c r="G125" i="49"/>
  <c r="Z124" i="49"/>
  <c r="Y124" i="49"/>
  <c r="U124" i="49"/>
  <c r="T124" i="49"/>
  <c r="Q124" i="49"/>
  <c r="O124" i="49"/>
  <c r="K124" i="49"/>
  <c r="G124" i="49"/>
  <c r="Z123" i="49"/>
  <c r="Y123" i="49"/>
  <c r="U123" i="49"/>
  <c r="T123" i="49"/>
  <c r="Q123" i="49"/>
  <c r="O123" i="49"/>
  <c r="K123" i="49"/>
  <c r="G123" i="49"/>
  <c r="Z122" i="49"/>
  <c r="Y122" i="49"/>
  <c r="U122" i="49"/>
  <c r="T122" i="49"/>
  <c r="Q122" i="49"/>
  <c r="O122" i="49"/>
  <c r="K122" i="49"/>
  <c r="G122" i="49"/>
  <c r="Z121" i="49"/>
  <c r="Y121" i="49"/>
  <c r="U121" i="49"/>
  <c r="T121" i="49"/>
  <c r="Q121" i="49"/>
  <c r="O121" i="49"/>
  <c r="K121" i="49"/>
  <c r="G121" i="49"/>
  <c r="Z120" i="49"/>
  <c r="Y120" i="49"/>
  <c r="U120" i="49"/>
  <c r="T120" i="49"/>
  <c r="Q120" i="49"/>
  <c r="O120" i="49"/>
  <c r="K120" i="49"/>
  <c r="G120" i="49"/>
  <c r="Z119" i="49"/>
  <c r="Y119" i="49"/>
  <c r="U119" i="49"/>
  <c r="T119" i="49"/>
  <c r="Q119" i="49"/>
  <c r="O119" i="49"/>
  <c r="K119" i="49"/>
  <c r="G119" i="49"/>
  <c r="Z118" i="49"/>
  <c r="Y118" i="49"/>
  <c r="U118" i="49"/>
  <c r="T118" i="49"/>
  <c r="Q118" i="49"/>
  <c r="O118" i="49"/>
  <c r="K118" i="49"/>
  <c r="G118" i="49"/>
  <c r="Z117" i="49"/>
  <c r="Y117" i="49"/>
  <c r="U117" i="49"/>
  <c r="T117" i="49"/>
  <c r="Q117" i="49"/>
  <c r="O117" i="49"/>
  <c r="K117" i="49"/>
  <c r="G117" i="49"/>
  <c r="Z116" i="49"/>
  <c r="Y116" i="49"/>
  <c r="U116" i="49"/>
  <c r="T116" i="49"/>
  <c r="Q116" i="49"/>
  <c r="O116" i="49"/>
  <c r="K116" i="49"/>
  <c r="G116" i="49"/>
  <c r="Z115" i="49"/>
  <c r="Y115" i="49"/>
  <c r="U115" i="49"/>
  <c r="T115" i="49"/>
  <c r="Q115" i="49"/>
  <c r="O115" i="49"/>
  <c r="K115" i="49"/>
  <c r="G115" i="49"/>
  <c r="Z114" i="49"/>
  <c r="Y114" i="49"/>
  <c r="U114" i="49"/>
  <c r="T114" i="49"/>
  <c r="Q114" i="49"/>
  <c r="O114" i="49"/>
  <c r="K114" i="49"/>
  <c r="G114" i="49"/>
  <c r="Z113" i="49"/>
  <c r="Y113" i="49"/>
  <c r="U113" i="49"/>
  <c r="T113" i="49"/>
  <c r="Q113" i="49"/>
  <c r="O113" i="49"/>
  <c r="K113" i="49"/>
  <c r="G113" i="49"/>
  <c r="Z112" i="49"/>
  <c r="Y112" i="49"/>
  <c r="U112" i="49"/>
  <c r="T112" i="49"/>
  <c r="Q112" i="49"/>
  <c r="O112" i="49"/>
  <c r="K112" i="49"/>
  <c r="G112" i="49"/>
  <c r="Z111" i="49"/>
  <c r="Y111" i="49"/>
  <c r="U111" i="49"/>
  <c r="T111" i="49"/>
  <c r="Q111" i="49"/>
  <c r="O111" i="49"/>
  <c r="K111" i="49"/>
  <c r="G111" i="49"/>
  <c r="Z110" i="49"/>
  <c r="Y110" i="49"/>
  <c r="U110" i="49"/>
  <c r="T110" i="49"/>
  <c r="Q110" i="49"/>
  <c r="O110" i="49"/>
  <c r="K110" i="49"/>
  <c r="G110" i="49"/>
  <c r="Z109" i="49"/>
  <c r="Y109" i="49"/>
  <c r="U109" i="49"/>
  <c r="T109" i="49"/>
  <c r="Q109" i="49"/>
  <c r="O109" i="49"/>
  <c r="K109" i="49"/>
  <c r="G109" i="49"/>
  <c r="Z108" i="49"/>
  <c r="Y108" i="49"/>
  <c r="U108" i="49"/>
  <c r="T108" i="49"/>
  <c r="Q108" i="49"/>
  <c r="O108" i="49"/>
  <c r="K108" i="49"/>
  <c r="G108" i="49"/>
  <c r="Z107" i="49"/>
  <c r="Y107" i="49"/>
  <c r="U107" i="49"/>
  <c r="T107" i="49"/>
  <c r="Q107" i="49"/>
  <c r="O107" i="49"/>
  <c r="K107" i="49"/>
  <c r="G107" i="49"/>
  <c r="Z106" i="49"/>
  <c r="Y106" i="49"/>
  <c r="U106" i="49"/>
  <c r="T106" i="49"/>
  <c r="Q106" i="49"/>
  <c r="O106" i="49"/>
  <c r="K106" i="49"/>
  <c r="G106" i="49"/>
  <c r="Z105" i="49"/>
  <c r="Y105" i="49"/>
  <c r="U105" i="49"/>
  <c r="T105" i="49"/>
  <c r="Q105" i="49"/>
  <c r="O105" i="49"/>
  <c r="K105" i="49"/>
  <c r="G105" i="49"/>
  <c r="Z104" i="49"/>
  <c r="Y104" i="49"/>
  <c r="U104" i="49"/>
  <c r="T104" i="49"/>
  <c r="Q104" i="49"/>
  <c r="O104" i="49"/>
  <c r="K104" i="49"/>
  <c r="G104" i="49"/>
  <c r="Z103" i="49"/>
  <c r="Y103" i="49"/>
  <c r="U103" i="49"/>
  <c r="T103" i="49"/>
  <c r="Q103" i="49"/>
  <c r="O103" i="49"/>
  <c r="K103" i="49"/>
  <c r="G103" i="49"/>
  <c r="Z102" i="49"/>
  <c r="Y102" i="49"/>
  <c r="U102" i="49"/>
  <c r="T102" i="49"/>
  <c r="Q102" i="49"/>
  <c r="O102" i="49"/>
  <c r="K102" i="49"/>
  <c r="G102" i="49"/>
  <c r="Z101" i="49"/>
  <c r="Y101" i="49"/>
  <c r="U101" i="49"/>
  <c r="T101" i="49"/>
  <c r="Q101" i="49"/>
  <c r="O101" i="49"/>
  <c r="K101" i="49"/>
  <c r="G101" i="49"/>
  <c r="Z100" i="49"/>
  <c r="Y100" i="49"/>
  <c r="U100" i="49"/>
  <c r="T100" i="49"/>
  <c r="Q100" i="49"/>
  <c r="O100" i="49"/>
  <c r="K100" i="49"/>
  <c r="G100" i="49"/>
  <c r="Z99" i="49"/>
  <c r="Y99" i="49"/>
  <c r="U99" i="49"/>
  <c r="T99" i="49"/>
  <c r="Q99" i="49"/>
  <c r="O99" i="49"/>
  <c r="K99" i="49"/>
  <c r="G99" i="49"/>
  <c r="Z98" i="49"/>
  <c r="Y98" i="49"/>
  <c r="U98" i="49"/>
  <c r="T98" i="49"/>
  <c r="Q98" i="49"/>
  <c r="O98" i="49"/>
  <c r="K98" i="49"/>
  <c r="G98" i="49"/>
  <c r="Z97" i="49"/>
  <c r="Y97" i="49"/>
  <c r="U97" i="49"/>
  <c r="T97" i="49"/>
  <c r="Q97" i="49"/>
  <c r="O97" i="49"/>
  <c r="K97" i="49"/>
  <c r="G97" i="49"/>
  <c r="Z96" i="49"/>
  <c r="Y96" i="49"/>
  <c r="U96" i="49"/>
  <c r="T96" i="49"/>
  <c r="Q96" i="49"/>
  <c r="O96" i="49"/>
  <c r="K96" i="49"/>
  <c r="G96" i="49"/>
  <c r="Z95" i="49"/>
  <c r="Y95" i="49"/>
  <c r="U95" i="49"/>
  <c r="T95" i="49"/>
  <c r="Q95" i="49"/>
  <c r="O95" i="49"/>
  <c r="K95" i="49"/>
  <c r="G95" i="49"/>
  <c r="Z94" i="49"/>
  <c r="Y94" i="49"/>
  <c r="U94" i="49"/>
  <c r="T94" i="49"/>
  <c r="Q94" i="49"/>
  <c r="O94" i="49"/>
  <c r="K94" i="49"/>
  <c r="G94" i="49"/>
  <c r="Z93" i="49"/>
  <c r="Y93" i="49"/>
  <c r="U93" i="49"/>
  <c r="T93" i="49"/>
  <c r="Q93" i="49"/>
  <c r="O93" i="49"/>
  <c r="K93" i="49"/>
  <c r="G93" i="49"/>
  <c r="Z92" i="49"/>
  <c r="Y92" i="49"/>
  <c r="U92" i="49"/>
  <c r="T92" i="49"/>
  <c r="Q92" i="49"/>
  <c r="O92" i="49"/>
  <c r="K92" i="49"/>
  <c r="G92" i="49"/>
  <c r="Z91" i="49"/>
  <c r="Y91" i="49"/>
  <c r="U91" i="49"/>
  <c r="T91" i="49"/>
  <c r="Q91" i="49"/>
  <c r="O91" i="49"/>
  <c r="K91" i="49"/>
  <c r="G91" i="49"/>
  <c r="Z90" i="49"/>
  <c r="Y90" i="49"/>
  <c r="U90" i="49"/>
  <c r="T90" i="49"/>
  <c r="Q90" i="49"/>
  <c r="O90" i="49"/>
  <c r="K90" i="49"/>
  <c r="G90" i="49"/>
  <c r="Z89" i="49"/>
  <c r="Y89" i="49"/>
  <c r="U89" i="49"/>
  <c r="T89" i="49"/>
  <c r="Q89" i="49"/>
  <c r="O89" i="49"/>
  <c r="K89" i="49"/>
  <c r="G89" i="49"/>
  <c r="Z88" i="49"/>
  <c r="Y88" i="49"/>
  <c r="U88" i="49"/>
  <c r="T88" i="49"/>
  <c r="Q88" i="49"/>
  <c r="O88" i="49"/>
  <c r="K88" i="49"/>
  <c r="G88" i="49"/>
  <c r="Z87" i="49"/>
  <c r="Y87" i="49"/>
  <c r="U87" i="49"/>
  <c r="T87" i="49"/>
  <c r="Q87" i="49"/>
  <c r="O87" i="49"/>
  <c r="K87" i="49"/>
  <c r="G87" i="49"/>
  <c r="Z86" i="49"/>
  <c r="Y86" i="49"/>
  <c r="U86" i="49"/>
  <c r="T86" i="49"/>
  <c r="Q86" i="49"/>
  <c r="O86" i="49"/>
  <c r="K86" i="49"/>
  <c r="G86" i="49"/>
  <c r="Z85" i="49"/>
  <c r="Y85" i="49"/>
  <c r="U85" i="49"/>
  <c r="T85" i="49"/>
  <c r="Q85" i="49"/>
  <c r="O85" i="49"/>
  <c r="K85" i="49"/>
  <c r="G85" i="49"/>
  <c r="Z84" i="49"/>
  <c r="Y84" i="49"/>
  <c r="U84" i="49"/>
  <c r="T84" i="49"/>
  <c r="Q84" i="49"/>
  <c r="O84" i="49"/>
  <c r="K84" i="49"/>
  <c r="G84" i="49"/>
  <c r="Z83" i="49"/>
  <c r="Y83" i="49"/>
  <c r="U83" i="49"/>
  <c r="T83" i="49"/>
  <c r="Q83" i="49"/>
  <c r="O83" i="49"/>
  <c r="K83" i="49"/>
  <c r="G83" i="49"/>
  <c r="Z82" i="49"/>
  <c r="Y82" i="49"/>
  <c r="U82" i="49"/>
  <c r="T82" i="49"/>
  <c r="Q82" i="49"/>
  <c r="O82" i="49"/>
  <c r="K82" i="49"/>
  <c r="G82" i="49"/>
  <c r="Z81" i="49"/>
  <c r="Y81" i="49"/>
  <c r="U81" i="49"/>
  <c r="T81" i="49"/>
  <c r="Q81" i="49"/>
  <c r="O81" i="49"/>
  <c r="K81" i="49"/>
  <c r="G81" i="49"/>
  <c r="Z80" i="49"/>
  <c r="Y80" i="49"/>
  <c r="U80" i="49"/>
  <c r="T80" i="49"/>
  <c r="Q80" i="49"/>
  <c r="O80" i="49"/>
  <c r="K80" i="49"/>
  <c r="G80" i="49"/>
  <c r="Z79" i="49"/>
  <c r="Y79" i="49"/>
  <c r="U79" i="49"/>
  <c r="T79" i="49"/>
  <c r="Q79" i="49"/>
  <c r="O79" i="49"/>
  <c r="K79" i="49"/>
  <c r="G79" i="49"/>
  <c r="Z78" i="49"/>
  <c r="Y78" i="49"/>
  <c r="U78" i="49"/>
  <c r="T78" i="49"/>
  <c r="Q78" i="49"/>
  <c r="O78" i="49"/>
  <c r="K78" i="49"/>
  <c r="G78" i="49"/>
  <c r="Z77" i="49"/>
  <c r="Y77" i="49"/>
  <c r="U77" i="49"/>
  <c r="T77" i="49"/>
  <c r="Q77" i="49"/>
  <c r="O77" i="49"/>
  <c r="K77" i="49"/>
  <c r="G77" i="49"/>
  <c r="Z76" i="49"/>
  <c r="Y76" i="49"/>
  <c r="U76" i="49"/>
  <c r="T76" i="49"/>
  <c r="Q76" i="49"/>
  <c r="O76" i="49"/>
  <c r="K76" i="49"/>
  <c r="G76" i="49"/>
  <c r="Z75" i="49"/>
  <c r="Y75" i="49"/>
  <c r="U75" i="49"/>
  <c r="T75" i="49"/>
  <c r="Q75" i="49"/>
  <c r="O75" i="49"/>
  <c r="K75" i="49"/>
  <c r="G75" i="49"/>
  <c r="Z74" i="49"/>
  <c r="Y74" i="49"/>
  <c r="U74" i="49"/>
  <c r="T74" i="49"/>
  <c r="Q74" i="49"/>
  <c r="O74" i="49"/>
  <c r="K74" i="49"/>
  <c r="G74" i="49"/>
  <c r="Z73" i="49"/>
  <c r="Y73" i="49"/>
  <c r="U73" i="49"/>
  <c r="T73" i="49"/>
  <c r="Q73" i="49"/>
  <c r="O73" i="49"/>
  <c r="K73" i="49"/>
  <c r="G73" i="49"/>
  <c r="Z72" i="49"/>
  <c r="Y72" i="49"/>
  <c r="U72" i="49"/>
  <c r="T72" i="49"/>
  <c r="Q72" i="49"/>
  <c r="O72" i="49"/>
  <c r="K72" i="49"/>
  <c r="G72" i="49"/>
  <c r="Z71" i="49"/>
  <c r="Y71" i="49"/>
  <c r="U71" i="49"/>
  <c r="T71" i="49"/>
  <c r="Q71" i="49"/>
  <c r="O71" i="49"/>
  <c r="K71" i="49"/>
  <c r="G71" i="49"/>
  <c r="Z70" i="49"/>
  <c r="Y70" i="49"/>
  <c r="U70" i="49"/>
  <c r="T70" i="49"/>
  <c r="Q70" i="49"/>
  <c r="O70" i="49"/>
  <c r="K70" i="49"/>
  <c r="G70" i="49"/>
  <c r="Z69" i="49"/>
  <c r="Y69" i="49"/>
  <c r="U69" i="49"/>
  <c r="T69" i="49"/>
  <c r="Q69" i="49"/>
  <c r="O69" i="49"/>
  <c r="K69" i="49"/>
  <c r="G69" i="49"/>
  <c r="Z68" i="49"/>
  <c r="Y68" i="49"/>
  <c r="U68" i="49"/>
  <c r="T68" i="49"/>
  <c r="Q68" i="49"/>
  <c r="O68" i="49"/>
  <c r="K68" i="49"/>
  <c r="G68" i="49"/>
  <c r="Z67" i="49"/>
  <c r="Y67" i="49"/>
  <c r="U67" i="49"/>
  <c r="T67" i="49"/>
  <c r="Q67" i="49"/>
  <c r="O67" i="49"/>
  <c r="K67" i="49"/>
  <c r="G67" i="49"/>
  <c r="Z66" i="49"/>
  <c r="Y66" i="49"/>
  <c r="U66" i="49"/>
  <c r="T66" i="49"/>
  <c r="Q66" i="49"/>
  <c r="O66" i="49"/>
  <c r="K66" i="49"/>
  <c r="G66" i="49"/>
  <c r="Z65" i="49"/>
  <c r="Y65" i="49"/>
  <c r="U65" i="49"/>
  <c r="T65" i="49"/>
  <c r="Q65" i="49"/>
  <c r="O65" i="49"/>
  <c r="K65" i="49"/>
  <c r="G65" i="49"/>
  <c r="Z64" i="49"/>
  <c r="Y64" i="49"/>
  <c r="U64" i="49"/>
  <c r="T64" i="49"/>
  <c r="Q64" i="49"/>
  <c r="O64" i="49"/>
  <c r="K64" i="49"/>
  <c r="G64" i="49"/>
  <c r="Z63" i="49"/>
  <c r="Y63" i="49"/>
  <c r="U63" i="49"/>
  <c r="T63" i="49"/>
  <c r="Q63" i="49"/>
  <c r="O63" i="49"/>
  <c r="K63" i="49"/>
  <c r="G63" i="49"/>
  <c r="Z62" i="49"/>
  <c r="Y62" i="49"/>
  <c r="U62" i="49"/>
  <c r="T62" i="49"/>
  <c r="Q62" i="49"/>
  <c r="O62" i="49"/>
  <c r="K62" i="49"/>
  <c r="G62" i="49"/>
  <c r="Z61" i="49"/>
  <c r="Y61" i="49"/>
  <c r="U61" i="49"/>
  <c r="T61" i="49"/>
  <c r="Q61" i="49"/>
  <c r="O61" i="49"/>
  <c r="K61" i="49"/>
  <c r="G61" i="49"/>
  <c r="Z60" i="49"/>
  <c r="Y60" i="49"/>
  <c r="U60" i="49"/>
  <c r="T60" i="49"/>
  <c r="Q60" i="49"/>
  <c r="O60" i="49"/>
  <c r="K60" i="49"/>
  <c r="G60" i="49"/>
  <c r="Z59" i="49"/>
  <c r="Y59" i="49"/>
  <c r="U59" i="49"/>
  <c r="T59" i="49"/>
  <c r="Q59" i="49"/>
  <c r="O59" i="49"/>
  <c r="K59" i="49"/>
  <c r="G59" i="49"/>
  <c r="Z58" i="49"/>
  <c r="Y58" i="49"/>
  <c r="U58" i="49"/>
  <c r="T58" i="49"/>
  <c r="Q58" i="49"/>
  <c r="O58" i="49"/>
  <c r="K58" i="49"/>
  <c r="G58" i="49"/>
  <c r="Z57" i="49"/>
  <c r="Y57" i="49"/>
  <c r="U57" i="49"/>
  <c r="T57" i="49"/>
  <c r="Q57" i="49"/>
  <c r="O57" i="49"/>
  <c r="K57" i="49"/>
  <c r="G57" i="49"/>
  <c r="Z56" i="49"/>
  <c r="Y56" i="49"/>
  <c r="U56" i="49"/>
  <c r="T56" i="49"/>
  <c r="Q56" i="49"/>
  <c r="O56" i="49"/>
  <c r="K56" i="49"/>
  <c r="G56" i="49"/>
  <c r="Z55" i="49"/>
  <c r="Y55" i="49"/>
  <c r="U55" i="49"/>
  <c r="T55" i="49"/>
  <c r="Q55" i="49"/>
  <c r="O55" i="49"/>
  <c r="K55" i="49"/>
  <c r="G55" i="49"/>
  <c r="Z54" i="49"/>
  <c r="Y54" i="49"/>
  <c r="U54" i="49"/>
  <c r="T54" i="49"/>
  <c r="Q54" i="49"/>
  <c r="O54" i="49"/>
  <c r="K54" i="49"/>
  <c r="G54" i="49"/>
  <c r="Z53" i="49"/>
  <c r="Y53" i="49"/>
  <c r="U53" i="49"/>
  <c r="T53" i="49"/>
  <c r="Q53" i="49"/>
  <c r="O53" i="49"/>
  <c r="K53" i="49"/>
  <c r="G53" i="49"/>
  <c r="Z52" i="49"/>
  <c r="Y52" i="49"/>
  <c r="U52" i="49"/>
  <c r="T52" i="49"/>
  <c r="Q52" i="49"/>
  <c r="O52" i="49"/>
  <c r="K52" i="49"/>
  <c r="G52" i="49"/>
  <c r="Z51" i="49"/>
  <c r="Y51" i="49"/>
  <c r="U51" i="49"/>
  <c r="T51" i="49"/>
  <c r="Q51" i="49"/>
  <c r="O51" i="49"/>
  <c r="K51" i="49"/>
  <c r="G51" i="49"/>
  <c r="Z50" i="49"/>
  <c r="Y50" i="49"/>
  <c r="U50" i="49"/>
  <c r="T50" i="49"/>
  <c r="Q50" i="49"/>
  <c r="O50" i="49"/>
  <c r="K50" i="49"/>
  <c r="G50" i="49"/>
  <c r="Z49" i="49"/>
  <c r="Y49" i="49"/>
  <c r="U49" i="49"/>
  <c r="T49" i="49"/>
  <c r="Q49" i="49"/>
  <c r="O49" i="49"/>
  <c r="K49" i="49"/>
  <c r="G49" i="49"/>
  <c r="Z48" i="49"/>
  <c r="Y48" i="49"/>
  <c r="U48" i="49"/>
  <c r="T48" i="49"/>
  <c r="Q48" i="49"/>
  <c r="O48" i="49"/>
  <c r="K48" i="49"/>
  <c r="G48" i="49"/>
  <c r="Z47" i="49"/>
  <c r="Y47" i="49"/>
  <c r="U47" i="49"/>
  <c r="T47" i="49"/>
  <c r="Q47" i="49"/>
  <c r="O47" i="49"/>
  <c r="K47" i="49"/>
  <c r="G47" i="49"/>
  <c r="Z46" i="49"/>
  <c r="Y46" i="49"/>
  <c r="U46" i="49"/>
  <c r="T46" i="49"/>
  <c r="Q46" i="49"/>
  <c r="O46" i="49"/>
  <c r="K46" i="49"/>
  <c r="G46" i="49"/>
  <c r="Z45" i="49"/>
  <c r="Y45" i="49"/>
  <c r="U45" i="49"/>
  <c r="T45" i="49"/>
  <c r="Q45" i="49"/>
  <c r="O45" i="49"/>
  <c r="K45" i="49"/>
  <c r="G45" i="49"/>
  <c r="Z44" i="49"/>
  <c r="Y44" i="49"/>
  <c r="U44" i="49"/>
  <c r="T44" i="49"/>
  <c r="Q44" i="49"/>
  <c r="O44" i="49"/>
  <c r="K44" i="49"/>
  <c r="G44" i="49"/>
  <c r="Z43" i="49"/>
  <c r="Y43" i="49"/>
  <c r="U43" i="49"/>
  <c r="T43" i="49"/>
  <c r="Q43" i="49"/>
  <c r="O43" i="49"/>
  <c r="K43" i="49"/>
  <c r="G43" i="49"/>
  <c r="Z42" i="49"/>
  <c r="Y42" i="49"/>
  <c r="U42" i="49"/>
  <c r="T42" i="49"/>
  <c r="Q42" i="49"/>
  <c r="O42" i="49"/>
  <c r="K42" i="49"/>
  <c r="G42" i="49"/>
  <c r="Z41" i="49"/>
  <c r="Y41" i="49"/>
  <c r="U41" i="49"/>
  <c r="T41" i="49"/>
  <c r="Q41" i="49"/>
  <c r="O41" i="49"/>
  <c r="K41" i="49"/>
  <c r="G41" i="49"/>
  <c r="D35" i="40"/>
  <c r="G35" i="40"/>
  <c r="AA35" i="40" s="1"/>
  <c r="K35" i="40"/>
  <c r="L35" i="40"/>
  <c r="O35" i="40"/>
  <c r="Q35" i="40"/>
  <c r="R35" i="40"/>
  <c r="T35" i="40" s="1"/>
  <c r="U35" i="40"/>
  <c r="Y35" i="40"/>
  <c r="Z35" i="40"/>
  <c r="Z20" i="48"/>
  <c r="Y20" i="48"/>
  <c r="O20" i="48" s="1"/>
  <c r="U20" i="48"/>
  <c r="T20" i="48"/>
  <c r="M20" i="48"/>
  <c r="L20" i="48"/>
  <c r="K20" i="48"/>
  <c r="G20" i="48"/>
  <c r="AA20" i="48" s="1"/>
  <c r="D20" i="48"/>
  <c r="Z88" i="46"/>
  <c r="Y88" i="46"/>
  <c r="O88" i="46" s="1"/>
  <c r="T88" i="46"/>
  <c r="M88" i="46"/>
  <c r="L88" i="46"/>
  <c r="K88" i="46"/>
  <c r="G88" i="46"/>
  <c r="AA88" i="46" s="1"/>
  <c r="D88" i="46"/>
  <c r="AA22" i="48"/>
  <c r="P291" i="49" l="1"/>
  <c r="P298" i="49"/>
  <c r="P290" i="49"/>
  <c r="H354" i="49"/>
  <c r="P354" i="49" s="1"/>
  <c r="AA354" i="49"/>
  <c r="AA362" i="49"/>
  <c r="T354" i="49"/>
  <c r="Q354" i="49" s="1"/>
  <c r="Q362" i="49" s="1"/>
  <c r="R362" i="49"/>
  <c r="O362" i="49"/>
  <c r="H353" i="49"/>
  <c r="H362" i="49" s="1"/>
  <c r="G362" i="49"/>
  <c r="P20" i="48"/>
  <c r="O360" i="49"/>
  <c r="G597" i="50"/>
  <c r="G598" i="50" s="1"/>
  <c r="G599" i="50" s="1"/>
  <c r="G600" i="50" s="1"/>
  <c r="G601" i="50" s="1"/>
  <c r="G602" i="50" s="1"/>
  <c r="G603" i="50" s="1"/>
  <c r="G604" i="50" s="1"/>
  <c r="G605" i="50" s="1"/>
  <c r="G606" i="50" s="1"/>
  <c r="G607" i="50" s="1"/>
  <c r="G608" i="50" s="1"/>
  <c r="G609" i="50" s="1"/>
  <c r="G610" i="50" s="1"/>
  <c r="G611" i="50" s="1"/>
  <c r="G612" i="50" s="1"/>
  <c r="G613" i="50" s="1"/>
  <c r="G614" i="50" s="1"/>
  <c r="G615" i="50" s="1"/>
  <c r="G616" i="50" s="1"/>
  <c r="G617" i="50" s="1"/>
  <c r="G618" i="50" s="1"/>
  <c r="G619" i="50" s="1"/>
  <c r="G620" i="50" s="1"/>
  <c r="G621" i="50" s="1"/>
  <c r="G622" i="50" s="1"/>
  <c r="G623" i="50" s="1"/>
  <c r="G624" i="50" s="1"/>
  <c r="G625" i="50" s="1"/>
  <c r="G626" i="50" s="1"/>
  <c r="G627" i="50" s="1"/>
  <c r="G628" i="50" s="1"/>
  <c r="G629" i="50" s="1"/>
  <c r="G630" i="50" s="1"/>
  <c r="G631" i="50" s="1"/>
  <c r="G632" i="50" s="1"/>
  <c r="G633" i="50" s="1"/>
  <c r="G634" i="50" s="1"/>
  <c r="G635" i="50" s="1"/>
  <c r="G636" i="50" s="1"/>
  <c r="D65" i="50"/>
  <c r="D66" i="50" s="1"/>
  <c r="D67" i="50" s="1"/>
  <c r="D68" i="50" s="1"/>
  <c r="D69" i="50" s="1"/>
  <c r="D70" i="50" s="1"/>
  <c r="D71" i="50" s="1"/>
  <c r="D72" i="50" s="1"/>
  <c r="P263" i="49"/>
  <c r="X263" i="49" s="1"/>
  <c r="P221" i="49"/>
  <c r="X221" i="49" s="1"/>
  <c r="Q297" i="49"/>
  <c r="Q302" i="49"/>
  <c r="X302" i="49" s="1"/>
  <c r="Q293" i="49"/>
  <c r="P178" i="49"/>
  <c r="X178" i="49" s="1"/>
  <c r="P297" i="49"/>
  <c r="P220" i="49"/>
  <c r="X220" i="49" s="1"/>
  <c r="Q306" i="49"/>
  <c r="X306" i="49" s="1"/>
  <c r="Q311" i="49"/>
  <c r="X311" i="49" s="1"/>
  <c r="Q305" i="49"/>
  <c r="X305" i="49" s="1"/>
  <c r="Q312" i="49"/>
  <c r="X312" i="49" s="1"/>
  <c r="Q307" i="49"/>
  <c r="X307" i="49" s="1"/>
  <c r="Q290" i="49"/>
  <c r="X290" i="49" s="1"/>
  <c r="Q308" i="49"/>
  <c r="X308" i="49" s="1"/>
  <c r="Q291" i="49"/>
  <c r="X291" i="49" s="1"/>
  <c r="X280" i="49"/>
  <c r="P273" i="49"/>
  <c r="X273" i="49" s="1"/>
  <c r="P275" i="49"/>
  <c r="X275" i="49" s="1"/>
  <c r="X279" i="49"/>
  <c r="Q298" i="49"/>
  <c r="X298" i="49" s="1"/>
  <c r="Q300" i="49"/>
  <c r="X300" i="49" s="1"/>
  <c r="P261" i="49"/>
  <c r="X261" i="49" s="1"/>
  <c r="Q317" i="49"/>
  <c r="X317" i="49" s="1"/>
  <c r="Q313" i="49"/>
  <c r="X313" i="49" s="1"/>
  <c r="Q314" i="49"/>
  <c r="X314" i="49" s="1"/>
  <c r="P35" i="40"/>
  <c r="X35" i="40" s="1"/>
  <c r="P223" i="49"/>
  <c r="X223" i="49" s="1"/>
  <c r="P266" i="49"/>
  <c r="X266" i="49" s="1"/>
  <c r="P295" i="49"/>
  <c r="P264" i="49"/>
  <c r="X264" i="49" s="1"/>
  <c r="P274" i="49"/>
  <c r="X274" i="49" s="1"/>
  <c r="P278" i="49"/>
  <c r="X278" i="49" s="1"/>
  <c r="Q299" i="49"/>
  <c r="X299" i="49" s="1"/>
  <c r="Q301" i="49"/>
  <c r="X301" i="49" s="1"/>
  <c r="P262" i="49"/>
  <c r="X262" i="49" s="1"/>
  <c r="Q295" i="49"/>
  <c r="P269" i="49"/>
  <c r="X269" i="49" s="1"/>
  <c r="P283" i="49"/>
  <c r="X283" i="49" s="1"/>
  <c r="P281" i="49"/>
  <c r="X281" i="49" s="1"/>
  <c r="P294" i="49"/>
  <c r="Q294" i="49"/>
  <c r="P293" i="49"/>
  <c r="P203" i="49"/>
  <c r="X203" i="49" s="1"/>
  <c r="P213" i="49"/>
  <c r="X213" i="49" s="1"/>
  <c r="P271" i="49"/>
  <c r="X271" i="49" s="1"/>
  <c r="P191" i="49"/>
  <c r="X191" i="49" s="1"/>
  <c r="P155" i="49"/>
  <c r="X155" i="49" s="1"/>
  <c r="P219" i="49"/>
  <c r="X219" i="49" s="1"/>
  <c r="P260" i="49"/>
  <c r="X260" i="49" s="1"/>
  <c r="P272" i="49"/>
  <c r="X272" i="49" s="1"/>
  <c r="P276" i="49"/>
  <c r="X276" i="49" s="1"/>
  <c r="P207" i="49"/>
  <c r="X207" i="49" s="1"/>
  <c r="P217" i="49"/>
  <c r="X217" i="49" s="1"/>
  <c r="P193" i="49"/>
  <c r="X193" i="49" s="1"/>
  <c r="P277" i="49"/>
  <c r="X277" i="49" s="1"/>
  <c r="P171" i="49"/>
  <c r="X171" i="49" s="1"/>
  <c r="P222" i="49"/>
  <c r="X222" i="49" s="1"/>
  <c r="P267" i="49"/>
  <c r="X267" i="49" s="1"/>
  <c r="P208" i="49"/>
  <c r="X208" i="49" s="1"/>
  <c r="P268" i="49"/>
  <c r="X268" i="49" s="1"/>
  <c r="P157" i="49"/>
  <c r="X157" i="49" s="1"/>
  <c r="P194" i="49"/>
  <c r="X194" i="49" s="1"/>
  <c r="P199" i="49"/>
  <c r="X199" i="49" s="1"/>
  <c r="P204" i="49"/>
  <c r="X204" i="49" s="1"/>
  <c r="P209" i="49"/>
  <c r="X209" i="49" s="1"/>
  <c r="P214" i="49"/>
  <c r="X214" i="49" s="1"/>
  <c r="P265" i="49"/>
  <c r="X265" i="49" s="1"/>
  <c r="P198" i="49"/>
  <c r="X198" i="49" s="1"/>
  <c r="P218" i="49"/>
  <c r="X218" i="49" s="1"/>
  <c r="P282" i="49"/>
  <c r="X282" i="49" s="1"/>
  <c r="P284" i="49"/>
  <c r="X284" i="49" s="1"/>
  <c r="P167" i="49"/>
  <c r="X167" i="49" s="1"/>
  <c r="P200" i="49"/>
  <c r="X200" i="49" s="1"/>
  <c r="P205" i="49"/>
  <c r="X205" i="49" s="1"/>
  <c r="P197" i="49"/>
  <c r="X197" i="49" s="1"/>
  <c r="P202" i="49"/>
  <c r="X202" i="49" s="1"/>
  <c r="P195" i="49"/>
  <c r="X195" i="49" s="1"/>
  <c r="P210" i="49"/>
  <c r="X210" i="49" s="1"/>
  <c r="P215" i="49"/>
  <c r="X215" i="49" s="1"/>
  <c r="P192" i="49"/>
  <c r="X192" i="49" s="1"/>
  <c r="P196" i="49"/>
  <c r="X196" i="49" s="1"/>
  <c r="P201" i="49"/>
  <c r="X201" i="49" s="1"/>
  <c r="P206" i="49"/>
  <c r="X206" i="49" s="1"/>
  <c r="P212" i="49"/>
  <c r="X212" i="49" s="1"/>
  <c r="P211" i="49"/>
  <c r="X211" i="49" s="1"/>
  <c r="P216" i="49"/>
  <c r="X216" i="49" s="1"/>
  <c r="P139" i="49"/>
  <c r="X139" i="49" s="1"/>
  <c r="P165" i="49"/>
  <c r="X165" i="49" s="1"/>
  <c r="P149" i="49"/>
  <c r="X149" i="49" s="1"/>
  <c r="AA221" i="49"/>
  <c r="P138" i="49"/>
  <c r="X138" i="49" s="1"/>
  <c r="P159" i="49"/>
  <c r="X159" i="49" s="1"/>
  <c r="P164" i="49"/>
  <c r="X164" i="49" s="1"/>
  <c r="P153" i="49"/>
  <c r="X153" i="49" s="1"/>
  <c r="P163" i="49"/>
  <c r="X163" i="49" s="1"/>
  <c r="P151" i="49"/>
  <c r="X151" i="49" s="1"/>
  <c r="P140" i="49"/>
  <c r="X140" i="49" s="1"/>
  <c r="P161" i="49"/>
  <c r="X161" i="49" s="1"/>
  <c r="P160" i="49"/>
  <c r="X160" i="49" s="1"/>
  <c r="P158" i="49"/>
  <c r="X158" i="49" s="1"/>
  <c r="P170" i="49"/>
  <c r="X170" i="49" s="1"/>
  <c r="P185" i="49"/>
  <c r="X185" i="49" s="1"/>
  <c r="P146" i="49"/>
  <c r="X146" i="49" s="1"/>
  <c r="P166" i="49"/>
  <c r="X166" i="49" s="1"/>
  <c r="P152" i="49"/>
  <c r="X152" i="49" s="1"/>
  <c r="P187" i="49"/>
  <c r="X187" i="49" s="1"/>
  <c r="P144" i="49"/>
  <c r="X144" i="49" s="1"/>
  <c r="P156" i="49"/>
  <c r="X156" i="49" s="1"/>
  <c r="P136" i="49"/>
  <c r="X136" i="49" s="1"/>
  <c r="P154" i="49"/>
  <c r="X154" i="49" s="1"/>
  <c r="P183" i="49"/>
  <c r="X183" i="49" s="1"/>
  <c r="P150" i="49"/>
  <c r="X150" i="49" s="1"/>
  <c r="P181" i="49"/>
  <c r="X181" i="49" s="1"/>
  <c r="P137" i="49"/>
  <c r="X137" i="49" s="1"/>
  <c r="P147" i="49"/>
  <c r="X147" i="49" s="1"/>
  <c r="P184" i="49"/>
  <c r="X184" i="49" s="1"/>
  <c r="P162" i="49"/>
  <c r="X162" i="49" s="1"/>
  <c r="P176" i="49"/>
  <c r="X176" i="49" s="1"/>
  <c r="P177" i="49"/>
  <c r="X177" i="49" s="1"/>
  <c r="P189" i="49"/>
  <c r="X189" i="49" s="1"/>
  <c r="P179" i="49"/>
  <c r="X179" i="49" s="1"/>
  <c r="P182" i="49"/>
  <c r="X182" i="49" s="1"/>
  <c r="P175" i="49"/>
  <c r="X175" i="49" s="1"/>
  <c r="P188" i="49"/>
  <c r="X188" i="49" s="1"/>
  <c r="P186" i="49"/>
  <c r="P190" i="49"/>
  <c r="X190" i="49" s="1"/>
  <c r="P180" i="49"/>
  <c r="X180" i="49" s="1"/>
  <c r="P169" i="49"/>
  <c r="X169" i="49" s="1"/>
  <c r="P168" i="49"/>
  <c r="X168" i="49" s="1"/>
  <c r="P145" i="49"/>
  <c r="X145" i="49" s="1"/>
  <c r="T142" i="49"/>
  <c r="P142" i="49" s="1"/>
  <c r="X142" i="49" s="1"/>
  <c r="T141" i="49"/>
  <c r="P141" i="49" s="1"/>
  <c r="X141" i="49" s="1"/>
  <c r="P41" i="49"/>
  <c r="X41" i="49" s="1"/>
  <c r="P74" i="49"/>
  <c r="X74" i="49" s="1"/>
  <c r="P89" i="49"/>
  <c r="X89" i="49" s="1"/>
  <c r="P94" i="49"/>
  <c r="X94" i="49" s="1"/>
  <c r="P104" i="49"/>
  <c r="X104" i="49" s="1"/>
  <c r="P114" i="49"/>
  <c r="X114" i="49" s="1"/>
  <c r="P119" i="49"/>
  <c r="X119" i="49" s="1"/>
  <c r="P129" i="49"/>
  <c r="X129" i="49" s="1"/>
  <c r="P134" i="49"/>
  <c r="X134" i="49" s="1"/>
  <c r="P47" i="49"/>
  <c r="X47" i="49" s="1"/>
  <c r="P54" i="49"/>
  <c r="X54" i="49" s="1"/>
  <c r="P59" i="49"/>
  <c r="X59" i="49" s="1"/>
  <c r="P64" i="49"/>
  <c r="X64" i="49" s="1"/>
  <c r="P69" i="49"/>
  <c r="X69" i="49" s="1"/>
  <c r="P84" i="49"/>
  <c r="X84" i="49" s="1"/>
  <c r="P99" i="49"/>
  <c r="X99" i="49" s="1"/>
  <c r="P124" i="49"/>
  <c r="X124" i="49" s="1"/>
  <c r="P42" i="49"/>
  <c r="X42" i="49" s="1"/>
  <c r="P52" i="49"/>
  <c r="X52" i="49" s="1"/>
  <c r="P57" i="49"/>
  <c r="X57" i="49" s="1"/>
  <c r="P62" i="49"/>
  <c r="X62" i="49" s="1"/>
  <c r="P67" i="49"/>
  <c r="X67" i="49" s="1"/>
  <c r="P72" i="49"/>
  <c r="X72" i="49" s="1"/>
  <c r="P77" i="49"/>
  <c r="X77" i="49" s="1"/>
  <c r="P82" i="49"/>
  <c r="X82" i="49" s="1"/>
  <c r="P87" i="49"/>
  <c r="X87" i="49" s="1"/>
  <c r="P92" i="49"/>
  <c r="X92" i="49" s="1"/>
  <c r="P97" i="49"/>
  <c r="X97" i="49" s="1"/>
  <c r="P102" i="49"/>
  <c r="X102" i="49" s="1"/>
  <c r="P107" i="49"/>
  <c r="X107" i="49" s="1"/>
  <c r="P112" i="49"/>
  <c r="X112" i="49" s="1"/>
  <c r="P117" i="49"/>
  <c r="X117" i="49" s="1"/>
  <c r="P122" i="49"/>
  <c r="X122" i="49" s="1"/>
  <c r="P127" i="49"/>
  <c r="X127" i="49" s="1"/>
  <c r="P132" i="49"/>
  <c r="X132" i="49" s="1"/>
  <c r="P109" i="49"/>
  <c r="X109" i="49" s="1"/>
  <c r="P79" i="49"/>
  <c r="X79" i="49" s="1"/>
  <c r="P51" i="49"/>
  <c r="X51" i="49" s="1"/>
  <c r="P56" i="49"/>
  <c r="X56" i="49" s="1"/>
  <c r="P61" i="49"/>
  <c r="X61" i="49" s="1"/>
  <c r="P66" i="49"/>
  <c r="X66" i="49" s="1"/>
  <c r="P71" i="49"/>
  <c r="X71" i="49" s="1"/>
  <c r="P76" i="49"/>
  <c r="X76" i="49" s="1"/>
  <c r="P81" i="49"/>
  <c r="X81" i="49" s="1"/>
  <c r="P86" i="49"/>
  <c r="X86" i="49" s="1"/>
  <c r="P91" i="49"/>
  <c r="X91" i="49" s="1"/>
  <c r="P96" i="49"/>
  <c r="X96" i="49" s="1"/>
  <c r="P101" i="49"/>
  <c r="X101" i="49" s="1"/>
  <c r="P106" i="49"/>
  <c r="X106" i="49" s="1"/>
  <c r="P111" i="49"/>
  <c r="X111" i="49" s="1"/>
  <c r="P116" i="49"/>
  <c r="X116" i="49" s="1"/>
  <c r="P121" i="49"/>
  <c r="X121" i="49" s="1"/>
  <c r="P126" i="49"/>
  <c r="X126" i="49" s="1"/>
  <c r="P131" i="49"/>
  <c r="X131" i="49" s="1"/>
  <c r="P45" i="49"/>
  <c r="X45" i="49" s="1"/>
  <c r="P50" i="49"/>
  <c r="X50" i="49" s="1"/>
  <c r="P55" i="49"/>
  <c r="X55" i="49" s="1"/>
  <c r="P60" i="49"/>
  <c r="X60" i="49" s="1"/>
  <c r="P65" i="49"/>
  <c r="X65" i="49" s="1"/>
  <c r="P70" i="49"/>
  <c r="X70" i="49" s="1"/>
  <c r="P75" i="49"/>
  <c r="X75" i="49" s="1"/>
  <c r="P80" i="49"/>
  <c r="X80" i="49" s="1"/>
  <c r="P85" i="49"/>
  <c r="X85" i="49" s="1"/>
  <c r="P90" i="49"/>
  <c r="X90" i="49" s="1"/>
  <c r="P95" i="49"/>
  <c r="X95" i="49" s="1"/>
  <c r="P100" i="49"/>
  <c r="X100" i="49" s="1"/>
  <c r="P105" i="49"/>
  <c r="X105" i="49" s="1"/>
  <c r="P110" i="49"/>
  <c r="X110" i="49" s="1"/>
  <c r="P115" i="49"/>
  <c r="X115" i="49" s="1"/>
  <c r="P120" i="49"/>
  <c r="X120" i="49" s="1"/>
  <c r="P125" i="49"/>
  <c r="X125" i="49" s="1"/>
  <c r="P130" i="49"/>
  <c r="X130" i="49" s="1"/>
  <c r="P135" i="49"/>
  <c r="X135" i="49" s="1"/>
  <c r="P49" i="49"/>
  <c r="X49" i="49" s="1"/>
  <c r="P44" i="49"/>
  <c r="X44" i="49" s="1"/>
  <c r="P43" i="49"/>
  <c r="X43" i="49" s="1"/>
  <c r="P46" i="49"/>
  <c r="X46" i="49" s="1"/>
  <c r="P48" i="49"/>
  <c r="X48" i="49" s="1"/>
  <c r="P53" i="49"/>
  <c r="X53" i="49" s="1"/>
  <c r="P58" i="49"/>
  <c r="X58" i="49" s="1"/>
  <c r="P63" i="49"/>
  <c r="X63" i="49" s="1"/>
  <c r="P68" i="49"/>
  <c r="X68" i="49" s="1"/>
  <c r="P73" i="49"/>
  <c r="X73" i="49" s="1"/>
  <c r="P78" i="49"/>
  <c r="X78" i="49" s="1"/>
  <c r="P83" i="49"/>
  <c r="X83" i="49" s="1"/>
  <c r="P88" i="49"/>
  <c r="X88" i="49" s="1"/>
  <c r="P93" i="49"/>
  <c r="X93" i="49" s="1"/>
  <c r="P98" i="49"/>
  <c r="X98" i="49" s="1"/>
  <c r="P103" i="49"/>
  <c r="X103" i="49" s="1"/>
  <c r="P108" i="49"/>
  <c r="X108" i="49" s="1"/>
  <c r="P113" i="49"/>
  <c r="X113" i="49" s="1"/>
  <c r="P118" i="49"/>
  <c r="X118" i="49" s="1"/>
  <c r="P123" i="49"/>
  <c r="X123" i="49" s="1"/>
  <c r="P128" i="49"/>
  <c r="X128" i="49" s="1"/>
  <c r="P133" i="49"/>
  <c r="X133" i="49" s="1"/>
  <c r="Q20" i="48"/>
  <c r="Q88" i="46"/>
  <c r="X88" i="46" s="1"/>
  <c r="P353" i="49" l="1"/>
  <c r="X353" i="49" s="1"/>
  <c r="Q360" i="49"/>
  <c r="X186" i="49"/>
  <c r="X361" i="49"/>
  <c r="X20" i="48"/>
  <c r="G637" i="50"/>
  <c r="G638" i="50" s="1"/>
  <c r="G639" i="50" s="1"/>
  <c r="G640" i="50" s="1"/>
  <c r="G641" i="50" s="1"/>
  <c r="G642" i="50" s="1"/>
  <c r="G643" i="50" s="1"/>
  <c r="G644" i="50" s="1"/>
  <c r="G645" i="50" s="1"/>
  <c r="G646" i="50" s="1"/>
  <c r="D73" i="50"/>
  <c r="D74" i="50" s="1"/>
  <c r="D75" i="50" s="1"/>
  <c r="D76" i="50" s="1"/>
  <c r="D77" i="50" s="1"/>
  <c r="D78" i="50" s="1"/>
  <c r="D79" i="50" s="1"/>
  <c r="D80" i="50" s="1"/>
  <c r="D81" i="50" s="1"/>
  <c r="D82" i="50" s="1"/>
  <c r="D83" i="50" s="1"/>
  <c r="D84" i="50" s="1"/>
  <c r="D85" i="50" s="1"/>
  <c r="X354" i="49"/>
  <c r="X297" i="49"/>
  <c r="X293" i="49"/>
  <c r="X294" i="49"/>
  <c r="X295" i="49"/>
  <c r="R47" i="46"/>
  <c r="P35" i="48"/>
  <c r="P36" i="48"/>
  <c r="P37" i="48"/>
  <c r="T35" i="48"/>
  <c r="T34" i="48"/>
  <c r="T36" i="48"/>
  <c r="T37" i="48"/>
  <c r="T42" i="48"/>
  <c r="T49" i="48"/>
  <c r="T17" i="48"/>
  <c r="T43" i="48"/>
  <c r="T50" i="48"/>
  <c r="T58" i="48"/>
  <c r="T18" i="48"/>
  <c r="T51" i="48"/>
  <c r="T44" i="48"/>
  <c r="T16" i="48"/>
  <c r="T45" i="48"/>
  <c r="T52" i="48"/>
  <c r="AA65" i="46"/>
  <c r="Z65" i="46"/>
  <c r="Y65" i="46"/>
  <c r="O65" i="46" s="1"/>
  <c r="T65" i="46"/>
  <c r="K65" i="46"/>
  <c r="D65" i="46"/>
  <c r="Q12" i="48"/>
  <c r="Z52" i="48"/>
  <c r="Y52" i="48"/>
  <c r="O52" i="48" s="1"/>
  <c r="U52" i="48"/>
  <c r="P52" i="48"/>
  <c r="M52" i="48"/>
  <c r="L52" i="48"/>
  <c r="K52" i="48"/>
  <c r="D52" i="48"/>
  <c r="Z45" i="48"/>
  <c r="Y45" i="48"/>
  <c r="O45" i="48" s="1"/>
  <c r="U45" i="48"/>
  <c r="P45" i="48"/>
  <c r="M45" i="48"/>
  <c r="L45" i="48"/>
  <c r="K45" i="48"/>
  <c r="D45" i="48"/>
  <c r="P362" i="49" l="1"/>
  <c r="Q45" i="48"/>
  <c r="X45" i="48" s="1"/>
  <c r="P65" i="46"/>
  <c r="G647" i="50"/>
  <c r="G648" i="50" s="1"/>
  <c r="G649" i="50" s="1"/>
  <c r="G650" i="50" s="1"/>
  <c r="G651" i="50" s="1"/>
  <c r="G652" i="50" s="1"/>
  <c r="G653" i="50" s="1"/>
  <c r="Q52" i="48"/>
  <c r="X52" i="48" s="1"/>
  <c r="Q65" i="46"/>
  <c r="G654" i="50" l="1"/>
  <c r="G655" i="50" s="1"/>
  <c r="G656" i="50" s="1"/>
  <c r="X65" i="46"/>
  <c r="D86" i="50"/>
  <c r="D87" i="50" s="1"/>
  <c r="D88" i="50" s="1"/>
  <c r="D89" i="50" s="1"/>
  <c r="D90" i="50" s="1"/>
  <c r="D91" i="50" s="1"/>
  <c r="D92" i="50" s="1"/>
  <c r="D93" i="50" s="1"/>
  <c r="D94" i="50" s="1"/>
  <c r="D95" i="50" s="1"/>
  <c r="D96" i="50" s="1"/>
  <c r="D97" i="50" s="1"/>
  <c r="D98" i="50" s="1"/>
  <c r="D99" i="50" s="1"/>
  <c r="D100" i="50" s="1"/>
  <c r="D101" i="50" s="1"/>
  <c r="D102" i="50" s="1"/>
  <c r="D103" i="50" s="1"/>
  <c r="D104" i="50" s="1"/>
  <c r="D105" i="50" s="1"/>
  <c r="D106" i="50" s="1"/>
  <c r="D107" i="50" s="1"/>
  <c r="D108" i="50" s="1"/>
  <c r="D109" i="50" s="1"/>
  <c r="D110" i="50" s="1"/>
  <c r="D111" i="50" s="1"/>
  <c r="D112" i="50" s="1"/>
  <c r="D113" i="50" s="1"/>
  <c r="D114" i="50" s="1"/>
  <c r="D115" i="50" s="1"/>
  <c r="D116" i="50" s="1"/>
  <c r="D117" i="50" s="1"/>
  <c r="D118" i="50" s="1"/>
  <c r="D119" i="50" s="1"/>
  <c r="D120" i="50" s="1"/>
  <c r="D121" i="50" s="1"/>
  <c r="D122" i="50" s="1"/>
  <c r="D123" i="50" s="1"/>
  <c r="D124" i="50" s="1"/>
  <c r="D125" i="50" s="1"/>
  <c r="D126" i="50" s="1"/>
  <c r="D127" i="50" s="1"/>
  <c r="D128" i="50" s="1"/>
  <c r="D129" i="50" s="1"/>
  <c r="D130" i="50" s="1"/>
  <c r="D131" i="50" s="1"/>
  <c r="G12" i="48"/>
  <c r="G13" i="48"/>
  <c r="G14" i="48"/>
  <c r="G15" i="48"/>
  <c r="AA21" i="48"/>
  <c r="Z44" i="48"/>
  <c r="Y44" i="48"/>
  <c r="O44" i="48" s="1"/>
  <c r="Q44" i="48" s="1"/>
  <c r="U44" i="48"/>
  <c r="P44" i="48"/>
  <c r="M44" i="48"/>
  <c r="L44" i="48"/>
  <c r="K44" i="48"/>
  <c r="D44" i="48"/>
  <c r="Z51" i="48"/>
  <c r="Y51" i="48"/>
  <c r="O51" i="48" s="1"/>
  <c r="Q51" i="48" s="1"/>
  <c r="U51" i="48"/>
  <c r="P51" i="48"/>
  <c r="M51" i="48"/>
  <c r="L51" i="48"/>
  <c r="K51" i="48"/>
  <c r="D51" i="48"/>
  <c r="Z18" i="48"/>
  <c r="Y18" i="48"/>
  <c r="O18" i="48" s="1"/>
  <c r="U18" i="48"/>
  <c r="K18" i="48"/>
  <c r="G18" i="48"/>
  <c r="AA18" i="48" s="1"/>
  <c r="D18" i="48"/>
  <c r="G657" i="50" l="1"/>
  <c r="G658" i="50" s="1"/>
  <c r="G659" i="50" s="1"/>
  <c r="G660" i="50" s="1"/>
  <c r="G661" i="50" s="1"/>
  <c r="G662" i="50" s="1"/>
  <c r="G663" i="50" s="1"/>
  <c r="G664" i="50" s="1"/>
  <c r="G665" i="50" s="1"/>
  <c r="G666" i="50" s="1"/>
  <c r="G667" i="50" s="1"/>
  <c r="G668" i="50" s="1"/>
  <c r="G669" i="50" s="1"/>
  <c r="G670" i="50" s="1"/>
  <c r="G671" i="50" s="1"/>
  <c r="G672" i="50" s="1"/>
  <c r="G673" i="50" s="1"/>
  <c r="G674" i="50" s="1"/>
  <c r="G675" i="50" s="1"/>
  <c r="G676" i="50" s="1"/>
  <c r="G677" i="50" s="1"/>
  <c r="G678" i="50" s="1"/>
  <c r="G679" i="50" s="1"/>
  <c r="G680" i="50" s="1"/>
  <c r="G681" i="50" s="1"/>
  <c r="G682" i="50" s="1"/>
  <c r="G683" i="50" s="1"/>
  <c r="G684" i="50" s="1"/>
  <c r="G685" i="50" s="1"/>
  <c r="G686" i="50" s="1"/>
  <c r="G687" i="50" s="1"/>
  <c r="G688" i="50" s="1"/>
  <c r="G689" i="50" s="1"/>
  <c r="G690" i="50" s="1"/>
  <c r="G691" i="50" s="1"/>
  <c r="P18" i="48"/>
  <c r="Q18" i="48"/>
  <c r="X44" i="48"/>
  <c r="X51" i="48"/>
  <c r="G692" i="50" l="1"/>
  <c r="G694" i="50" s="1"/>
  <c r="G693" i="50"/>
  <c r="X18" i="48"/>
  <c r="AA77" i="46"/>
  <c r="Z77" i="46"/>
  <c r="Y77" i="46"/>
  <c r="O77" i="46" s="1"/>
  <c r="T77" i="46"/>
  <c r="M77" i="46"/>
  <c r="L77" i="46"/>
  <c r="K77" i="46"/>
  <c r="D77" i="46"/>
  <c r="D108" i="34"/>
  <c r="K108" i="34"/>
  <c r="M108" i="34"/>
  <c r="O108" i="34"/>
  <c r="Q108" i="34"/>
  <c r="R108" i="34"/>
  <c r="T108" i="34" s="1"/>
  <c r="U108" i="34"/>
  <c r="Y108" i="34"/>
  <c r="Z108" i="34"/>
  <c r="AA108" i="34"/>
  <c r="AA15" i="48"/>
  <c r="Z15" i="48"/>
  <c r="Y15" i="48"/>
  <c r="O15" i="48" s="1"/>
  <c r="Q15" i="48" s="1"/>
  <c r="U15" i="48"/>
  <c r="L15" i="48"/>
  <c r="K15" i="48"/>
  <c r="D15" i="48"/>
  <c r="AA14" i="48"/>
  <c r="Z14" i="48"/>
  <c r="Y14" i="48"/>
  <c r="O14" i="48" s="1"/>
  <c r="U14" i="48"/>
  <c r="L14" i="48"/>
  <c r="K14" i="48"/>
  <c r="D14" i="48"/>
  <c r="AA13" i="48"/>
  <c r="Z13" i="48"/>
  <c r="Y13" i="48"/>
  <c r="O13" i="48" s="1"/>
  <c r="Q13" i="48" s="1"/>
  <c r="U13" i="48"/>
  <c r="K13" i="48"/>
  <c r="P13" i="48" s="1"/>
  <c r="D13" i="48"/>
  <c r="AA12" i="48"/>
  <c r="Z12" i="48"/>
  <c r="Y12" i="48"/>
  <c r="O12" i="48" s="1"/>
  <c r="U12" i="48"/>
  <c r="L12" i="48"/>
  <c r="K12" i="48"/>
  <c r="D12" i="48"/>
  <c r="Z36" i="48"/>
  <c r="Y36" i="48"/>
  <c r="O36" i="48" s="1"/>
  <c r="Q36" i="48" s="1"/>
  <c r="U36" i="48"/>
  <c r="M36" i="48"/>
  <c r="L36" i="48"/>
  <c r="K36" i="48"/>
  <c r="D36" i="48"/>
  <c r="AA11" i="48"/>
  <c r="Z11" i="48"/>
  <c r="Y11" i="48"/>
  <c r="O11" i="48" s="1"/>
  <c r="Q11" i="48" s="1"/>
  <c r="U11" i="48"/>
  <c r="K11" i="48"/>
  <c r="P11" i="48" s="1"/>
  <c r="D11" i="48"/>
  <c r="R30" i="48"/>
  <c r="T30" i="48" s="1"/>
  <c r="Z58" i="48"/>
  <c r="Y58" i="48"/>
  <c r="O58" i="48" s="1"/>
  <c r="U58" i="48"/>
  <c r="P58" i="48"/>
  <c r="M58" i="48"/>
  <c r="L58" i="48"/>
  <c r="K58" i="48"/>
  <c r="G58" i="48"/>
  <c r="AA58" i="48" s="1"/>
  <c r="D58" i="48"/>
  <c r="AA64" i="46"/>
  <c r="Z64" i="46"/>
  <c r="Y64" i="46"/>
  <c r="O64" i="46" s="1"/>
  <c r="T64" i="46"/>
  <c r="K64" i="46"/>
  <c r="D64" i="46"/>
  <c r="Z43" i="48"/>
  <c r="Y43" i="48"/>
  <c r="O43" i="48" s="1"/>
  <c r="Q43" i="48" s="1"/>
  <c r="U43" i="48"/>
  <c r="P43" i="48"/>
  <c r="M43" i="48"/>
  <c r="L43" i="48"/>
  <c r="K43" i="48"/>
  <c r="D43" i="48"/>
  <c r="Z50" i="48"/>
  <c r="Y50" i="48"/>
  <c r="O50" i="48" s="1"/>
  <c r="Q50" i="48" s="1"/>
  <c r="U50" i="48"/>
  <c r="P50" i="48"/>
  <c r="M50" i="48"/>
  <c r="L50" i="48"/>
  <c r="K50" i="48"/>
  <c r="D50" i="48"/>
  <c r="Z17" i="48"/>
  <c r="Y17" i="48"/>
  <c r="O17" i="48" s="1"/>
  <c r="U17" i="48"/>
  <c r="K17" i="48"/>
  <c r="G17" i="48"/>
  <c r="AA17" i="48" s="1"/>
  <c r="D17" i="48"/>
  <c r="G697" i="50" l="1"/>
  <c r="O363" i="49" s="1"/>
  <c r="P64" i="46"/>
  <c r="P17" i="48"/>
  <c r="P15" i="48"/>
  <c r="X15" i="48" s="1"/>
  <c r="P14" i="48"/>
  <c r="Q77" i="46"/>
  <c r="X77" i="46" s="1"/>
  <c r="P12" i="48"/>
  <c r="X12" i="48" s="1"/>
  <c r="P108" i="34"/>
  <c r="X108" i="34" s="1"/>
  <c r="Q14" i="48"/>
  <c r="X13" i="48"/>
  <c r="Q58" i="48"/>
  <c r="X58" i="48" s="1"/>
  <c r="X11" i="48"/>
  <c r="X36" i="48"/>
  <c r="Q64" i="46"/>
  <c r="Q17" i="48"/>
  <c r="X43" i="48"/>
  <c r="X50" i="48"/>
  <c r="AA76" i="46"/>
  <c r="Z76" i="46"/>
  <c r="Y76" i="46"/>
  <c r="O76" i="46" s="1"/>
  <c r="T76" i="46"/>
  <c r="M76" i="46"/>
  <c r="L76" i="46"/>
  <c r="K76" i="46"/>
  <c r="D76" i="46"/>
  <c r="AA41" i="46"/>
  <c r="Z41" i="46"/>
  <c r="Y41" i="46"/>
  <c r="T41" i="46"/>
  <c r="O41" i="46"/>
  <c r="Q41" i="46" s="1"/>
  <c r="L41" i="46"/>
  <c r="K41" i="46"/>
  <c r="D41" i="46"/>
  <c r="AA8" i="48"/>
  <c r="Z8" i="48"/>
  <c r="Y8" i="48"/>
  <c r="O8" i="48" s="1"/>
  <c r="Q8" i="48" s="1"/>
  <c r="U8" i="48"/>
  <c r="M8" i="48"/>
  <c r="L8" i="48"/>
  <c r="K8" i="48"/>
  <c r="D8" i="48"/>
  <c r="D34" i="40"/>
  <c r="G34" i="40"/>
  <c r="AA34" i="40" s="1"/>
  <c r="K34" i="40"/>
  <c r="O34" i="40"/>
  <c r="Q34" i="40"/>
  <c r="U34" i="40"/>
  <c r="Y34" i="40"/>
  <c r="Z34" i="40"/>
  <c r="D107" i="34"/>
  <c r="G107" i="34"/>
  <c r="AA107" i="34" s="1"/>
  <c r="K107" i="34"/>
  <c r="O107" i="34"/>
  <c r="Q107" i="34"/>
  <c r="R107" i="34"/>
  <c r="U107" i="34"/>
  <c r="Y107" i="34"/>
  <c r="Z107" i="34"/>
  <c r="Z16" i="48"/>
  <c r="Y16" i="48"/>
  <c r="O16" i="48" s="1"/>
  <c r="U16" i="48"/>
  <c r="L16" i="48"/>
  <c r="K16" i="48"/>
  <c r="G16" i="48"/>
  <c r="AA16" i="48" s="1"/>
  <c r="D16" i="48"/>
  <c r="Z49" i="48"/>
  <c r="Y49" i="48"/>
  <c r="O49" i="48" s="1"/>
  <c r="Q49" i="48" s="1"/>
  <c r="U49" i="48"/>
  <c r="P49" i="48"/>
  <c r="M49" i="48"/>
  <c r="L49" i="48"/>
  <c r="K49" i="48"/>
  <c r="D49" i="48"/>
  <c r="AA10" i="48"/>
  <c r="Z10" i="48"/>
  <c r="Y10" i="48"/>
  <c r="O10" i="48" s="1"/>
  <c r="Q10" i="48" s="1"/>
  <c r="U10" i="48"/>
  <c r="K10" i="48"/>
  <c r="P10" i="48" s="1"/>
  <c r="D10" i="48"/>
  <c r="F121" i="48"/>
  <c r="E121" i="48"/>
  <c r="Z37" i="48"/>
  <c r="Y37" i="48"/>
  <c r="O37" i="48" s="1"/>
  <c r="Q37" i="48" s="1"/>
  <c r="U37" i="48"/>
  <c r="M37" i="48"/>
  <c r="L37" i="48"/>
  <c r="K37" i="48"/>
  <c r="D37" i="48"/>
  <c r="D27" i="40"/>
  <c r="G27" i="40"/>
  <c r="K27" i="40"/>
  <c r="O27" i="40"/>
  <c r="Q27" i="40"/>
  <c r="U27" i="40"/>
  <c r="Y27" i="40"/>
  <c r="Z27" i="40"/>
  <c r="H108" i="46"/>
  <c r="H107" i="46"/>
  <c r="H106" i="46"/>
  <c r="H105" i="46"/>
  <c r="H104" i="46"/>
  <c r="H103" i="46"/>
  <c r="N103" i="46"/>
  <c r="N104" i="46"/>
  <c r="N105" i="46"/>
  <c r="N106" i="46"/>
  <c r="N107" i="46"/>
  <c r="N108" i="46"/>
  <c r="X64" i="46" l="1"/>
  <c r="D132" i="50"/>
  <c r="D133" i="50" s="1"/>
  <c r="D134" i="50" s="1"/>
  <c r="D135" i="50" s="1"/>
  <c r="D136" i="50" s="1"/>
  <c r="D137" i="50" s="1"/>
  <c r="D138" i="50" s="1"/>
  <c r="D139" i="50" s="1"/>
  <c r="D140" i="50" s="1"/>
  <c r="D141" i="50" s="1"/>
  <c r="D142" i="50" s="1"/>
  <c r="D143" i="50" s="1"/>
  <c r="D144" i="50" s="1"/>
  <c r="D145" i="50" s="1"/>
  <c r="X17" i="48"/>
  <c r="P16" i="48"/>
  <c r="AA27" i="40"/>
  <c r="G50" i="40"/>
  <c r="X14" i="48"/>
  <c r="P34" i="40"/>
  <c r="X34" i="40" s="1"/>
  <c r="P8" i="48"/>
  <c r="X8" i="48" s="1"/>
  <c r="P41" i="46"/>
  <c r="X41" i="46" s="1"/>
  <c r="Q76" i="46"/>
  <c r="X76" i="46" s="1"/>
  <c r="X37" i="48"/>
  <c r="T107" i="34"/>
  <c r="P107" i="34" s="1"/>
  <c r="X107" i="34" s="1"/>
  <c r="G121" i="48"/>
  <c r="Q16" i="48"/>
  <c r="X49" i="48"/>
  <c r="X10" i="48"/>
  <c r="P27" i="40"/>
  <c r="X27" i="40" s="1"/>
  <c r="AA63" i="46"/>
  <c r="Z63" i="46"/>
  <c r="Y63" i="46"/>
  <c r="O63" i="46" s="1"/>
  <c r="T63" i="46"/>
  <c r="P63" i="46" s="1"/>
  <c r="D63" i="46"/>
  <c r="Z42" i="48"/>
  <c r="Y42" i="48"/>
  <c r="O42" i="48" s="1"/>
  <c r="U42" i="48"/>
  <c r="P42" i="48"/>
  <c r="M42" i="48"/>
  <c r="L42" i="48"/>
  <c r="K42" i="48"/>
  <c r="D42" i="48"/>
  <c r="AA7" i="48"/>
  <c r="Z7" i="48"/>
  <c r="Y7" i="48"/>
  <c r="O7" i="48" s="1"/>
  <c r="Q7" i="48" s="1"/>
  <c r="U7" i="48"/>
  <c r="M7" i="48"/>
  <c r="L7" i="48"/>
  <c r="K7" i="48"/>
  <c r="D7" i="48"/>
  <c r="X16" i="48" l="1"/>
  <c r="D146" i="50"/>
  <c r="D147" i="50" s="1"/>
  <c r="D148" i="50" s="1"/>
  <c r="D149" i="50" s="1"/>
  <c r="D150" i="50" s="1"/>
  <c r="D151" i="50" s="1"/>
  <c r="D152" i="50" s="1"/>
  <c r="P7" i="48"/>
  <c r="X7" i="48" s="1"/>
  <c r="Q63" i="46"/>
  <c r="X63" i="46" s="1"/>
  <c r="Q42" i="48"/>
  <c r="X42" i="48" s="1"/>
  <c r="D153" i="50" l="1"/>
  <c r="D154" i="50" s="1"/>
  <c r="D155" i="50" s="1"/>
  <c r="D156" i="50" s="1"/>
  <c r="D157" i="50" s="1"/>
  <c r="D158" i="50" s="1"/>
  <c r="D159" i="50" s="1"/>
  <c r="D160" i="50" s="1"/>
  <c r="D161" i="50" s="1"/>
  <c r="D162" i="50" s="1"/>
  <c r="D163" i="50" s="1"/>
  <c r="D164" i="50" s="1"/>
  <c r="D165" i="50" s="1"/>
  <c r="D166" i="50" s="1"/>
  <c r="D167" i="50" s="1"/>
  <c r="D168" i="50" s="1"/>
  <c r="D169" i="50" s="1"/>
  <c r="D170" i="50" s="1"/>
  <c r="D171" i="50" s="1"/>
  <c r="D172" i="50" s="1"/>
  <c r="D173" i="50" s="1"/>
  <c r="D174" i="50" s="1"/>
  <c r="AA75" i="46"/>
  <c r="Z75" i="46"/>
  <c r="Y75" i="46"/>
  <c r="O75" i="46" s="1"/>
  <c r="T75" i="46"/>
  <c r="M75" i="46"/>
  <c r="L75" i="46"/>
  <c r="K75" i="46"/>
  <c r="D75" i="46"/>
  <c r="AA9" i="48"/>
  <c r="Z9" i="48"/>
  <c r="Y9" i="48"/>
  <c r="O9" i="48" s="1"/>
  <c r="Q9" i="48" s="1"/>
  <c r="U9" i="48"/>
  <c r="M9" i="48"/>
  <c r="L9" i="48"/>
  <c r="K9" i="48"/>
  <c r="D9" i="48"/>
  <c r="AA6" i="48"/>
  <c r="Z6" i="48"/>
  <c r="Y6" i="48"/>
  <c r="O6" i="48" s="1"/>
  <c r="Q6" i="48" s="1"/>
  <c r="U6" i="48"/>
  <c r="M6" i="48"/>
  <c r="L6" i="48"/>
  <c r="K6" i="48"/>
  <c r="D6" i="48"/>
  <c r="AA21" i="49"/>
  <c r="AA20" i="49"/>
  <c r="AA19" i="49"/>
  <c r="AA18" i="49"/>
  <c r="AA17" i="49"/>
  <c r="AA16" i="49"/>
  <c r="AA15" i="49"/>
  <c r="AA14" i="49"/>
  <c r="AA13" i="49"/>
  <c r="AA12" i="49"/>
  <c r="AA11" i="49"/>
  <c r="AA10" i="49"/>
  <c r="AA9" i="49"/>
  <c r="AA8" i="49"/>
  <c r="AA7" i="49"/>
  <c r="AA6" i="49"/>
  <c r="AA5" i="49"/>
  <c r="AA4" i="49"/>
  <c r="AA3" i="49"/>
  <c r="AA2" i="49"/>
  <c r="H361" i="49"/>
  <c r="H360" i="49"/>
  <c r="W364" i="49"/>
  <c r="V364" i="49"/>
  <c r="U364" i="49"/>
  <c r="D175" i="50" l="1"/>
  <c r="D176" i="50" s="1"/>
  <c r="D177" i="50" s="1"/>
  <c r="D178" i="50" s="1"/>
  <c r="D179" i="50" s="1"/>
  <c r="D180" i="50" s="1"/>
  <c r="D181" i="50" s="1"/>
  <c r="D182" i="50" s="1"/>
  <c r="D183" i="50" s="1"/>
  <c r="D184" i="50" s="1"/>
  <c r="D185" i="50" s="1"/>
  <c r="D186" i="50" s="1"/>
  <c r="D187" i="50" s="1"/>
  <c r="D188" i="50" s="1"/>
  <c r="D189" i="50" s="1"/>
  <c r="D190" i="50" s="1"/>
  <c r="D191" i="50" s="1"/>
  <c r="D192" i="50" s="1"/>
  <c r="D193" i="50" s="1"/>
  <c r="D194" i="50" s="1"/>
  <c r="D195" i="50" s="1"/>
  <c r="D196" i="50" s="1"/>
  <c r="D197" i="50" s="1"/>
  <c r="D198" i="50" s="1"/>
  <c r="D199" i="50" s="1"/>
  <c r="D200" i="50" s="1"/>
  <c r="D201" i="50" s="1"/>
  <c r="D202" i="50" s="1"/>
  <c r="D203" i="50" s="1"/>
  <c r="D204" i="50" s="1"/>
  <c r="D205" i="50" s="1"/>
  <c r="D206" i="50" s="1"/>
  <c r="D207" i="50" s="1"/>
  <c r="D208" i="50" s="1"/>
  <c r="D209" i="50" s="1"/>
  <c r="D210" i="50" s="1"/>
  <c r="P9" i="48"/>
  <c r="X9" i="48" s="1"/>
  <c r="P6" i="48"/>
  <c r="X6" i="48" s="1"/>
  <c r="Q75" i="46"/>
  <c r="X75" i="46" s="1"/>
  <c r="AA269" i="49"/>
  <c r="AA268" i="49"/>
  <c r="AA267" i="49"/>
  <c r="AA266" i="49"/>
  <c r="AA265" i="49"/>
  <c r="AA264" i="49"/>
  <c r="AA263" i="49"/>
  <c r="AA262" i="49"/>
  <c r="AA261" i="49"/>
  <c r="AA260" i="49"/>
  <c r="AA259" i="49"/>
  <c r="AA258" i="49"/>
  <c r="AA257" i="49"/>
  <c r="AA256" i="49"/>
  <c r="AA255" i="49"/>
  <c r="AA254" i="49"/>
  <c r="AA253" i="49"/>
  <c r="AA252" i="49"/>
  <c r="AA251" i="49"/>
  <c r="AA250" i="49"/>
  <c r="AA249" i="49"/>
  <c r="AA248" i="49"/>
  <c r="AA247" i="49"/>
  <c r="AA246" i="49"/>
  <c r="AA245" i="49"/>
  <c r="AA244" i="49"/>
  <c r="AA243" i="49"/>
  <c r="AA242" i="49"/>
  <c r="AA241" i="49"/>
  <c r="AA240" i="49"/>
  <c r="AA239" i="49"/>
  <c r="AA238" i="49"/>
  <c r="AA237" i="49"/>
  <c r="AA236" i="49"/>
  <c r="AA235" i="49"/>
  <c r="AA234" i="49"/>
  <c r="AA233" i="49"/>
  <c r="AA232" i="49"/>
  <c r="AA231" i="49"/>
  <c r="AA230" i="49"/>
  <c r="AA229" i="49"/>
  <c r="AA228" i="49"/>
  <c r="AA227" i="49"/>
  <c r="AA226" i="49"/>
  <c r="AA225" i="49"/>
  <c r="AA223" i="49"/>
  <c r="AA220" i="49"/>
  <c r="AA219" i="49"/>
  <c r="AA218" i="49"/>
  <c r="AA217" i="49"/>
  <c r="AA216" i="49"/>
  <c r="AA214" i="49"/>
  <c r="AA213" i="49"/>
  <c r="AA212" i="49"/>
  <c r="AA211" i="49"/>
  <c r="AA210" i="49"/>
  <c r="AA209" i="49"/>
  <c r="AA208" i="49"/>
  <c r="AA207" i="49"/>
  <c r="AA206" i="49"/>
  <c r="AA205" i="49"/>
  <c r="AA204" i="49"/>
  <c r="AA203" i="49"/>
  <c r="AA202" i="49"/>
  <c r="AA201" i="49"/>
  <c r="AA200" i="49"/>
  <c r="AA199" i="49"/>
  <c r="AA198" i="49"/>
  <c r="AA197" i="49"/>
  <c r="AA196" i="49"/>
  <c r="AA195" i="49"/>
  <c r="AA194" i="49"/>
  <c r="AA193" i="49"/>
  <c r="AA191" i="49"/>
  <c r="AA190" i="49"/>
  <c r="AA189" i="49"/>
  <c r="AA188" i="49"/>
  <c r="AA187" i="49"/>
  <c r="R361" i="49"/>
  <c r="AA185" i="49"/>
  <c r="AA184" i="49"/>
  <c r="AA183" i="49"/>
  <c r="AA182" i="49"/>
  <c r="AA181" i="49"/>
  <c r="AA180" i="49"/>
  <c r="AA179" i="49"/>
  <c r="AA178" i="49"/>
  <c r="AA177" i="49"/>
  <c r="AA176" i="49"/>
  <c r="AA175" i="49"/>
  <c r="AA174" i="49"/>
  <c r="AA173" i="49"/>
  <c r="AA171" i="49"/>
  <c r="AA170" i="49"/>
  <c r="AA169" i="49"/>
  <c r="AA168" i="49"/>
  <c r="AA167" i="49"/>
  <c r="AA166" i="49"/>
  <c r="AA165" i="49"/>
  <c r="AA164" i="49"/>
  <c r="AA163" i="49"/>
  <c r="AA162" i="49"/>
  <c r="AA161" i="49"/>
  <c r="AA160" i="49"/>
  <c r="AA159" i="49"/>
  <c r="AA158" i="49"/>
  <c r="AA157" i="49"/>
  <c r="AA156" i="49"/>
  <c r="AA155" i="49"/>
  <c r="AA154" i="49"/>
  <c r="AA153" i="49"/>
  <c r="AA152" i="49"/>
  <c r="AA151" i="49"/>
  <c r="AA150" i="49"/>
  <c r="AA149" i="49"/>
  <c r="AA147" i="49"/>
  <c r="AA146" i="49"/>
  <c r="AA143" i="49"/>
  <c r="AA142" i="49"/>
  <c r="AA141" i="49"/>
  <c r="AA140" i="49"/>
  <c r="AA139" i="49"/>
  <c r="AA138" i="49"/>
  <c r="AA137" i="49"/>
  <c r="AA136" i="49"/>
  <c r="AA135" i="49"/>
  <c r="AA134" i="49"/>
  <c r="AA133" i="49"/>
  <c r="AA132" i="49"/>
  <c r="AA131" i="49"/>
  <c r="AA130" i="49"/>
  <c r="AA129" i="49"/>
  <c r="AA128" i="49"/>
  <c r="AA127" i="49"/>
  <c r="AA126" i="49"/>
  <c r="AA125" i="49"/>
  <c r="AA123" i="49"/>
  <c r="AA122" i="49"/>
  <c r="AA121" i="49"/>
  <c r="AA120" i="49"/>
  <c r="AA119" i="49"/>
  <c r="AA118" i="49"/>
  <c r="AA117" i="49"/>
  <c r="AA116" i="49"/>
  <c r="AA115" i="49"/>
  <c r="AA114" i="49"/>
  <c r="AA113" i="49"/>
  <c r="AA112" i="49"/>
  <c r="AA111" i="49"/>
  <c r="AA110" i="49"/>
  <c r="AA109" i="49"/>
  <c r="AA108" i="49"/>
  <c r="AA107" i="49"/>
  <c r="AA106" i="49"/>
  <c r="AA105" i="49"/>
  <c r="AA103" i="49"/>
  <c r="AA102" i="49"/>
  <c r="AA101" i="49"/>
  <c r="AA100" i="49"/>
  <c r="AA99" i="49"/>
  <c r="AA98" i="49"/>
  <c r="AA97" i="49"/>
  <c r="AA96" i="49"/>
  <c r="AA95" i="49"/>
  <c r="AA94" i="49"/>
  <c r="AA93" i="49"/>
  <c r="AA92" i="49"/>
  <c r="AA91" i="49"/>
  <c r="AA90" i="49"/>
  <c r="AA89" i="49"/>
  <c r="AA88" i="49"/>
  <c r="AA87" i="49"/>
  <c r="AA86" i="49"/>
  <c r="AA85" i="49"/>
  <c r="AA84" i="49"/>
  <c r="AA83" i="49"/>
  <c r="AA82" i="49"/>
  <c r="AA81" i="49"/>
  <c r="AA80" i="49"/>
  <c r="AA79" i="49"/>
  <c r="AA78" i="49"/>
  <c r="AA77" i="49"/>
  <c r="AA76" i="49"/>
  <c r="AA75" i="49"/>
  <c r="AA74" i="49"/>
  <c r="AA73" i="49"/>
  <c r="AA72" i="49"/>
  <c r="AA71" i="49"/>
  <c r="AA70" i="49"/>
  <c r="AA69" i="49"/>
  <c r="AA68" i="49"/>
  <c r="AA67" i="49"/>
  <c r="AA66" i="49"/>
  <c r="AA65" i="49"/>
  <c r="AA64" i="49"/>
  <c r="AA63" i="49"/>
  <c r="AA62" i="49"/>
  <c r="AA61" i="49"/>
  <c r="AA60" i="49"/>
  <c r="AA59" i="49"/>
  <c r="AA58" i="49"/>
  <c r="AA57" i="49"/>
  <c r="AA56" i="49"/>
  <c r="AA55" i="49"/>
  <c r="AA54" i="49"/>
  <c r="AA53" i="49"/>
  <c r="AA52" i="49"/>
  <c r="AA51" i="49"/>
  <c r="AA50" i="49"/>
  <c r="AA49" i="49"/>
  <c r="AA48" i="49"/>
  <c r="AA47" i="49"/>
  <c r="AA46" i="49"/>
  <c r="AA45" i="49"/>
  <c r="AA44" i="49"/>
  <c r="AA43" i="49"/>
  <c r="AA42" i="49"/>
  <c r="AA41" i="49"/>
  <c r="AA40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25" i="49"/>
  <c r="AA24" i="49"/>
  <c r="AA23" i="49"/>
  <c r="AA22" i="49"/>
  <c r="H96" i="48"/>
  <c r="G74" i="46"/>
  <c r="Z74" i="46"/>
  <c r="Y74" i="46"/>
  <c r="O74" i="46" s="1"/>
  <c r="T74" i="46"/>
  <c r="M74" i="46"/>
  <c r="L74" i="46"/>
  <c r="K74" i="46"/>
  <c r="D74" i="46"/>
  <c r="AA40" i="46"/>
  <c r="Z40" i="46"/>
  <c r="Y40" i="46"/>
  <c r="O40" i="46" s="1"/>
  <c r="T40" i="46"/>
  <c r="L40" i="46"/>
  <c r="K40" i="46"/>
  <c r="D40" i="46"/>
  <c r="Z34" i="48"/>
  <c r="Y34" i="48"/>
  <c r="O34" i="48" s="1"/>
  <c r="U34" i="48"/>
  <c r="P34" i="48"/>
  <c r="M34" i="48"/>
  <c r="L34" i="48"/>
  <c r="K34" i="48"/>
  <c r="G34" i="48"/>
  <c r="AA34" i="48" s="1"/>
  <c r="D34" i="48"/>
  <c r="K2" i="47"/>
  <c r="K3" i="47" s="1"/>
  <c r="K4" i="47" s="1"/>
  <c r="K5" i="47" s="1"/>
  <c r="K6" i="47" s="1"/>
  <c r="K7" i="47" s="1"/>
  <c r="M14" i="46"/>
  <c r="M15" i="46"/>
  <c r="M16" i="46"/>
  <c r="M17" i="46"/>
  <c r="M18" i="46"/>
  <c r="M19" i="46"/>
  <c r="M20" i="46"/>
  <c r="K35" i="48"/>
  <c r="L35" i="48"/>
  <c r="M35" i="48"/>
  <c r="Z35" i="48"/>
  <c r="Y35" i="48"/>
  <c r="O35" i="48" s="1"/>
  <c r="U35" i="48"/>
  <c r="G35" i="48"/>
  <c r="AA35" i="48" s="1"/>
  <c r="D35" i="48"/>
  <c r="D211" i="50" l="1"/>
  <c r="D212" i="50" s="1"/>
  <c r="D213" i="50" s="1"/>
  <c r="D214" i="50" s="1"/>
  <c r="D215" i="50" s="1"/>
  <c r="D216" i="50" s="1"/>
  <c r="D217" i="50" s="1"/>
  <c r="D218" i="50" s="1"/>
  <c r="D219" i="50" s="1"/>
  <c r="D220" i="50" s="1"/>
  <c r="D221" i="50" s="1"/>
  <c r="D222" i="50" s="1"/>
  <c r="P40" i="46"/>
  <c r="P360" i="49"/>
  <c r="AA74" i="46"/>
  <c r="AA186" i="49"/>
  <c r="AA361" i="49" s="1"/>
  <c r="G361" i="49"/>
  <c r="O361" i="49"/>
  <c r="R360" i="49"/>
  <c r="G360" i="49"/>
  <c r="AA104" i="49"/>
  <c r="AA39" i="49"/>
  <c r="AA124" i="49"/>
  <c r="AA192" i="49"/>
  <c r="Q34" i="48"/>
  <c r="X34" i="48" s="1"/>
  <c r="Q40" i="46"/>
  <c r="Q74" i="46"/>
  <c r="X74" i="46" s="1"/>
  <c r="K8" i="47"/>
  <c r="Q35" i="48"/>
  <c r="X35" i="48" s="1"/>
  <c r="R45" i="46"/>
  <c r="R9" i="46"/>
  <c r="R13" i="46"/>
  <c r="Z59" i="40"/>
  <c r="Y59" i="40"/>
  <c r="O59" i="40" s="1"/>
  <c r="U59" i="40"/>
  <c r="R59" i="40"/>
  <c r="K59" i="40"/>
  <c r="G59" i="40"/>
  <c r="H59" i="40" s="1"/>
  <c r="D59" i="40"/>
  <c r="Z69" i="45"/>
  <c r="Y69" i="45"/>
  <c r="O69" i="45" s="1"/>
  <c r="U69" i="45"/>
  <c r="T69" i="45"/>
  <c r="K69" i="45"/>
  <c r="G69" i="45"/>
  <c r="D69" i="45"/>
  <c r="Z68" i="45"/>
  <c r="Y68" i="45"/>
  <c r="O68" i="45" s="1"/>
  <c r="U68" i="45"/>
  <c r="R68" i="45"/>
  <c r="T68" i="45" s="1"/>
  <c r="K68" i="45"/>
  <c r="G68" i="45"/>
  <c r="H68" i="45" s="1"/>
  <c r="D68" i="45"/>
  <c r="Z108" i="48"/>
  <c r="Z109" i="48"/>
  <c r="Z123" i="46"/>
  <c r="Z111" i="46"/>
  <c r="Z112" i="46"/>
  <c r="Z118" i="46"/>
  <c r="Z120" i="46"/>
  <c r="Y108" i="48"/>
  <c r="O108" i="48" s="1"/>
  <c r="Y109" i="48"/>
  <c r="O109" i="48" s="1"/>
  <c r="D108" i="48"/>
  <c r="D109" i="48"/>
  <c r="Y123" i="46"/>
  <c r="Y111" i="46"/>
  <c r="Y112" i="46"/>
  <c r="O112" i="46" s="1"/>
  <c r="Y118" i="46"/>
  <c r="Y120" i="46"/>
  <c r="D123" i="46"/>
  <c r="D111" i="46"/>
  <c r="D112" i="46"/>
  <c r="D118" i="46"/>
  <c r="D120" i="46"/>
  <c r="T112" i="46"/>
  <c r="K112" i="46"/>
  <c r="G112" i="46"/>
  <c r="AA112" i="46" s="1"/>
  <c r="Z23" i="46"/>
  <c r="Y23" i="46"/>
  <c r="O23" i="46" s="1"/>
  <c r="T23" i="46"/>
  <c r="M23" i="46"/>
  <c r="L23" i="46"/>
  <c r="K23" i="46"/>
  <c r="G23" i="46"/>
  <c r="AA23" i="46" s="1"/>
  <c r="D23" i="46"/>
  <c r="AA61" i="46"/>
  <c r="Z61" i="46"/>
  <c r="Y61" i="46"/>
  <c r="O61" i="46" s="1"/>
  <c r="T61" i="46"/>
  <c r="K61" i="46"/>
  <c r="D61" i="46"/>
  <c r="D105" i="34"/>
  <c r="G105" i="34"/>
  <c r="AA105" i="34" s="1"/>
  <c r="K105" i="34"/>
  <c r="L105" i="34"/>
  <c r="M105" i="34"/>
  <c r="O105" i="34"/>
  <c r="Q105" i="34"/>
  <c r="R105" i="34"/>
  <c r="T105" i="34" s="1"/>
  <c r="U105" i="34"/>
  <c r="Y105" i="34"/>
  <c r="Z105" i="34"/>
  <c r="D106" i="34"/>
  <c r="G106" i="34"/>
  <c r="AA106" i="34" s="1"/>
  <c r="K106" i="34"/>
  <c r="L106" i="34"/>
  <c r="M106" i="34"/>
  <c r="O106" i="34"/>
  <c r="Q106" i="34"/>
  <c r="R106" i="34"/>
  <c r="T106" i="34" s="1"/>
  <c r="U106" i="34"/>
  <c r="Y106" i="34"/>
  <c r="Z106" i="34"/>
  <c r="AA5" i="48"/>
  <c r="Z5" i="48"/>
  <c r="Y5" i="48"/>
  <c r="O5" i="48" s="1"/>
  <c r="Q5" i="48" s="1"/>
  <c r="U5" i="48"/>
  <c r="M5" i="48"/>
  <c r="L5" i="48"/>
  <c r="K5" i="48"/>
  <c r="D5" i="48"/>
  <c r="Z3" i="48"/>
  <c r="Y3" i="48"/>
  <c r="O3" i="48" s="1"/>
  <c r="U3" i="48"/>
  <c r="K3" i="48"/>
  <c r="G3" i="48"/>
  <c r="AA3" i="48" s="1"/>
  <c r="D3" i="48"/>
  <c r="AA4" i="48"/>
  <c r="Z4" i="48"/>
  <c r="Y4" i="48"/>
  <c r="O4" i="48" s="1"/>
  <c r="U4" i="48"/>
  <c r="M4" i="48"/>
  <c r="L4" i="48"/>
  <c r="K4" i="48"/>
  <c r="D4" i="48"/>
  <c r="H102" i="46"/>
  <c r="Z20" i="46"/>
  <c r="Y20" i="46"/>
  <c r="O20" i="46" s="1"/>
  <c r="T20" i="46"/>
  <c r="L20" i="46"/>
  <c r="K20" i="46"/>
  <c r="G20" i="46"/>
  <c r="AA20" i="46" s="1"/>
  <c r="D20" i="46"/>
  <c r="Z19" i="46"/>
  <c r="Y19" i="46"/>
  <c r="O19" i="46" s="1"/>
  <c r="T19" i="46"/>
  <c r="L19" i="46"/>
  <c r="K19" i="46"/>
  <c r="G19" i="46"/>
  <c r="D19" i="46"/>
  <c r="AA62" i="46"/>
  <c r="Z62" i="46"/>
  <c r="Y62" i="46"/>
  <c r="O62" i="46" s="1"/>
  <c r="T62" i="46"/>
  <c r="K62" i="46"/>
  <c r="D62" i="46"/>
  <c r="AA22" i="46"/>
  <c r="Z22" i="46"/>
  <c r="Y22" i="46"/>
  <c r="O22" i="46" s="1"/>
  <c r="T22" i="46"/>
  <c r="M22" i="46"/>
  <c r="L22" i="46"/>
  <c r="K22" i="46"/>
  <c r="D22" i="46"/>
  <c r="AA39" i="46"/>
  <c r="Z39" i="46"/>
  <c r="Y39" i="46"/>
  <c r="O39" i="46" s="1"/>
  <c r="T39" i="46"/>
  <c r="L39" i="46"/>
  <c r="K39" i="46"/>
  <c r="D39" i="46"/>
  <c r="AA21" i="46"/>
  <c r="Z21" i="46"/>
  <c r="Y21" i="46"/>
  <c r="O21" i="46" s="1"/>
  <c r="T21" i="46"/>
  <c r="M21" i="46"/>
  <c r="L21" i="46"/>
  <c r="K21" i="46"/>
  <c r="D21" i="46"/>
  <c r="AA38" i="46"/>
  <c r="Z38" i="46"/>
  <c r="Y38" i="46"/>
  <c r="O38" i="46" s="1"/>
  <c r="T38" i="46"/>
  <c r="L38" i="46"/>
  <c r="K38" i="46"/>
  <c r="D38" i="46"/>
  <c r="AA17" i="45"/>
  <c r="AA11" i="45"/>
  <c r="Z104" i="34"/>
  <c r="AA104" i="34"/>
  <c r="AA103" i="34"/>
  <c r="Z103" i="34"/>
  <c r="Y103" i="34"/>
  <c r="U103" i="34"/>
  <c r="R103" i="34"/>
  <c r="T103" i="34" s="1"/>
  <c r="P103" i="34" s="1"/>
  <c r="Q103" i="34"/>
  <c r="O103" i="34"/>
  <c r="R42" i="46"/>
  <c r="R43" i="46"/>
  <c r="R71" i="46"/>
  <c r="R72" i="46"/>
  <c r="P72" i="46" s="1"/>
  <c r="R44" i="46"/>
  <c r="AA60" i="46"/>
  <c r="Z60" i="46"/>
  <c r="Y60" i="46"/>
  <c r="O60" i="46" s="1"/>
  <c r="T60" i="46"/>
  <c r="K60" i="46"/>
  <c r="D60" i="46"/>
  <c r="AA18" i="46"/>
  <c r="Z18" i="46"/>
  <c r="Y18" i="46"/>
  <c r="O18" i="46" s="1"/>
  <c r="T18" i="46"/>
  <c r="L18" i="46"/>
  <c r="K18" i="46"/>
  <c r="D18" i="46"/>
  <c r="AA37" i="46"/>
  <c r="Z37" i="46"/>
  <c r="Y37" i="46"/>
  <c r="O37" i="46" s="1"/>
  <c r="T37" i="46"/>
  <c r="L37" i="46"/>
  <c r="K37" i="46"/>
  <c r="D37" i="46"/>
  <c r="AA59" i="46"/>
  <c r="Z59" i="46"/>
  <c r="Y59" i="46"/>
  <c r="O59" i="46" s="1"/>
  <c r="T59" i="46"/>
  <c r="K59" i="46"/>
  <c r="D59" i="46"/>
  <c r="AA17" i="46"/>
  <c r="Z17" i="46"/>
  <c r="Y17" i="46"/>
  <c r="O17" i="46" s="1"/>
  <c r="T17" i="46"/>
  <c r="L17" i="46"/>
  <c r="K17" i="46"/>
  <c r="D17" i="46"/>
  <c r="AA36" i="46"/>
  <c r="Z36" i="46"/>
  <c r="Y36" i="46"/>
  <c r="O36" i="46" s="1"/>
  <c r="T36" i="46"/>
  <c r="L36" i="46"/>
  <c r="K36" i="46"/>
  <c r="D36" i="46"/>
  <c r="AA58" i="46"/>
  <c r="Z58" i="46"/>
  <c r="Y58" i="46"/>
  <c r="O58" i="46" s="1"/>
  <c r="T58" i="46"/>
  <c r="K58" i="46"/>
  <c r="D58" i="46"/>
  <c r="AA16" i="46"/>
  <c r="Z16" i="46"/>
  <c r="Y16" i="46"/>
  <c r="O16" i="46" s="1"/>
  <c r="T16" i="46"/>
  <c r="L16" i="46"/>
  <c r="K16" i="46"/>
  <c r="D16" i="46"/>
  <c r="Y2" i="45"/>
  <c r="Z2" i="45"/>
  <c r="AA2" i="45"/>
  <c r="AA3" i="45"/>
  <c r="Y3" i="45"/>
  <c r="Z3" i="45"/>
  <c r="Y4" i="45"/>
  <c r="Z4" i="45"/>
  <c r="AA4" i="45"/>
  <c r="AA5" i="45"/>
  <c r="Y5" i="45"/>
  <c r="Z5" i="45"/>
  <c r="Y6" i="45"/>
  <c r="Z6" i="45"/>
  <c r="AA6" i="45"/>
  <c r="AA7" i="45"/>
  <c r="Y7" i="45"/>
  <c r="Z7" i="45"/>
  <c r="Y8" i="45"/>
  <c r="Z8" i="45"/>
  <c r="AA8" i="45"/>
  <c r="Y9" i="45"/>
  <c r="Z9" i="45"/>
  <c r="AA9" i="45"/>
  <c r="Y10" i="45"/>
  <c r="Z10" i="45"/>
  <c r="AA10" i="45"/>
  <c r="Y11" i="45"/>
  <c r="Z11" i="45"/>
  <c r="AA12" i="45"/>
  <c r="Y12" i="45"/>
  <c r="Z12" i="45"/>
  <c r="Y13" i="45"/>
  <c r="Z13" i="45"/>
  <c r="AA13" i="45"/>
  <c r="AA14" i="45"/>
  <c r="Y14" i="45"/>
  <c r="Z14" i="45"/>
  <c r="Y15" i="45"/>
  <c r="Z15" i="45"/>
  <c r="AA15" i="45"/>
  <c r="AA16" i="45"/>
  <c r="Y16" i="45"/>
  <c r="Z16" i="45"/>
  <c r="Y17" i="45"/>
  <c r="Z17" i="45"/>
  <c r="AA18" i="45"/>
  <c r="Y18" i="45"/>
  <c r="Z18" i="45"/>
  <c r="Y19" i="45"/>
  <c r="Z19" i="45"/>
  <c r="AA19" i="45"/>
  <c r="Y20" i="45"/>
  <c r="Z20" i="45"/>
  <c r="AA20" i="45"/>
  <c r="AA21" i="45"/>
  <c r="Y21" i="45"/>
  <c r="Z21" i="45"/>
  <c r="Y22" i="45"/>
  <c r="Z22" i="45"/>
  <c r="AA22" i="45"/>
  <c r="AA23" i="45"/>
  <c r="Y23" i="45"/>
  <c r="Z23" i="45"/>
  <c r="Y24" i="45"/>
  <c r="Z24" i="45"/>
  <c r="AA24" i="45"/>
  <c r="AA25" i="45"/>
  <c r="Y25" i="45"/>
  <c r="Z25" i="45"/>
  <c r="Y26" i="45"/>
  <c r="Z26" i="45"/>
  <c r="AA26" i="45"/>
  <c r="AA27" i="45"/>
  <c r="Y27" i="45"/>
  <c r="Z27" i="45"/>
  <c r="Y28" i="45"/>
  <c r="Z28" i="45"/>
  <c r="AA28" i="45"/>
  <c r="AA29" i="45"/>
  <c r="Y29" i="45"/>
  <c r="Z29" i="45"/>
  <c r="Y30" i="45"/>
  <c r="Z30" i="45"/>
  <c r="AA30" i="45"/>
  <c r="Y31" i="45"/>
  <c r="Z31" i="45"/>
  <c r="AA31" i="45"/>
  <c r="AA32" i="45"/>
  <c r="Y32" i="45"/>
  <c r="Z32" i="45"/>
  <c r="Y33" i="45"/>
  <c r="Z33" i="45"/>
  <c r="AA33" i="45"/>
  <c r="AA34" i="45"/>
  <c r="Y34" i="45"/>
  <c r="Z34" i="45"/>
  <c r="AA35" i="45"/>
  <c r="Y35" i="45"/>
  <c r="Z35" i="45"/>
  <c r="AA44" i="45"/>
  <c r="Z44" i="45"/>
  <c r="Y44" i="45"/>
  <c r="O44" i="45" s="1"/>
  <c r="Q44" i="45" s="1"/>
  <c r="U44" i="45"/>
  <c r="M44" i="45"/>
  <c r="L44" i="45"/>
  <c r="K44" i="45"/>
  <c r="D44" i="45"/>
  <c r="N111" i="48"/>
  <c r="N112" i="48" s="1"/>
  <c r="M111" i="48"/>
  <c r="M112" i="48" s="1"/>
  <c r="L111" i="48"/>
  <c r="L112" i="48" s="1"/>
  <c r="U108" i="48"/>
  <c r="T108" i="48"/>
  <c r="K108" i="48"/>
  <c r="G108" i="48"/>
  <c r="H108" i="48" s="1"/>
  <c r="U109" i="48"/>
  <c r="R109" i="48"/>
  <c r="K109" i="48"/>
  <c r="G109" i="48"/>
  <c r="A107" i="48"/>
  <c r="AA104" i="48"/>
  <c r="X104" i="48"/>
  <c r="R104" i="48"/>
  <c r="Q104" i="48"/>
  <c r="P104" i="48"/>
  <c r="O104" i="48"/>
  <c r="H104" i="48"/>
  <c r="G104" i="48"/>
  <c r="H103" i="48"/>
  <c r="R102" i="48"/>
  <c r="H102" i="48"/>
  <c r="H101" i="48"/>
  <c r="R100" i="48"/>
  <c r="N97" i="48"/>
  <c r="N96" i="48"/>
  <c r="H95" i="48"/>
  <c r="Z2" i="48"/>
  <c r="Y2" i="48"/>
  <c r="O2" i="48" s="1"/>
  <c r="U2" i="48"/>
  <c r="K2" i="48"/>
  <c r="G2" i="48"/>
  <c r="D2" i="48"/>
  <c r="Z32" i="48"/>
  <c r="Y32" i="48"/>
  <c r="O32" i="48" s="1"/>
  <c r="U32" i="48"/>
  <c r="G32" i="48"/>
  <c r="AA32" i="48" s="1"/>
  <c r="D32" i="48"/>
  <c r="AA31" i="48"/>
  <c r="Z31" i="48"/>
  <c r="Y31" i="48"/>
  <c r="O31" i="48" s="1"/>
  <c r="U31" i="48"/>
  <c r="R31" i="48"/>
  <c r="T31" i="48" s="1"/>
  <c r="M31" i="48"/>
  <c r="L31" i="48"/>
  <c r="K31" i="48"/>
  <c r="D31" i="48"/>
  <c r="Z30" i="48"/>
  <c r="Y30" i="48"/>
  <c r="O30" i="48" s="1"/>
  <c r="U30" i="48"/>
  <c r="M30" i="48"/>
  <c r="L30" i="48"/>
  <c r="K30" i="48"/>
  <c r="G30" i="48"/>
  <c r="D30" i="48"/>
  <c r="Z29" i="48"/>
  <c r="Y29" i="48"/>
  <c r="O29" i="48" s="1"/>
  <c r="U29" i="48"/>
  <c r="R29" i="48"/>
  <c r="T29" i="48" s="1"/>
  <c r="M29" i="48"/>
  <c r="L29" i="48"/>
  <c r="K29" i="48"/>
  <c r="G29" i="48"/>
  <c r="D29" i="48"/>
  <c r="AA28" i="48"/>
  <c r="Z28" i="48"/>
  <c r="Y28" i="48"/>
  <c r="O28" i="48" s="1"/>
  <c r="U28" i="48"/>
  <c r="R28" i="48"/>
  <c r="P28" i="48" s="1"/>
  <c r="M28" i="48"/>
  <c r="L28" i="48"/>
  <c r="K28" i="48"/>
  <c r="A27" i="48"/>
  <c r="G102" i="48"/>
  <c r="Q102" i="48"/>
  <c r="O102" i="48"/>
  <c r="AA43" i="45"/>
  <c r="Z43" i="45"/>
  <c r="Y43" i="45"/>
  <c r="O43" i="45" s="1"/>
  <c r="Q43" i="45" s="1"/>
  <c r="U43" i="45"/>
  <c r="M43" i="45"/>
  <c r="L43" i="45"/>
  <c r="K43" i="45"/>
  <c r="D43" i="45"/>
  <c r="AA41" i="45"/>
  <c r="Z41" i="45"/>
  <c r="Y41" i="45"/>
  <c r="O41" i="45" s="1"/>
  <c r="Q41" i="45" s="1"/>
  <c r="U41" i="45"/>
  <c r="M41" i="45"/>
  <c r="L41" i="45"/>
  <c r="K41" i="45"/>
  <c r="D41" i="45"/>
  <c r="AA42" i="45"/>
  <c r="Z42" i="45"/>
  <c r="Y42" i="45"/>
  <c r="O42" i="45" s="1"/>
  <c r="Q42" i="45" s="1"/>
  <c r="U42" i="45"/>
  <c r="M42" i="45"/>
  <c r="L42" i="45"/>
  <c r="K42" i="45"/>
  <c r="D42" i="45"/>
  <c r="AA40" i="45"/>
  <c r="Z40" i="45"/>
  <c r="Y40" i="45"/>
  <c r="O40" i="45" s="1"/>
  <c r="Q40" i="45" s="1"/>
  <c r="U40" i="45"/>
  <c r="M40" i="45"/>
  <c r="L40" i="45"/>
  <c r="K40" i="45"/>
  <c r="D40" i="45"/>
  <c r="P112" i="46" l="1"/>
  <c r="P61" i="46"/>
  <c r="P58" i="46"/>
  <c r="P59" i="46"/>
  <c r="P60" i="46"/>
  <c r="R107" i="46"/>
  <c r="P62" i="46"/>
  <c r="AA360" i="49"/>
  <c r="Y360" i="49" s="1"/>
  <c r="G95" i="48"/>
  <c r="AA2" i="48"/>
  <c r="AA103" i="48" s="1"/>
  <c r="G96" i="48"/>
  <c r="G97" i="48"/>
  <c r="D9" i="18" s="1"/>
  <c r="Q31" i="48"/>
  <c r="D223" i="50"/>
  <c r="D224" i="50" s="1"/>
  <c r="D225" i="50" s="1"/>
  <c r="D226" i="50" s="1"/>
  <c r="D227" i="50" s="1"/>
  <c r="D228" i="50" s="1"/>
  <c r="D229" i="50" s="1"/>
  <c r="D230" i="50" s="1"/>
  <c r="D231" i="50" s="1"/>
  <c r="D232" i="50" s="1"/>
  <c r="D233" i="50" s="1"/>
  <c r="D234" i="50" s="1"/>
  <c r="D235" i="50" s="1"/>
  <c r="D236" i="50" s="1"/>
  <c r="D237" i="50" s="1"/>
  <c r="D238" i="50" s="1"/>
  <c r="D239" i="50" s="1"/>
  <c r="D240" i="50" s="1"/>
  <c r="D241" i="50" s="1"/>
  <c r="D242" i="50" s="1"/>
  <c r="D243" i="50" s="1"/>
  <c r="D244" i="50" s="1"/>
  <c r="D245" i="50" s="1"/>
  <c r="D246" i="50" s="1"/>
  <c r="D247" i="50" s="1"/>
  <c r="D248" i="50" s="1"/>
  <c r="D249" i="50" s="1"/>
  <c r="D250" i="50" s="1"/>
  <c r="D251" i="50" s="1"/>
  <c r="D252" i="50" s="1"/>
  <c r="D253" i="50" s="1"/>
  <c r="D254" i="50" s="1"/>
  <c r="D255" i="50" s="1"/>
  <c r="D256" i="50" s="1"/>
  <c r="D257" i="50" s="1"/>
  <c r="D258" i="50" s="1"/>
  <c r="D259" i="50" s="1"/>
  <c r="D260" i="50" s="1"/>
  <c r="D261" i="50" s="1"/>
  <c r="D262" i="50" s="1"/>
  <c r="D263" i="50" s="1"/>
  <c r="D264" i="50" s="1"/>
  <c r="D265" i="50" s="1"/>
  <c r="D266" i="50" s="1"/>
  <c r="D267" i="50" s="1"/>
  <c r="D268" i="50" s="1"/>
  <c r="D269" i="50" s="1"/>
  <c r="D270" i="50" s="1"/>
  <c r="D271" i="50" s="1"/>
  <c r="D272" i="50" s="1"/>
  <c r="D273" i="50" s="1"/>
  <c r="D274" i="50" s="1"/>
  <c r="D275" i="50" s="1"/>
  <c r="D276" i="50" s="1"/>
  <c r="D277" i="50" s="1"/>
  <c r="D278" i="50" s="1"/>
  <c r="D279" i="50" s="1"/>
  <c r="D280" i="50" s="1"/>
  <c r="D281" i="50" s="1"/>
  <c r="P32" i="48"/>
  <c r="T32" i="48"/>
  <c r="Q32" i="48" s="1"/>
  <c r="P108" i="48"/>
  <c r="P42" i="45"/>
  <c r="X42" i="45" s="1"/>
  <c r="P39" i="46"/>
  <c r="P37" i="46"/>
  <c r="X40" i="46"/>
  <c r="P36" i="46"/>
  <c r="P38" i="46"/>
  <c r="P44" i="45"/>
  <c r="X44" i="45" s="1"/>
  <c r="P41" i="45"/>
  <c r="X41" i="45" s="1"/>
  <c r="P40" i="45"/>
  <c r="X40" i="45" s="1"/>
  <c r="P43" i="45"/>
  <c r="X43" i="45" s="1"/>
  <c r="P4" i="48"/>
  <c r="R96" i="48"/>
  <c r="P5" i="48"/>
  <c r="X5" i="48" s="1"/>
  <c r="R106" i="46"/>
  <c r="R364" i="49"/>
  <c r="G364" i="49"/>
  <c r="X360" i="49"/>
  <c r="P361" i="49"/>
  <c r="Q361" i="49"/>
  <c r="H364" i="49"/>
  <c r="P68" i="45"/>
  <c r="Q4" i="48"/>
  <c r="O96" i="48"/>
  <c r="P22" i="46"/>
  <c r="P21" i="46"/>
  <c r="P23" i="46"/>
  <c r="P18" i="46"/>
  <c r="Q68" i="45"/>
  <c r="K9" i="47"/>
  <c r="P20" i="46"/>
  <c r="AA19" i="46"/>
  <c r="P16" i="46"/>
  <c r="P17" i="46"/>
  <c r="P2" i="48"/>
  <c r="P3" i="48"/>
  <c r="Q69" i="45"/>
  <c r="Q112" i="46"/>
  <c r="P59" i="40"/>
  <c r="T59" i="40"/>
  <c r="Q59" i="40" s="1"/>
  <c r="H69" i="45"/>
  <c r="P69" i="45" s="1"/>
  <c r="Q61" i="46"/>
  <c r="X61" i="46" s="1"/>
  <c r="P106" i="34"/>
  <c r="X106" i="34" s="1"/>
  <c r="P105" i="34"/>
  <c r="X105" i="34" s="1"/>
  <c r="Q23" i="46"/>
  <c r="Q62" i="46"/>
  <c r="Q21" i="46"/>
  <c r="Q39" i="46"/>
  <c r="Q3" i="48"/>
  <c r="Q22" i="46"/>
  <c r="Q38" i="46"/>
  <c r="Q20" i="46"/>
  <c r="Q19" i="46"/>
  <c r="P19" i="46"/>
  <c r="Q60" i="46"/>
  <c r="X60" i="46" s="1"/>
  <c r="Q59" i="46"/>
  <c r="X59" i="46" s="1"/>
  <c r="P31" i="48"/>
  <c r="X103" i="34"/>
  <c r="P30" i="48"/>
  <c r="Q58" i="46"/>
  <c r="X58" i="46" s="1"/>
  <c r="Q18" i="46"/>
  <c r="Q17" i="46"/>
  <c r="Q36" i="46"/>
  <c r="Q37" i="46"/>
  <c r="Q16" i="46"/>
  <c r="Q2" i="48"/>
  <c r="K111" i="48"/>
  <c r="K112" i="48" s="1"/>
  <c r="G111" i="48"/>
  <c r="G112" i="48" s="1"/>
  <c r="Q108" i="48"/>
  <c r="Y104" i="48"/>
  <c r="Q29" i="48"/>
  <c r="H100" i="48"/>
  <c r="O103" i="48"/>
  <c r="R97" i="48"/>
  <c r="M97" i="48"/>
  <c r="G101" i="48"/>
  <c r="M96" i="48"/>
  <c r="K96" i="48"/>
  <c r="AA29" i="48"/>
  <c r="P100" i="48"/>
  <c r="L96" i="48"/>
  <c r="R95" i="48"/>
  <c r="H97" i="48"/>
  <c r="O111" i="48"/>
  <c r="O112" i="48" s="1"/>
  <c r="O101" i="48"/>
  <c r="X100" i="48"/>
  <c r="O97" i="48"/>
  <c r="P102" i="48"/>
  <c r="Q30" i="48"/>
  <c r="R111" i="48"/>
  <c r="R112" i="48" s="1"/>
  <c r="X102" i="48"/>
  <c r="AA102" i="48"/>
  <c r="R101" i="48"/>
  <c r="K97" i="48"/>
  <c r="AA100" i="48"/>
  <c r="P29" i="48"/>
  <c r="L97" i="48"/>
  <c r="G100" i="48"/>
  <c r="G103" i="48"/>
  <c r="O100" i="48"/>
  <c r="H109" i="48"/>
  <c r="H111" i="48" s="1"/>
  <c r="H112" i="48" s="1"/>
  <c r="Q100" i="48"/>
  <c r="O95" i="48"/>
  <c r="AA30" i="48"/>
  <c r="R103" i="48"/>
  <c r="T109" i="48"/>
  <c r="Q109" i="48" s="1"/>
  <c r="T28" i="48"/>
  <c r="Q28" i="48" s="1"/>
  <c r="AA39" i="45"/>
  <c r="Z39" i="45"/>
  <c r="Y39" i="45"/>
  <c r="O39" i="45" s="1"/>
  <c r="Q39" i="45" s="1"/>
  <c r="U39" i="45"/>
  <c r="M39" i="45"/>
  <c r="L39" i="45"/>
  <c r="K39" i="45"/>
  <c r="D39" i="45"/>
  <c r="AA38" i="45"/>
  <c r="Z38" i="45"/>
  <c r="Y38" i="45"/>
  <c r="O38" i="45" s="1"/>
  <c r="Q38" i="45" s="1"/>
  <c r="U38" i="45"/>
  <c r="M38" i="45"/>
  <c r="L38" i="45"/>
  <c r="K38" i="45"/>
  <c r="D38" i="45"/>
  <c r="Q95" i="48" l="1"/>
  <c r="Y361" i="49"/>
  <c r="X28" i="48"/>
  <c r="X32" i="48"/>
  <c r="X31" i="48"/>
  <c r="D282" i="50"/>
  <c r="D283" i="50" s="1"/>
  <c r="D284" i="50" s="1"/>
  <c r="D285" i="50" s="1"/>
  <c r="D286" i="50" s="1"/>
  <c r="D287" i="50" s="1"/>
  <c r="D288" i="50" s="1"/>
  <c r="D289" i="50" s="1"/>
  <c r="D290" i="50" s="1"/>
  <c r="D291" i="50" s="1"/>
  <c r="D292" i="50" s="1"/>
  <c r="X108" i="48"/>
  <c r="X112" i="46"/>
  <c r="X39" i="46"/>
  <c r="X37" i="46"/>
  <c r="X38" i="46"/>
  <c r="X36" i="46"/>
  <c r="P39" i="45"/>
  <c r="X39" i="45" s="1"/>
  <c r="P38" i="45"/>
  <c r="X38" i="45" s="1"/>
  <c r="P96" i="48"/>
  <c r="Q96" i="48"/>
  <c r="X62" i="46"/>
  <c r="X4" i="48"/>
  <c r="X68" i="45"/>
  <c r="Q364" i="49"/>
  <c r="X362" i="49"/>
  <c r="Y362" i="49"/>
  <c r="Z361" i="49"/>
  <c r="X20" i="46"/>
  <c r="P103" i="48"/>
  <c r="X23" i="46"/>
  <c r="X18" i="46"/>
  <c r="X21" i="46"/>
  <c r="X16" i="46"/>
  <c r="K10" i="47"/>
  <c r="X17" i="46"/>
  <c r="X69" i="45"/>
  <c r="X3" i="48"/>
  <c r="AA96" i="48"/>
  <c r="X59" i="40"/>
  <c r="X22" i="46"/>
  <c r="Q103" i="48"/>
  <c r="X19" i="46"/>
  <c r="X30" i="48"/>
  <c r="X2" i="48"/>
  <c r="F9" i="18"/>
  <c r="P109" i="48"/>
  <c r="P111" i="48" s="1"/>
  <c r="Q97" i="48"/>
  <c r="Q111" i="48"/>
  <c r="Q112" i="48" s="1"/>
  <c r="AA95" i="48"/>
  <c r="AA97" i="48" s="1"/>
  <c r="X29" i="48"/>
  <c r="P95" i="48"/>
  <c r="AA101" i="48"/>
  <c r="Q101" i="48"/>
  <c r="X103" i="48"/>
  <c r="Y100" i="48"/>
  <c r="P101" i="48"/>
  <c r="X101" i="48"/>
  <c r="Y102" i="48"/>
  <c r="P97" i="48"/>
  <c r="AA45" i="45"/>
  <c r="Z45" i="45"/>
  <c r="Y45" i="45"/>
  <c r="O45" i="45" s="1"/>
  <c r="Q45" i="45" s="1"/>
  <c r="U45" i="45"/>
  <c r="M45" i="45"/>
  <c r="L45" i="45"/>
  <c r="K45" i="45"/>
  <c r="D45" i="45"/>
  <c r="D293" i="50" l="1"/>
  <c r="D294" i="50" s="1"/>
  <c r="D295" i="50" s="1"/>
  <c r="D296" i="50" s="1"/>
  <c r="D297" i="50" s="1"/>
  <c r="D298" i="50" s="1"/>
  <c r="D299" i="50" s="1"/>
  <c r="D300" i="50" s="1"/>
  <c r="D301" i="50" s="1"/>
  <c r="D302" i="50" s="1"/>
  <c r="D303" i="50" s="1"/>
  <c r="D304" i="50" s="1"/>
  <c r="P45" i="45"/>
  <c r="X45" i="45" s="1"/>
  <c r="Y103" i="48"/>
  <c r="Z360" i="49"/>
  <c r="Z362" i="49"/>
  <c r="P364" i="49"/>
  <c r="X364" i="49" s="1"/>
  <c r="K11" i="47"/>
  <c r="C9" i="18"/>
  <c r="G9" i="18" s="1"/>
  <c r="X109" i="48"/>
  <c r="Z102" i="48"/>
  <c r="X96" i="48"/>
  <c r="Z103" i="48"/>
  <c r="Z101" i="48"/>
  <c r="Z104" i="48"/>
  <c r="Z100" i="48"/>
  <c r="Z97" i="48"/>
  <c r="X97" i="48"/>
  <c r="Z95" i="48"/>
  <c r="X95" i="48"/>
  <c r="Z96" i="48"/>
  <c r="Y101" i="48"/>
  <c r="P112" i="48"/>
  <c r="X112" i="48" s="1"/>
  <c r="X111" i="48"/>
  <c r="D305" i="50" l="1"/>
  <c r="D306" i="50" s="1"/>
  <c r="D307" i="50" s="1"/>
  <c r="K12" i="47"/>
  <c r="Z36" i="45"/>
  <c r="Y36" i="45"/>
  <c r="O36" i="45" s="1"/>
  <c r="U36" i="45"/>
  <c r="M36" i="45"/>
  <c r="L36" i="45"/>
  <c r="K36" i="45"/>
  <c r="G36" i="45"/>
  <c r="AA36" i="45" s="1"/>
  <c r="D36" i="45"/>
  <c r="D308" i="50" l="1"/>
  <c r="D309" i="50" s="1"/>
  <c r="D310" i="50" s="1"/>
  <c r="D311" i="50" s="1"/>
  <c r="D312" i="50" s="1"/>
  <c r="D313" i="50" s="1"/>
  <c r="D314" i="50" s="1"/>
  <c r="D315" i="50" s="1"/>
  <c r="D316" i="50" s="1"/>
  <c r="D317" i="50" s="1"/>
  <c r="P36" i="45"/>
  <c r="K13" i="47"/>
  <c r="Q36" i="45"/>
  <c r="T111" i="46"/>
  <c r="Q111" i="46"/>
  <c r="O111" i="46"/>
  <c r="K111" i="46"/>
  <c r="G111" i="46"/>
  <c r="G128" i="46" s="1"/>
  <c r="G129" i="46" s="1"/>
  <c r="AA111" i="46" l="1"/>
  <c r="G135" i="46"/>
  <c r="D318" i="50"/>
  <c r="D319" i="50" s="1"/>
  <c r="D320" i="50" s="1"/>
  <c r="D321" i="50" s="1"/>
  <c r="D322" i="50" s="1"/>
  <c r="X36" i="45"/>
  <c r="K14" i="47"/>
  <c r="H111" i="46"/>
  <c r="P111" i="46" l="1"/>
  <c r="H135" i="46"/>
  <c r="D323" i="50"/>
  <c r="D324" i="50" s="1"/>
  <c r="D325" i="50" s="1"/>
  <c r="D326" i="50" s="1"/>
  <c r="D327" i="50" s="1"/>
  <c r="K15" i="47"/>
  <c r="E9" i="46"/>
  <c r="M9" i="46" s="1"/>
  <c r="E10" i="46"/>
  <c r="M10" i="46" s="1"/>
  <c r="E11" i="46"/>
  <c r="M11" i="46" s="1"/>
  <c r="E12" i="46"/>
  <c r="M12" i="46" s="1"/>
  <c r="E13" i="46"/>
  <c r="M13" i="46" s="1"/>
  <c r="AA35" i="46"/>
  <c r="Z35" i="46"/>
  <c r="Y35" i="46"/>
  <c r="O35" i="46" s="1"/>
  <c r="T35" i="46"/>
  <c r="L35" i="46"/>
  <c r="K35" i="46"/>
  <c r="D35" i="46"/>
  <c r="AA57" i="46"/>
  <c r="Z57" i="46"/>
  <c r="Y57" i="46"/>
  <c r="O57" i="46" s="1"/>
  <c r="T57" i="46"/>
  <c r="K57" i="46"/>
  <c r="D57" i="46"/>
  <c r="AA15" i="46"/>
  <c r="Z15" i="46"/>
  <c r="Y15" i="46"/>
  <c r="O15" i="46" s="1"/>
  <c r="T15" i="46"/>
  <c r="L15" i="46"/>
  <c r="K15" i="46"/>
  <c r="D15" i="46"/>
  <c r="AA34" i="46"/>
  <c r="Z34" i="46"/>
  <c r="Y34" i="46"/>
  <c r="O34" i="46" s="1"/>
  <c r="T34" i="46"/>
  <c r="L34" i="46"/>
  <c r="K34" i="46"/>
  <c r="D34" i="46"/>
  <c r="AA56" i="46"/>
  <c r="Z56" i="46"/>
  <c r="Y56" i="46"/>
  <c r="O56" i="46" s="1"/>
  <c r="T56" i="46"/>
  <c r="K56" i="46"/>
  <c r="D56" i="46"/>
  <c r="AA14" i="46"/>
  <c r="Z14" i="46"/>
  <c r="Y14" i="46"/>
  <c r="O14" i="46" s="1"/>
  <c r="T14" i="46"/>
  <c r="L14" i="46"/>
  <c r="K14" i="46"/>
  <c r="D14" i="46"/>
  <c r="Z37" i="45"/>
  <c r="Y37" i="45"/>
  <c r="O37" i="45" s="1"/>
  <c r="U37" i="45"/>
  <c r="M37" i="45"/>
  <c r="L37" i="45"/>
  <c r="K37" i="45"/>
  <c r="AA37" i="45"/>
  <c r="D37" i="45"/>
  <c r="P56" i="46" l="1"/>
  <c r="P57" i="46"/>
  <c r="X111" i="46"/>
  <c r="D328" i="50"/>
  <c r="D329" i="50" s="1"/>
  <c r="D330" i="50" s="1"/>
  <c r="P34" i="46"/>
  <c r="P35" i="46"/>
  <c r="P37" i="45"/>
  <c r="P15" i="46"/>
  <c r="K16" i="47"/>
  <c r="P14" i="46"/>
  <c r="AA55" i="45"/>
  <c r="AA54" i="45"/>
  <c r="AA56" i="45" s="1"/>
  <c r="Q35" i="46"/>
  <c r="Q14" i="46"/>
  <c r="Q15" i="46"/>
  <c r="Q57" i="46"/>
  <c r="Q56" i="46"/>
  <c r="Q34" i="46"/>
  <c r="Q37" i="45"/>
  <c r="X57" i="46" l="1"/>
  <c r="X56" i="46"/>
  <c r="X34" i="46"/>
  <c r="D331" i="50"/>
  <c r="D332" i="50" s="1"/>
  <c r="D333" i="50" s="1"/>
  <c r="D334" i="50" s="1"/>
  <c r="D335" i="50" s="1"/>
  <c r="D336" i="50" s="1"/>
  <c r="D337" i="50" s="1"/>
  <c r="D338" i="50" s="1"/>
  <c r="D339" i="50" s="1"/>
  <c r="D340" i="50" s="1"/>
  <c r="D341" i="50" s="1"/>
  <c r="D342" i="50" s="1"/>
  <c r="D343" i="50" s="1"/>
  <c r="D344" i="50" s="1"/>
  <c r="X35" i="46"/>
  <c r="X37" i="45"/>
  <c r="X15" i="46"/>
  <c r="K17" i="47"/>
  <c r="X14" i="46"/>
  <c r="D33" i="40"/>
  <c r="G33" i="40"/>
  <c r="AA33" i="40" s="1"/>
  <c r="K33" i="40"/>
  <c r="O33" i="40"/>
  <c r="Q33" i="40"/>
  <c r="R33" i="40"/>
  <c r="U33" i="40"/>
  <c r="Y33" i="40"/>
  <c r="Z33" i="40"/>
  <c r="D32" i="40"/>
  <c r="G32" i="40"/>
  <c r="AA32" i="40" s="1"/>
  <c r="K32" i="40"/>
  <c r="O32" i="40"/>
  <c r="Q32" i="40"/>
  <c r="U32" i="40"/>
  <c r="Y32" i="40"/>
  <c r="Z32" i="40"/>
  <c r="D28" i="40"/>
  <c r="G28" i="40"/>
  <c r="AA28" i="40" s="1"/>
  <c r="K28" i="40"/>
  <c r="O28" i="40"/>
  <c r="Q28" i="40"/>
  <c r="U28" i="40"/>
  <c r="Y28" i="40"/>
  <c r="Z28" i="40"/>
  <c r="D29" i="40"/>
  <c r="G29" i="40"/>
  <c r="AA29" i="40" s="1"/>
  <c r="K29" i="40"/>
  <c r="O29" i="40"/>
  <c r="Q29" i="40"/>
  <c r="U29" i="40"/>
  <c r="Y29" i="40"/>
  <c r="Z29" i="40"/>
  <c r="D30" i="40"/>
  <c r="G30" i="40"/>
  <c r="AA30" i="40" s="1"/>
  <c r="K30" i="40"/>
  <c r="O30" i="40"/>
  <c r="Q30" i="40"/>
  <c r="R30" i="40"/>
  <c r="U30" i="40"/>
  <c r="Y30" i="40"/>
  <c r="Z30" i="40"/>
  <c r="D31" i="40"/>
  <c r="G31" i="40"/>
  <c r="AA31" i="40" s="1"/>
  <c r="K31" i="40"/>
  <c r="O31" i="40"/>
  <c r="Q31" i="40"/>
  <c r="U31" i="40"/>
  <c r="Y31" i="40"/>
  <c r="Z31" i="40"/>
  <c r="Z18" i="39"/>
  <c r="Y18" i="39"/>
  <c r="U18" i="39"/>
  <c r="R18" i="39"/>
  <c r="Q18" i="39"/>
  <c r="O18" i="39"/>
  <c r="K18" i="39"/>
  <c r="G18" i="39"/>
  <c r="AA18" i="39" s="1"/>
  <c r="D18" i="39"/>
  <c r="G100" i="34"/>
  <c r="AA100" i="34" s="1"/>
  <c r="K100" i="34"/>
  <c r="O100" i="34"/>
  <c r="Q100" i="34"/>
  <c r="T100" i="34"/>
  <c r="U100" i="34"/>
  <c r="Y100" i="34"/>
  <c r="Z100" i="34"/>
  <c r="G101" i="34"/>
  <c r="AA101" i="34" s="1"/>
  <c r="K101" i="34"/>
  <c r="O101" i="34"/>
  <c r="Q101" i="34"/>
  <c r="T101" i="34"/>
  <c r="U101" i="34"/>
  <c r="Y101" i="34"/>
  <c r="Z101" i="34"/>
  <c r="G102" i="34"/>
  <c r="AA102" i="34" s="1"/>
  <c r="K102" i="34"/>
  <c r="O102" i="34"/>
  <c r="Q102" i="34"/>
  <c r="R102" i="34"/>
  <c r="T102" i="34" s="1"/>
  <c r="U102" i="34"/>
  <c r="Y102" i="34"/>
  <c r="Z102" i="34"/>
  <c r="G97" i="34"/>
  <c r="AA97" i="34" s="1"/>
  <c r="K97" i="34"/>
  <c r="O97" i="34"/>
  <c r="Q97" i="34"/>
  <c r="T97" i="34"/>
  <c r="U97" i="34"/>
  <c r="Y97" i="34"/>
  <c r="Z97" i="34"/>
  <c r="G98" i="34"/>
  <c r="AA98" i="34" s="1"/>
  <c r="K98" i="34"/>
  <c r="O98" i="34"/>
  <c r="Q98" i="34"/>
  <c r="R98" i="34"/>
  <c r="T98" i="34" s="1"/>
  <c r="U98" i="34"/>
  <c r="Y98" i="34"/>
  <c r="Z98" i="34"/>
  <c r="G99" i="34"/>
  <c r="AA99" i="34" s="1"/>
  <c r="K99" i="34"/>
  <c r="O99" i="34"/>
  <c r="Q99" i="34"/>
  <c r="T99" i="34"/>
  <c r="U99" i="34"/>
  <c r="Y99" i="34"/>
  <c r="Z99" i="34"/>
  <c r="D345" i="50" l="1"/>
  <c r="K18" i="47"/>
  <c r="P32" i="40"/>
  <c r="X32" i="40" s="1"/>
  <c r="P28" i="40"/>
  <c r="X28" i="40" s="1"/>
  <c r="P33" i="40"/>
  <c r="X33" i="40" s="1"/>
  <c r="P30" i="40"/>
  <c r="X30" i="40" s="1"/>
  <c r="P99" i="34"/>
  <c r="X99" i="34" s="1"/>
  <c r="P100" i="34"/>
  <c r="X100" i="34" s="1"/>
  <c r="P31" i="40"/>
  <c r="X31" i="40" s="1"/>
  <c r="P29" i="40"/>
  <c r="X29" i="40" s="1"/>
  <c r="P18" i="39"/>
  <c r="X18" i="39" s="1"/>
  <c r="P102" i="34"/>
  <c r="X102" i="34" s="1"/>
  <c r="P101" i="34"/>
  <c r="X101" i="34" s="1"/>
  <c r="P97" i="34"/>
  <c r="X97" i="34" s="1"/>
  <c r="P98" i="34"/>
  <c r="X98" i="34" s="1"/>
  <c r="D346" i="50" l="1"/>
  <c r="D347" i="50" s="1"/>
  <c r="D348" i="50" s="1"/>
  <c r="D349" i="50" s="1"/>
  <c r="D350" i="50" s="1"/>
  <c r="D351" i="50" s="1"/>
  <c r="D352" i="50" s="1"/>
  <c r="D353" i="50" s="1"/>
  <c r="K19" i="47"/>
  <c r="H61" i="45"/>
  <c r="D354" i="50" l="1"/>
  <c r="D355" i="50" s="1"/>
  <c r="D356" i="50" s="1"/>
  <c r="D357" i="50" s="1"/>
  <c r="D358" i="50" s="1"/>
  <c r="D359" i="50" s="1"/>
  <c r="D360" i="50" s="1"/>
  <c r="D361" i="50" s="1"/>
  <c r="D362" i="50" s="1"/>
  <c r="D363" i="50" s="1"/>
  <c r="D364" i="50" s="1"/>
  <c r="D365" i="50" s="1"/>
  <c r="D366" i="50" s="1"/>
  <c r="D367" i="50" s="1"/>
  <c r="D368" i="50" s="1"/>
  <c r="D369" i="50" s="1"/>
  <c r="D370" i="50" s="1"/>
  <c r="D371" i="50" s="1"/>
  <c r="K20" i="47"/>
  <c r="W137" i="46"/>
  <c r="V137" i="46"/>
  <c r="U137" i="46"/>
  <c r="D372" i="50" l="1"/>
  <c r="K21" i="47"/>
  <c r="AA33" i="46"/>
  <c r="Z33" i="46"/>
  <c r="Y33" i="46"/>
  <c r="O33" i="46" s="1"/>
  <c r="T33" i="46"/>
  <c r="L33" i="46"/>
  <c r="K33" i="46"/>
  <c r="D33" i="46"/>
  <c r="AA55" i="46"/>
  <c r="Z55" i="46"/>
  <c r="Y55" i="46"/>
  <c r="O55" i="46" s="1"/>
  <c r="T55" i="46"/>
  <c r="K55" i="46"/>
  <c r="D55" i="46"/>
  <c r="G43" i="46"/>
  <c r="AA43" i="46" s="1"/>
  <c r="G42" i="46"/>
  <c r="Z43" i="46"/>
  <c r="Y43" i="46"/>
  <c r="O43" i="46" s="1"/>
  <c r="T43" i="46"/>
  <c r="L43" i="46"/>
  <c r="K43" i="46"/>
  <c r="D43" i="46"/>
  <c r="Z42" i="46"/>
  <c r="Y42" i="46"/>
  <c r="O42" i="46" s="1"/>
  <c r="T42" i="46"/>
  <c r="L42" i="46"/>
  <c r="K42" i="46"/>
  <c r="D42" i="46"/>
  <c r="AA32" i="46"/>
  <c r="Z32" i="46"/>
  <c r="Y32" i="46"/>
  <c r="O32" i="46" s="1"/>
  <c r="T32" i="46"/>
  <c r="L32" i="46"/>
  <c r="K32" i="46"/>
  <c r="D32" i="46"/>
  <c r="AA54" i="46"/>
  <c r="Z54" i="46"/>
  <c r="Y54" i="46"/>
  <c r="O54" i="46" s="1"/>
  <c r="T54" i="46"/>
  <c r="K54" i="46"/>
  <c r="D54" i="46"/>
  <c r="AA13" i="46"/>
  <c r="Z13" i="46"/>
  <c r="Y13" i="46"/>
  <c r="O13" i="46" s="1"/>
  <c r="T13" i="46"/>
  <c r="L13" i="46"/>
  <c r="K13" i="46"/>
  <c r="D13" i="46"/>
  <c r="AA31" i="46"/>
  <c r="Z31" i="46"/>
  <c r="Y31" i="46"/>
  <c r="O31" i="46" s="1"/>
  <c r="T31" i="46"/>
  <c r="K31" i="46"/>
  <c r="D31" i="46"/>
  <c r="AA53" i="46"/>
  <c r="Z53" i="46"/>
  <c r="Y53" i="46"/>
  <c r="O53" i="46" s="1"/>
  <c r="T53" i="46"/>
  <c r="K53" i="46"/>
  <c r="D53" i="46"/>
  <c r="AA12" i="46"/>
  <c r="Z12" i="46"/>
  <c r="Y12" i="46"/>
  <c r="O12" i="46" s="1"/>
  <c r="T12" i="46"/>
  <c r="L12" i="46"/>
  <c r="K12" i="46"/>
  <c r="D12" i="46"/>
  <c r="AA30" i="46"/>
  <c r="Z30" i="46"/>
  <c r="Y30" i="46"/>
  <c r="O30" i="46" s="1"/>
  <c r="T30" i="46"/>
  <c r="M30" i="46"/>
  <c r="L30" i="46"/>
  <c r="K30" i="46"/>
  <c r="D30" i="46"/>
  <c r="P54" i="46" l="1"/>
  <c r="P55" i="46"/>
  <c r="D373" i="50"/>
  <c r="D374" i="50" s="1"/>
  <c r="D375" i="50" s="1"/>
  <c r="D376" i="50" s="1"/>
  <c r="D377" i="50" s="1"/>
  <c r="D378" i="50" s="1"/>
  <c r="D379" i="50" s="1"/>
  <c r="D380" i="50" s="1"/>
  <c r="D381" i="50" s="1"/>
  <c r="D382" i="50" s="1"/>
  <c r="D383" i="50" s="1"/>
  <c r="D384" i="50" s="1"/>
  <c r="D385" i="50" s="1"/>
  <c r="D386" i="50" s="1"/>
  <c r="D387" i="50" s="1"/>
  <c r="D388" i="50" s="1"/>
  <c r="D389" i="50" s="1"/>
  <c r="D390" i="50" s="1"/>
  <c r="P53" i="46"/>
  <c r="P30" i="46"/>
  <c r="P42" i="46"/>
  <c r="P43" i="46"/>
  <c r="P31" i="46"/>
  <c r="P33" i="46"/>
  <c r="P32" i="46"/>
  <c r="P13" i="46"/>
  <c r="K22" i="47"/>
  <c r="P12" i="46"/>
  <c r="AA42" i="46"/>
  <c r="Q55" i="46"/>
  <c r="Q30" i="46"/>
  <c r="Q43" i="46"/>
  <c r="Q33" i="46"/>
  <c r="Q32" i="46"/>
  <c r="Q31" i="46"/>
  <c r="X31" i="46" s="1"/>
  <c r="Q42" i="46"/>
  <c r="Q13" i="46"/>
  <c r="Q54" i="46"/>
  <c r="Q53" i="46"/>
  <c r="Q12" i="46"/>
  <c r="X54" i="46" l="1"/>
  <c r="X55" i="46"/>
  <c r="D391" i="50"/>
  <c r="D392" i="50" s="1"/>
  <c r="X43" i="46"/>
  <c r="X33" i="46"/>
  <c r="X53" i="46"/>
  <c r="X32" i="46"/>
  <c r="X42" i="46"/>
  <c r="X30" i="46"/>
  <c r="X12" i="46"/>
  <c r="X13" i="46"/>
  <c r="K23" i="47"/>
  <c r="Q55" i="45"/>
  <c r="D393" i="50" l="1"/>
  <c r="K24" i="47"/>
  <c r="O123" i="46"/>
  <c r="T123" i="46"/>
  <c r="AA123" i="46"/>
  <c r="AA29" i="46"/>
  <c r="Z29" i="46"/>
  <c r="Y29" i="46"/>
  <c r="O29" i="46" s="1"/>
  <c r="T29" i="46"/>
  <c r="M29" i="46"/>
  <c r="L29" i="46"/>
  <c r="K29" i="46"/>
  <c r="D29" i="46"/>
  <c r="AA51" i="46"/>
  <c r="Z51" i="46"/>
  <c r="Y51" i="46"/>
  <c r="O51" i="46" s="1"/>
  <c r="T51" i="46"/>
  <c r="L51" i="46"/>
  <c r="K51" i="46"/>
  <c r="D51" i="46"/>
  <c r="AA10" i="46"/>
  <c r="Z10" i="46"/>
  <c r="Y10" i="46"/>
  <c r="O10" i="46" s="1"/>
  <c r="T10" i="46"/>
  <c r="L10" i="46"/>
  <c r="K10" i="46"/>
  <c r="D10" i="46"/>
  <c r="AA28" i="46"/>
  <c r="Z28" i="46"/>
  <c r="Y28" i="46"/>
  <c r="O28" i="46" s="1"/>
  <c r="T28" i="46"/>
  <c r="M28" i="46"/>
  <c r="L28" i="46"/>
  <c r="K28" i="46"/>
  <c r="D28" i="46"/>
  <c r="AA50" i="46"/>
  <c r="Z50" i="46"/>
  <c r="Y50" i="46"/>
  <c r="O50" i="46" s="1"/>
  <c r="T50" i="46"/>
  <c r="L50" i="46"/>
  <c r="K50" i="46"/>
  <c r="D50" i="46"/>
  <c r="AA9" i="46"/>
  <c r="Z9" i="46"/>
  <c r="Y9" i="46"/>
  <c r="O9" i="46" s="1"/>
  <c r="T9" i="46"/>
  <c r="L9" i="46"/>
  <c r="K9" i="46"/>
  <c r="D9" i="46"/>
  <c r="D394" i="50" l="1"/>
  <c r="D395" i="50" s="1"/>
  <c r="D396" i="50" s="1"/>
  <c r="D397" i="50" s="1"/>
  <c r="D398" i="50" s="1"/>
  <c r="D399" i="50" s="1"/>
  <c r="D400" i="50" s="1"/>
  <c r="D401" i="50" s="1"/>
  <c r="D402" i="50" s="1"/>
  <c r="D403" i="50" s="1"/>
  <c r="D404" i="50" s="1"/>
  <c r="D405" i="50" s="1"/>
  <c r="D406" i="50" s="1"/>
  <c r="D407" i="50" s="1"/>
  <c r="D408" i="50" s="1"/>
  <c r="P51" i="46"/>
  <c r="P50" i="46"/>
  <c r="P28" i="46"/>
  <c r="P29" i="46"/>
  <c r="P10" i="46"/>
  <c r="P9" i="46"/>
  <c r="K25" i="47"/>
  <c r="Q123" i="46"/>
  <c r="Q51" i="46"/>
  <c r="Q9" i="46"/>
  <c r="Q28" i="46"/>
  <c r="Q50" i="46"/>
  <c r="Q29" i="46"/>
  <c r="Q10" i="46"/>
  <c r="D409" i="50" l="1"/>
  <c r="D410" i="50" s="1"/>
  <c r="D411" i="50" s="1"/>
  <c r="D412" i="50" s="1"/>
  <c r="D413" i="50" s="1"/>
  <c r="D414" i="50" s="1"/>
  <c r="X10" i="46"/>
  <c r="X51" i="46"/>
  <c r="X50" i="46"/>
  <c r="X29" i="46"/>
  <c r="X28" i="46"/>
  <c r="K26" i="47"/>
  <c r="X9" i="46"/>
  <c r="X123" i="46"/>
  <c r="D415" i="50" l="1"/>
  <c r="D416" i="50" s="1"/>
  <c r="D417" i="50" s="1"/>
  <c r="D418" i="50" s="1"/>
  <c r="K27" i="47"/>
  <c r="AA136" i="46"/>
  <c r="D419" i="50" l="1"/>
  <c r="D420" i="50" s="1"/>
  <c r="D421" i="50" s="1"/>
  <c r="D422" i="50" s="1"/>
  <c r="D423" i="50" s="1"/>
  <c r="D424" i="50" s="1"/>
  <c r="D425" i="50" s="1"/>
  <c r="D426" i="50" s="1"/>
  <c r="D427" i="50" s="1"/>
  <c r="K28" i="47"/>
  <c r="D428" i="50" l="1"/>
  <c r="D429" i="50" s="1"/>
  <c r="D430" i="50" s="1"/>
  <c r="K29" i="47"/>
  <c r="G2" i="47"/>
  <c r="D2" i="47"/>
  <c r="D3" i="47" s="1"/>
  <c r="D4" i="47" s="1"/>
  <c r="D5" i="47" s="1"/>
  <c r="D6" i="47" s="1"/>
  <c r="D7" i="47" s="1"/>
  <c r="D8" i="47" s="1"/>
  <c r="D9" i="47" s="1"/>
  <c r="D10" i="47" s="1"/>
  <c r="D11" i="47" s="1"/>
  <c r="D12" i="47" s="1"/>
  <c r="D13" i="47" s="1"/>
  <c r="D14" i="47" s="1"/>
  <c r="D15" i="47" s="1"/>
  <c r="D16" i="47" s="1"/>
  <c r="D17" i="47" s="1"/>
  <c r="D18" i="47" s="1"/>
  <c r="D19" i="47" s="1"/>
  <c r="D20" i="47" s="1"/>
  <c r="D21" i="47" s="1"/>
  <c r="D22" i="47" s="1"/>
  <c r="D23" i="47" s="1"/>
  <c r="D24" i="47" s="1"/>
  <c r="H133" i="46"/>
  <c r="H134" i="46"/>
  <c r="AA47" i="46"/>
  <c r="Z47" i="46"/>
  <c r="Y47" i="46"/>
  <c r="O47" i="46" s="1"/>
  <c r="T47" i="46"/>
  <c r="K47" i="46"/>
  <c r="D47" i="46"/>
  <c r="AA27" i="46"/>
  <c r="Z27" i="46"/>
  <c r="Y27" i="46"/>
  <c r="O27" i="46" s="1"/>
  <c r="T27" i="46"/>
  <c r="M27" i="46"/>
  <c r="L27" i="46"/>
  <c r="K27" i="46"/>
  <c r="D27" i="46"/>
  <c r="AA45" i="46"/>
  <c r="Z45" i="46"/>
  <c r="Y45" i="46"/>
  <c r="O45" i="46" s="1"/>
  <c r="T45" i="46"/>
  <c r="K45" i="46"/>
  <c r="D45" i="46"/>
  <c r="AA48" i="46"/>
  <c r="AA44" i="46"/>
  <c r="AA26" i="46"/>
  <c r="AA46" i="46"/>
  <c r="AA49" i="46"/>
  <c r="G72" i="46"/>
  <c r="AA72" i="46" s="1"/>
  <c r="AA11" i="46"/>
  <c r="AA52" i="46"/>
  <c r="G24" i="46"/>
  <c r="G25" i="46"/>
  <c r="AA25" i="46" s="1"/>
  <c r="T52" i="46"/>
  <c r="T11" i="46"/>
  <c r="T72" i="46"/>
  <c r="T49" i="46"/>
  <c r="T46" i="46"/>
  <c r="T26" i="46"/>
  <c r="T44" i="46"/>
  <c r="T48" i="46"/>
  <c r="T71" i="46"/>
  <c r="R25" i="46"/>
  <c r="T25" i="46" s="1"/>
  <c r="R24" i="46"/>
  <c r="G2" i="46"/>
  <c r="G4" i="46"/>
  <c r="AA4" i="46" s="1"/>
  <c r="G5" i="46"/>
  <c r="G6" i="46"/>
  <c r="AA6" i="46" s="1"/>
  <c r="G7" i="46"/>
  <c r="G8" i="46"/>
  <c r="O120" i="46"/>
  <c r="T120" i="46"/>
  <c r="D2" i="46"/>
  <c r="D4" i="46"/>
  <c r="D5" i="46"/>
  <c r="D6" i="46"/>
  <c r="D7" i="46"/>
  <c r="D8" i="46"/>
  <c r="D24" i="46"/>
  <c r="D25" i="46"/>
  <c r="D71" i="46"/>
  <c r="D48" i="46"/>
  <c r="D44" i="46"/>
  <c r="D26" i="46"/>
  <c r="D46" i="46"/>
  <c r="D49" i="46"/>
  <c r="D72" i="46"/>
  <c r="D11" i="46"/>
  <c r="D52" i="46"/>
  <c r="A70" i="46"/>
  <c r="R7" i="46"/>
  <c r="R6" i="46"/>
  <c r="T6" i="46" s="1"/>
  <c r="R5" i="46"/>
  <c r="R3" i="46"/>
  <c r="R128" i="46"/>
  <c r="R129" i="46" s="1"/>
  <c r="N128" i="46"/>
  <c r="N129" i="46" s="1"/>
  <c r="M128" i="46"/>
  <c r="M129" i="46" s="1"/>
  <c r="L128" i="46"/>
  <c r="L129" i="46" s="1"/>
  <c r="O118" i="46"/>
  <c r="T118" i="46"/>
  <c r="AA118" i="46"/>
  <c r="A110" i="46"/>
  <c r="Z52" i="46"/>
  <c r="Y52" i="46"/>
  <c r="O52" i="46" s="1"/>
  <c r="K52" i="46"/>
  <c r="Z11" i="46"/>
  <c r="Y11" i="46"/>
  <c r="O11" i="46" s="1"/>
  <c r="L11" i="46"/>
  <c r="K11" i="46"/>
  <c r="Z72" i="46"/>
  <c r="Y72" i="46"/>
  <c r="O72" i="46" s="1"/>
  <c r="M72" i="46"/>
  <c r="L72" i="46"/>
  <c r="K72" i="46"/>
  <c r="Z49" i="46"/>
  <c r="Y49" i="46"/>
  <c r="O49" i="46" s="1"/>
  <c r="L49" i="46"/>
  <c r="K49" i="46"/>
  <c r="Z46" i="46"/>
  <c r="Y46" i="46"/>
  <c r="O46" i="46" s="1"/>
  <c r="L46" i="46"/>
  <c r="K46" i="46"/>
  <c r="Z26" i="46"/>
  <c r="Y26" i="46"/>
  <c r="O26" i="46" s="1"/>
  <c r="U26" i="46"/>
  <c r="M26" i="46"/>
  <c r="L26" i="46"/>
  <c r="K26" i="46"/>
  <c r="Z44" i="46"/>
  <c r="Y44" i="46"/>
  <c r="O44" i="46" s="1"/>
  <c r="U44" i="46"/>
  <c r="L44" i="46"/>
  <c r="K44" i="46"/>
  <c r="Z48" i="46"/>
  <c r="Y48" i="46"/>
  <c r="O48" i="46" s="1"/>
  <c r="U48" i="46"/>
  <c r="L48" i="46"/>
  <c r="K48" i="46"/>
  <c r="Z71" i="46"/>
  <c r="Y71" i="46"/>
  <c r="O71" i="46" s="1"/>
  <c r="U71" i="46"/>
  <c r="M71" i="46"/>
  <c r="L71" i="46"/>
  <c r="K71" i="46"/>
  <c r="G71" i="46"/>
  <c r="Z25" i="46"/>
  <c r="Y25" i="46"/>
  <c r="O25" i="46" s="1"/>
  <c r="U25" i="46"/>
  <c r="L25" i="46"/>
  <c r="K25" i="46"/>
  <c r="Z24" i="46"/>
  <c r="Y24" i="46"/>
  <c r="O24" i="46" s="1"/>
  <c r="U24" i="46"/>
  <c r="M103" i="46"/>
  <c r="L24" i="46"/>
  <c r="L103" i="46" s="1"/>
  <c r="K24" i="46"/>
  <c r="Z8" i="46"/>
  <c r="Y8" i="46"/>
  <c r="O8" i="46" s="1"/>
  <c r="U8" i="46"/>
  <c r="T8" i="46"/>
  <c r="K8" i="46"/>
  <c r="Z7" i="46"/>
  <c r="Y7" i="46"/>
  <c r="O7" i="46" s="1"/>
  <c r="U7" i="46"/>
  <c r="K7" i="46"/>
  <c r="Z6" i="46"/>
  <c r="Y6" i="46"/>
  <c r="O6" i="46" s="1"/>
  <c r="U6" i="46"/>
  <c r="K6" i="46"/>
  <c r="Z5" i="46"/>
  <c r="Y5" i="46"/>
  <c r="O5" i="46" s="1"/>
  <c r="U5" i="46"/>
  <c r="K5" i="46"/>
  <c r="Z4" i="46"/>
  <c r="Y4" i="46"/>
  <c r="O4" i="46" s="1"/>
  <c r="U4" i="46"/>
  <c r="T4" i="46"/>
  <c r="K4" i="46"/>
  <c r="Z2" i="46"/>
  <c r="Y2" i="46"/>
  <c r="O2" i="46" s="1"/>
  <c r="U2" i="46"/>
  <c r="T2" i="46"/>
  <c r="K2" i="46"/>
  <c r="Z3" i="46"/>
  <c r="Y3" i="46"/>
  <c r="O3" i="46" s="1"/>
  <c r="U3" i="46"/>
  <c r="K3" i="46"/>
  <c r="G3" i="46"/>
  <c r="D3" i="46"/>
  <c r="R62" i="45"/>
  <c r="H55" i="45"/>
  <c r="L107" i="46" l="1"/>
  <c r="G107" i="46"/>
  <c r="K107" i="46"/>
  <c r="M107" i="46"/>
  <c r="O107" i="46"/>
  <c r="M106" i="46"/>
  <c r="O135" i="46"/>
  <c r="P48" i="46"/>
  <c r="D431" i="50"/>
  <c r="D432" i="50" s="1"/>
  <c r="D433" i="50" s="1"/>
  <c r="D434" i="50" s="1"/>
  <c r="O104" i="46"/>
  <c r="O105" i="46"/>
  <c r="AA71" i="46"/>
  <c r="G106" i="46"/>
  <c r="P47" i="46"/>
  <c r="P46" i="46"/>
  <c r="P49" i="46"/>
  <c r="P52" i="46"/>
  <c r="P44" i="46"/>
  <c r="P45" i="46"/>
  <c r="P26" i="46"/>
  <c r="G103" i="46"/>
  <c r="L104" i="46"/>
  <c r="P27" i="46"/>
  <c r="K103" i="46"/>
  <c r="O106" i="46"/>
  <c r="O103" i="46"/>
  <c r="K105" i="46"/>
  <c r="L105" i="46"/>
  <c r="M105" i="46"/>
  <c r="M104" i="46"/>
  <c r="M108" i="46"/>
  <c r="G108" i="46"/>
  <c r="G104" i="46"/>
  <c r="P11" i="46"/>
  <c r="K106" i="46"/>
  <c r="O108" i="46"/>
  <c r="K108" i="46"/>
  <c r="K104" i="46"/>
  <c r="L108" i="46"/>
  <c r="L106" i="46"/>
  <c r="G105" i="46"/>
  <c r="R103" i="46"/>
  <c r="G3" i="47"/>
  <c r="G4" i="47" s="1"/>
  <c r="G5" i="47" s="1"/>
  <c r="G6" i="47" s="1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34" i="47" s="1"/>
  <c r="G35" i="47" s="1"/>
  <c r="G36" i="47" s="1"/>
  <c r="G37" i="47" s="1"/>
  <c r="G38" i="47" s="1"/>
  <c r="G39" i="47" s="1"/>
  <c r="G40" i="47" s="1"/>
  <c r="G41" i="47" s="1"/>
  <c r="G42" i="47" s="1"/>
  <c r="G43" i="47" s="1"/>
  <c r="G44" i="47" s="1"/>
  <c r="G45" i="47" s="1"/>
  <c r="G46" i="47" s="1"/>
  <c r="G47" i="47" s="1"/>
  <c r="G48" i="47" s="1"/>
  <c r="G49" i="47" s="1"/>
  <c r="G50" i="47" s="1"/>
  <c r="G51" i="47" s="1"/>
  <c r="G52" i="47" s="1"/>
  <c r="G53" i="47" s="1"/>
  <c r="G54" i="47" s="1"/>
  <c r="G55" i="47" s="1"/>
  <c r="G56" i="47" s="1"/>
  <c r="G57" i="47" s="1"/>
  <c r="G58" i="47" s="1"/>
  <c r="G59" i="47" s="1"/>
  <c r="G60" i="47" s="1"/>
  <c r="G61" i="47" s="1"/>
  <c r="G62" i="47" s="1"/>
  <c r="G63" i="47" s="1"/>
  <c r="G64" i="47" s="1"/>
  <c r="G65" i="47" s="1"/>
  <c r="G66" i="47" s="1"/>
  <c r="G67" i="47" s="1"/>
  <c r="G68" i="47" s="1"/>
  <c r="G69" i="47" s="1"/>
  <c r="G70" i="47" s="1"/>
  <c r="G71" i="47" s="1"/>
  <c r="G72" i="47" s="1"/>
  <c r="G73" i="47" s="1"/>
  <c r="G74" i="47" s="1"/>
  <c r="G75" i="47" s="1"/>
  <c r="G76" i="47" s="1"/>
  <c r="G77" i="47" s="1"/>
  <c r="G78" i="47" s="1"/>
  <c r="G79" i="47" s="1"/>
  <c r="G80" i="47" s="1"/>
  <c r="G81" i="47" s="1"/>
  <c r="G82" i="47" s="1"/>
  <c r="G83" i="47" s="1"/>
  <c r="G84" i="47" s="1"/>
  <c r="G85" i="47" s="1"/>
  <c r="G86" i="47" s="1"/>
  <c r="G87" i="47" s="1"/>
  <c r="G88" i="47" s="1"/>
  <c r="G89" i="47" s="1"/>
  <c r="G90" i="47" s="1"/>
  <c r="G91" i="47" s="1"/>
  <c r="G92" i="47" s="1"/>
  <c r="G93" i="47" s="1"/>
  <c r="G94" i="47" s="1"/>
  <c r="G95" i="47" s="1"/>
  <c r="G96" i="47" s="1"/>
  <c r="G97" i="47" s="1"/>
  <c r="G98" i="47" s="1"/>
  <c r="G99" i="47" s="1"/>
  <c r="G100" i="47" s="1"/>
  <c r="G101" i="47" s="1"/>
  <c r="G102" i="47" s="1"/>
  <c r="G103" i="47" s="1"/>
  <c r="G104" i="47" s="1"/>
  <c r="G105" i="47" s="1"/>
  <c r="G106" i="47" s="1"/>
  <c r="G107" i="47" s="1"/>
  <c r="G108" i="47" s="1"/>
  <c r="G109" i="47" s="1"/>
  <c r="G110" i="47" s="1"/>
  <c r="G111" i="47" s="1"/>
  <c r="G112" i="47" s="1"/>
  <c r="G113" i="47" s="1"/>
  <c r="G114" i="47" s="1"/>
  <c r="G115" i="47" s="1"/>
  <c r="G116" i="47" s="1"/>
  <c r="G117" i="47" s="1"/>
  <c r="G118" i="47" s="1"/>
  <c r="G119" i="47" s="1"/>
  <c r="G120" i="47" s="1"/>
  <c r="G121" i="47" s="1"/>
  <c r="G122" i="47" s="1"/>
  <c r="G123" i="47" s="1"/>
  <c r="G124" i="47" s="1"/>
  <c r="G125" i="47" s="1"/>
  <c r="G126" i="47" s="1"/>
  <c r="G127" i="47" s="1"/>
  <c r="G128" i="47" s="1"/>
  <c r="G129" i="47" s="1"/>
  <c r="G130" i="47" s="1"/>
  <c r="G131" i="47" s="1"/>
  <c r="L2" i="47"/>
  <c r="L3" i="47" s="1"/>
  <c r="L4" i="47" s="1"/>
  <c r="L5" i="47" s="1"/>
  <c r="L6" i="47" s="1"/>
  <c r="L7" i="47" s="1"/>
  <c r="L8" i="47" s="1"/>
  <c r="L9" i="47" s="1"/>
  <c r="L10" i="47" s="1"/>
  <c r="L11" i="47" s="1"/>
  <c r="L12" i="47" s="1"/>
  <c r="L13" i="47" s="1"/>
  <c r="L14" i="47" s="1"/>
  <c r="L15" i="47" s="1"/>
  <c r="L16" i="47" s="1"/>
  <c r="L17" i="47" s="1"/>
  <c r="L18" i="47" s="1"/>
  <c r="L19" i="47" s="1"/>
  <c r="L20" i="47" s="1"/>
  <c r="L21" i="47" s="1"/>
  <c r="L22" i="47" s="1"/>
  <c r="L23" i="47" s="1"/>
  <c r="L24" i="47" s="1"/>
  <c r="L25" i="47" s="1"/>
  <c r="L26" i="47" s="1"/>
  <c r="L27" i="47" s="1"/>
  <c r="L28" i="47" s="1"/>
  <c r="L29" i="47" s="1"/>
  <c r="L30" i="47" s="1"/>
  <c r="L31" i="47" s="1"/>
  <c r="L32" i="47" s="1"/>
  <c r="L33" i="47" s="1"/>
  <c r="L34" i="47" s="1"/>
  <c r="L35" i="47" s="1"/>
  <c r="L36" i="47" s="1"/>
  <c r="L37" i="47" s="1"/>
  <c r="L38" i="47" s="1"/>
  <c r="L39" i="47" s="1"/>
  <c r="L40" i="47" s="1"/>
  <c r="L41" i="47" s="1"/>
  <c r="L42" i="47" s="1"/>
  <c r="L43" i="47" s="1"/>
  <c r="L44" i="47" s="1"/>
  <c r="L45" i="47" s="1"/>
  <c r="L46" i="47" s="1"/>
  <c r="L47" i="47" s="1"/>
  <c r="L48" i="47" s="1"/>
  <c r="L49" i="47" s="1"/>
  <c r="L50" i="47" s="1"/>
  <c r="L51" i="47" s="1"/>
  <c r="L52" i="47" s="1"/>
  <c r="L53" i="47" s="1"/>
  <c r="L54" i="47" s="1"/>
  <c r="L55" i="47" s="1"/>
  <c r="L56" i="47" s="1"/>
  <c r="L57" i="47" s="1"/>
  <c r="L58" i="47" s="1"/>
  <c r="L59" i="47" s="1"/>
  <c r="L60" i="47" s="1"/>
  <c r="L61" i="47" s="1"/>
  <c r="L62" i="47" s="1"/>
  <c r="L63" i="47" s="1"/>
  <c r="L64" i="47" s="1"/>
  <c r="L65" i="47" s="1"/>
  <c r="L66" i="47" s="1"/>
  <c r="L67" i="47" s="1"/>
  <c r="L68" i="47" s="1"/>
  <c r="L69" i="47" s="1"/>
  <c r="L70" i="47" s="1"/>
  <c r="L71" i="47" s="1"/>
  <c r="L72" i="47" s="1"/>
  <c r="L73" i="47" s="1"/>
  <c r="L74" i="47" s="1"/>
  <c r="L75" i="47" s="1"/>
  <c r="L76" i="47" s="1"/>
  <c r="L77" i="47" s="1"/>
  <c r="L78" i="47" s="1"/>
  <c r="L79" i="47" s="1"/>
  <c r="L80" i="47" s="1"/>
  <c r="L81" i="47" s="1"/>
  <c r="L82" i="47" s="1"/>
  <c r="L83" i="47" s="1"/>
  <c r="L84" i="47" s="1"/>
  <c r="L85" i="47" s="1"/>
  <c r="L86" i="47" s="1"/>
  <c r="L87" i="47" s="1"/>
  <c r="L88" i="47" s="1"/>
  <c r="L89" i="47" s="1"/>
  <c r="L90" i="47" s="1"/>
  <c r="L91" i="47" s="1"/>
  <c r="L92" i="47" s="1"/>
  <c r="L93" i="47" s="1"/>
  <c r="L94" i="47" s="1"/>
  <c r="L95" i="47" s="1"/>
  <c r="L96" i="47" s="1"/>
  <c r="L97" i="47" s="1"/>
  <c r="L98" i="47" s="1"/>
  <c r="L99" i="47" s="1"/>
  <c r="L100" i="47" s="1"/>
  <c r="L101" i="47" s="1"/>
  <c r="L102" i="47" s="1"/>
  <c r="L103" i="47" s="1"/>
  <c r="L104" i="47" s="1"/>
  <c r="L105" i="47" s="1"/>
  <c r="L106" i="47" s="1"/>
  <c r="L107" i="47" s="1"/>
  <c r="L108" i="47" s="1"/>
  <c r="L109" i="47" s="1"/>
  <c r="L110" i="47" s="1"/>
  <c r="L111" i="47" s="1"/>
  <c r="L112" i="47" s="1"/>
  <c r="L113" i="47" s="1"/>
  <c r="L114" i="47" s="1"/>
  <c r="L115" i="47" s="1"/>
  <c r="L116" i="47" s="1"/>
  <c r="L117" i="47" s="1"/>
  <c r="L118" i="47" s="1"/>
  <c r="L119" i="47" s="1"/>
  <c r="L120" i="47" s="1"/>
  <c r="L121" i="47" s="1"/>
  <c r="L122" i="47" s="1"/>
  <c r="L123" i="47" s="1"/>
  <c r="L124" i="47" s="1"/>
  <c r="L125" i="47" s="1"/>
  <c r="L126" i="47" s="1"/>
  <c r="L127" i="47" s="1"/>
  <c r="L128" i="47" s="1"/>
  <c r="L129" i="47" s="1"/>
  <c r="L130" i="47" s="1"/>
  <c r="L131" i="47" s="1"/>
  <c r="L132" i="47" s="1"/>
  <c r="L133" i="47" s="1"/>
  <c r="L134" i="47" s="1"/>
  <c r="L135" i="47" s="1"/>
  <c r="L136" i="47" s="1"/>
  <c r="L137" i="47" s="1"/>
  <c r="L138" i="47" s="1"/>
  <c r="L139" i="47" s="1"/>
  <c r="L140" i="47" s="1"/>
  <c r="L141" i="47" s="1"/>
  <c r="L142" i="47" s="1"/>
  <c r="L143" i="47" s="1"/>
  <c r="L144" i="47" s="1"/>
  <c r="L145" i="47" s="1"/>
  <c r="L146" i="47" s="1"/>
  <c r="L147" i="47" s="1"/>
  <c r="L148" i="47" s="1"/>
  <c r="L149" i="47" s="1"/>
  <c r="L150" i="47" s="1"/>
  <c r="L151" i="47" s="1"/>
  <c r="L152" i="47" s="1"/>
  <c r="L153" i="47" s="1"/>
  <c r="L154" i="47" s="1"/>
  <c r="L155" i="47" s="1"/>
  <c r="L156" i="47" s="1"/>
  <c r="L157" i="47" s="1"/>
  <c r="L158" i="47" s="1"/>
  <c r="L159" i="47" s="1"/>
  <c r="L160" i="47" s="1"/>
  <c r="L161" i="47" s="1"/>
  <c r="L162" i="47" s="1"/>
  <c r="L163" i="47" s="1"/>
  <c r="L164" i="47" s="1"/>
  <c r="L165" i="47" s="1"/>
  <c r="L166" i="47" s="1"/>
  <c r="L167" i="47" s="1"/>
  <c r="L168" i="47" s="1"/>
  <c r="L169" i="47" s="1"/>
  <c r="L170" i="47" s="1"/>
  <c r="L171" i="47" s="1"/>
  <c r="L172" i="47" s="1"/>
  <c r="L173" i="47" s="1"/>
  <c r="L174" i="47" s="1"/>
  <c r="L175" i="47" s="1"/>
  <c r="L176" i="47" s="1"/>
  <c r="L177" i="47" s="1"/>
  <c r="L178" i="47" s="1"/>
  <c r="L179" i="47" s="1"/>
  <c r="L180" i="47" s="1"/>
  <c r="L181" i="47" s="1"/>
  <c r="L182" i="47" s="1"/>
  <c r="L183" i="47" s="1"/>
  <c r="L184" i="47" s="1"/>
  <c r="L185" i="47" s="1"/>
  <c r="L186" i="47" s="1"/>
  <c r="L187" i="47" s="1"/>
  <c r="L188" i="47" s="1"/>
  <c r="L189" i="47" s="1"/>
  <c r="L190" i="47" s="1"/>
  <c r="L191" i="47" s="1"/>
  <c r="L192" i="47" s="1"/>
  <c r="L193" i="47" s="1"/>
  <c r="L194" i="47" s="1"/>
  <c r="L195" i="47" s="1"/>
  <c r="L196" i="47" s="1"/>
  <c r="L197" i="47" s="1"/>
  <c r="L198" i="47" s="1"/>
  <c r="L199" i="47" s="1"/>
  <c r="L200" i="47" s="1"/>
  <c r="L201" i="47" s="1"/>
  <c r="L202" i="47" s="1"/>
  <c r="L203" i="47" s="1"/>
  <c r="L204" i="47" s="1"/>
  <c r="L205" i="47" s="1"/>
  <c r="L206" i="47" s="1"/>
  <c r="L207" i="47" s="1"/>
  <c r="L208" i="47" s="1"/>
  <c r="L209" i="47" s="1"/>
  <c r="L210" i="47" s="1"/>
  <c r="L211" i="47" s="1"/>
  <c r="L212" i="47" s="1"/>
  <c r="L213" i="47" s="1"/>
  <c r="L214" i="47" s="1"/>
  <c r="L215" i="47" s="1"/>
  <c r="L216" i="47" s="1"/>
  <c r="L217" i="47" s="1"/>
  <c r="L218" i="47" s="1"/>
  <c r="L219" i="47" s="1"/>
  <c r="L220" i="47" s="1"/>
  <c r="L221" i="47" s="1"/>
  <c r="L222" i="47" s="1"/>
  <c r="L223" i="47" s="1"/>
  <c r="L224" i="47" s="1"/>
  <c r="L225" i="47" s="1"/>
  <c r="L226" i="47" s="1"/>
  <c r="L227" i="47" s="1"/>
  <c r="L228" i="47" s="1"/>
  <c r="L229" i="47" s="1"/>
  <c r="L230" i="47" s="1"/>
  <c r="L231" i="47" s="1"/>
  <c r="K30" i="47"/>
  <c r="O133" i="46"/>
  <c r="G102" i="46"/>
  <c r="T7" i="46"/>
  <c r="P7" i="46" s="1"/>
  <c r="R105" i="46"/>
  <c r="O102" i="46"/>
  <c r="AA7" i="46"/>
  <c r="T5" i="46"/>
  <c r="P5" i="46" s="1"/>
  <c r="R104" i="46"/>
  <c r="T3" i="46"/>
  <c r="P3" i="46" s="1"/>
  <c r="R108" i="46"/>
  <c r="AA24" i="46"/>
  <c r="T24" i="46"/>
  <c r="Q24" i="46" s="1"/>
  <c r="R102" i="46"/>
  <c r="Q7" i="46"/>
  <c r="AA5" i="46"/>
  <c r="AA3" i="46"/>
  <c r="AA2" i="46"/>
  <c r="D25" i="47"/>
  <c r="D26" i="47" s="1"/>
  <c r="R133" i="46"/>
  <c r="O134" i="46"/>
  <c r="R134" i="46"/>
  <c r="G134" i="46"/>
  <c r="G133" i="46"/>
  <c r="AA132" i="46"/>
  <c r="Q45" i="46"/>
  <c r="Q47" i="46"/>
  <c r="Q27" i="46"/>
  <c r="Q46" i="46"/>
  <c r="Q52" i="46"/>
  <c r="Q71" i="46"/>
  <c r="Q72" i="46"/>
  <c r="X72" i="46" s="1"/>
  <c r="Q48" i="46"/>
  <c r="Q26" i="46"/>
  <c r="P2" i="46"/>
  <c r="Q25" i="46"/>
  <c r="Q49" i="46"/>
  <c r="Q44" i="46"/>
  <c r="Q11" i="46"/>
  <c r="AA8" i="46"/>
  <c r="P71" i="46"/>
  <c r="P107" i="46" s="1"/>
  <c r="P25" i="46"/>
  <c r="AA120" i="46"/>
  <c r="AA135" i="46" s="1"/>
  <c r="Q120" i="46"/>
  <c r="X120" i="46" s="1"/>
  <c r="P8" i="46"/>
  <c r="P4" i="46"/>
  <c r="Q4" i="46"/>
  <c r="Q6" i="46"/>
  <c r="Q8" i="46"/>
  <c r="K128" i="46"/>
  <c r="K129" i="46" s="1"/>
  <c r="Q5" i="46"/>
  <c r="Q2" i="46"/>
  <c r="Q118" i="46"/>
  <c r="Q135" i="46" s="1"/>
  <c r="O128" i="46"/>
  <c r="O129" i="46" s="1"/>
  <c r="P6" i="46"/>
  <c r="Q3" i="46"/>
  <c r="Q107" i="46" l="1"/>
  <c r="X48" i="46"/>
  <c r="Q108" i="46"/>
  <c r="D435" i="50"/>
  <c r="D436" i="50" s="1"/>
  <c r="D437" i="50" s="1"/>
  <c r="D438" i="50" s="1"/>
  <c r="D439" i="50" s="1"/>
  <c r="D440" i="50" s="1"/>
  <c r="D441" i="50" s="1"/>
  <c r="D442" i="50" s="1"/>
  <c r="D443" i="50" s="1"/>
  <c r="D444" i="50" s="1"/>
  <c r="D445" i="50" s="1"/>
  <c r="L232" i="47"/>
  <c r="L233" i="47" s="1"/>
  <c r="L234" i="47" s="1"/>
  <c r="L235" i="47" s="1"/>
  <c r="L236" i="47" s="1"/>
  <c r="L237" i="47" s="1"/>
  <c r="L238" i="47" s="1"/>
  <c r="X44" i="46"/>
  <c r="X49" i="46"/>
  <c r="X26" i="46"/>
  <c r="X52" i="46"/>
  <c r="X47" i="46"/>
  <c r="X27" i="46"/>
  <c r="P106" i="46"/>
  <c r="X45" i="46"/>
  <c r="P24" i="46"/>
  <c r="P103" i="46" s="1"/>
  <c r="P105" i="46"/>
  <c r="Q105" i="46"/>
  <c r="Q106" i="46"/>
  <c r="P104" i="46"/>
  <c r="AA102" i="46"/>
  <c r="AA107" i="46"/>
  <c r="Q103" i="46"/>
  <c r="K31" i="47"/>
  <c r="AA103" i="46"/>
  <c r="Q104" i="46"/>
  <c r="AA106" i="46"/>
  <c r="AA133" i="46"/>
  <c r="P102" i="46"/>
  <c r="Q102" i="46"/>
  <c r="G132" i="47"/>
  <c r="G133" i="47" s="1"/>
  <c r="G134" i="47" s="1"/>
  <c r="G135" i="47" s="1"/>
  <c r="G136" i="47" s="1"/>
  <c r="X11" i="46"/>
  <c r="AA108" i="46"/>
  <c r="AA104" i="46"/>
  <c r="AA105" i="46"/>
  <c r="R137" i="46"/>
  <c r="P133" i="46"/>
  <c r="D27" i="47"/>
  <c r="D28" i="47" s="1"/>
  <c r="D29" i="47" s="1"/>
  <c r="D30" i="47" s="1"/>
  <c r="D31" i="47" s="1"/>
  <c r="D32" i="47" s="1"/>
  <c r="D33" i="47" s="1"/>
  <c r="D34" i="47" s="1"/>
  <c r="D35" i="47" s="1"/>
  <c r="D36" i="47" s="1"/>
  <c r="AA134" i="46"/>
  <c r="X46" i="46"/>
  <c r="Q133" i="46"/>
  <c r="X133" i="46"/>
  <c r="X2" i="46"/>
  <c r="X71" i="46"/>
  <c r="Q128" i="46"/>
  <c r="Q129" i="46" s="1"/>
  <c r="X25" i="46"/>
  <c r="X6" i="46"/>
  <c r="X8" i="46"/>
  <c r="X4" i="46"/>
  <c r="X5" i="46"/>
  <c r="X7" i="46"/>
  <c r="H128" i="46"/>
  <c r="H129" i="46" s="1"/>
  <c r="P135" i="46"/>
  <c r="X3" i="46"/>
  <c r="R41" i="38"/>
  <c r="R38" i="38"/>
  <c r="H39" i="38"/>
  <c r="H40" i="38"/>
  <c r="H41" i="38"/>
  <c r="H38" i="38"/>
  <c r="H35" i="38"/>
  <c r="H34" i="38"/>
  <c r="O122" i="34"/>
  <c r="R122" i="34"/>
  <c r="O123" i="34"/>
  <c r="R123" i="34"/>
  <c r="O124" i="34"/>
  <c r="R124" i="34"/>
  <c r="O125" i="34"/>
  <c r="R125" i="34"/>
  <c r="R121" i="34"/>
  <c r="O121" i="34"/>
  <c r="H122" i="34"/>
  <c r="H123" i="34"/>
  <c r="H124" i="34"/>
  <c r="H125" i="34"/>
  <c r="H121" i="34"/>
  <c r="G21" i="34"/>
  <c r="AA21" i="34" s="1"/>
  <c r="R118" i="34"/>
  <c r="R117" i="34"/>
  <c r="H118" i="34"/>
  <c r="H117" i="34"/>
  <c r="Z21" i="34"/>
  <c r="Y21" i="34"/>
  <c r="U21" i="34"/>
  <c r="T21" i="34"/>
  <c r="Q21" i="34"/>
  <c r="O21" i="34"/>
  <c r="K21" i="34"/>
  <c r="Z20" i="34"/>
  <c r="Y20" i="34"/>
  <c r="U20" i="34"/>
  <c r="T20" i="34"/>
  <c r="Q20" i="34"/>
  <c r="O20" i="34"/>
  <c r="K20" i="34"/>
  <c r="G20" i="34"/>
  <c r="AA20" i="34" s="1"/>
  <c r="Z19" i="34"/>
  <c r="Y19" i="34"/>
  <c r="U19" i="34"/>
  <c r="T19" i="34"/>
  <c r="Q19" i="34"/>
  <c r="O19" i="34"/>
  <c r="K19" i="34"/>
  <c r="G19" i="34"/>
  <c r="AA19" i="34" s="1"/>
  <c r="Z18" i="34"/>
  <c r="Y18" i="34"/>
  <c r="U18" i="34"/>
  <c r="T18" i="34"/>
  <c r="Q18" i="34"/>
  <c r="O18" i="34"/>
  <c r="K18" i="34"/>
  <c r="G18" i="34"/>
  <c r="AA18" i="34" s="1"/>
  <c r="Z17" i="34"/>
  <c r="Y17" i="34"/>
  <c r="U17" i="34"/>
  <c r="T17" i="34"/>
  <c r="Q17" i="34"/>
  <c r="O17" i="34"/>
  <c r="K17" i="34"/>
  <c r="G17" i="34"/>
  <c r="AA17" i="34" s="1"/>
  <c r="Z16" i="34"/>
  <c r="Y16" i="34"/>
  <c r="U16" i="34"/>
  <c r="T16" i="34"/>
  <c r="Q16" i="34"/>
  <c r="O16" i="34"/>
  <c r="K16" i="34"/>
  <c r="G16" i="34"/>
  <c r="AA16" i="34" s="1"/>
  <c r="Z15" i="34"/>
  <c r="Y15" i="34"/>
  <c r="U15" i="34"/>
  <c r="T15" i="34"/>
  <c r="Q15" i="34"/>
  <c r="O15" i="34"/>
  <c r="K15" i="34"/>
  <c r="G15" i="34"/>
  <c r="AA15" i="34" s="1"/>
  <c r="Z14" i="34"/>
  <c r="Y14" i="34"/>
  <c r="U14" i="34"/>
  <c r="T14" i="34"/>
  <c r="Q14" i="34"/>
  <c r="O14" i="34"/>
  <c r="K14" i="34"/>
  <c r="G14" i="34"/>
  <c r="AA14" i="34" s="1"/>
  <c r="Z13" i="34"/>
  <c r="Y13" i="34"/>
  <c r="U13" i="34"/>
  <c r="T13" i="34"/>
  <c r="Q13" i="34"/>
  <c r="O13" i="34"/>
  <c r="K13" i="34"/>
  <c r="G13" i="34"/>
  <c r="AA13" i="34" s="1"/>
  <c r="Z12" i="34"/>
  <c r="Y12" i="34"/>
  <c r="U12" i="34"/>
  <c r="T12" i="34"/>
  <c r="Q12" i="34"/>
  <c r="O12" i="34"/>
  <c r="K12" i="34"/>
  <c r="G12" i="34"/>
  <c r="AA12" i="34" s="1"/>
  <c r="Z11" i="34"/>
  <c r="Y11" i="34"/>
  <c r="U11" i="34"/>
  <c r="T11" i="34"/>
  <c r="Q11" i="34"/>
  <c r="O11" i="34"/>
  <c r="K11" i="34"/>
  <c r="G11" i="34"/>
  <c r="AA11" i="34" s="1"/>
  <c r="Z10" i="34"/>
  <c r="Y10" i="34"/>
  <c r="U10" i="34"/>
  <c r="T10" i="34"/>
  <c r="Q10" i="34"/>
  <c r="O10" i="34"/>
  <c r="K10" i="34"/>
  <c r="G10" i="34"/>
  <c r="AA10" i="34" s="1"/>
  <c r="Z9" i="34"/>
  <c r="Y9" i="34"/>
  <c r="U9" i="34"/>
  <c r="T9" i="34"/>
  <c r="Q9" i="34"/>
  <c r="O9" i="34"/>
  <c r="K9" i="34"/>
  <c r="G9" i="34"/>
  <c r="Z8" i="34"/>
  <c r="Y8" i="34"/>
  <c r="U8" i="34"/>
  <c r="T8" i="34"/>
  <c r="Q8" i="34"/>
  <c r="O8" i="34"/>
  <c r="K8" i="34"/>
  <c r="G8" i="34"/>
  <c r="AA8" i="34" s="1"/>
  <c r="Z7" i="34"/>
  <c r="Y7" i="34"/>
  <c r="U7" i="34"/>
  <c r="T7" i="34"/>
  <c r="Q7" i="34"/>
  <c r="O7" i="34"/>
  <c r="K7" i="34"/>
  <c r="G7" i="34"/>
  <c r="AA7" i="34" s="1"/>
  <c r="Z6" i="34"/>
  <c r="Y6" i="34"/>
  <c r="U6" i="34"/>
  <c r="T6" i="34"/>
  <c r="Q6" i="34"/>
  <c r="O6" i="34"/>
  <c r="K6" i="34"/>
  <c r="G6" i="34"/>
  <c r="AA6" i="34" s="1"/>
  <c r="Z5" i="34"/>
  <c r="Y5" i="34"/>
  <c r="U5" i="34"/>
  <c r="T5" i="34"/>
  <c r="Q5" i="34"/>
  <c r="O5" i="34"/>
  <c r="K5" i="34"/>
  <c r="G5" i="34"/>
  <c r="AA5" i="34" s="1"/>
  <c r="Z4" i="34"/>
  <c r="Y4" i="34"/>
  <c r="U4" i="34"/>
  <c r="T4" i="34"/>
  <c r="Q4" i="34"/>
  <c r="O4" i="34"/>
  <c r="K4" i="34"/>
  <c r="G4" i="34"/>
  <c r="AA4" i="34" s="1"/>
  <c r="Z3" i="34"/>
  <c r="Y3" i="34"/>
  <c r="U3" i="34"/>
  <c r="T3" i="34"/>
  <c r="Q3" i="34"/>
  <c r="O3" i="34"/>
  <c r="K3" i="34"/>
  <c r="G3" i="34"/>
  <c r="AA3" i="34" s="1"/>
  <c r="Z2" i="34"/>
  <c r="Y2" i="34"/>
  <c r="U2" i="34"/>
  <c r="T2" i="34"/>
  <c r="Q2" i="34"/>
  <c r="O2" i="34"/>
  <c r="K2" i="34"/>
  <c r="G2" i="34"/>
  <c r="AA2" i="34" s="1"/>
  <c r="X24" i="46" l="1"/>
  <c r="D446" i="50"/>
  <c r="D447" i="50" s="1"/>
  <c r="L239" i="47"/>
  <c r="L240" i="47" s="1"/>
  <c r="L241" i="47" s="1"/>
  <c r="L242" i="47" s="1"/>
  <c r="L243" i="47" s="1"/>
  <c r="L244" i="47" s="1"/>
  <c r="L245" i="47" s="1"/>
  <c r="P108" i="46"/>
  <c r="X108" i="46" s="1"/>
  <c r="X106" i="46"/>
  <c r="X103" i="46"/>
  <c r="K32" i="47"/>
  <c r="Z103" i="46"/>
  <c r="Z106" i="46"/>
  <c r="Z104" i="46"/>
  <c r="G137" i="47"/>
  <c r="G138" i="47" s="1"/>
  <c r="G139" i="47" s="1"/>
  <c r="G140" i="47" s="1"/>
  <c r="G141" i="47" s="1"/>
  <c r="G142" i="47" s="1"/>
  <c r="G143" i="47" s="1"/>
  <c r="G144" i="47" s="1"/>
  <c r="G145" i="47" s="1"/>
  <c r="G146" i="47" s="1"/>
  <c r="G147" i="47" s="1"/>
  <c r="G148" i="47" s="1"/>
  <c r="G149" i="47" s="1"/>
  <c r="G150" i="47" s="1"/>
  <c r="G151" i="47" s="1"/>
  <c r="G152" i="47" s="1"/>
  <c r="G153" i="47" s="1"/>
  <c r="G154" i="47" s="1"/>
  <c r="G155" i="47" s="1"/>
  <c r="G156" i="47" s="1"/>
  <c r="G157" i="47" s="1"/>
  <c r="G158" i="47" s="1"/>
  <c r="G159" i="47" s="1"/>
  <c r="G160" i="47" s="1"/>
  <c r="G161" i="47" s="1"/>
  <c r="G162" i="47" s="1"/>
  <c r="G163" i="47" s="1"/>
  <c r="G164" i="47" s="1"/>
  <c r="G165" i="47" s="1"/>
  <c r="G166" i="47" s="1"/>
  <c r="G167" i="47" s="1"/>
  <c r="G168" i="47" s="1"/>
  <c r="G169" i="47" s="1"/>
  <c r="G170" i="47" s="1"/>
  <c r="G171" i="47" s="1"/>
  <c r="G172" i="47" s="1"/>
  <c r="G173" i="47" s="1"/>
  <c r="G174" i="47" s="1"/>
  <c r="G175" i="47" s="1"/>
  <c r="G176" i="47" s="1"/>
  <c r="G177" i="47" s="1"/>
  <c r="G178" i="47" s="1"/>
  <c r="G179" i="47" s="1"/>
  <c r="G180" i="47" s="1"/>
  <c r="G181" i="47" s="1"/>
  <c r="G182" i="47" s="1"/>
  <c r="G183" i="47" s="1"/>
  <c r="G184" i="47" s="1"/>
  <c r="G185" i="47" s="1"/>
  <c r="G186" i="47" s="1"/>
  <c r="G187" i="47" s="1"/>
  <c r="G188" i="47" s="1"/>
  <c r="G189" i="47" s="1"/>
  <c r="G190" i="47" s="1"/>
  <c r="G191" i="47" s="1"/>
  <c r="G192" i="47" s="1"/>
  <c r="G193" i="47" s="1"/>
  <c r="G194" i="47" s="1"/>
  <c r="G195" i="47" s="1"/>
  <c r="G196" i="47" s="1"/>
  <c r="G197" i="47" s="1"/>
  <c r="G198" i="47" s="1"/>
  <c r="G199" i="47" s="1"/>
  <c r="G200" i="47" s="1"/>
  <c r="G201" i="47" s="1"/>
  <c r="G202" i="47" s="1"/>
  <c r="G203" i="47" s="1"/>
  <c r="G204" i="47" s="1"/>
  <c r="G205" i="47" s="1"/>
  <c r="G206" i="47" s="1"/>
  <c r="G207" i="47" s="1"/>
  <c r="G208" i="47" s="1"/>
  <c r="G209" i="47" s="1"/>
  <c r="G210" i="47" s="1"/>
  <c r="G211" i="47" s="1"/>
  <c r="G212" i="47" s="1"/>
  <c r="G213" i="47" s="1"/>
  <c r="G214" i="47" s="1"/>
  <c r="G215" i="47" s="1"/>
  <c r="G216" i="47" s="1"/>
  <c r="G217" i="47" s="1"/>
  <c r="G218" i="47" s="1"/>
  <c r="G219" i="47" s="1"/>
  <c r="G220" i="47" s="1"/>
  <c r="G221" i="47" s="1"/>
  <c r="G222" i="47" s="1"/>
  <c r="G223" i="47" s="1"/>
  <c r="G224" i="47" s="1"/>
  <c r="G225" i="47" s="1"/>
  <c r="G226" i="47" s="1"/>
  <c r="G227" i="47" s="1"/>
  <c r="X104" i="46"/>
  <c r="G137" i="46"/>
  <c r="Y133" i="46"/>
  <c r="X107" i="46"/>
  <c r="D37" i="47"/>
  <c r="D38" i="47" s="1"/>
  <c r="D39" i="47" s="1"/>
  <c r="D40" i="47" s="1"/>
  <c r="D41" i="47" s="1"/>
  <c r="D42" i="47" s="1"/>
  <c r="D43" i="47" s="1"/>
  <c r="D44" i="47" s="1"/>
  <c r="D45" i="47" s="1"/>
  <c r="D46" i="47" s="1"/>
  <c r="D47" i="47" s="1"/>
  <c r="D48" i="47" s="1"/>
  <c r="D49" i="47" s="1"/>
  <c r="D50" i="47" s="1"/>
  <c r="D51" i="47" s="1"/>
  <c r="D52" i="47" s="1"/>
  <c r="D53" i="47" s="1"/>
  <c r="D54" i="47" s="1"/>
  <c r="D55" i="47" s="1"/>
  <c r="D56" i="47" s="1"/>
  <c r="D57" i="47" s="1"/>
  <c r="D58" i="47" s="1"/>
  <c r="D59" i="47" s="1"/>
  <c r="D60" i="47" s="1"/>
  <c r="D61" i="47" s="1"/>
  <c r="D62" i="47" s="1"/>
  <c r="D63" i="47" s="1"/>
  <c r="D64" i="47" s="1"/>
  <c r="D65" i="47" s="1"/>
  <c r="D66" i="47" s="1"/>
  <c r="D67" i="47" s="1"/>
  <c r="D68" i="47" s="1"/>
  <c r="D69" i="47" s="1"/>
  <c r="D70" i="47" s="1"/>
  <c r="D71" i="47" s="1"/>
  <c r="D72" i="47" s="1"/>
  <c r="D73" i="47" s="1"/>
  <c r="D74" i="47" s="1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D87" i="47" s="1"/>
  <c r="D88" i="47" s="1"/>
  <c r="D89" i="47" s="1"/>
  <c r="D90" i="47" s="1"/>
  <c r="D91" i="47" s="1"/>
  <c r="D92" i="47" s="1"/>
  <c r="D93" i="47" s="1"/>
  <c r="D94" i="47" s="1"/>
  <c r="D95" i="47" s="1"/>
  <c r="D96" i="47" s="1"/>
  <c r="D97" i="47" s="1"/>
  <c r="D98" i="47" s="1"/>
  <c r="D99" i="47" s="1"/>
  <c r="D100" i="47" s="1"/>
  <c r="D101" i="47" s="1"/>
  <c r="D102" i="47" s="1"/>
  <c r="D103" i="47" s="1"/>
  <c r="D104" i="47" s="1"/>
  <c r="D105" i="47" s="1"/>
  <c r="D106" i="47" s="1"/>
  <c r="D107" i="47" s="1"/>
  <c r="D108" i="47" s="1"/>
  <c r="D109" i="47" s="1"/>
  <c r="D110" i="47" s="1"/>
  <c r="D111" i="47" s="1"/>
  <c r="D112" i="47" s="1"/>
  <c r="D113" i="47" s="1"/>
  <c r="D114" i="47" s="1"/>
  <c r="D115" i="47" s="1"/>
  <c r="D116" i="47" s="1"/>
  <c r="D117" i="47" s="1"/>
  <c r="D118" i="47" s="1"/>
  <c r="D119" i="47" s="1"/>
  <c r="D120" i="47" s="1"/>
  <c r="D121" i="47" s="1"/>
  <c r="D122" i="47" s="1"/>
  <c r="D123" i="47" s="1"/>
  <c r="D124" i="47" s="1"/>
  <c r="D125" i="47" s="1"/>
  <c r="D126" i="47" s="1"/>
  <c r="Z107" i="46"/>
  <c r="Z105" i="46"/>
  <c r="Q134" i="46"/>
  <c r="X105" i="46"/>
  <c r="Z102" i="46"/>
  <c r="X102" i="46"/>
  <c r="X118" i="46"/>
  <c r="P128" i="46"/>
  <c r="P12" i="34"/>
  <c r="X12" i="34" s="1"/>
  <c r="P20" i="34"/>
  <c r="X20" i="34" s="1"/>
  <c r="P16" i="34"/>
  <c r="X16" i="34" s="1"/>
  <c r="P21" i="34"/>
  <c r="P9" i="34"/>
  <c r="X9" i="34" s="1"/>
  <c r="P14" i="34"/>
  <c r="X14" i="34" s="1"/>
  <c r="P19" i="34"/>
  <c r="X19" i="34" s="1"/>
  <c r="P18" i="34"/>
  <c r="X18" i="34" s="1"/>
  <c r="P2" i="34"/>
  <c r="P4" i="34"/>
  <c r="P11" i="34"/>
  <c r="X11" i="34" s="1"/>
  <c r="P13" i="34"/>
  <c r="X13" i="34" s="1"/>
  <c r="P7" i="34"/>
  <c r="X7" i="34" s="1"/>
  <c r="P10" i="34"/>
  <c r="X10" i="34" s="1"/>
  <c r="P6" i="34"/>
  <c r="X6" i="34" s="1"/>
  <c r="AA9" i="34"/>
  <c r="P3" i="34"/>
  <c r="X3" i="34" s="1"/>
  <c r="P17" i="34"/>
  <c r="X17" i="34" s="1"/>
  <c r="P15" i="34"/>
  <c r="X15" i="34" s="1"/>
  <c r="P5" i="34"/>
  <c r="X5" i="34" s="1"/>
  <c r="P8" i="34"/>
  <c r="X8" i="34" s="1"/>
  <c r="D448" i="50" l="1"/>
  <c r="D449" i="50" s="1"/>
  <c r="D450" i="50" s="1"/>
  <c r="D451" i="50" s="1"/>
  <c r="D452" i="50" s="1"/>
  <c r="D453" i="50" s="1"/>
  <c r="D454" i="50" s="1"/>
  <c r="D455" i="50" s="1"/>
  <c r="D456" i="50" s="1"/>
  <c r="Z108" i="46"/>
  <c r="L246" i="47"/>
  <c r="L247" i="47" s="1"/>
  <c r="L248" i="47" s="1"/>
  <c r="L249" i="47" s="1"/>
  <c r="L250" i="47" s="1"/>
  <c r="L251" i="47" s="1"/>
  <c r="L252" i="47" s="1"/>
  <c r="L253" i="47" s="1"/>
  <c r="L254" i="47" s="1"/>
  <c r="L255" i="47" s="1"/>
  <c r="L256" i="47" s="1"/>
  <c r="L257" i="47" s="1"/>
  <c r="L258" i="47" s="1"/>
  <c r="L259" i="47" s="1"/>
  <c r="L260" i="47" s="1"/>
  <c r="L261" i="47" s="1"/>
  <c r="L262" i="47" s="1"/>
  <c r="L263" i="47" s="1"/>
  <c r="L264" i="47" s="1"/>
  <c r="L265" i="47" s="1"/>
  <c r="L266" i="47" s="1"/>
  <c r="L267" i="47" s="1"/>
  <c r="L268" i="47" s="1"/>
  <c r="L269" i="47" s="1"/>
  <c r="L270" i="47" s="1"/>
  <c r="L271" i="47" s="1"/>
  <c r="L272" i="47" s="1"/>
  <c r="L273" i="47" s="1"/>
  <c r="L274" i="47" s="1"/>
  <c r="L275" i="47" s="1"/>
  <c r="L276" i="47" s="1"/>
  <c r="L277" i="47" s="1"/>
  <c r="L278" i="47" s="1"/>
  <c r="L279" i="47" s="1"/>
  <c r="L280" i="47" s="1"/>
  <c r="L281" i="47" s="1"/>
  <c r="L282" i="47" s="1"/>
  <c r="L283" i="47" s="1"/>
  <c r="L284" i="47" s="1"/>
  <c r="L285" i="47" s="1"/>
  <c r="L286" i="47" s="1"/>
  <c r="L287" i="47" s="1"/>
  <c r="L288" i="47" s="1"/>
  <c r="L289" i="47" s="1"/>
  <c r="L290" i="47" s="1"/>
  <c r="L291" i="47" s="1"/>
  <c r="L292" i="47" s="1"/>
  <c r="L293" i="47" s="1"/>
  <c r="L294" i="47" s="1"/>
  <c r="L295" i="47" s="1"/>
  <c r="L296" i="47" s="1"/>
  <c r="L297" i="47" s="1"/>
  <c r="L298" i="47" s="1"/>
  <c r="L299" i="47" s="1"/>
  <c r="L300" i="47" s="1"/>
  <c r="L301" i="47" s="1"/>
  <c r="L302" i="47" s="1"/>
  <c r="L303" i="47" s="1"/>
  <c r="L304" i="47" s="1"/>
  <c r="L305" i="47" s="1"/>
  <c r="L306" i="47" s="1"/>
  <c r="L307" i="47" s="1"/>
  <c r="L308" i="47" s="1"/>
  <c r="K33" i="47"/>
  <c r="G228" i="47"/>
  <c r="G229" i="47" s="1"/>
  <c r="G230" i="47" s="1"/>
  <c r="G231" i="47" s="1"/>
  <c r="D127" i="47"/>
  <c r="D128" i="47" s="1"/>
  <c r="D129" i="47" s="1"/>
  <c r="D130" i="47" s="1"/>
  <c r="D131" i="47" s="1"/>
  <c r="Q137" i="46"/>
  <c r="H137" i="46"/>
  <c r="P129" i="46"/>
  <c r="X129" i="46" s="1"/>
  <c r="X128" i="46"/>
  <c r="X2" i="34"/>
  <c r="X4" i="34"/>
  <c r="X21" i="34"/>
  <c r="L309" i="47" l="1"/>
  <c r="L311" i="47" s="1"/>
  <c r="L312" i="47" s="1"/>
  <c r="L313" i="47" s="1"/>
  <c r="L314" i="47" s="1"/>
  <c r="L315" i="47" s="1"/>
  <c r="L316" i="47" s="1"/>
  <c r="L310" i="47"/>
  <c r="D457" i="50"/>
  <c r="D458" i="50" s="1"/>
  <c r="D459" i="50" s="1"/>
  <c r="D460" i="50" s="1"/>
  <c r="D461" i="50" s="1"/>
  <c r="D462" i="50" s="1"/>
  <c r="G232" i="47"/>
  <c r="G233" i="47" s="1"/>
  <c r="G234" i="47" s="1"/>
  <c r="G235" i="47" s="1"/>
  <c r="G236" i="47" s="1"/>
  <c r="G237" i="47" s="1"/>
  <c r="G238" i="47" s="1"/>
  <c r="K34" i="47"/>
  <c r="D132" i="47"/>
  <c r="D133" i="47" s="1"/>
  <c r="D134" i="47" s="1"/>
  <c r="D135" i="47" s="1"/>
  <c r="D136" i="47" s="1"/>
  <c r="X135" i="46"/>
  <c r="Y135" i="46"/>
  <c r="Z134" i="46"/>
  <c r="X134" i="46"/>
  <c r="P134" i="46"/>
  <c r="L317" i="47" l="1"/>
  <c r="L318" i="47" s="1"/>
  <c r="L319" i="47" s="1"/>
  <c r="L320" i="47" s="1"/>
  <c r="D463" i="50"/>
  <c r="G239" i="47"/>
  <c r="G240" i="47" s="1"/>
  <c r="G241" i="47" s="1"/>
  <c r="G242" i="47" s="1"/>
  <c r="G243" i="47" s="1"/>
  <c r="G244" i="47" s="1"/>
  <c r="G245" i="47" s="1"/>
  <c r="K35" i="47"/>
  <c r="D137" i="47"/>
  <c r="D138" i="47" s="1"/>
  <c r="D139" i="47" s="1"/>
  <c r="D140" i="47" s="1"/>
  <c r="D141" i="47" s="1"/>
  <c r="D142" i="47" s="1"/>
  <c r="D143" i="47" s="1"/>
  <c r="D144" i="47" s="1"/>
  <c r="D145" i="47" s="1"/>
  <c r="D146" i="47" s="1"/>
  <c r="D147" i="47" s="1"/>
  <c r="D148" i="47" s="1"/>
  <c r="D149" i="47" s="1"/>
  <c r="D150" i="47" s="1"/>
  <c r="D151" i="47" s="1"/>
  <c r="D152" i="47" s="1"/>
  <c r="D153" i="47" s="1"/>
  <c r="D154" i="47" s="1"/>
  <c r="D155" i="47" s="1"/>
  <c r="D156" i="47" s="1"/>
  <c r="D157" i="47" s="1"/>
  <c r="D158" i="47" s="1"/>
  <c r="D159" i="47" s="1"/>
  <c r="D160" i="47" s="1"/>
  <c r="D161" i="47" s="1"/>
  <c r="D162" i="47" s="1"/>
  <c r="D163" i="47" s="1"/>
  <c r="D164" i="47" s="1"/>
  <c r="D165" i="47" s="1"/>
  <c r="D166" i="47" s="1"/>
  <c r="D167" i="47" s="1"/>
  <c r="D168" i="47" s="1"/>
  <c r="D169" i="47" s="1"/>
  <c r="D170" i="47" s="1"/>
  <c r="D171" i="47" s="1"/>
  <c r="D172" i="47" s="1"/>
  <c r="D173" i="47" s="1"/>
  <c r="D174" i="47" s="1"/>
  <c r="D175" i="47" s="1"/>
  <c r="D176" i="47" s="1"/>
  <c r="D177" i="47" s="1"/>
  <c r="D178" i="47" s="1"/>
  <c r="D179" i="47" s="1"/>
  <c r="D180" i="47" s="1"/>
  <c r="D181" i="47" s="1"/>
  <c r="D182" i="47" s="1"/>
  <c r="D183" i="47" s="1"/>
  <c r="D184" i="47" s="1"/>
  <c r="D185" i="47" s="1"/>
  <c r="D186" i="47" s="1"/>
  <c r="D187" i="47" s="1"/>
  <c r="D188" i="47" s="1"/>
  <c r="D189" i="47" s="1"/>
  <c r="D190" i="47" s="1"/>
  <c r="D191" i="47" s="1"/>
  <c r="D192" i="47" s="1"/>
  <c r="D193" i="47" s="1"/>
  <c r="D194" i="47" s="1"/>
  <c r="D195" i="47" s="1"/>
  <c r="D196" i="47" s="1"/>
  <c r="D197" i="47" s="1"/>
  <c r="D198" i="47" s="1"/>
  <c r="D199" i="47" s="1"/>
  <c r="D200" i="47" s="1"/>
  <c r="D201" i="47" s="1"/>
  <c r="D202" i="47" s="1"/>
  <c r="D203" i="47" s="1"/>
  <c r="D204" i="47" s="1"/>
  <c r="D205" i="47" s="1"/>
  <c r="D206" i="47" s="1"/>
  <c r="D207" i="47" s="1"/>
  <c r="D208" i="47" s="1"/>
  <c r="D209" i="47" s="1"/>
  <c r="D210" i="47" s="1"/>
  <c r="D211" i="47" s="1"/>
  <c r="D212" i="47" s="1"/>
  <c r="D213" i="47" s="1"/>
  <c r="D214" i="47" s="1"/>
  <c r="D215" i="47" s="1"/>
  <c r="D216" i="47" s="1"/>
  <c r="D217" i="47" s="1"/>
  <c r="D218" i="47" s="1"/>
  <c r="D219" i="47" s="1"/>
  <c r="D220" i="47" s="1"/>
  <c r="D221" i="47" s="1"/>
  <c r="D222" i="47" s="1"/>
  <c r="D223" i="47" s="1"/>
  <c r="D224" i="47" s="1"/>
  <c r="D225" i="47" s="1"/>
  <c r="D226" i="47" s="1"/>
  <c r="D227" i="47" s="1"/>
  <c r="Y134" i="46"/>
  <c r="P137" i="46"/>
  <c r="X137" i="46" s="1"/>
  <c r="Z133" i="46"/>
  <c r="Z135" i="46"/>
  <c r="D464" i="50" l="1"/>
  <c r="G246" i="47"/>
  <c r="G247" i="47" s="1"/>
  <c r="G248" i="47" s="1"/>
  <c r="G249" i="47" s="1"/>
  <c r="G250" i="47" s="1"/>
  <c r="G251" i="47" s="1"/>
  <c r="G252" i="47" s="1"/>
  <c r="G253" i="47" s="1"/>
  <c r="G254" i="47" s="1"/>
  <c r="G255" i="47" s="1"/>
  <c r="G256" i="47" s="1"/>
  <c r="G257" i="47" s="1"/>
  <c r="G258" i="47" s="1"/>
  <c r="G259" i="47" s="1"/>
  <c r="G260" i="47" s="1"/>
  <c r="G261" i="47" s="1"/>
  <c r="G262" i="47" s="1"/>
  <c r="G263" i="47" s="1"/>
  <c r="G264" i="47" s="1"/>
  <c r="G265" i="47" s="1"/>
  <c r="G266" i="47" s="1"/>
  <c r="G267" i="47" s="1"/>
  <c r="G268" i="47" s="1"/>
  <c r="G269" i="47" s="1"/>
  <c r="G270" i="47" s="1"/>
  <c r="G271" i="47" s="1"/>
  <c r="G272" i="47" s="1"/>
  <c r="G273" i="47" s="1"/>
  <c r="G274" i="47" s="1"/>
  <c r="G275" i="47" s="1"/>
  <c r="K36" i="47"/>
  <c r="D228" i="47"/>
  <c r="D229" i="47" s="1"/>
  <c r="D230" i="47" s="1"/>
  <c r="D231" i="47" s="1"/>
  <c r="R71" i="45"/>
  <c r="R72" i="45" s="1"/>
  <c r="N71" i="45"/>
  <c r="N72" i="45" s="1"/>
  <c r="M71" i="45"/>
  <c r="M72" i="45" s="1"/>
  <c r="L71" i="45"/>
  <c r="L72" i="45" s="1"/>
  <c r="K71" i="45"/>
  <c r="G71" i="45"/>
  <c r="G72" i="45" s="1"/>
  <c r="A67" i="45"/>
  <c r="H62" i="45"/>
  <c r="R60" i="45"/>
  <c r="R59" i="45"/>
  <c r="H59" i="45"/>
  <c r="N56" i="45"/>
  <c r="N55" i="45"/>
  <c r="A51" i="45"/>
  <c r="R17" i="39"/>
  <c r="D465" i="50" l="1"/>
  <c r="D232" i="47"/>
  <c r="D233" i="47" s="1"/>
  <c r="D234" i="47" s="1"/>
  <c r="D235" i="47" s="1"/>
  <c r="D236" i="47" s="1"/>
  <c r="D237" i="47" s="1"/>
  <c r="D238" i="47" s="1"/>
  <c r="K37" i="47"/>
  <c r="O55" i="45"/>
  <c r="G55" i="45"/>
  <c r="R55" i="45"/>
  <c r="R54" i="45"/>
  <c r="G56" i="45"/>
  <c r="O54" i="45"/>
  <c r="G54" i="45"/>
  <c r="R61" i="45"/>
  <c r="G61" i="45"/>
  <c r="O61" i="45"/>
  <c r="AA61" i="45"/>
  <c r="AA62" i="45"/>
  <c r="D8" i="18"/>
  <c r="H56" i="45"/>
  <c r="P59" i="45"/>
  <c r="O60" i="45"/>
  <c r="H60" i="45"/>
  <c r="R56" i="45"/>
  <c r="M55" i="45"/>
  <c r="M56" i="45"/>
  <c r="L56" i="45"/>
  <c r="L55" i="45"/>
  <c r="P63" i="45"/>
  <c r="H54" i="45"/>
  <c r="H63" i="45"/>
  <c r="O63" i="45"/>
  <c r="O62" i="45"/>
  <c r="Q71" i="45"/>
  <c r="Q72" i="45" s="1"/>
  <c r="O71" i="45"/>
  <c r="O72" i="45" s="1"/>
  <c r="K55" i="45"/>
  <c r="K56" i="45"/>
  <c r="K72" i="45"/>
  <c r="P62" i="45"/>
  <c r="O59" i="45"/>
  <c r="G62" i="45"/>
  <c r="G63" i="45"/>
  <c r="G59" i="45"/>
  <c r="O56" i="45"/>
  <c r="R63" i="45"/>
  <c r="G60" i="45"/>
  <c r="D466" i="50" l="1"/>
  <c r="D239" i="47"/>
  <c r="D240" i="47" s="1"/>
  <c r="D241" i="47" s="1"/>
  <c r="D242" i="47" s="1"/>
  <c r="D243" i="47" s="1"/>
  <c r="D244" i="47" s="1"/>
  <c r="D245" i="47" s="1"/>
  <c r="D246" i="47" s="1"/>
  <c r="D247" i="47" s="1"/>
  <c r="D248" i="47" s="1"/>
  <c r="D249" i="47" s="1"/>
  <c r="D250" i="47" s="1"/>
  <c r="D251" i="47" s="1"/>
  <c r="D252" i="47" s="1"/>
  <c r="D253" i="47" s="1"/>
  <c r="D254" i="47" s="1"/>
  <c r="D255" i="47" s="1"/>
  <c r="D256" i="47" s="1"/>
  <c r="D257" i="47" s="1"/>
  <c r="D258" i="47" s="1"/>
  <c r="D259" i="47" s="1"/>
  <c r="D260" i="47" s="1"/>
  <c r="D261" i="47" s="1"/>
  <c r="D262" i="47" s="1"/>
  <c r="D263" i="47" s="1"/>
  <c r="D264" i="47" s="1"/>
  <c r="D265" i="47" s="1"/>
  <c r="D266" i="47" s="1"/>
  <c r="D267" i="47" s="1"/>
  <c r="D268" i="47" s="1"/>
  <c r="D269" i="47" s="1"/>
  <c r="D270" i="47" s="1"/>
  <c r="D271" i="47" s="1"/>
  <c r="D272" i="47" s="1"/>
  <c r="D273" i="47" s="1"/>
  <c r="D274" i="47" s="1"/>
  <c r="D275" i="47" s="1"/>
  <c r="K38" i="47"/>
  <c r="Q54" i="45"/>
  <c r="Q56" i="45"/>
  <c r="P60" i="45"/>
  <c r="P55" i="45"/>
  <c r="X55" i="45" s="1"/>
  <c r="Q61" i="45"/>
  <c r="P61" i="45"/>
  <c r="X61" i="45"/>
  <c r="Q62" i="45"/>
  <c r="Y62" i="45" s="1"/>
  <c r="AA59" i="45"/>
  <c r="X62" i="45"/>
  <c r="Q60" i="45"/>
  <c r="X60" i="45"/>
  <c r="AA60" i="45"/>
  <c r="Q59" i="45"/>
  <c r="F8" i="18"/>
  <c r="AA63" i="45"/>
  <c r="P56" i="45"/>
  <c r="P54" i="45"/>
  <c r="Q63" i="45"/>
  <c r="X63" i="45"/>
  <c r="X59" i="45"/>
  <c r="H71" i="45"/>
  <c r="H72" i="45" s="1"/>
  <c r="R49" i="40"/>
  <c r="R50" i="40"/>
  <c r="R51" i="40"/>
  <c r="R52" i="40"/>
  <c r="R54" i="40"/>
  <c r="H49" i="40"/>
  <c r="H50" i="40"/>
  <c r="H51" i="40"/>
  <c r="H52" i="40"/>
  <c r="H53" i="40"/>
  <c r="H54" i="40"/>
  <c r="H48" i="40"/>
  <c r="R32" i="39"/>
  <c r="R33" i="39"/>
  <c r="H32" i="39"/>
  <c r="H33" i="39"/>
  <c r="H34" i="39"/>
  <c r="R31" i="39"/>
  <c r="H31" i="39"/>
  <c r="R34" i="28"/>
  <c r="H34" i="28"/>
  <c r="R35" i="28"/>
  <c r="H35" i="28"/>
  <c r="R33" i="28"/>
  <c r="H33" i="28"/>
  <c r="R23" i="40"/>
  <c r="R48" i="40" s="1"/>
  <c r="K13" i="39"/>
  <c r="R53" i="40"/>
  <c r="D276" i="47" l="1"/>
  <c r="D277" i="47" s="1"/>
  <c r="D278" i="47" s="1"/>
  <c r="D279" i="47" s="1"/>
  <c r="G276" i="47"/>
  <c r="G277" i="47" s="1"/>
  <c r="G278" i="47" s="1"/>
  <c r="G279" i="47" s="1"/>
  <c r="D467" i="50"/>
  <c r="K39" i="47"/>
  <c r="Y61" i="45"/>
  <c r="Z61" i="45"/>
  <c r="Y59" i="45"/>
  <c r="Y60" i="45"/>
  <c r="Z55" i="45"/>
  <c r="C8" i="18"/>
  <c r="G8" i="18" s="1"/>
  <c r="Y63" i="45"/>
  <c r="X56" i="45"/>
  <c r="X54" i="45"/>
  <c r="Z63" i="45"/>
  <c r="Z56" i="45"/>
  <c r="Z59" i="45"/>
  <c r="Z60" i="45"/>
  <c r="Z62" i="45"/>
  <c r="P71" i="45"/>
  <c r="Z54" i="45"/>
  <c r="R24" i="38"/>
  <c r="R39" i="38" s="1"/>
  <c r="K18" i="40"/>
  <c r="G280" i="47" l="1"/>
  <c r="G281" i="47" s="1"/>
  <c r="G282" i="47" s="1"/>
  <c r="G283" i="47" s="1"/>
  <c r="G284" i="47" s="1"/>
  <c r="G285" i="47" s="1"/>
  <c r="G286" i="47" s="1"/>
  <c r="G287" i="47" s="1"/>
  <c r="G288" i="47" s="1"/>
  <c r="G289" i="47" s="1"/>
  <c r="G290" i="47" s="1"/>
  <c r="G291" i="47" s="1"/>
  <c r="G292" i="47" s="1"/>
  <c r="G293" i="47" s="1"/>
  <c r="G294" i="47" s="1"/>
  <c r="G295" i="47" s="1"/>
  <c r="G296" i="47" s="1"/>
  <c r="G297" i="47" s="1"/>
  <c r="G298" i="47" s="1"/>
  <c r="G299" i="47" s="1"/>
  <c r="G300" i="47" s="1"/>
  <c r="G301" i="47" s="1"/>
  <c r="G302" i="47" s="1"/>
  <c r="D280" i="47"/>
  <c r="D281" i="47" s="1"/>
  <c r="D282" i="47" s="1"/>
  <c r="D283" i="47" s="1"/>
  <c r="D284" i="47" s="1"/>
  <c r="D285" i="47" s="1"/>
  <c r="D286" i="47" s="1"/>
  <c r="D287" i="47" s="1"/>
  <c r="D288" i="47" s="1"/>
  <c r="D289" i="47" s="1"/>
  <c r="D290" i="47" s="1"/>
  <c r="D291" i="47" s="1"/>
  <c r="D292" i="47" s="1"/>
  <c r="D293" i="47" s="1"/>
  <c r="D294" i="47" s="1"/>
  <c r="D295" i="47" s="1"/>
  <c r="D296" i="47" s="1"/>
  <c r="D297" i="47" s="1"/>
  <c r="D298" i="47" s="1"/>
  <c r="D299" i="47" s="1"/>
  <c r="D300" i="47" s="1"/>
  <c r="D301" i="47" s="1"/>
  <c r="D302" i="47" s="1"/>
  <c r="D468" i="50"/>
  <c r="K40" i="47"/>
  <c r="P72" i="45"/>
  <c r="X72" i="45" s="1"/>
  <c r="X71" i="45"/>
  <c r="G303" i="47" l="1"/>
  <c r="G304" i="47" s="1"/>
  <c r="G305" i="47" s="1"/>
  <c r="G306" i="47" s="1"/>
  <c r="D303" i="47"/>
  <c r="D304" i="47" s="1"/>
  <c r="D305" i="47" s="1"/>
  <c r="D306" i="47" s="1"/>
  <c r="D307" i="47" s="1"/>
  <c r="D308" i="47" s="1"/>
  <c r="D309" i="47" s="1"/>
  <c r="D310" i="47" s="1"/>
  <c r="D311" i="47" s="1"/>
  <c r="D312" i="47" s="1"/>
  <c r="D313" i="47" s="1"/>
  <c r="D314" i="47" s="1"/>
  <c r="D315" i="47" s="1"/>
  <c r="D316" i="47" s="1"/>
  <c r="D317" i="47" s="1"/>
  <c r="D318" i="47" s="1"/>
  <c r="D319" i="47" s="1"/>
  <c r="D320" i="47" s="1"/>
  <c r="D323" i="47" s="1"/>
  <c r="D469" i="50"/>
  <c r="K41" i="47"/>
  <c r="Z18" i="40"/>
  <c r="Y18" i="40"/>
  <c r="O18" i="40" s="1"/>
  <c r="Q18" i="40" s="1"/>
  <c r="U18" i="40"/>
  <c r="G18" i="40"/>
  <c r="AA18" i="40" s="1"/>
  <c r="D18" i="40"/>
  <c r="G307" i="47" l="1"/>
  <c r="G308" i="47" s="1"/>
  <c r="D470" i="50"/>
  <c r="K42" i="47"/>
  <c r="P18" i="40"/>
  <c r="X18" i="40" s="1"/>
  <c r="Z23" i="40"/>
  <c r="Y23" i="40"/>
  <c r="O23" i="40" s="1"/>
  <c r="U23" i="40"/>
  <c r="K23" i="40"/>
  <c r="G23" i="40"/>
  <c r="AA23" i="40" s="1"/>
  <c r="Z17" i="40"/>
  <c r="Y17" i="40"/>
  <c r="O17" i="40" s="1"/>
  <c r="Q17" i="40" s="1"/>
  <c r="U17" i="40"/>
  <c r="K17" i="40"/>
  <c r="G17" i="40"/>
  <c r="AA17" i="40" s="1"/>
  <c r="D17" i="40"/>
  <c r="G309" i="47" l="1"/>
  <c r="G310" i="47"/>
  <c r="G311" i="47"/>
  <c r="G312" i="47" s="1"/>
  <c r="G313" i="47" s="1"/>
  <c r="G314" i="47" s="1"/>
  <c r="G315" i="47" s="1"/>
  <c r="G316" i="47" s="1"/>
  <c r="D471" i="50"/>
  <c r="K43" i="47"/>
  <c r="P23" i="40"/>
  <c r="P17" i="40"/>
  <c r="X17" i="40" s="1"/>
  <c r="Q23" i="40"/>
  <c r="Z16" i="40"/>
  <c r="Y16" i="40"/>
  <c r="O16" i="40" s="1"/>
  <c r="U16" i="40"/>
  <c r="K16" i="40"/>
  <c r="G16" i="40"/>
  <c r="AA16" i="40" s="1"/>
  <c r="D16" i="40"/>
  <c r="Z19" i="40"/>
  <c r="Y19" i="40"/>
  <c r="O19" i="40" s="1"/>
  <c r="U19" i="40"/>
  <c r="K19" i="40"/>
  <c r="G19" i="40"/>
  <c r="AA19" i="40" s="1"/>
  <c r="D19" i="40"/>
  <c r="G20" i="40"/>
  <c r="AA20" i="40" s="1"/>
  <c r="Z20" i="40"/>
  <c r="Y20" i="40"/>
  <c r="O20" i="40" s="1"/>
  <c r="U20" i="40"/>
  <c r="K20" i="40"/>
  <c r="D20" i="40"/>
  <c r="Z24" i="40"/>
  <c r="Y24" i="40"/>
  <c r="O24" i="40" s="1"/>
  <c r="U24" i="40"/>
  <c r="K24" i="40"/>
  <c r="G24" i="40"/>
  <c r="AA24" i="40" s="1"/>
  <c r="D24" i="40"/>
  <c r="Z21" i="40"/>
  <c r="Y21" i="40"/>
  <c r="O21" i="40" s="1"/>
  <c r="U21" i="40"/>
  <c r="K21" i="40"/>
  <c r="G21" i="40"/>
  <c r="AA21" i="40" s="1"/>
  <c r="D21" i="40"/>
  <c r="Z25" i="40"/>
  <c r="Y25" i="40"/>
  <c r="O25" i="40" s="1"/>
  <c r="U25" i="40"/>
  <c r="K25" i="40"/>
  <c r="G25" i="40"/>
  <c r="D25" i="40"/>
  <c r="Z11" i="40"/>
  <c r="Y11" i="40"/>
  <c r="O11" i="40" s="1"/>
  <c r="U11" i="40"/>
  <c r="K11" i="40"/>
  <c r="G11" i="40"/>
  <c r="D11" i="40"/>
  <c r="G26" i="40"/>
  <c r="AA26" i="40" s="1"/>
  <c r="Z12" i="40"/>
  <c r="Y12" i="40"/>
  <c r="O12" i="40" s="1"/>
  <c r="U12" i="40"/>
  <c r="K12" i="40"/>
  <c r="G12" i="40"/>
  <c r="AA12" i="40" s="1"/>
  <c r="D12" i="40"/>
  <c r="Z26" i="40"/>
  <c r="Y26" i="40"/>
  <c r="O26" i="40" s="1"/>
  <c r="U26" i="40"/>
  <c r="K26" i="40"/>
  <c r="D26" i="40"/>
  <c r="Z15" i="40"/>
  <c r="Y15" i="40"/>
  <c r="O15" i="40" s="1"/>
  <c r="U15" i="40"/>
  <c r="K15" i="40"/>
  <c r="G15" i="40"/>
  <c r="AA15" i="40" s="1"/>
  <c r="D15" i="40"/>
  <c r="G317" i="47" l="1"/>
  <c r="G318" i="47" s="1"/>
  <c r="G319" i="47" s="1"/>
  <c r="G320" i="47" s="1"/>
  <c r="G323" i="47" s="1"/>
  <c r="O136" i="46" s="1"/>
  <c r="D472" i="50"/>
  <c r="K44" i="47"/>
  <c r="P25" i="40"/>
  <c r="P26" i="40"/>
  <c r="O52" i="40"/>
  <c r="G51" i="40"/>
  <c r="AA25" i="40"/>
  <c r="AA52" i="40" s="1"/>
  <c r="G52" i="40"/>
  <c r="P50" i="40"/>
  <c r="O51" i="40"/>
  <c r="P24" i="40"/>
  <c r="X23" i="40"/>
  <c r="P15" i="40"/>
  <c r="P20" i="40"/>
  <c r="P21" i="40"/>
  <c r="P19" i="40"/>
  <c r="P16" i="40"/>
  <c r="AA11" i="40"/>
  <c r="AA51" i="40" s="1"/>
  <c r="Q11" i="40"/>
  <c r="Q16" i="40"/>
  <c r="Q19" i="40"/>
  <c r="Q20" i="40"/>
  <c r="Q24" i="40"/>
  <c r="Q21" i="40"/>
  <c r="P12" i="40"/>
  <c r="P11" i="40"/>
  <c r="Q25" i="40"/>
  <c r="Q12" i="40"/>
  <c r="Q26" i="40"/>
  <c r="Q15" i="40"/>
  <c r="D473" i="50" l="1"/>
  <c r="K45" i="47"/>
  <c r="X26" i="40"/>
  <c r="P52" i="40"/>
  <c r="X52" i="40"/>
  <c r="X25" i="40"/>
  <c r="Q52" i="40"/>
  <c r="P51" i="40"/>
  <c r="X51" i="40"/>
  <c r="Q51" i="40"/>
  <c r="X24" i="40"/>
  <c r="X21" i="40"/>
  <c r="X20" i="40"/>
  <c r="X15" i="40"/>
  <c r="X11" i="40"/>
  <c r="X16" i="40"/>
  <c r="X19" i="40"/>
  <c r="X12" i="40"/>
  <c r="Z14" i="40"/>
  <c r="Y14" i="40"/>
  <c r="O14" i="40" s="1"/>
  <c r="U14" i="40"/>
  <c r="K14" i="40"/>
  <c r="G14" i="40"/>
  <c r="AA14" i="40" s="1"/>
  <c r="D14" i="40"/>
  <c r="Z13" i="40"/>
  <c r="Y13" i="40"/>
  <c r="O13" i="40" s="1"/>
  <c r="U13" i="40"/>
  <c r="K13" i="40"/>
  <c r="G13" i="40"/>
  <c r="AA13" i="40" s="1"/>
  <c r="D13" i="40"/>
  <c r="B698" i="12"/>
  <c r="R61" i="40"/>
  <c r="R62" i="40" s="1"/>
  <c r="N61" i="40"/>
  <c r="N62" i="40" s="1"/>
  <c r="M61" i="40"/>
  <c r="M62" i="40" s="1"/>
  <c r="L61" i="40"/>
  <c r="L62" i="40" s="1"/>
  <c r="K61" i="40"/>
  <c r="G61" i="40"/>
  <c r="G62" i="40" s="1"/>
  <c r="A58" i="40"/>
  <c r="H690" i="12"/>
  <c r="K690" i="12" s="1"/>
  <c r="F690" i="12"/>
  <c r="F689" i="12"/>
  <c r="K689" i="12" s="1"/>
  <c r="H688" i="12"/>
  <c r="K688" i="12" s="1"/>
  <c r="F688" i="12"/>
  <c r="H687" i="12"/>
  <c r="K687" i="12" s="1"/>
  <c r="F687" i="12"/>
  <c r="F683" i="12"/>
  <c r="L683" i="12" s="1"/>
  <c r="F682" i="12"/>
  <c r="K684" i="12"/>
  <c r="L684" i="12"/>
  <c r="K685" i="12"/>
  <c r="L685" i="12"/>
  <c r="K686" i="12"/>
  <c r="L686" i="12"/>
  <c r="K691" i="12"/>
  <c r="L691" i="12"/>
  <c r="K692" i="12"/>
  <c r="L692" i="12"/>
  <c r="K693" i="12"/>
  <c r="L693" i="12"/>
  <c r="K694" i="12"/>
  <c r="L694" i="12"/>
  <c r="H681" i="12"/>
  <c r="K681" i="12" s="1"/>
  <c r="F681" i="12"/>
  <c r="H680" i="12"/>
  <c r="I680" i="12" s="1"/>
  <c r="L680" i="12" s="1"/>
  <c r="F680" i="12"/>
  <c r="H679" i="12"/>
  <c r="K679" i="12" s="1"/>
  <c r="F679" i="12"/>
  <c r="H678" i="12"/>
  <c r="K678" i="12" s="1"/>
  <c r="F678" i="12"/>
  <c r="K668" i="12"/>
  <c r="L668" i="12"/>
  <c r="K669" i="12"/>
  <c r="L669" i="12"/>
  <c r="F670" i="12"/>
  <c r="K671" i="12"/>
  <c r="L671" i="12"/>
  <c r="K672" i="12"/>
  <c r="L672" i="12"/>
  <c r="K673" i="12"/>
  <c r="L673" i="12"/>
  <c r="D474" i="50" l="1"/>
  <c r="K46" i="47"/>
  <c r="Y52" i="40"/>
  <c r="P14" i="40"/>
  <c r="P13" i="40"/>
  <c r="Q13" i="40"/>
  <c r="Q14" i="40"/>
  <c r="K62" i="40"/>
  <c r="Q61" i="40"/>
  <c r="Q62" i="40" s="1"/>
  <c r="O61" i="40"/>
  <c r="O62" i="40" s="1"/>
  <c r="L689" i="12"/>
  <c r="I690" i="12"/>
  <c r="L690" i="12" s="1"/>
  <c r="I687" i="12"/>
  <c r="L687" i="12" s="1"/>
  <c r="I688" i="12"/>
  <c r="L688" i="12" s="1"/>
  <c r="K683" i="12"/>
  <c r="K680" i="12"/>
  <c r="I679" i="12"/>
  <c r="L679" i="12" s="1"/>
  <c r="I678" i="12"/>
  <c r="L678" i="12" s="1"/>
  <c r="I681" i="12"/>
  <c r="L681" i="12" s="1"/>
  <c r="D475" i="50" l="1"/>
  <c r="K47" i="47"/>
  <c r="O132" i="46"/>
  <c r="O137" i="46" s="1"/>
  <c r="X14" i="40"/>
  <c r="X13" i="40"/>
  <c r="H61" i="40"/>
  <c r="H62" i="40" s="1"/>
  <c r="D476" i="50" l="1"/>
  <c r="K48" i="47"/>
  <c r="P61" i="40"/>
  <c r="P62" i="40" s="1"/>
  <c r="K665" i="12"/>
  <c r="L665" i="12"/>
  <c r="F666" i="12"/>
  <c r="H666" i="12"/>
  <c r="I666" i="12" s="1"/>
  <c r="L666" i="12" s="1"/>
  <c r="K667" i="12"/>
  <c r="L667" i="12"/>
  <c r="K674" i="12"/>
  <c r="L674" i="12"/>
  <c r="K675" i="12"/>
  <c r="L675" i="12"/>
  <c r="K676" i="12"/>
  <c r="L676" i="12"/>
  <c r="K677" i="12"/>
  <c r="L677" i="12"/>
  <c r="F662" i="12"/>
  <c r="L662" i="12" s="1"/>
  <c r="K660" i="12"/>
  <c r="L660" i="12"/>
  <c r="K661" i="12"/>
  <c r="L661" i="12"/>
  <c r="K663" i="12"/>
  <c r="L663" i="12"/>
  <c r="K664" i="12"/>
  <c r="L664" i="12"/>
  <c r="F658" i="12"/>
  <c r="F656" i="12"/>
  <c r="L656" i="12" s="1"/>
  <c r="H655" i="12"/>
  <c r="K655" i="12" s="1"/>
  <c r="F655" i="12"/>
  <c r="F654" i="12"/>
  <c r="L654" i="12" s="1"/>
  <c r="F652" i="12"/>
  <c r="L652" i="12" s="1"/>
  <c r="F649" i="12"/>
  <c r="K648" i="12"/>
  <c r="L648" i="12"/>
  <c r="K650" i="12"/>
  <c r="L650" i="12"/>
  <c r="K651" i="12"/>
  <c r="L651" i="12"/>
  <c r="K653" i="12"/>
  <c r="L653" i="12"/>
  <c r="K657" i="12"/>
  <c r="L657" i="12"/>
  <c r="K659" i="12"/>
  <c r="L659" i="12"/>
  <c r="L647" i="12"/>
  <c r="O643" i="12"/>
  <c r="O572" i="12"/>
  <c r="O197" i="12"/>
  <c r="O111" i="12"/>
  <c r="O4" i="12"/>
  <c r="H646" i="12"/>
  <c r="K646" i="12" s="1"/>
  <c r="F646" i="12"/>
  <c r="H645" i="12"/>
  <c r="K645" i="12" s="1"/>
  <c r="F645" i="12"/>
  <c r="F644" i="12"/>
  <c r="L644" i="12" s="1"/>
  <c r="F643" i="12"/>
  <c r="F640" i="12"/>
  <c r="H639" i="12"/>
  <c r="K639" i="12" s="1"/>
  <c r="F639" i="12"/>
  <c r="K637" i="12"/>
  <c r="L637" i="12"/>
  <c r="K638" i="12"/>
  <c r="L638" i="12"/>
  <c r="K641" i="12"/>
  <c r="L641" i="12"/>
  <c r="K642" i="12"/>
  <c r="L642" i="12"/>
  <c r="F636" i="12"/>
  <c r="L636" i="12" s="1"/>
  <c r="F634" i="12"/>
  <c r="K634" i="12" s="1"/>
  <c r="H635" i="12"/>
  <c r="K635" i="12" s="1"/>
  <c r="F635" i="12"/>
  <c r="H633" i="12"/>
  <c r="F633" i="12"/>
  <c r="F631" i="12"/>
  <c r="L631" i="12" s="1"/>
  <c r="H632" i="12"/>
  <c r="K632" i="12" s="1"/>
  <c r="F632" i="12"/>
  <c r="H630" i="12"/>
  <c r="K630" i="12" s="1"/>
  <c r="F630" i="12"/>
  <c r="H628" i="12"/>
  <c r="F628" i="12"/>
  <c r="F627" i="12"/>
  <c r="L627" i="12" s="1"/>
  <c r="H626" i="12"/>
  <c r="K626" i="12" s="1"/>
  <c r="F626" i="12"/>
  <c r="F625" i="12"/>
  <c r="L625" i="12" s="1"/>
  <c r="H624" i="12"/>
  <c r="K624" i="12" s="1"/>
  <c r="F624" i="12"/>
  <c r="H623" i="12"/>
  <c r="K623" i="12" s="1"/>
  <c r="F623" i="12"/>
  <c r="F621" i="12"/>
  <c r="L621" i="12" s="1"/>
  <c r="H620" i="12"/>
  <c r="F620" i="12"/>
  <c r="H619" i="12"/>
  <c r="K619" i="12" s="1"/>
  <c r="F619" i="12"/>
  <c r="H618" i="12"/>
  <c r="K618" i="12" s="1"/>
  <c r="F618" i="12"/>
  <c r="H617" i="12"/>
  <c r="K617" i="12" s="1"/>
  <c r="F617" i="12"/>
  <c r="H616" i="12"/>
  <c r="K616" i="12" s="1"/>
  <c r="F616" i="12"/>
  <c r="H615" i="12"/>
  <c r="K615" i="12" s="1"/>
  <c r="F615" i="12"/>
  <c r="H614" i="12"/>
  <c r="K614" i="12" s="1"/>
  <c r="F614" i="12"/>
  <c r="K23" i="38"/>
  <c r="F613" i="12"/>
  <c r="L613" i="12" s="1"/>
  <c r="F611" i="12"/>
  <c r="L611" i="12" s="1"/>
  <c r="H610" i="12"/>
  <c r="I610" i="12" s="1"/>
  <c r="L610" i="12" s="1"/>
  <c r="F610" i="12"/>
  <c r="L629" i="12"/>
  <c r="K629" i="12"/>
  <c r="L622" i="12"/>
  <c r="K622" i="12"/>
  <c r="L612" i="12"/>
  <c r="K612" i="12"/>
  <c r="L609" i="12"/>
  <c r="K609" i="12"/>
  <c r="L608" i="12"/>
  <c r="K608" i="12"/>
  <c r="L607" i="12"/>
  <c r="K607" i="12"/>
  <c r="H606" i="12"/>
  <c r="F606" i="12"/>
  <c r="L605" i="12"/>
  <c r="K605" i="12"/>
  <c r="H604" i="12"/>
  <c r="I604" i="12" s="1"/>
  <c r="L604" i="12" s="1"/>
  <c r="F604" i="12"/>
  <c r="H603" i="12"/>
  <c r="K603" i="12" s="1"/>
  <c r="F603" i="12"/>
  <c r="H602" i="12"/>
  <c r="K602" i="12" s="1"/>
  <c r="F602" i="12"/>
  <c r="F601" i="12"/>
  <c r="F598" i="12"/>
  <c r="L598" i="12" s="1"/>
  <c r="H593" i="12"/>
  <c r="F593" i="12"/>
  <c r="F586" i="12"/>
  <c r="L586" i="12" s="1"/>
  <c r="F587" i="12"/>
  <c r="H585" i="12"/>
  <c r="F585" i="12"/>
  <c r="H584" i="12"/>
  <c r="K584" i="12" s="1"/>
  <c r="F584" i="12"/>
  <c r="H583" i="12"/>
  <c r="K583" i="12" s="1"/>
  <c r="F583" i="12"/>
  <c r="H582" i="12"/>
  <c r="K582" i="12" s="1"/>
  <c r="F582" i="12"/>
  <c r="F581" i="12"/>
  <c r="K581" i="12" s="1"/>
  <c r="L579" i="12"/>
  <c r="K579" i="12"/>
  <c r="H580" i="12"/>
  <c r="K580" i="12" s="1"/>
  <c r="F580" i="12"/>
  <c r="H578" i="12"/>
  <c r="F578" i="12"/>
  <c r="F577" i="12"/>
  <c r="L577" i="12" s="1"/>
  <c r="F573" i="12"/>
  <c r="L573" i="12" s="1"/>
  <c r="K574" i="12"/>
  <c r="L574" i="12"/>
  <c r="K575" i="12"/>
  <c r="L575" i="12"/>
  <c r="K576" i="12"/>
  <c r="L576" i="12"/>
  <c r="K588" i="12"/>
  <c r="L588" i="12"/>
  <c r="K589" i="12"/>
  <c r="L589" i="12"/>
  <c r="K590" i="12"/>
  <c r="L590" i="12"/>
  <c r="K591" i="12"/>
  <c r="L591" i="12"/>
  <c r="K592" i="12"/>
  <c r="L592" i="12"/>
  <c r="K594" i="12"/>
  <c r="L594" i="12"/>
  <c r="K595" i="12"/>
  <c r="L595" i="12"/>
  <c r="K596" i="12"/>
  <c r="L596" i="12"/>
  <c r="K597" i="12"/>
  <c r="L597" i="12"/>
  <c r="K599" i="12"/>
  <c r="L599" i="12"/>
  <c r="K600" i="12"/>
  <c r="L600" i="12"/>
  <c r="K110" i="12"/>
  <c r="L110" i="12"/>
  <c r="H111" i="12"/>
  <c r="F69" i="12"/>
  <c r="F68" i="12"/>
  <c r="F82" i="12"/>
  <c r="F81" i="12"/>
  <c r="F80" i="12"/>
  <c r="F79" i="12"/>
  <c r="F78" i="12"/>
  <c r="F77" i="12"/>
  <c r="F76" i="12"/>
  <c r="F75" i="12"/>
  <c r="F74" i="12"/>
  <c r="F73" i="12"/>
  <c r="F123" i="12"/>
  <c r="F122" i="12"/>
  <c r="F353" i="12"/>
  <c r="F358" i="12"/>
  <c r="F357" i="12"/>
  <c r="F365" i="12"/>
  <c r="F368" i="12"/>
  <c r="F375" i="12"/>
  <c r="F374" i="12"/>
  <c r="F380" i="12"/>
  <c r="F379" i="12"/>
  <c r="F384" i="12"/>
  <c r="F383" i="12"/>
  <c r="F382" i="12"/>
  <c r="F387" i="12"/>
  <c r="F395" i="12"/>
  <c r="F394" i="12"/>
  <c r="F407" i="12"/>
  <c r="F414" i="12"/>
  <c r="F413" i="12"/>
  <c r="F412" i="12"/>
  <c r="F411" i="12"/>
  <c r="F410" i="12"/>
  <c r="F494" i="12"/>
  <c r="F500" i="12"/>
  <c r="F516" i="12"/>
  <c r="F518" i="12"/>
  <c r="F535" i="12"/>
  <c r="F540" i="12"/>
  <c r="F539" i="12"/>
  <c r="F538" i="12"/>
  <c r="F537" i="12"/>
  <c r="F544" i="12"/>
  <c r="F543" i="12"/>
  <c r="F547" i="12"/>
  <c r="F549" i="12"/>
  <c r="F554" i="12"/>
  <c r="F559" i="12"/>
  <c r="F558" i="12"/>
  <c r="F557" i="12"/>
  <c r="F563" i="12"/>
  <c r="F566" i="12"/>
  <c r="F569" i="12"/>
  <c r="F568" i="12"/>
  <c r="F572" i="12"/>
  <c r="H572" i="12"/>
  <c r="K572" i="12" s="1"/>
  <c r="H571" i="12"/>
  <c r="I571" i="12" s="1"/>
  <c r="F571" i="12"/>
  <c r="F570" i="12"/>
  <c r="H569" i="12"/>
  <c r="K569" i="12" s="1"/>
  <c r="H568" i="12"/>
  <c r="I568" i="12" s="1"/>
  <c r="L568" i="12" s="1"/>
  <c r="H567" i="12"/>
  <c r="I567" i="12" s="1"/>
  <c r="D567" i="12"/>
  <c r="F567" i="12" s="1"/>
  <c r="H566" i="12"/>
  <c r="I566" i="12" s="1"/>
  <c r="L566" i="12" s="1"/>
  <c r="H565" i="12"/>
  <c r="I565" i="12" s="1"/>
  <c r="F565" i="12"/>
  <c r="L565" i="12" s="1"/>
  <c r="H564" i="12"/>
  <c r="I564" i="12" s="1"/>
  <c r="F564" i="12"/>
  <c r="L564" i="12" s="1"/>
  <c r="H563" i="12"/>
  <c r="I563" i="12" s="1"/>
  <c r="L563" i="12" s="1"/>
  <c r="H562" i="12"/>
  <c r="I562" i="12" s="1"/>
  <c r="F562" i="12"/>
  <c r="L562" i="12" s="1"/>
  <c r="H561" i="12"/>
  <c r="I561" i="12" s="1"/>
  <c r="F561" i="12"/>
  <c r="L561" i="12" s="1"/>
  <c r="H560" i="12"/>
  <c r="I560" i="12" s="1"/>
  <c r="F560" i="12"/>
  <c r="L560" i="12" s="1"/>
  <c r="H559" i="12"/>
  <c r="K559" i="12" s="1"/>
  <c r="H558" i="12"/>
  <c r="I558" i="12" s="1"/>
  <c r="L558" i="12" s="1"/>
  <c r="H557" i="12"/>
  <c r="K557" i="12" s="1"/>
  <c r="H556" i="12"/>
  <c r="I556" i="12" s="1"/>
  <c r="F556" i="12"/>
  <c r="K556" i="12" s="1"/>
  <c r="H555" i="12"/>
  <c r="I555" i="12" s="1"/>
  <c r="F555" i="12"/>
  <c r="L555" i="12" s="1"/>
  <c r="H554" i="12"/>
  <c r="K554" i="12" s="1"/>
  <c r="H553" i="12"/>
  <c r="I553" i="12" s="1"/>
  <c r="F553" i="12"/>
  <c r="L553" i="12" s="1"/>
  <c r="H552" i="12"/>
  <c r="I552" i="12" s="1"/>
  <c r="F552" i="12"/>
  <c r="L552" i="12" s="1"/>
  <c r="H551" i="12"/>
  <c r="I551" i="12" s="1"/>
  <c r="F551" i="12"/>
  <c r="L551" i="12" s="1"/>
  <c r="H550" i="12"/>
  <c r="I550" i="12" s="1"/>
  <c r="F550" i="12"/>
  <c r="L550" i="12" s="1"/>
  <c r="H549" i="12"/>
  <c r="I549" i="12" s="1"/>
  <c r="L549" i="12" s="1"/>
  <c r="H548" i="12"/>
  <c r="I548" i="12" s="1"/>
  <c r="F548" i="12"/>
  <c r="K548" i="12" s="1"/>
  <c r="H547" i="12"/>
  <c r="K547" i="12" s="1"/>
  <c r="H546" i="12"/>
  <c r="I546" i="12" s="1"/>
  <c r="F546" i="12"/>
  <c r="L546" i="12" s="1"/>
  <c r="H545" i="12"/>
  <c r="F545" i="12"/>
  <c r="H544" i="12"/>
  <c r="K544" i="12" s="1"/>
  <c r="H543" i="12"/>
  <c r="I543" i="12" s="1"/>
  <c r="L543" i="12" s="1"/>
  <c r="H542" i="12"/>
  <c r="I542" i="12" s="1"/>
  <c r="F542" i="12"/>
  <c r="L542" i="12" s="1"/>
  <c r="H541" i="12"/>
  <c r="I541" i="12" s="1"/>
  <c r="F541" i="12"/>
  <c r="L541" i="12" s="1"/>
  <c r="H540" i="12"/>
  <c r="K540" i="12" s="1"/>
  <c r="H539" i="12"/>
  <c r="K539" i="12" s="1"/>
  <c r="H538" i="12"/>
  <c r="I538" i="12" s="1"/>
  <c r="L538" i="12" s="1"/>
  <c r="H537" i="12"/>
  <c r="I537" i="12" s="1"/>
  <c r="L537" i="12" s="1"/>
  <c r="F536" i="12"/>
  <c r="K510" i="12"/>
  <c r="L510" i="12"/>
  <c r="K511" i="12"/>
  <c r="L511" i="12"/>
  <c r="K513" i="12"/>
  <c r="L513" i="12"/>
  <c r="H512" i="12"/>
  <c r="I512" i="12" s="1"/>
  <c r="H536" i="12"/>
  <c r="I536" i="12" s="1"/>
  <c r="H535" i="12"/>
  <c r="I535" i="12" s="1"/>
  <c r="L535" i="12" s="1"/>
  <c r="H534" i="12"/>
  <c r="F534" i="12"/>
  <c r="H533" i="12"/>
  <c r="I533" i="12" s="1"/>
  <c r="F533" i="12"/>
  <c r="H532" i="12"/>
  <c r="I532" i="12" s="1"/>
  <c r="F532" i="12"/>
  <c r="L532" i="12" s="1"/>
  <c r="H531" i="12"/>
  <c r="I531" i="12" s="1"/>
  <c r="F531" i="12"/>
  <c r="L531" i="12" s="1"/>
  <c r="F530" i="12"/>
  <c r="H529" i="12"/>
  <c r="I529" i="12" s="1"/>
  <c r="F529" i="12"/>
  <c r="L529" i="12" s="1"/>
  <c r="H528" i="12"/>
  <c r="I528" i="12" s="1"/>
  <c r="F528" i="12"/>
  <c r="H527" i="12"/>
  <c r="I527" i="12" s="1"/>
  <c r="F527" i="12"/>
  <c r="H526" i="12"/>
  <c r="I526" i="12" s="1"/>
  <c r="F526" i="12"/>
  <c r="L526" i="12" s="1"/>
  <c r="L525" i="12"/>
  <c r="K525" i="12"/>
  <c r="H525" i="12"/>
  <c r="I525" i="12" s="1"/>
  <c r="H524" i="12"/>
  <c r="I524" i="12" s="1"/>
  <c r="F524" i="12"/>
  <c r="H523" i="12"/>
  <c r="I523" i="12" s="1"/>
  <c r="F523" i="12"/>
  <c r="L523" i="12" s="1"/>
  <c r="H522" i="12"/>
  <c r="I522" i="12" s="1"/>
  <c r="F522" i="12"/>
  <c r="K522" i="12" s="1"/>
  <c r="H521" i="12"/>
  <c r="I521" i="12" s="1"/>
  <c r="F521" i="12"/>
  <c r="L521" i="12" s="1"/>
  <c r="H520" i="12"/>
  <c r="F520" i="12"/>
  <c r="H519" i="12"/>
  <c r="I519" i="12" s="1"/>
  <c r="F519" i="12"/>
  <c r="H518" i="12"/>
  <c r="I518" i="12" s="1"/>
  <c r="L518" i="12" s="1"/>
  <c r="H517" i="12"/>
  <c r="I517" i="12" s="1"/>
  <c r="F517" i="12"/>
  <c r="L517" i="12" s="1"/>
  <c r="H516" i="12"/>
  <c r="K516" i="12" s="1"/>
  <c r="L515" i="12"/>
  <c r="K515" i="12"/>
  <c r="H514" i="12"/>
  <c r="F514" i="12"/>
  <c r="H513" i="12"/>
  <c r="I513" i="12" s="1"/>
  <c r="F512" i="12"/>
  <c r="H509" i="12"/>
  <c r="I509" i="12" s="1"/>
  <c r="F509" i="12"/>
  <c r="K509" i="12" s="1"/>
  <c r="L508" i="12"/>
  <c r="K508" i="12"/>
  <c r="H508" i="12"/>
  <c r="I508" i="12" s="1"/>
  <c r="H507" i="12"/>
  <c r="I507" i="12" s="1"/>
  <c r="F507" i="12"/>
  <c r="L507" i="12" s="1"/>
  <c r="H506" i="12"/>
  <c r="F506" i="12"/>
  <c r="H505" i="12"/>
  <c r="I505" i="12" s="1"/>
  <c r="F505" i="12"/>
  <c r="L505" i="12" s="1"/>
  <c r="L504" i="12"/>
  <c r="K504" i="12"/>
  <c r="L503" i="12"/>
  <c r="K503" i="12"/>
  <c r="H503" i="12"/>
  <c r="I503" i="12" s="1"/>
  <c r="L502" i="12"/>
  <c r="K502" i="12"/>
  <c r="H502" i="12"/>
  <c r="I502" i="12" s="1"/>
  <c r="L501" i="12"/>
  <c r="K501" i="12"/>
  <c r="H500" i="12"/>
  <c r="K500" i="12" s="1"/>
  <c r="H499" i="12"/>
  <c r="I499" i="12" s="1"/>
  <c r="F499" i="12"/>
  <c r="L499" i="12" s="1"/>
  <c r="H498" i="12"/>
  <c r="I498" i="12" s="1"/>
  <c r="F498" i="12"/>
  <c r="K498" i="12" s="1"/>
  <c r="H497" i="12"/>
  <c r="I497" i="12" s="1"/>
  <c r="F497" i="12"/>
  <c r="H496" i="12"/>
  <c r="I496" i="12" s="1"/>
  <c r="F496" i="12"/>
  <c r="H495" i="12"/>
  <c r="I495" i="12" s="1"/>
  <c r="F495" i="12"/>
  <c r="K495" i="12" s="1"/>
  <c r="H494" i="12"/>
  <c r="K494" i="12" s="1"/>
  <c r="F493" i="12"/>
  <c r="K493" i="12" s="1"/>
  <c r="F492" i="12"/>
  <c r="K492" i="12" s="1"/>
  <c r="H491" i="12"/>
  <c r="F491" i="12"/>
  <c r="L490" i="12"/>
  <c r="K490" i="12"/>
  <c r="F489" i="12"/>
  <c r="L488" i="12"/>
  <c r="K488" i="12"/>
  <c r="L487" i="12"/>
  <c r="K487" i="12"/>
  <c r="L486" i="12"/>
  <c r="K486" i="12"/>
  <c r="L485" i="12"/>
  <c r="K485" i="12"/>
  <c r="L484" i="12"/>
  <c r="K484" i="12"/>
  <c r="L483" i="12"/>
  <c r="K483" i="12"/>
  <c r="F478" i="12"/>
  <c r="L478" i="12" s="1"/>
  <c r="H473" i="12"/>
  <c r="F473" i="12"/>
  <c r="F470" i="12"/>
  <c r="K470" i="12" s="1"/>
  <c r="F469" i="12"/>
  <c r="K469" i="12" s="1"/>
  <c r="F468" i="12"/>
  <c r="L468" i="12" s="1"/>
  <c r="F462" i="12"/>
  <c r="F461" i="12"/>
  <c r="F460" i="12"/>
  <c r="H459" i="12"/>
  <c r="F459" i="12"/>
  <c r="F458" i="12"/>
  <c r="K458" i="12" s="1"/>
  <c r="K463" i="12"/>
  <c r="L464" i="12"/>
  <c r="K465" i="12"/>
  <c r="K466" i="12"/>
  <c r="F467" i="12"/>
  <c r="K467" i="12" s="1"/>
  <c r="K471" i="12"/>
  <c r="K474" i="12"/>
  <c r="K475" i="12"/>
  <c r="L476" i="12"/>
  <c r="K477" i="12"/>
  <c r="K464" i="12"/>
  <c r="L466" i="12"/>
  <c r="K472" i="12"/>
  <c r="L472" i="12"/>
  <c r="K479" i="12"/>
  <c r="L479" i="12"/>
  <c r="K480" i="12"/>
  <c r="L480" i="12"/>
  <c r="K481" i="12"/>
  <c r="L481" i="12"/>
  <c r="K482" i="12"/>
  <c r="L482" i="12"/>
  <c r="L457" i="12"/>
  <c r="K448" i="12"/>
  <c r="L448" i="12"/>
  <c r="H449" i="12"/>
  <c r="I449" i="12" s="1"/>
  <c r="H450" i="12"/>
  <c r="I450" i="12" s="1"/>
  <c r="H451" i="12"/>
  <c r="I451" i="12" s="1"/>
  <c r="H452" i="12"/>
  <c r="I452" i="12" s="1"/>
  <c r="H453" i="12"/>
  <c r="I453" i="12" s="1"/>
  <c r="H454" i="12"/>
  <c r="I454" i="12" s="1"/>
  <c r="H455" i="12"/>
  <c r="I455" i="12" s="1"/>
  <c r="H456" i="12"/>
  <c r="I456" i="12" s="1"/>
  <c r="F456" i="12"/>
  <c r="K456" i="12" s="1"/>
  <c r="C450" i="12"/>
  <c r="F450" i="12" s="1"/>
  <c r="C453" i="12"/>
  <c r="F453" i="12" s="1"/>
  <c r="L447" i="12"/>
  <c r="K447" i="12"/>
  <c r="C455" i="12"/>
  <c r="F455" i="12" s="1"/>
  <c r="C454" i="12"/>
  <c r="F454" i="12" s="1"/>
  <c r="C452" i="12"/>
  <c r="F452" i="12" s="1"/>
  <c r="C451" i="12"/>
  <c r="F451" i="12" s="1"/>
  <c r="F449" i="12"/>
  <c r="F446" i="12"/>
  <c r="L445" i="12"/>
  <c r="K445" i="12"/>
  <c r="H444" i="12"/>
  <c r="F444" i="12"/>
  <c r="H436" i="12"/>
  <c r="I436" i="12" s="1"/>
  <c r="H437" i="12"/>
  <c r="I437" i="12" s="1"/>
  <c r="H441" i="12"/>
  <c r="I441" i="12" s="1"/>
  <c r="H442" i="12"/>
  <c r="I442" i="12" s="1"/>
  <c r="H443" i="12"/>
  <c r="I443" i="12" s="1"/>
  <c r="F443" i="12"/>
  <c r="L443" i="12" s="1"/>
  <c r="F442" i="12"/>
  <c r="K442" i="12" s="1"/>
  <c r="F441" i="12"/>
  <c r="K441" i="12" s="1"/>
  <c r="L440" i="12"/>
  <c r="K440" i="12"/>
  <c r="K438" i="12"/>
  <c r="L438" i="12"/>
  <c r="K439" i="12"/>
  <c r="L439" i="12"/>
  <c r="F437" i="12"/>
  <c r="K437" i="12" s="1"/>
  <c r="K431" i="12"/>
  <c r="L431" i="12"/>
  <c r="K435" i="12"/>
  <c r="L435" i="12"/>
  <c r="H430" i="12"/>
  <c r="I430" i="12" s="1"/>
  <c r="H432" i="12"/>
  <c r="I432" i="12" s="1"/>
  <c r="H433" i="12"/>
  <c r="I433" i="12" s="1"/>
  <c r="H434" i="12"/>
  <c r="I434" i="12" s="1"/>
  <c r="F436" i="12"/>
  <c r="K436" i="12" s="1"/>
  <c r="F434" i="12"/>
  <c r="L434" i="12" s="1"/>
  <c r="F433" i="12"/>
  <c r="K433" i="12" s="1"/>
  <c r="F432" i="12"/>
  <c r="K432" i="12" s="1"/>
  <c r="H429" i="12"/>
  <c r="I429" i="12" s="1"/>
  <c r="F430" i="12"/>
  <c r="K430" i="12" s="1"/>
  <c r="F429" i="12"/>
  <c r="L429" i="12" s="1"/>
  <c r="H428" i="12"/>
  <c r="I428" i="12" s="1"/>
  <c r="F428" i="12"/>
  <c r="L428" i="12" s="1"/>
  <c r="H424" i="12"/>
  <c r="I424" i="12" s="1"/>
  <c r="H425" i="12"/>
  <c r="I425" i="12" s="1"/>
  <c r="H426" i="12"/>
  <c r="I426" i="12" s="1"/>
  <c r="H427" i="12"/>
  <c r="I427" i="12" s="1"/>
  <c r="C427" i="12"/>
  <c r="F427" i="12" s="1"/>
  <c r="F426" i="12"/>
  <c r="L426" i="12" s="1"/>
  <c r="F425" i="12"/>
  <c r="K425" i="12" s="1"/>
  <c r="F424" i="12"/>
  <c r="K424" i="12" s="1"/>
  <c r="H423" i="12"/>
  <c r="I423" i="12" s="1"/>
  <c r="F423" i="12"/>
  <c r="L423" i="12" s="1"/>
  <c r="H416" i="12"/>
  <c r="I416" i="12" s="1"/>
  <c r="H417" i="12"/>
  <c r="I417" i="12" s="1"/>
  <c r="H418" i="12"/>
  <c r="I418" i="12" s="1"/>
  <c r="H419" i="12"/>
  <c r="I419" i="12" s="1"/>
  <c r="H420" i="12"/>
  <c r="I420" i="12" s="1"/>
  <c r="H421" i="12"/>
  <c r="I421" i="12" s="1"/>
  <c r="F418" i="12"/>
  <c r="L418" i="12" s="1"/>
  <c r="F403" i="12"/>
  <c r="K403" i="12" s="1"/>
  <c r="H415" i="12"/>
  <c r="I415" i="12" s="1"/>
  <c r="H422" i="12"/>
  <c r="F422" i="12"/>
  <c r="H414" i="12"/>
  <c r="I414" i="12" s="1"/>
  <c r="L414" i="12" s="1"/>
  <c r="H413" i="12"/>
  <c r="I413" i="12" s="1"/>
  <c r="L413" i="12" s="1"/>
  <c r="H412" i="12"/>
  <c r="I412" i="12" s="1"/>
  <c r="L412" i="12" s="1"/>
  <c r="H411" i="12"/>
  <c r="I411" i="12" s="1"/>
  <c r="L411" i="12" s="1"/>
  <c r="H410" i="12"/>
  <c r="I410" i="12" s="1"/>
  <c r="L410" i="12" s="1"/>
  <c r="H409" i="12"/>
  <c r="I409" i="12" s="1"/>
  <c r="F409" i="12"/>
  <c r="L409" i="12" s="1"/>
  <c r="H408" i="12"/>
  <c r="F408" i="12"/>
  <c r="H407" i="12"/>
  <c r="I407" i="12" s="1"/>
  <c r="L407" i="12" s="1"/>
  <c r="K401" i="12"/>
  <c r="L401" i="12"/>
  <c r="K406" i="12"/>
  <c r="L406" i="12"/>
  <c r="F405" i="12"/>
  <c r="H405" i="12"/>
  <c r="I405" i="12" s="1"/>
  <c r="H400" i="12"/>
  <c r="I400" i="12" s="1"/>
  <c r="H402" i="12"/>
  <c r="I402" i="12" s="1"/>
  <c r="H403" i="12"/>
  <c r="I403" i="12" s="1"/>
  <c r="H404" i="12"/>
  <c r="F404" i="12"/>
  <c r="F402" i="12"/>
  <c r="K402" i="12" s="1"/>
  <c r="F400" i="12"/>
  <c r="K400" i="12" s="1"/>
  <c r="H399" i="12"/>
  <c r="I399" i="12" s="1"/>
  <c r="F399" i="12"/>
  <c r="L399" i="12" s="1"/>
  <c r="L398" i="12"/>
  <c r="K398" i="12"/>
  <c r="H398" i="12"/>
  <c r="H397" i="12"/>
  <c r="I397" i="12" s="1"/>
  <c r="F397" i="12"/>
  <c r="L397" i="12" s="1"/>
  <c r="H396" i="12"/>
  <c r="I396" i="12" s="1"/>
  <c r="F396" i="12"/>
  <c r="H395" i="12"/>
  <c r="I395" i="12" s="1"/>
  <c r="L395" i="12" s="1"/>
  <c r="H394" i="12"/>
  <c r="I394" i="12" s="1"/>
  <c r="L394" i="12" s="1"/>
  <c r="F393" i="12"/>
  <c r="L393" i="12" s="1"/>
  <c r="F392" i="12"/>
  <c r="K392" i="12" s="1"/>
  <c r="F391" i="12"/>
  <c r="K391" i="12" s="1"/>
  <c r="H391" i="12"/>
  <c r="I391" i="12" s="1"/>
  <c r="H392" i="12"/>
  <c r="I392" i="12" s="1"/>
  <c r="H393" i="12"/>
  <c r="I393" i="12" s="1"/>
  <c r="H389" i="12"/>
  <c r="I389" i="12" s="1"/>
  <c r="H390" i="12"/>
  <c r="I390" i="12" s="1"/>
  <c r="L386" i="12"/>
  <c r="K386" i="12"/>
  <c r="L385" i="12"/>
  <c r="K385" i="12"/>
  <c r="H388" i="12"/>
  <c r="I388" i="12" s="1"/>
  <c r="H386" i="12"/>
  <c r="I386" i="12" s="1"/>
  <c r="H385" i="12"/>
  <c r="I385" i="12" s="1"/>
  <c r="F390" i="12"/>
  <c r="K390" i="12" s="1"/>
  <c r="F389" i="12"/>
  <c r="K389" i="12" s="1"/>
  <c r="F388" i="12"/>
  <c r="K388" i="12" s="1"/>
  <c r="H387" i="12"/>
  <c r="I387" i="12" s="1"/>
  <c r="L387" i="12" s="1"/>
  <c r="H384" i="12"/>
  <c r="I384" i="12" s="1"/>
  <c r="L384" i="12" s="1"/>
  <c r="H383" i="12"/>
  <c r="I383" i="12" s="1"/>
  <c r="L383" i="12" s="1"/>
  <c r="H382" i="12"/>
  <c r="I382" i="12" s="1"/>
  <c r="L382" i="12" s="1"/>
  <c r="H380" i="12"/>
  <c r="I380" i="12" s="1"/>
  <c r="L380" i="12" s="1"/>
  <c r="H379" i="12"/>
  <c r="I379" i="12" s="1"/>
  <c r="L379" i="12" s="1"/>
  <c r="H378" i="12"/>
  <c r="F378" i="12"/>
  <c r="H377" i="12"/>
  <c r="I377" i="12" s="1"/>
  <c r="F377" i="12"/>
  <c r="H376" i="12"/>
  <c r="I376" i="12" s="1"/>
  <c r="F376" i="12"/>
  <c r="H375" i="12"/>
  <c r="I375" i="12" s="1"/>
  <c r="L375" i="12" s="1"/>
  <c r="H374" i="12"/>
  <c r="I374" i="12" s="1"/>
  <c r="L374" i="12" s="1"/>
  <c r="L373" i="12"/>
  <c r="K373" i="12"/>
  <c r="H373" i="12"/>
  <c r="I373" i="12" s="1"/>
  <c r="H372" i="12"/>
  <c r="I372" i="12" s="1"/>
  <c r="L370" i="12"/>
  <c r="K370" i="12"/>
  <c r="H371" i="12"/>
  <c r="I371" i="12" s="1"/>
  <c r="F371" i="12"/>
  <c r="L371" i="12" s="1"/>
  <c r="H368" i="12"/>
  <c r="I368" i="12" s="1"/>
  <c r="L368" i="12" s="1"/>
  <c r="H367" i="12"/>
  <c r="F367" i="12"/>
  <c r="F366" i="12"/>
  <c r="F335" i="12"/>
  <c r="H366" i="12"/>
  <c r="I366" i="12" s="1"/>
  <c r="H365" i="12"/>
  <c r="K365" i="12" s="1"/>
  <c r="L364" i="12"/>
  <c r="K364" i="12"/>
  <c r="H364" i="12"/>
  <c r="L363" i="12"/>
  <c r="K363" i="12"/>
  <c r="H362" i="12"/>
  <c r="F362" i="12"/>
  <c r="H360" i="12"/>
  <c r="I360" i="12" s="1"/>
  <c r="H361" i="12"/>
  <c r="I361" i="12" s="1"/>
  <c r="F361" i="12"/>
  <c r="K361" i="12" s="1"/>
  <c r="H359" i="12"/>
  <c r="I359" i="12" s="1"/>
  <c r="H358" i="12"/>
  <c r="I358" i="12" s="1"/>
  <c r="L358" i="12" s="1"/>
  <c r="H357" i="12"/>
  <c r="I357" i="12" s="1"/>
  <c r="L357" i="12" s="1"/>
  <c r="F18" i="12"/>
  <c r="F20" i="12"/>
  <c r="F17" i="12"/>
  <c r="F16" i="12"/>
  <c r="F11" i="12"/>
  <c r="F9" i="12"/>
  <c r="F7" i="12"/>
  <c r="H7" i="12"/>
  <c r="I7" i="12" s="1"/>
  <c r="H8" i="12"/>
  <c r="I8" i="12" s="1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I14" i="12" s="1"/>
  <c r="H15" i="12"/>
  <c r="I15" i="12" s="1"/>
  <c r="H16" i="12"/>
  <c r="I16" i="12" s="1"/>
  <c r="H17" i="12"/>
  <c r="I17" i="12" s="1"/>
  <c r="H18" i="12"/>
  <c r="I18" i="12" s="1"/>
  <c r="F255" i="12"/>
  <c r="F226" i="12"/>
  <c r="F217" i="12"/>
  <c r="F256" i="12"/>
  <c r="F223" i="12"/>
  <c r="F248" i="12"/>
  <c r="F266" i="12"/>
  <c r="F186" i="12"/>
  <c r="F261" i="12"/>
  <c r="F250" i="12"/>
  <c r="F251" i="12"/>
  <c r="F262" i="12"/>
  <c r="F263" i="12"/>
  <c r="F264" i="12"/>
  <c r="F265" i="12"/>
  <c r="F269" i="12"/>
  <c r="F270" i="12"/>
  <c r="F271" i="12"/>
  <c r="F272" i="12"/>
  <c r="F252" i="12"/>
  <c r="F257" i="12"/>
  <c r="F258" i="12"/>
  <c r="F254" i="12"/>
  <c r="F279" i="12"/>
  <c r="F276" i="12"/>
  <c r="F273" i="12"/>
  <c r="F287" i="12"/>
  <c r="F285" i="12"/>
  <c r="F288" i="12"/>
  <c r="F302" i="12"/>
  <c r="F300" i="12"/>
  <c r="F316" i="12"/>
  <c r="F286" i="12"/>
  <c r="F292" i="12"/>
  <c r="F294" i="12"/>
  <c r="F303" i="12"/>
  <c r="F304" i="12"/>
  <c r="F305" i="12"/>
  <c r="F306" i="12"/>
  <c r="F307" i="12"/>
  <c r="F308" i="12"/>
  <c r="F309" i="12"/>
  <c r="F322" i="12"/>
  <c r="F334" i="12"/>
  <c r="F336" i="12"/>
  <c r="K320" i="12"/>
  <c r="L320" i="12"/>
  <c r="K321" i="12"/>
  <c r="L321" i="12"/>
  <c r="K324" i="12"/>
  <c r="L324" i="12"/>
  <c r="K325" i="12"/>
  <c r="L325" i="12"/>
  <c r="K326" i="12"/>
  <c r="L326" i="12"/>
  <c r="K327" i="12"/>
  <c r="L327" i="12"/>
  <c r="K328" i="12"/>
  <c r="L328" i="12"/>
  <c r="K329" i="12"/>
  <c r="L329" i="12"/>
  <c r="K330" i="12"/>
  <c r="L330" i="12"/>
  <c r="K331" i="12"/>
  <c r="L331" i="12"/>
  <c r="H320" i="12"/>
  <c r="I320" i="12" s="1"/>
  <c r="H322" i="12"/>
  <c r="I322" i="12" s="1"/>
  <c r="H323" i="12"/>
  <c r="I323" i="12" s="1"/>
  <c r="H326" i="12"/>
  <c r="I326" i="12" s="1"/>
  <c r="H327" i="12"/>
  <c r="I327" i="12" s="1"/>
  <c r="H328" i="12"/>
  <c r="I328" i="12" s="1"/>
  <c r="H329" i="12"/>
  <c r="I329" i="12" s="1"/>
  <c r="H330" i="12"/>
  <c r="I330" i="12" s="1"/>
  <c r="H331" i="12"/>
  <c r="I331" i="12" s="1"/>
  <c r="F323" i="12"/>
  <c r="F337" i="12"/>
  <c r="L337" i="12" s="1"/>
  <c r="F338" i="12"/>
  <c r="F339" i="12"/>
  <c r="F340" i="12"/>
  <c r="F354" i="12"/>
  <c r="L354" i="12" s="1"/>
  <c r="L355" i="12"/>
  <c r="K356" i="12"/>
  <c r="L356" i="12"/>
  <c r="H356" i="12"/>
  <c r="H354" i="12"/>
  <c r="I354" i="12" s="1"/>
  <c r="K355" i="12"/>
  <c r="H353" i="12"/>
  <c r="I353" i="12" s="1"/>
  <c r="L353" i="12" s="1"/>
  <c r="C352" i="12"/>
  <c r="F352" i="12" s="1"/>
  <c r="K346" i="12"/>
  <c r="L346" i="12"/>
  <c r="K347" i="12"/>
  <c r="L347" i="12"/>
  <c r="K348" i="12"/>
  <c r="L348" i="12"/>
  <c r="K349" i="12"/>
  <c r="L349" i="12"/>
  <c r="K350" i="12"/>
  <c r="L350" i="12"/>
  <c r="K351" i="12"/>
  <c r="L351" i="12"/>
  <c r="H334" i="12"/>
  <c r="I334" i="12" s="1"/>
  <c r="H335" i="12"/>
  <c r="I335" i="12" s="1"/>
  <c r="H336" i="12"/>
  <c r="I336" i="12" s="1"/>
  <c r="H337" i="12"/>
  <c r="I337" i="12" s="1"/>
  <c r="H338" i="12"/>
  <c r="I338" i="12" s="1"/>
  <c r="H339" i="12"/>
  <c r="I339" i="12" s="1"/>
  <c r="H340" i="12"/>
  <c r="I340" i="12" s="1"/>
  <c r="H341" i="12"/>
  <c r="I341" i="12" s="1"/>
  <c r="H344" i="12"/>
  <c r="I344" i="12" s="1"/>
  <c r="H346" i="12"/>
  <c r="I346" i="12" s="1"/>
  <c r="H348" i="12"/>
  <c r="I348" i="12" s="1"/>
  <c r="H350" i="12"/>
  <c r="I350" i="12" s="1"/>
  <c r="H352" i="12"/>
  <c r="I352" i="12" s="1"/>
  <c r="K341" i="12"/>
  <c r="L341" i="12"/>
  <c r="K342" i="12"/>
  <c r="L342" i="12"/>
  <c r="K343" i="12"/>
  <c r="L343" i="12"/>
  <c r="K344" i="12"/>
  <c r="L344" i="12"/>
  <c r="K345" i="12"/>
  <c r="L345" i="12"/>
  <c r="D477" i="50" l="1"/>
  <c r="K49" i="47"/>
  <c r="X61" i="40"/>
  <c r="X62" i="40"/>
  <c r="K666" i="12"/>
  <c r="K662" i="12"/>
  <c r="O457" i="12"/>
  <c r="K656" i="12"/>
  <c r="I655" i="12"/>
  <c r="L655" i="12" s="1"/>
  <c r="K654" i="12"/>
  <c r="K652" i="12"/>
  <c r="K647" i="12"/>
  <c r="I646" i="12"/>
  <c r="L646" i="12" s="1"/>
  <c r="I645" i="12"/>
  <c r="L645" i="12" s="1"/>
  <c r="K644" i="12"/>
  <c r="I639" i="12"/>
  <c r="L639" i="12" s="1"/>
  <c r="K604" i="12"/>
  <c r="K636" i="12"/>
  <c r="I624" i="12"/>
  <c r="L624" i="12" s="1"/>
  <c r="K631" i="12"/>
  <c r="L634" i="12"/>
  <c r="I635" i="12"/>
  <c r="L635" i="12" s="1"/>
  <c r="K633" i="12"/>
  <c r="I632" i="12"/>
  <c r="L632" i="12" s="1"/>
  <c r="I630" i="12"/>
  <c r="L630" i="12" s="1"/>
  <c r="K627" i="12"/>
  <c r="K628" i="12"/>
  <c r="I626" i="12"/>
  <c r="L626" i="12" s="1"/>
  <c r="K625" i="12"/>
  <c r="I623" i="12"/>
  <c r="L623" i="12" s="1"/>
  <c r="K621" i="12"/>
  <c r="K620" i="12"/>
  <c r="I619" i="12"/>
  <c r="L619" i="12" s="1"/>
  <c r="I617" i="12"/>
  <c r="L617" i="12" s="1"/>
  <c r="I618" i="12"/>
  <c r="L618" i="12" s="1"/>
  <c r="I616" i="12"/>
  <c r="L616" i="12" s="1"/>
  <c r="I615" i="12"/>
  <c r="L615" i="12" s="1"/>
  <c r="I614" i="12"/>
  <c r="L614" i="12" s="1"/>
  <c r="K613" i="12"/>
  <c r="K611" i="12"/>
  <c r="K610" i="12"/>
  <c r="K606" i="12"/>
  <c r="L581" i="12"/>
  <c r="I602" i="12"/>
  <c r="L602" i="12" s="1"/>
  <c r="I603" i="12"/>
  <c r="L603" i="12" s="1"/>
  <c r="K598" i="12"/>
  <c r="K593" i="12"/>
  <c r="K586" i="12"/>
  <c r="K585" i="12"/>
  <c r="I584" i="12"/>
  <c r="L584" i="12" s="1"/>
  <c r="I583" i="12"/>
  <c r="L583" i="12" s="1"/>
  <c r="I582" i="12"/>
  <c r="L582" i="12" s="1"/>
  <c r="I580" i="12"/>
  <c r="L580" i="12" s="1"/>
  <c r="K578" i="12"/>
  <c r="K577" i="12"/>
  <c r="K573" i="12"/>
  <c r="K566" i="12"/>
  <c r="K506" i="12"/>
  <c r="K542" i="12"/>
  <c r="K563" i="12"/>
  <c r="K545" i="12"/>
  <c r="K551" i="12"/>
  <c r="K538" i="12"/>
  <c r="K568" i="12"/>
  <c r="L548" i="12"/>
  <c r="K560" i="12"/>
  <c r="K537" i="12"/>
  <c r="I572" i="12"/>
  <c r="L572" i="12" s="1"/>
  <c r="L571" i="12"/>
  <c r="K571" i="12"/>
  <c r="L567" i="12"/>
  <c r="K567" i="12"/>
  <c r="I569" i="12"/>
  <c r="L569" i="12" s="1"/>
  <c r="I540" i="12"/>
  <c r="L540" i="12" s="1"/>
  <c r="K549" i="12"/>
  <c r="K558" i="12"/>
  <c r="K561" i="12"/>
  <c r="K564" i="12"/>
  <c r="K543" i="12"/>
  <c r="K546" i="12"/>
  <c r="K552" i="12"/>
  <c r="K555" i="12"/>
  <c r="I557" i="12"/>
  <c r="L557" i="12" s="1"/>
  <c r="I539" i="12"/>
  <c r="L539" i="12" s="1"/>
  <c r="I559" i="12"/>
  <c r="L559" i="12" s="1"/>
  <c r="I544" i="12"/>
  <c r="L544" i="12" s="1"/>
  <c r="I547" i="12"/>
  <c r="L547" i="12" s="1"/>
  <c r="K550" i="12"/>
  <c r="K562" i="12"/>
  <c r="K565" i="12"/>
  <c r="I554" i="12"/>
  <c r="L554" i="12" s="1"/>
  <c r="K541" i="12"/>
  <c r="K553" i="12"/>
  <c r="L556" i="12"/>
  <c r="L512" i="12"/>
  <c r="K512" i="12"/>
  <c r="K520" i="12"/>
  <c r="L496" i="12"/>
  <c r="L493" i="12"/>
  <c r="L495" i="12"/>
  <c r="K529" i="12"/>
  <c r="L492" i="12"/>
  <c r="K507" i="12"/>
  <c r="K532" i="12"/>
  <c r="K517" i="12"/>
  <c r="L498" i="12"/>
  <c r="K526" i="12"/>
  <c r="K518" i="12"/>
  <c r="K535" i="12"/>
  <c r="K523" i="12"/>
  <c r="K514" i="12"/>
  <c r="L524" i="12"/>
  <c r="L528" i="12"/>
  <c r="L527" i="12"/>
  <c r="I514" i="12"/>
  <c r="L514" i="12" s="1"/>
  <c r="K524" i="12"/>
  <c r="L533" i="12"/>
  <c r="K533" i="12"/>
  <c r="K521" i="12"/>
  <c r="K491" i="12"/>
  <c r="K499" i="12"/>
  <c r="K496" i="12"/>
  <c r="L519" i="12"/>
  <c r="K519" i="12"/>
  <c r="L536" i="12"/>
  <c r="K536" i="12"/>
  <c r="K505" i="12"/>
  <c r="K527" i="12"/>
  <c r="L497" i="12"/>
  <c r="I516" i="12"/>
  <c r="L516" i="12" s="1"/>
  <c r="K497" i="12"/>
  <c r="I500" i="12"/>
  <c r="L500" i="12" s="1"/>
  <c r="L509" i="12"/>
  <c r="L522" i="12"/>
  <c r="K528" i="12"/>
  <c r="I494" i="12"/>
  <c r="L494" i="12" s="1"/>
  <c r="K531" i="12"/>
  <c r="K534" i="12"/>
  <c r="K404" i="12"/>
  <c r="K478" i="12"/>
  <c r="K459" i="12"/>
  <c r="L467" i="12"/>
  <c r="K473" i="12"/>
  <c r="L471" i="12"/>
  <c r="L470" i="12"/>
  <c r="L469" i="12"/>
  <c r="K468" i="12"/>
  <c r="L458" i="12"/>
  <c r="K476" i="12"/>
  <c r="L475" i="12"/>
  <c r="L465" i="12"/>
  <c r="L474" i="12"/>
  <c r="L477" i="12"/>
  <c r="L463" i="12"/>
  <c r="L452" i="12"/>
  <c r="K449" i="12"/>
  <c r="K452" i="12"/>
  <c r="L456" i="12"/>
  <c r="L454" i="12"/>
  <c r="K454" i="12"/>
  <c r="L451" i="12"/>
  <c r="K451" i="12"/>
  <c r="K453" i="12"/>
  <c r="L453" i="12"/>
  <c r="K455" i="12"/>
  <c r="L455" i="12"/>
  <c r="K450" i="12"/>
  <c r="L450" i="12"/>
  <c r="L449" i="12"/>
  <c r="L405" i="12"/>
  <c r="L442" i="12"/>
  <c r="K443" i="12"/>
  <c r="L441" i="12"/>
  <c r="L437" i="12"/>
  <c r="K444" i="12"/>
  <c r="L436" i="12"/>
  <c r="K434" i="12"/>
  <c r="L433" i="12"/>
  <c r="L432" i="12"/>
  <c r="K429" i="12"/>
  <c r="L430" i="12"/>
  <c r="K409" i="12"/>
  <c r="L427" i="12"/>
  <c r="K426" i="12"/>
  <c r="L425" i="12"/>
  <c r="K428" i="12"/>
  <c r="K407" i="12"/>
  <c r="K427" i="12"/>
  <c r="L424" i="12"/>
  <c r="K423" i="12"/>
  <c r="K418" i="12"/>
  <c r="L403" i="12"/>
  <c r="L402" i="12"/>
  <c r="K422" i="12"/>
  <c r="K410" i="12"/>
  <c r="K411" i="12"/>
  <c r="K412" i="12"/>
  <c r="K413" i="12"/>
  <c r="K414" i="12"/>
  <c r="K408" i="12"/>
  <c r="L400" i="12"/>
  <c r="I404" i="12"/>
  <c r="L404" i="12" s="1"/>
  <c r="K405" i="12"/>
  <c r="K399" i="12"/>
  <c r="L392" i="12"/>
  <c r="K396" i="12"/>
  <c r="L396" i="12"/>
  <c r="K397" i="12"/>
  <c r="K394" i="12"/>
  <c r="L391" i="12"/>
  <c r="K395" i="12"/>
  <c r="K393" i="12"/>
  <c r="L390" i="12"/>
  <c r="L388" i="12"/>
  <c r="L389" i="12"/>
  <c r="L377" i="12"/>
  <c r="K387" i="12"/>
  <c r="L376" i="12"/>
  <c r="K376" i="12"/>
  <c r="K377" i="12"/>
  <c r="K382" i="12"/>
  <c r="K383" i="12"/>
  <c r="K384" i="12"/>
  <c r="K379" i="12"/>
  <c r="K380" i="12"/>
  <c r="K378" i="12"/>
  <c r="K374" i="12"/>
  <c r="K375" i="12"/>
  <c r="K371" i="12"/>
  <c r="K368" i="12"/>
  <c r="K354" i="12"/>
  <c r="K367" i="12"/>
  <c r="L366" i="12"/>
  <c r="K366" i="12"/>
  <c r="K335" i="12"/>
  <c r="I365" i="12"/>
  <c r="L365" i="12" s="1"/>
  <c r="K362" i="12"/>
  <c r="L361" i="12"/>
  <c r="K357" i="12"/>
  <c r="K358" i="12"/>
  <c r="K323" i="12"/>
  <c r="L336" i="12"/>
  <c r="K334" i="12"/>
  <c r="L339" i="12"/>
  <c r="K338" i="12"/>
  <c r="L323" i="12"/>
  <c r="L338" i="12"/>
  <c r="L322" i="12"/>
  <c r="K337" i="12"/>
  <c r="L335" i="12"/>
  <c r="L334" i="12"/>
  <c r="K336" i="12"/>
  <c r="K322" i="12"/>
  <c r="K339" i="12"/>
  <c r="K340" i="12"/>
  <c r="L340" i="12"/>
  <c r="I356" i="12"/>
  <c r="K352" i="12"/>
  <c r="K353" i="12"/>
  <c r="L352" i="12"/>
  <c r="H333" i="12"/>
  <c r="I333" i="12" s="1"/>
  <c r="L333" i="12" s="1"/>
  <c r="L332" i="12"/>
  <c r="K332" i="12"/>
  <c r="H332" i="12"/>
  <c r="D478" i="50" l="1"/>
  <c r="K50" i="47"/>
  <c r="K333" i="12"/>
  <c r="H319" i="12"/>
  <c r="I319" i="12" s="1"/>
  <c r="H318" i="12"/>
  <c r="L318" i="12"/>
  <c r="K318" i="12"/>
  <c r="K313" i="12"/>
  <c r="L313" i="12"/>
  <c r="K315" i="12"/>
  <c r="L315" i="12"/>
  <c r="K317" i="12"/>
  <c r="L317" i="12"/>
  <c r="H316" i="12"/>
  <c r="I316" i="12" s="1"/>
  <c r="H314" i="12"/>
  <c r="I314" i="12" s="1"/>
  <c r="H312" i="12"/>
  <c r="I312" i="12" s="1"/>
  <c r="H311" i="12"/>
  <c r="F311" i="12"/>
  <c r="K298" i="12"/>
  <c r="L298" i="12"/>
  <c r="K307" i="12"/>
  <c r="L307" i="12"/>
  <c r="K308" i="12"/>
  <c r="L308" i="12"/>
  <c r="H310" i="12"/>
  <c r="I310" i="12" s="1"/>
  <c r="L310" i="12" s="1"/>
  <c r="H304" i="12"/>
  <c r="I304" i="12" s="1"/>
  <c r="L304" i="12" s="1"/>
  <c r="H305" i="12"/>
  <c r="I305" i="12" s="1"/>
  <c r="L305" i="12" s="1"/>
  <c r="H306" i="12"/>
  <c r="I306" i="12" s="1"/>
  <c r="L306" i="12" s="1"/>
  <c r="H307" i="12"/>
  <c r="I307" i="12" s="1"/>
  <c r="H308" i="12"/>
  <c r="I308" i="12" s="1"/>
  <c r="H309" i="12"/>
  <c r="I309" i="12" s="1"/>
  <c r="L309" i="12" s="1"/>
  <c r="K299" i="12"/>
  <c r="K297" i="12"/>
  <c r="H302" i="12"/>
  <c r="I302" i="12" s="1"/>
  <c r="L302" i="12" s="1"/>
  <c r="H303" i="12"/>
  <c r="I303" i="12" s="1"/>
  <c r="L303" i="12" s="1"/>
  <c r="H301" i="12"/>
  <c r="H300" i="12"/>
  <c r="L300" i="12"/>
  <c r="H295" i="12"/>
  <c r="H296" i="12"/>
  <c r="I296" i="12" s="1"/>
  <c r="H297" i="12"/>
  <c r="I297" i="12" s="1"/>
  <c r="H299" i="12"/>
  <c r="I299" i="12" s="1"/>
  <c r="K290" i="12"/>
  <c r="L290" i="12"/>
  <c r="K291" i="12"/>
  <c r="L291" i="12"/>
  <c r="K293" i="12"/>
  <c r="L293" i="12"/>
  <c r="K294" i="12"/>
  <c r="L294" i="12"/>
  <c r="H277" i="12"/>
  <c r="I277" i="12" s="1"/>
  <c r="H278" i="12"/>
  <c r="I278" i="12" s="1"/>
  <c r="H279" i="12"/>
  <c r="I279" i="12" s="1"/>
  <c r="L279" i="12" s="1"/>
  <c r="H280" i="12"/>
  <c r="I280" i="12" s="1"/>
  <c r="H281" i="12"/>
  <c r="I281" i="12" s="1"/>
  <c r="H282" i="12"/>
  <c r="I282" i="12" s="1"/>
  <c r="H283" i="12"/>
  <c r="I283" i="12" s="1"/>
  <c r="H284" i="12"/>
  <c r="I284" i="12" s="1"/>
  <c r="H285" i="12"/>
  <c r="I285" i="12" s="1"/>
  <c r="H286" i="12"/>
  <c r="I286" i="12" s="1"/>
  <c r="H287" i="12"/>
  <c r="I287" i="12" s="1"/>
  <c r="L287" i="12" s="1"/>
  <c r="H288" i="12"/>
  <c r="I288" i="12" s="1"/>
  <c r="H289" i="12"/>
  <c r="I289" i="12" s="1"/>
  <c r="H290" i="12"/>
  <c r="I290" i="12" s="1"/>
  <c r="H292" i="12"/>
  <c r="I292" i="12" s="1"/>
  <c r="L292" i="12" s="1"/>
  <c r="H294" i="12"/>
  <c r="I294" i="12" s="1"/>
  <c r="K277" i="12"/>
  <c r="K289" i="12"/>
  <c r="L289" i="12"/>
  <c r="K288" i="12"/>
  <c r="L288" i="12"/>
  <c r="K281" i="12"/>
  <c r="K286" i="12"/>
  <c r="L285" i="12"/>
  <c r="H269" i="12"/>
  <c r="I269" i="12" s="1"/>
  <c r="L269" i="12" s="1"/>
  <c r="H270" i="12"/>
  <c r="I270" i="12" s="1"/>
  <c r="L270" i="12" s="1"/>
  <c r="H271" i="12"/>
  <c r="I271" i="12" s="1"/>
  <c r="L271" i="12" s="1"/>
  <c r="H272" i="12"/>
  <c r="I272" i="12" s="1"/>
  <c r="L272" i="12" s="1"/>
  <c r="H273" i="12"/>
  <c r="I273" i="12" s="1"/>
  <c r="H274" i="12"/>
  <c r="I274" i="12" s="1"/>
  <c r="H275" i="12"/>
  <c r="I275" i="12" s="1"/>
  <c r="H276" i="12"/>
  <c r="I276" i="12" s="1"/>
  <c r="F274" i="12"/>
  <c r="R45" i="40"/>
  <c r="H45" i="40"/>
  <c r="R44" i="40"/>
  <c r="H44" i="40"/>
  <c r="H267" i="12"/>
  <c r="L268" i="12"/>
  <c r="K268" i="12"/>
  <c r="H268" i="12"/>
  <c r="I268" i="12" s="1"/>
  <c r="F156" i="12"/>
  <c r="K156" i="12" s="1"/>
  <c r="F267" i="12"/>
  <c r="K240" i="12"/>
  <c r="L238" i="12"/>
  <c r="K237" i="12"/>
  <c r="F150" i="12"/>
  <c r="K150" i="12" s="1"/>
  <c r="F165" i="12"/>
  <c r="K247" i="12"/>
  <c r="K246" i="12"/>
  <c r="L202" i="12"/>
  <c r="K255" i="12"/>
  <c r="L255" i="12"/>
  <c r="K257" i="12"/>
  <c r="L257" i="12"/>
  <c r="K258" i="12"/>
  <c r="L258" i="12"/>
  <c r="K259" i="12"/>
  <c r="L259" i="12"/>
  <c r="K260" i="12"/>
  <c r="L260" i="12"/>
  <c r="K262" i="12"/>
  <c r="L262" i="12"/>
  <c r="K263" i="12"/>
  <c r="L263" i="12"/>
  <c r="K265" i="12"/>
  <c r="L265" i="12"/>
  <c r="H255" i="12"/>
  <c r="I255" i="12" s="1"/>
  <c r="H256" i="12"/>
  <c r="I256" i="12" s="1"/>
  <c r="L256" i="12" s="1"/>
  <c r="H257" i="12"/>
  <c r="I257" i="12" s="1"/>
  <c r="H258" i="12"/>
  <c r="I258" i="12" s="1"/>
  <c r="H259" i="12"/>
  <c r="I259" i="12" s="1"/>
  <c r="H260" i="12"/>
  <c r="I260" i="12" s="1"/>
  <c r="H261" i="12"/>
  <c r="I261" i="12" s="1"/>
  <c r="L261" i="12" s="1"/>
  <c r="H262" i="12"/>
  <c r="I262" i="12" s="1"/>
  <c r="H263" i="12"/>
  <c r="I263" i="12" s="1"/>
  <c r="H264" i="12"/>
  <c r="I264" i="12" s="1"/>
  <c r="L264" i="12" s="1"/>
  <c r="H265" i="12"/>
  <c r="I265" i="12" s="1"/>
  <c r="H266" i="12"/>
  <c r="I266" i="12" s="1"/>
  <c r="L266" i="12" s="1"/>
  <c r="K254" i="12"/>
  <c r="L254" i="12"/>
  <c r="H254" i="12"/>
  <c r="I254" i="12" s="1"/>
  <c r="H253" i="12"/>
  <c r="I253" i="12" s="1"/>
  <c r="K253" i="12"/>
  <c r="H251" i="12"/>
  <c r="I251" i="12" s="1"/>
  <c r="H252" i="12"/>
  <c r="I252" i="12" s="1"/>
  <c r="K250" i="12"/>
  <c r="L250" i="12"/>
  <c r="K251" i="12"/>
  <c r="L251" i="12"/>
  <c r="K252" i="12"/>
  <c r="L252" i="12"/>
  <c r="H250" i="12"/>
  <c r="I250" i="12" s="1"/>
  <c r="K245" i="12"/>
  <c r="K236" i="12"/>
  <c r="K235" i="12"/>
  <c r="H249" i="12"/>
  <c r="I249" i="12" s="1"/>
  <c r="H248" i="12"/>
  <c r="I248" i="12" s="1"/>
  <c r="L248" i="12" s="1"/>
  <c r="H235" i="12"/>
  <c r="I235" i="12" s="1"/>
  <c r="H236" i="12"/>
  <c r="I236" i="12" s="1"/>
  <c r="H237" i="12"/>
  <c r="I237" i="12" s="1"/>
  <c r="H238" i="12"/>
  <c r="I238" i="12" s="1"/>
  <c r="H239" i="12"/>
  <c r="I239" i="12" s="1"/>
  <c r="H240" i="12"/>
  <c r="I240" i="12" s="1"/>
  <c r="H241" i="12"/>
  <c r="I241" i="12" s="1"/>
  <c r="H242" i="12"/>
  <c r="I242" i="12" s="1"/>
  <c r="H243" i="12"/>
  <c r="I243" i="12" s="1"/>
  <c r="H244" i="12"/>
  <c r="I244" i="12" s="1"/>
  <c r="H245" i="12"/>
  <c r="I245" i="12" s="1"/>
  <c r="H246" i="12"/>
  <c r="I246" i="12" s="1"/>
  <c r="H247" i="12"/>
  <c r="I247" i="12" s="1"/>
  <c r="H234" i="12"/>
  <c r="I234" i="12" s="1"/>
  <c r="H233" i="12"/>
  <c r="F233" i="12"/>
  <c r="F190" i="12"/>
  <c r="F172" i="12"/>
  <c r="F177" i="12"/>
  <c r="F163" i="12"/>
  <c r="F152" i="12"/>
  <c r="F146" i="12"/>
  <c r="L146" i="12" s="1"/>
  <c r="K224" i="12"/>
  <c r="L224" i="12"/>
  <c r="K225" i="12"/>
  <c r="L225" i="12"/>
  <c r="K227" i="12"/>
  <c r="L227" i="12"/>
  <c r="K228" i="12"/>
  <c r="L228" i="12"/>
  <c r="K229" i="12"/>
  <c r="L229" i="12"/>
  <c r="K230" i="12"/>
  <c r="L230" i="12"/>
  <c r="K231" i="12"/>
  <c r="L231" i="12"/>
  <c r="K232" i="12"/>
  <c r="L232" i="12"/>
  <c r="H224" i="12"/>
  <c r="I224" i="12" s="1"/>
  <c r="H225" i="12"/>
  <c r="I225" i="12" s="1"/>
  <c r="H226" i="12"/>
  <c r="I226" i="12" s="1"/>
  <c r="L226" i="12" s="1"/>
  <c r="H227" i="12"/>
  <c r="I227" i="12" s="1"/>
  <c r="H228" i="12"/>
  <c r="I228" i="12" s="1"/>
  <c r="H229" i="12"/>
  <c r="I229" i="12" s="1"/>
  <c r="H230" i="12"/>
  <c r="I230" i="12" s="1"/>
  <c r="H231" i="12"/>
  <c r="I231" i="12" s="1"/>
  <c r="H232" i="12"/>
  <c r="I232" i="12" s="1"/>
  <c r="K223" i="12"/>
  <c r="L223" i="12"/>
  <c r="H223" i="12"/>
  <c r="I223" i="12" s="1"/>
  <c r="F167" i="12"/>
  <c r="L167" i="12" s="1"/>
  <c r="F164" i="12"/>
  <c r="K164" i="12" s="1"/>
  <c r="K212" i="12"/>
  <c r="L204" i="12"/>
  <c r="H219" i="12"/>
  <c r="I219" i="12" s="1"/>
  <c r="H220" i="12"/>
  <c r="I220" i="12" s="1"/>
  <c r="H221" i="12"/>
  <c r="I221" i="12" s="1"/>
  <c r="H222" i="12"/>
  <c r="I222" i="12" s="1"/>
  <c r="H218" i="12"/>
  <c r="I218" i="12" s="1"/>
  <c r="K216" i="12"/>
  <c r="L216" i="12"/>
  <c r="K217" i="12"/>
  <c r="L217" i="12"/>
  <c r="H217" i="12"/>
  <c r="I217" i="12" s="1"/>
  <c r="H216" i="12"/>
  <c r="I216" i="12" s="1"/>
  <c r="F176" i="12"/>
  <c r="H213" i="12"/>
  <c r="I213" i="12" s="1"/>
  <c r="H214" i="12"/>
  <c r="I214" i="12" s="1"/>
  <c r="H215" i="12"/>
  <c r="I215" i="12" s="1"/>
  <c r="F213" i="12"/>
  <c r="L213" i="12" s="1"/>
  <c r="F214" i="12"/>
  <c r="K214" i="12" s="1"/>
  <c r="F215" i="12"/>
  <c r="L215" i="12" s="1"/>
  <c r="L186" i="12"/>
  <c r="F185" i="12"/>
  <c r="F178" i="12"/>
  <c r="F160" i="12"/>
  <c r="K205" i="12"/>
  <c r="L205" i="12"/>
  <c r="K206" i="12"/>
  <c r="L206" i="12"/>
  <c r="K207" i="12"/>
  <c r="L207" i="12"/>
  <c r="K208" i="12"/>
  <c r="L208" i="12"/>
  <c r="K209" i="12"/>
  <c r="L209" i="12"/>
  <c r="K211" i="12"/>
  <c r="L211" i="12"/>
  <c r="H205" i="12"/>
  <c r="I205" i="12" s="1"/>
  <c r="H206" i="12"/>
  <c r="I206" i="12" s="1"/>
  <c r="H207" i="12"/>
  <c r="I207" i="12" s="1"/>
  <c r="H208" i="12"/>
  <c r="I208" i="12" s="1"/>
  <c r="H209" i="12"/>
  <c r="I209" i="12" s="1"/>
  <c r="H210" i="12"/>
  <c r="I210" i="12" s="1"/>
  <c r="H211" i="12"/>
  <c r="I211" i="12" s="1"/>
  <c r="H212" i="12"/>
  <c r="I212" i="12" s="1"/>
  <c r="F155" i="12"/>
  <c r="K201" i="12"/>
  <c r="L201" i="12"/>
  <c r="H202" i="12"/>
  <c r="I202" i="12" s="1"/>
  <c r="H203" i="12"/>
  <c r="I203" i="12" s="1"/>
  <c r="H204" i="12"/>
  <c r="I204" i="12" s="1"/>
  <c r="K200" i="12"/>
  <c r="L200" i="12"/>
  <c r="L199" i="12"/>
  <c r="K199" i="12"/>
  <c r="H200" i="12"/>
  <c r="I200" i="12" s="1"/>
  <c r="H201" i="12"/>
  <c r="I201" i="12" s="1"/>
  <c r="H199" i="12"/>
  <c r="I199" i="12" s="1"/>
  <c r="H198" i="12"/>
  <c r="F198" i="12"/>
  <c r="H197" i="12"/>
  <c r="I197" i="12" s="1"/>
  <c r="F197" i="12"/>
  <c r="L197" i="12" s="1"/>
  <c r="L196" i="12"/>
  <c r="K196" i="12"/>
  <c r="H196" i="12"/>
  <c r="I196" i="12" s="1"/>
  <c r="H195" i="12"/>
  <c r="F195" i="12"/>
  <c r="F179" i="12"/>
  <c r="K179" i="12" s="1"/>
  <c r="F168" i="12"/>
  <c r="L168" i="12" s="1"/>
  <c r="K193" i="12"/>
  <c r="L193" i="12"/>
  <c r="K194" i="12"/>
  <c r="L194" i="12"/>
  <c r="H194" i="12"/>
  <c r="I194" i="12" s="1"/>
  <c r="H193" i="12"/>
  <c r="I193" i="12" s="1"/>
  <c r="F192" i="12"/>
  <c r="K192" i="12" s="1"/>
  <c r="F191" i="12"/>
  <c r="L191" i="12" s="1"/>
  <c r="F189" i="12"/>
  <c r="K189" i="12" s="1"/>
  <c r="F188" i="12"/>
  <c r="L188" i="12" s="1"/>
  <c r="F187" i="12"/>
  <c r="K187" i="12" s="1"/>
  <c r="F184" i="12"/>
  <c r="K184" i="12" s="1"/>
  <c r="F183" i="12"/>
  <c r="K183" i="12" s="1"/>
  <c r="H189" i="12"/>
  <c r="I189" i="12" s="1"/>
  <c r="H190" i="12"/>
  <c r="I190" i="12" s="1"/>
  <c r="H191" i="12"/>
  <c r="I191" i="12" s="1"/>
  <c r="H192" i="12"/>
  <c r="I192" i="12" s="1"/>
  <c r="K181" i="12"/>
  <c r="L181" i="12"/>
  <c r="K182" i="12"/>
  <c r="L182" i="12"/>
  <c r="H182" i="12"/>
  <c r="I182" i="12" s="1"/>
  <c r="H183" i="12"/>
  <c r="I183" i="12" s="1"/>
  <c r="H184" i="12"/>
  <c r="I184" i="12" s="1"/>
  <c r="H185" i="12"/>
  <c r="I185" i="12" s="1"/>
  <c r="H186" i="12"/>
  <c r="I186" i="12" s="1"/>
  <c r="H187" i="12"/>
  <c r="I187" i="12" s="1"/>
  <c r="H188" i="12"/>
  <c r="I188" i="12" s="1"/>
  <c r="H180" i="12"/>
  <c r="I180" i="12" s="1"/>
  <c r="H181" i="12"/>
  <c r="F171" i="12"/>
  <c r="K171" i="12" s="1"/>
  <c r="F169" i="12"/>
  <c r="K169" i="12" s="1"/>
  <c r="H178" i="12"/>
  <c r="H179" i="12"/>
  <c r="H177" i="12"/>
  <c r="I177" i="12" s="1"/>
  <c r="H176" i="12"/>
  <c r="I176" i="12" s="1"/>
  <c r="F158" i="12"/>
  <c r="F128" i="12"/>
  <c r="L128" i="12" s="1"/>
  <c r="K173" i="12"/>
  <c r="L173" i="12"/>
  <c r="K174" i="12"/>
  <c r="L174" i="12"/>
  <c r="K175" i="12"/>
  <c r="L175" i="12"/>
  <c r="H173" i="12"/>
  <c r="I173" i="12" s="1"/>
  <c r="H174" i="12"/>
  <c r="I174" i="12" s="1"/>
  <c r="H175" i="12"/>
  <c r="I175" i="12" s="1"/>
  <c r="F162" i="12"/>
  <c r="L162" i="12" s="1"/>
  <c r="F159" i="12"/>
  <c r="F157" i="12"/>
  <c r="H172" i="12"/>
  <c r="I172" i="12" s="1"/>
  <c r="H171" i="12"/>
  <c r="I171" i="12" s="1"/>
  <c r="H170" i="12"/>
  <c r="F170" i="12"/>
  <c r="H168" i="12"/>
  <c r="I168" i="12" s="1"/>
  <c r="H169" i="12"/>
  <c r="I169" i="12" s="1"/>
  <c r="H167" i="12"/>
  <c r="I167" i="12" s="1"/>
  <c r="F161" i="12"/>
  <c r="K166" i="12"/>
  <c r="H166" i="12"/>
  <c r="I166" i="12" s="1"/>
  <c r="H165" i="12"/>
  <c r="I165" i="12" s="1"/>
  <c r="H164" i="12"/>
  <c r="I164" i="12" s="1"/>
  <c r="H163" i="12"/>
  <c r="H162" i="12"/>
  <c r="I162" i="12" s="1"/>
  <c r="K151" i="12"/>
  <c r="L151" i="12"/>
  <c r="K153" i="12"/>
  <c r="L153" i="12"/>
  <c r="K154" i="12"/>
  <c r="L154" i="12"/>
  <c r="L149" i="12"/>
  <c r="K149" i="12"/>
  <c r="L148" i="12"/>
  <c r="K148" i="12"/>
  <c r="H153" i="12"/>
  <c r="I153" i="12" s="1"/>
  <c r="H154" i="12"/>
  <c r="I154" i="12" s="1"/>
  <c r="H155" i="12"/>
  <c r="I155" i="12" s="1"/>
  <c r="H156" i="12"/>
  <c r="I156" i="12" s="1"/>
  <c r="H157" i="12"/>
  <c r="I157" i="12" s="1"/>
  <c r="H158" i="12"/>
  <c r="I158" i="12" s="1"/>
  <c r="H159" i="12"/>
  <c r="I159" i="12" s="1"/>
  <c r="H160" i="12"/>
  <c r="I160" i="12" s="1"/>
  <c r="H161" i="12"/>
  <c r="I161" i="12" s="1"/>
  <c r="H152" i="12"/>
  <c r="I152" i="12" s="1"/>
  <c r="H149" i="12"/>
  <c r="I149" i="12" s="1"/>
  <c r="H150" i="12"/>
  <c r="I150" i="12" s="1"/>
  <c r="H148" i="12"/>
  <c r="I148" i="12" s="1"/>
  <c r="H151" i="12"/>
  <c r="F129" i="12"/>
  <c r="K131" i="12"/>
  <c r="H147" i="12"/>
  <c r="F147" i="12"/>
  <c r="H146" i="12"/>
  <c r="I146" i="12" s="1"/>
  <c r="H145" i="12"/>
  <c r="I145" i="12" s="1"/>
  <c r="F145" i="12"/>
  <c r="L145" i="12" s="1"/>
  <c r="H144" i="12"/>
  <c r="F144" i="12"/>
  <c r="K140" i="12"/>
  <c r="L140" i="12"/>
  <c r="L139" i="12"/>
  <c r="K139" i="12"/>
  <c r="H140" i="12"/>
  <c r="I140" i="12" s="1"/>
  <c r="H139" i="12"/>
  <c r="I139" i="12" s="1"/>
  <c r="F132" i="12"/>
  <c r="F134" i="12"/>
  <c r="L134" i="12" s="1"/>
  <c r="H138" i="12"/>
  <c r="F138" i="12"/>
  <c r="K135" i="12"/>
  <c r="L135" i="12"/>
  <c r="K137" i="12"/>
  <c r="L137" i="12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F136" i="12"/>
  <c r="K136" i="12" s="1"/>
  <c r="F133" i="12"/>
  <c r="K133" i="12" s="1"/>
  <c r="F118" i="12"/>
  <c r="F130" i="12"/>
  <c r="K130" i="12" s="1"/>
  <c r="F127" i="12"/>
  <c r="K127" i="12" s="1"/>
  <c r="H126" i="12"/>
  <c r="F126" i="12"/>
  <c r="F117" i="12"/>
  <c r="K117" i="12" s="1"/>
  <c r="F119" i="12"/>
  <c r="K119" i="12" s="1"/>
  <c r="F47" i="12"/>
  <c r="F54" i="12"/>
  <c r="F53" i="12"/>
  <c r="H120" i="12"/>
  <c r="F120" i="12"/>
  <c r="H116" i="12"/>
  <c r="F116" i="12"/>
  <c r="F104" i="12"/>
  <c r="K106" i="12"/>
  <c r="L106" i="12"/>
  <c r="K109" i="12"/>
  <c r="L109" i="12"/>
  <c r="L105" i="12"/>
  <c r="K105" i="12"/>
  <c r="K95" i="12"/>
  <c r="L95" i="12"/>
  <c r="K96" i="12"/>
  <c r="L96" i="12"/>
  <c r="K97" i="12"/>
  <c r="L97" i="12"/>
  <c r="K100" i="12"/>
  <c r="L100" i="12"/>
  <c r="K101" i="12"/>
  <c r="L101" i="12"/>
  <c r="L91" i="12"/>
  <c r="K91" i="12"/>
  <c r="L89" i="12"/>
  <c r="K89" i="12"/>
  <c r="L87" i="12"/>
  <c r="K87" i="12"/>
  <c r="L85" i="12"/>
  <c r="K85" i="12"/>
  <c r="K66" i="12"/>
  <c r="L72" i="12"/>
  <c r="K72" i="12"/>
  <c r="L71" i="12"/>
  <c r="K71" i="12"/>
  <c r="L70" i="12"/>
  <c r="K70" i="12"/>
  <c r="L67" i="12"/>
  <c r="K67" i="12"/>
  <c r="L66" i="12"/>
  <c r="K51" i="12"/>
  <c r="L51" i="12"/>
  <c r="K52" i="12"/>
  <c r="L52" i="12"/>
  <c r="K57" i="12"/>
  <c r="L57" i="12"/>
  <c r="K58" i="12"/>
  <c r="L58" i="12"/>
  <c r="K59" i="12"/>
  <c r="L59" i="12"/>
  <c r="K63" i="12"/>
  <c r="L63" i="12"/>
  <c r="K64" i="12"/>
  <c r="L64" i="12"/>
  <c r="K16" i="12"/>
  <c r="L16" i="12"/>
  <c r="K17" i="12"/>
  <c r="L17" i="12"/>
  <c r="K18" i="12"/>
  <c r="L18" i="12"/>
  <c r="K23" i="12"/>
  <c r="L23" i="12"/>
  <c r="K24" i="12"/>
  <c r="L24" i="12"/>
  <c r="K28" i="12"/>
  <c r="L28" i="12"/>
  <c r="K29" i="12"/>
  <c r="L29" i="12"/>
  <c r="K30" i="12"/>
  <c r="L30" i="12"/>
  <c r="K36" i="12"/>
  <c r="L36" i="12"/>
  <c r="K38" i="12"/>
  <c r="L38" i="12"/>
  <c r="K39" i="12"/>
  <c r="L39" i="12"/>
  <c r="K40" i="12"/>
  <c r="L40" i="12"/>
  <c r="K41" i="12"/>
  <c r="L41" i="12"/>
  <c r="K43" i="12"/>
  <c r="L43" i="12"/>
  <c r="K7" i="12"/>
  <c r="L7" i="12"/>
  <c r="K9" i="12"/>
  <c r="L9" i="12"/>
  <c r="K11" i="12"/>
  <c r="L11" i="12"/>
  <c r="H4" i="12"/>
  <c r="K4" i="12" s="1"/>
  <c r="H5" i="12"/>
  <c r="H6" i="12"/>
  <c r="H119" i="12"/>
  <c r="H118" i="12"/>
  <c r="H117" i="12"/>
  <c r="K12" i="12"/>
  <c r="K10" i="12"/>
  <c r="D479" i="50" l="1"/>
  <c r="K51" i="47"/>
  <c r="K271" i="12"/>
  <c r="K266" i="12"/>
  <c r="K270" i="12"/>
  <c r="K264" i="12"/>
  <c r="K269" i="12"/>
  <c r="K287" i="12"/>
  <c r="K256" i="12"/>
  <c r="K272" i="12"/>
  <c r="K226" i="12"/>
  <c r="K248" i="12"/>
  <c r="K261" i="12"/>
  <c r="K279" i="12"/>
  <c r="K309" i="12"/>
  <c r="K292" i="12"/>
  <c r="K302" i="12"/>
  <c r="K303" i="12"/>
  <c r="K304" i="12"/>
  <c r="K305" i="12"/>
  <c r="K306" i="12"/>
  <c r="K310" i="12"/>
  <c r="K296" i="12"/>
  <c r="L312" i="12"/>
  <c r="K312" i="12"/>
  <c r="K314" i="12"/>
  <c r="L314" i="12"/>
  <c r="K301" i="12"/>
  <c r="L297" i="12"/>
  <c r="L299" i="12"/>
  <c r="K295" i="12"/>
  <c r="K282" i="12"/>
  <c r="L296" i="12"/>
  <c r="I295" i="12"/>
  <c r="L295" i="12" s="1"/>
  <c r="K311" i="12"/>
  <c r="L282" i="12"/>
  <c r="K300" i="12"/>
  <c r="K278" i="12"/>
  <c r="K280" i="12"/>
  <c r="L280" i="12"/>
  <c r="L278" i="12"/>
  <c r="I301" i="12"/>
  <c r="L301" i="12" s="1"/>
  <c r="K284" i="12"/>
  <c r="I300" i="12"/>
  <c r="L277" i="12"/>
  <c r="K276" i="12"/>
  <c r="K275" i="12"/>
  <c r="L286" i="12"/>
  <c r="L283" i="12"/>
  <c r="K283" i="12"/>
  <c r="L281" i="12"/>
  <c r="K274" i="12"/>
  <c r="K285" i="12"/>
  <c r="L273" i="12"/>
  <c r="L274" i="12"/>
  <c r="K273" i="12"/>
  <c r="L284" i="12"/>
  <c r="L276" i="12"/>
  <c r="L242" i="12"/>
  <c r="L275" i="12"/>
  <c r="L244" i="12"/>
  <c r="L243" i="12"/>
  <c r="L150" i="12"/>
  <c r="K244" i="12"/>
  <c r="K243" i="12"/>
  <c r="K241" i="12"/>
  <c r="K242" i="12"/>
  <c r="L241" i="12"/>
  <c r="K220" i="12"/>
  <c r="K202" i="12"/>
  <c r="K238" i="12"/>
  <c r="L237" i="12"/>
  <c r="L156" i="12"/>
  <c r="L210" i="12"/>
  <c r="K239" i="12"/>
  <c r="L165" i="12"/>
  <c r="K267" i="12"/>
  <c r="K165" i="12"/>
  <c r="K210" i="12"/>
  <c r="L234" i="12"/>
  <c r="L239" i="12"/>
  <c r="L240" i="12"/>
  <c r="K234" i="12"/>
  <c r="L247" i="12"/>
  <c r="L246" i="12"/>
  <c r="L253" i="12"/>
  <c r="L245" i="12"/>
  <c r="L236" i="12"/>
  <c r="L235" i="12"/>
  <c r="K219" i="12"/>
  <c r="L152" i="12"/>
  <c r="L177" i="12"/>
  <c r="K203" i="12"/>
  <c r="K190" i="12"/>
  <c r="K152" i="12"/>
  <c r="K233" i="12"/>
  <c r="K163" i="12"/>
  <c r="L203" i="12"/>
  <c r="K172" i="12"/>
  <c r="L172" i="12"/>
  <c r="L190" i="12"/>
  <c r="K177" i="12"/>
  <c r="K215" i="12"/>
  <c r="L214" i="12"/>
  <c r="K167" i="12"/>
  <c r="L212" i="12"/>
  <c r="L164" i="12"/>
  <c r="L220" i="12"/>
  <c r="L219" i="12"/>
  <c r="K204" i="12"/>
  <c r="K213" i="12"/>
  <c r="K176" i="12"/>
  <c r="L176" i="12"/>
  <c r="L160" i="12"/>
  <c r="K178" i="12"/>
  <c r="K185" i="12"/>
  <c r="K186" i="12"/>
  <c r="L185" i="12"/>
  <c r="K160" i="12"/>
  <c r="L155" i="12"/>
  <c r="K155" i="12"/>
  <c r="L183" i="12"/>
  <c r="K197" i="12"/>
  <c r="K198" i="12"/>
  <c r="L184" i="12"/>
  <c r="L192" i="12"/>
  <c r="L187" i="12"/>
  <c r="K188" i="12"/>
  <c r="K195" i="12"/>
  <c r="K191" i="12"/>
  <c r="L179" i="12"/>
  <c r="K168" i="12"/>
  <c r="L189" i="12"/>
  <c r="L171" i="12"/>
  <c r="L169" i="12"/>
  <c r="I179" i="12"/>
  <c r="I178" i="12"/>
  <c r="L178" i="12" s="1"/>
  <c r="L158" i="12"/>
  <c r="K158" i="12"/>
  <c r="K157" i="12"/>
  <c r="K159" i="12"/>
  <c r="K162" i="12"/>
  <c r="L159" i="12"/>
  <c r="L157" i="12"/>
  <c r="K170" i="12"/>
  <c r="K161" i="12"/>
  <c r="L161" i="12"/>
  <c r="L166" i="12"/>
  <c r="I163" i="12"/>
  <c r="L163" i="12" s="1"/>
  <c r="K145" i="12"/>
  <c r="K146" i="12"/>
  <c r="L130" i="12"/>
  <c r="K128" i="12"/>
  <c r="L136" i="12"/>
  <c r="L129" i="12"/>
  <c r="K129" i="12"/>
  <c r="L131" i="12"/>
  <c r="K147" i="12"/>
  <c r="K132" i="12"/>
  <c r="L133" i="12"/>
  <c r="K144" i="12"/>
  <c r="L132" i="12"/>
  <c r="K134" i="12"/>
  <c r="K138" i="12"/>
  <c r="K118" i="12"/>
  <c r="L10" i="12"/>
  <c r="K126" i="12"/>
  <c r="L117" i="12"/>
  <c r="L119" i="12"/>
  <c r="K120" i="12"/>
  <c r="K116" i="12"/>
  <c r="L12" i="12"/>
  <c r="I119" i="12"/>
  <c r="I118" i="12"/>
  <c r="L118" i="12" s="1"/>
  <c r="I117" i="12"/>
  <c r="H85" i="12"/>
  <c r="I85" i="12" s="1"/>
  <c r="F421" i="12"/>
  <c r="F420" i="12"/>
  <c r="F419" i="12"/>
  <c r="F417" i="12"/>
  <c r="F416" i="12"/>
  <c r="F415" i="12"/>
  <c r="D480" i="50" l="1"/>
  <c r="K52" i="47"/>
  <c r="K416" i="12"/>
  <c r="L416" i="12"/>
  <c r="K417" i="12"/>
  <c r="L417" i="12"/>
  <c r="K420" i="12"/>
  <c r="L420" i="12"/>
  <c r="L419" i="12"/>
  <c r="K419" i="12"/>
  <c r="K421" i="12"/>
  <c r="L421" i="12"/>
  <c r="K415" i="12"/>
  <c r="L415" i="12"/>
  <c r="Z22" i="40"/>
  <c r="Y22" i="40"/>
  <c r="O22" i="40" s="1"/>
  <c r="U22" i="40"/>
  <c r="K22" i="40"/>
  <c r="G22" i="40"/>
  <c r="AA22" i="40" s="1"/>
  <c r="D22" i="40"/>
  <c r="U2" i="39"/>
  <c r="Y2" i="39"/>
  <c r="P2" i="39"/>
  <c r="D481" i="50" l="1"/>
  <c r="K53" i="47"/>
  <c r="X2" i="39"/>
  <c r="P22" i="40"/>
  <c r="Q22" i="40"/>
  <c r="Z9" i="40"/>
  <c r="Y9" i="40"/>
  <c r="O9" i="40" s="1"/>
  <c r="U9" i="40"/>
  <c r="K9" i="40"/>
  <c r="G9" i="40"/>
  <c r="AA9" i="40" s="1"/>
  <c r="D9" i="40"/>
  <c r="Z7" i="40"/>
  <c r="Y7" i="40"/>
  <c r="O7" i="40" s="1"/>
  <c r="U7" i="40"/>
  <c r="K7" i="40"/>
  <c r="G7" i="40"/>
  <c r="AA7" i="40" s="1"/>
  <c r="D7" i="40"/>
  <c r="Z8" i="40"/>
  <c r="Y8" i="40"/>
  <c r="O8" i="40" s="1"/>
  <c r="U8" i="40"/>
  <c r="K8" i="40"/>
  <c r="G8" i="40"/>
  <c r="AA8" i="40" s="1"/>
  <c r="D8" i="40"/>
  <c r="Z4" i="40"/>
  <c r="Y4" i="40"/>
  <c r="U4" i="40"/>
  <c r="Q4" i="40"/>
  <c r="O4" i="40"/>
  <c r="K4" i="40"/>
  <c r="G4" i="40"/>
  <c r="D4" i="40"/>
  <c r="D482" i="50" l="1"/>
  <c r="K54" i="47"/>
  <c r="G49" i="40"/>
  <c r="O49" i="40"/>
  <c r="X22" i="40"/>
  <c r="AA4" i="40"/>
  <c r="P7" i="40"/>
  <c r="P9" i="40"/>
  <c r="P8" i="40"/>
  <c r="P4" i="40"/>
  <c r="Q9" i="40"/>
  <c r="Q8" i="40"/>
  <c r="Q7" i="40"/>
  <c r="Q49" i="40" s="1"/>
  <c r="D483" i="50" l="1"/>
  <c r="K55" i="47"/>
  <c r="X49" i="40"/>
  <c r="P49" i="40"/>
  <c r="AA49" i="40"/>
  <c r="X4" i="40"/>
  <c r="X9" i="40"/>
  <c r="X8" i="40"/>
  <c r="X7" i="40"/>
  <c r="D484" i="50" l="1"/>
  <c r="K56" i="47"/>
  <c r="Y49" i="40"/>
  <c r="Z5" i="40"/>
  <c r="Y5" i="40"/>
  <c r="O5" i="40" s="1"/>
  <c r="Q5" i="40" s="1"/>
  <c r="U5" i="40"/>
  <c r="K5" i="40"/>
  <c r="G5" i="40"/>
  <c r="AA5" i="40" s="1"/>
  <c r="D5" i="40"/>
  <c r="D485" i="50" l="1"/>
  <c r="K57" i="47"/>
  <c r="P5" i="40"/>
  <c r="X5" i="40" s="1"/>
  <c r="Z3" i="40"/>
  <c r="Y3" i="40"/>
  <c r="O3" i="40" s="1"/>
  <c r="U3" i="40"/>
  <c r="K3" i="40"/>
  <c r="G3" i="40"/>
  <c r="AA3" i="40" s="1"/>
  <c r="D3" i="40"/>
  <c r="Z6" i="40"/>
  <c r="Y6" i="40"/>
  <c r="O6" i="40" s="1"/>
  <c r="O54" i="40" s="1"/>
  <c r="U6" i="40"/>
  <c r="K6" i="40"/>
  <c r="G6" i="40"/>
  <c r="G54" i="40" s="1"/>
  <c r="D6" i="40"/>
  <c r="D486" i="50" l="1"/>
  <c r="K58" i="47"/>
  <c r="AA6" i="40"/>
  <c r="P6" i="40"/>
  <c r="P3" i="40"/>
  <c r="Q3" i="40"/>
  <c r="Q6" i="40"/>
  <c r="Q54" i="40" s="1"/>
  <c r="D487" i="50" l="1"/>
  <c r="K59" i="47"/>
  <c r="X54" i="40"/>
  <c r="P54" i="40"/>
  <c r="AA54" i="40"/>
  <c r="X6" i="40"/>
  <c r="X3" i="40"/>
  <c r="D488" i="50" l="1"/>
  <c r="K60" i="47"/>
  <c r="Y54" i="40"/>
  <c r="Z2" i="40"/>
  <c r="Y2" i="40"/>
  <c r="O2" i="40" s="1"/>
  <c r="U2" i="40"/>
  <c r="K2" i="40"/>
  <c r="G2" i="40"/>
  <c r="D2" i="40"/>
  <c r="N45" i="40"/>
  <c r="M45" i="40"/>
  <c r="L45" i="40"/>
  <c r="N44" i="40"/>
  <c r="M44" i="40"/>
  <c r="L44" i="40"/>
  <c r="F7" i="18" s="1"/>
  <c r="H43" i="40"/>
  <c r="Z10" i="40"/>
  <c r="Y10" i="40"/>
  <c r="O10" i="40" s="1"/>
  <c r="Q10" i="40" s="1"/>
  <c r="U10" i="40"/>
  <c r="K10" i="40"/>
  <c r="G10" i="40"/>
  <c r="AA10" i="40" s="1"/>
  <c r="D10" i="40"/>
  <c r="O50" i="40"/>
  <c r="O53" i="40"/>
  <c r="A40" i="40"/>
  <c r="D489" i="50" l="1"/>
  <c r="K61" i="47"/>
  <c r="G48" i="40"/>
  <c r="G53" i="40"/>
  <c r="AA53" i="40"/>
  <c r="P53" i="40"/>
  <c r="O48" i="40"/>
  <c r="AA50" i="40"/>
  <c r="P10" i="40"/>
  <c r="AA2" i="40"/>
  <c r="AA48" i="40" s="1"/>
  <c r="G44" i="40"/>
  <c r="D7" i="18" s="1"/>
  <c r="G45" i="40"/>
  <c r="O45" i="40"/>
  <c r="O44" i="40"/>
  <c r="P2" i="40"/>
  <c r="Q2" i="40"/>
  <c r="Q48" i="40" s="1"/>
  <c r="Q53" i="40"/>
  <c r="K44" i="40"/>
  <c r="R43" i="40"/>
  <c r="G43" i="40"/>
  <c r="P43" i="40"/>
  <c r="K45" i="40"/>
  <c r="O43" i="40"/>
  <c r="R22" i="38"/>
  <c r="Z17" i="39"/>
  <c r="Y17" i="39"/>
  <c r="O17" i="39" s="1"/>
  <c r="U17" i="39"/>
  <c r="K17" i="39"/>
  <c r="G17" i="39"/>
  <c r="AA17" i="39" s="1"/>
  <c r="D17" i="39"/>
  <c r="Z10" i="39"/>
  <c r="Y10" i="39"/>
  <c r="O10" i="39" s="1"/>
  <c r="U10" i="39"/>
  <c r="K10" i="39"/>
  <c r="G10" i="39"/>
  <c r="AA10" i="39" s="1"/>
  <c r="Z11" i="39"/>
  <c r="Y11" i="39"/>
  <c r="O11" i="39" s="1"/>
  <c r="U11" i="39"/>
  <c r="K11" i="39"/>
  <c r="G11" i="39"/>
  <c r="R16" i="39"/>
  <c r="R15" i="39"/>
  <c r="R14" i="39"/>
  <c r="P44" i="40" l="1"/>
  <c r="D490" i="50"/>
  <c r="K62" i="47"/>
  <c r="P17" i="39"/>
  <c r="R34" i="39"/>
  <c r="X53" i="40"/>
  <c r="Q50" i="40"/>
  <c r="Y50" i="40" s="1"/>
  <c r="X50" i="40"/>
  <c r="X48" i="40"/>
  <c r="P48" i="40"/>
  <c r="Y48" i="40" s="1"/>
  <c r="Y53" i="40"/>
  <c r="AA11" i="39"/>
  <c r="P10" i="39"/>
  <c r="AA43" i="40"/>
  <c r="P45" i="40"/>
  <c r="P11" i="39"/>
  <c r="C7" i="18"/>
  <c r="Q45" i="40"/>
  <c r="Q44" i="40"/>
  <c r="X2" i="40"/>
  <c r="Q43" i="40"/>
  <c r="X43" i="40" s="1"/>
  <c r="X10" i="40"/>
  <c r="AA44" i="40"/>
  <c r="AA45" i="40" s="1"/>
  <c r="Q17" i="39"/>
  <c r="Q10" i="39"/>
  <c r="Q11" i="39"/>
  <c r="D491" i="50" l="1"/>
  <c r="K63" i="47"/>
  <c r="X17" i="39"/>
  <c r="Z48" i="40"/>
  <c r="Z54" i="40"/>
  <c r="Z49" i="40"/>
  <c r="Z50" i="40"/>
  <c r="Z51" i="40"/>
  <c r="Z52" i="40"/>
  <c r="Z53" i="40"/>
  <c r="Y51" i="40"/>
  <c r="X44" i="40"/>
  <c r="X11" i="39"/>
  <c r="X45" i="40"/>
  <c r="Z45" i="40"/>
  <c r="Z43" i="40"/>
  <c r="Z44" i="40"/>
  <c r="X10" i="39"/>
  <c r="Z15" i="39"/>
  <c r="Y15" i="39"/>
  <c r="O15" i="39" s="1"/>
  <c r="U15" i="39"/>
  <c r="K15" i="39"/>
  <c r="G15" i="39"/>
  <c r="AA15" i="39" s="1"/>
  <c r="D15" i="39"/>
  <c r="Z14" i="39"/>
  <c r="Y14" i="39"/>
  <c r="O14" i="39" s="1"/>
  <c r="U14" i="39"/>
  <c r="K14" i="39"/>
  <c r="G14" i="39"/>
  <c r="AA14" i="39" s="1"/>
  <c r="D14" i="39"/>
  <c r="D492" i="50" l="1"/>
  <c r="K64" i="47"/>
  <c r="P14" i="39"/>
  <c r="P15" i="39"/>
  <c r="G7" i="18"/>
  <c r="Q14" i="39"/>
  <c r="Q15" i="39"/>
  <c r="D493" i="50" l="1"/>
  <c r="K65" i="47"/>
  <c r="X15" i="39"/>
  <c r="X14" i="39"/>
  <c r="R21" i="38"/>
  <c r="Y3" i="27"/>
  <c r="Z3" i="27"/>
  <c r="Y4" i="27"/>
  <c r="Z4" i="27"/>
  <c r="Y5" i="27"/>
  <c r="Z5" i="27"/>
  <c r="Y6" i="27"/>
  <c r="Z6" i="27"/>
  <c r="Y7" i="27"/>
  <c r="Z7" i="27"/>
  <c r="Y8" i="27"/>
  <c r="Z8" i="27"/>
  <c r="Y9" i="27"/>
  <c r="Z9" i="27"/>
  <c r="Y10" i="27"/>
  <c r="Z10" i="27"/>
  <c r="Y11" i="27"/>
  <c r="Z11" i="27"/>
  <c r="Y12" i="27"/>
  <c r="Z12" i="27"/>
  <c r="Y13" i="27"/>
  <c r="Z13" i="27"/>
  <c r="Y14" i="27"/>
  <c r="Z14" i="27"/>
  <c r="Y15" i="27"/>
  <c r="Z15" i="27"/>
  <c r="Y16" i="27"/>
  <c r="Z16" i="27"/>
  <c r="Y17" i="27"/>
  <c r="Z17" i="27"/>
  <c r="Y18" i="27"/>
  <c r="Z18" i="27"/>
  <c r="Y19" i="27"/>
  <c r="Z19" i="27"/>
  <c r="Y20" i="27"/>
  <c r="Z20" i="27"/>
  <c r="Y21" i="27"/>
  <c r="Z21" i="27"/>
  <c r="Y2" i="27"/>
  <c r="Z2" i="27"/>
  <c r="Y3" i="28"/>
  <c r="Z3" i="28"/>
  <c r="Y4" i="28"/>
  <c r="Z4" i="28"/>
  <c r="Y5" i="28"/>
  <c r="Z5" i="28"/>
  <c r="Y6" i="28"/>
  <c r="Z6" i="28"/>
  <c r="Y7" i="28"/>
  <c r="Z7" i="28"/>
  <c r="Y8" i="28"/>
  <c r="Z8" i="28"/>
  <c r="Y9" i="28"/>
  <c r="Z9" i="28"/>
  <c r="Y10" i="28"/>
  <c r="Z10" i="28"/>
  <c r="Y11" i="28"/>
  <c r="Z11" i="28"/>
  <c r="Y12" i="28"/>
  <c r="Z12" i="28"/>
  <c r="Y13" i="28"/>
  <c r="Z13" i="28"/>
  <c r="Y14" i="28"/>
  <c r="Z14" i="28"/>
  <c r="Y15" i="28"/>
  <c r="Z15" i="28"/>
  <c r="Y16" i="28"/>
  <c r="Z16" i="28"/>
  <c r="Y17" i="28"/>
  <c r="Z17" i="28"/>
  <c r="Y18" i="28"/>
  <c r="Z18" i="28"/>
  <c r="Y19" i="28"/>
  <c r="Z19" i="28"/>
  <c r="Y20" i="28"/>
  <c r="Z20" i="28"/>
  <c r="Z2" i="28"/>
  <c r="Y2" i="28"/>
  <c r="Z2" i="39"/>
  <c r="F108" i="12"/>
  <c r="F107" i="12"/>
  <c r="F103" i="12"/>
  <c r="F102" i="12"/>
  <c r="H108" i="12"/>
  <c r="H107" i="12"/>
  <c r="H103" i="12"/>
  <c r="H102" i="12"/>
  <c r="F99" i="12"/>
  <c r="F98" i="12"/>
  <c r="H101" i="12"/>
  <c r="H100" i="12"/>
  <c r="F94" i="12"/>
  <c r="F93" i="12"/>
  <c r="F92" i="12"/>
  <c r="F90" i="12"/>
  <c r="F88" i="12"/>
  <c r="F86" i="12"/>
  <c r="F84" i="12"/>
  <c r="H97" i="12"/>
  <c r="H96" i="12"/>
  <c r="H95" i="12"/>
  <c r="H91" i="12"/>
  <c r="H89" i="12"/>
  <c r="H87" i="12"/>
  <c r="F83" i="12"/>
  <c r="F50" i="12"/>
  <c r="F62" i="12"/>
  <c r="F55" i="12"/>
  <c r="F60" i="12"/>
  <c r="F61" i="12"/>
  <c r="F56" i="12"/>
  <c r="F46" i="12"/>
  <c r="H74" i="12"/>
  <c r="K74" i="12" s="1"/>
  <c r="H73" i="12"/>
  <c r="H78" i="12"/>
  <c r="K78" i="12" s="1"/>
  <c r="H77" i="12"/>
  <c r="K77" i="12" s="1"/>
  <c r="H76" i="12"/>
  <c r="K76" i="12" s="1"/>
  <c r="H75" i="12"/>
  <c r="K75" i="12" s="1"/>
  <c r="H80" i="12"/>
  <c r="K80" i="12" s="1"/>
  <c r="H79" i="12"/>
  <c r="K79" i="12" s="1"/>
  <c r="H82" i="12"/>
  <c r="K82" i="12" s="1"/>
  <c r="H81" i="12"/>
  <c r="F49" i="12"/>
  <c r="H69" i="12"/>
  <c r="K69" i="12" s="1"/>
  <c r="F48" i="12"/>
  <c r="H68" i="12"/>
  <c r="K68" i="12" s="1"/>
  <c r="H67" i="12"/>
  <c r="F65" i="12"/>
  <c r="H64" i="12"/>
  <c r="I64" i="12" s="1"/>
  <c r="H63" i="12"/>
  <c r="H62" i="12"/>
  <c r="H61" i="12"/>
  <c r="H60" i="12"/>
  <c r="H59" i="12"/>
  <c r="H58" i="12"/>
  <c r="H57" i="12"/>
  <c r="H55" i="12"/>
  <c r="H52" i="12"/>
  <c r="H51" i="12"/>
  <c r="F45" i="12"/>
  <c r="F44" i="12"/>
  <c r="F42" i="12"/>
  <c r="H42" i="12"/>
  <c r="I42" i="12" s="1"/>
  <c r="F37" i="12"/>
  <c r="F31" i="12"/>
  <c r="F33" i="12"/>
  <c r="F32" i="12"/>
  <c r="H39" i="12"/>
  <c r="I39" i="12" s="1"/>
  <c r="F34" i="12"/>
  <c r="F35" i="12"/>
  <c r="H36" i="12"/>
  <c r="I36" i="12" s="1"/>
  <c r="H41" i="12"/>
  <c r="H40" i="12"/>
  <c r="I40" i="12" s="1"/>
  <c r="H38" i="12"/>
  <c r="F26" i="12"/>
  <c r="F27" i="12"/>
  <c r="F25" i="12"/>
  <c r="H30" i="12"/>
  <c r="H29" i="12"/>
  <c r="H28" i="12"/>
  <c r="F22" i="12"/>
  <c r="F21" i="12"/>
  <c r="H24" i="12"/>
  <c r="H23" i="12"/>
  <c r="I23" i="12" s="1"/>
  <c r="H20" i="12"/>
  <c r="K20" i="12" s="1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F381" i="12"/>
  <c r="F372" i="12"/>
  <c r="F369" i="12"/>
  <c r="F360" i="12"/>
  <c r="F359" i="12"/>
  <c r="F249" i="12"/>
  <c r="F222" i="12"/>
  <c r="F221" i="12"/>
  <c r="F218" i="12"/>
  <c r="F143" i="12"/>
  <c r="F142" i="12"/>
  <c r="F141" i="12"/>
  <c r="F125" i="12"/>
  <c r="F115" i="12"/>
  <c r="F114" i="12"/>
  <c r="F113" i="12"/>
  <c r="F112" i="12"/>
  <c r="F19" i="12"/>
  <c r="F5" i="12"/>
  <c r="K5" i="12" s="1"/>
  <c r="H45" i="12"/>
  <c r="H44" i="12"/>
  <c r="H35" i="12"/>
  <c r="H48" i="12"/>
  <c r="H30" i="27"/>
  <c r="H31" i="27"/>
  <c r="Z8" i="39"/>
  <c r="Y8" i="39"/>
  <c r="U8" i="39"/>
  <c r="O8" i="39"/>
  <c r="Q8" i="39" s="1"/>
  <c r="K8" i="39"/>
  <c r="G8" i="39"/>
  <c r="AA8" i="39" s="1"/>
  <c r="Z16" i="39"/>
  <c r="Y16" i="39"/>
  <c r="O16" i="39" s="1"/>
  <c r="O34" i="39" s="1"/>
  <c r="U16" i="39"/>
  <c r="K16" i="39"/>
  <c r="G16" i="39"/>
  <c r="G34" i="39" s="1"/>
  <c r="D16" i="39"/>
  <c r="Z7" i="39"/>
  <c r="Y7" i="39"/>
  <c r="U7" i="39"/>
  <c r="Q7" i="39"/>
  <c r="O7" i="39"/>
  <c r="K7" i="39"/>
  <c r="G7" i="39"/>
  <c r="AA7" i="39" s="1"/>
  <c r="Z12" i="39"/>
  <c r="Y12" i="39"/>
  <c r="O12" i="39" s="1"/>
  <c r="U12" i="39"/>
  <c r="K12" i="39"/>
  <c r="G12" i="39"/>
  <c r="Z13" i="39"/>
  <c r="Y13" i="39"/>
  <c r="O13" i="39" s="1"/>
  <c r="U13" i="39"/>
  <c r="G13" i="39"/>
  <c r="AA13" i="39" s="1"/>
  <c r="D13" i="39"/>
  <c r="Z5" i="39"/>
  <c r="Y5" i="39"/>
  <c r="U5" i="39"/>
  <c r="Q5" i="39"/>
  <c r="O5" i="39"/>
  <c r="K5" i="39"/>
  <c r="G5" i="39"/>
  <c r="AA5" i="39" s="1"/>
  <c r="Z4" i="39"/>
  <c r="Y4" i="39"/>
  <c r="U4" i="39"/>
  <c r="Q4" i="39"/>
  <c r="O4" i="39"/>
  <c r="K4" i="39"/>
  <c r="G4" i="39"/>
  <c r="AA4" i="39" s="1"/>
  <c r="Z3" i="39"/>
  <c r="Y3" i="39"/>
  <c r="U3" i="39"/>
  <c r="Q3" i="39"/>
  <c r="O3" i="39"/>
  <c r="K3" i="39"/>
  <c r="G3" i="39"/>
  <c r="K6" i="39"/>
  <c r="U6" i="39"/>
  <c r="Y6" i="39"/>
  <c r="O6" i="39" s="1"/>
  <c r="Z6" i="39"/>
  <c r="O33" i="39"/>
  <c r="G6" i="39"/>
  <c r="AA6" i="39" s="1"/>
  <c r="G33" i="39"/>
  <c r="D494" i="50" l="1"/>
  <c r="K66" i="47"/>
  <c r="R34" i="38"/>
  <c r="R40" i="38"/>
  <c r="R35" i="38"/>
  <c r="P16" i="39"/>
  <c r="P34" i="39" s="1"/>
  <c r="G32" i="39"/>
  <c r="O32" i="39"/>
  <c r="P33" i="39"/>
  <c r="AA16" i="39"/>
  <c r="AA12" i="39"/>
  <c r="AA3" i="39"/>
  <c r="P13" i="39"/>
  <c r="P12" i="39"/>
  <c r="P8" i="39"/>
  <c r="X8" i="39" s="1"/>
  <c r="P7" i="39"/>
  <c r="X7" i="39" s="1"/>
  <c r="P5" i="39"/>
  <c r="X5" i="39" s="1"/>
  <c r="P4" i="39"/>
  <c r="X4" i="39" s="1"/>
  <c r="P6" i="39"/>
  <c r="P3" i="39"/>
  <c r="K112" i="12"/>
  <c r="L112" i="12"/>
  <c r="K381" i="12"/>
  <c r="L381" i="12"/>
  <c r="K372" i="12"/>
  <c r="L372" i="12"/>
  <c r="K360" i="12"/>
  <c r="L360" i="12"/>
  <c r="L359" i="12"/>
  <c r="K359" i="12"/>
  <c r="K316" i="12"/>
  <c r="L316" i="12"/>
  <c r="K249" i="12"/>
  <c r="L249" i="12"/>
  <c r="K222" i="12"/>
  <c r="L222" i="12"/>
  <c r="K221" i="12"/>
  <c r="L221" i="12"/>
  <c r="K218" i="12"/>
  <c r="L218" i="12"/>
  <c r="K141" i="12"/>
  <c r="L141" i="12"/>
  <c r="K142" i="12"/>
  <c r="L142" i="12"/>
  <c r="K143" i="12"/>
  <c r="L143" i="12"/>
  <c r="L125" i="12"/>
  <c r="K125" i="12"/>
  <c r="K113" i="12"/>
  <c r="L113" i="12"/>
  <c r="K114" i="12"/>
  <c r="L114" i="12"/>
  <c r="L127" i="12"/>
  <c r="K115" i="12"/>
  <c r="L115" i="12"/>
  <c r="K25" i="12"/>
  <c r="L25" i="12"/>
  <c r="K34" i="12"/>
  <c r="L34" i="12"/>
  <c r="K44" i="12"/>
  <c r="K48" i="12"/>
  <c r="L48" i="12"/>
  <c r="K61" i="12"/>
  <c r="L88" i="12"/>
  <c r="K88" i="12"/>
  <c r="K99" i="12"/>
  <c r="L99" i="12"/>
  <c r="K108" i="12"/>
  <c r="L108" i="12"/>
  <c r="K27" i="12"/>
  <c r="L27" i="12"/>
  <c r="K45" i="12"/>
  <c r="K90" i="12"/>
  <c r="L90" i="12"/>
  <c r="K26" i="12"/>
  <c r="L26" i="12"/>
  <c r="K49" i="12"/>
  <c r="L49" i="12"/>
  <c r="K60" i="12"/>
  <c r="L92" i="12"/>
  <c r="K92" i="12"/>
  <c r="K21" i="12"/>
  <c r="L21" i="12"/>
  <c r="L93" i="12"/>
  <c r="K93" i="12"/>
  <c r="K22" i="12"/>
  <c r="L22" i="12"/>
  <c r="K31" i="12"/>
  <c r="L31" i="12"/>
  <c r="K55" i="12"/>
  <c r="K94" i="12"/>
  <c r="L94" i="12"/>
  <c r="L6" i="12"/>
  <c r="K6" i="12"/>
  <c r="K37" i="12"/>
  <c r="L37" i="12"/>
  <c r="L62" i="12"/>
  <c r="K62" i="12"/>
  <c r="K102" i="12"/>
  <c r="L102" i="12"/>
  <c r="K13" i="12"/>
  <c r="L13" i="12"/>
  <c r="L84" i="12"/>
  <c r="K84" i="12"/>
  <c r="K103" i="12"/>
  <c r="L103" i="12"/>
  <c r="K8" i="12"/>
  <c r="L8" i="12"/>
  <c r="K35" i="12"/>
  <c r="L42" i="12"/>
  <c r="K42" i="12"/>
  <c r="K86" i="12"/>
  <c r="L86" i="12"/>
  <c r="K98" i="12"/>
  <c r="L98" i="12"/>
  <c r="K107" i="12"/>
  <c r="L107" i="12"/>
  <c r="K81" i="12"/>
  <c r="K73" i="12"/>
  <c r="I67" i="12"/>
  <c r="I63" i="12"/>
  <c r="I38" i="12"/>
  <c r="I41" i="12"/>
  <c r="I28" i="12"/>
  <c r="I29" i="12"/>
  <c r="I30" i="12"/>
  <c r="I24" i="12"/>
  <c r="I20" i="12"/>
  <c r="L20" i="12" s="1"/>
  <c r="Q16" i="39"/>
  <c r="Q34" i="39" s="1"/>
  <c r="Q12" i="39"/>
  <c r="Q13" i="39"/>
  <c r="Q6" i="39"/>
  <c r="Q33" i="39"/>
  <c r="R28" i="39"/>
  <c r="N28" i="39"/>
  <c r="M28" i="39"/>
  <c r="L28" i="39"/>
  <c r="H28" i="39"/>
  <c r="R27" i="39"/>
  <c r="N27" i="39"/>
  <c r="M27" i="39"/>
  <c r="L27" i="39"/>
  <c r="H27" i="39"/>
  <c r="R26" i="39"/>
  <c r="H26" i="39"/>
  <c r="Z9" i="39"/>
  <c r="Y9" i="39"/>
  <c r="O9" i="39" s="1"/>
  <c r="O31" i="39" s="1"/>
  <c r="U9" i="39"/>
  <c r="K9" i="39"/>
  <c r="G9" i="39"/>
  <c r="G31" i="39" s="1"/>
  <c r="A22" i="39"/>
  <c r="D495" i="50" l="1"/>
  <c r="K67" i="47"/>
  <c r="X33" i="39"/>
  <c r="X32" i="39"/>
  <c r="P32" i="39"/>
  <c r="X34" i="39"/>
  <c r="Q32" i="39"/>
  <c r="AA32" i="39"/>
  <c r="AA34" i="39"/>
  <c r="Y34" i="39" s="1"/>
  <c r="AA33" i="39"/>
  <c r="Y33" i="39" s="1"/>
  <c r="X3" i="39"/>
  <c r="X16" i="39"/>
  <c r="X13" i="39"/>
  <c r="X12" i="39"/>
  <c r="F6" i="18"/>
  <c r="K28" i="39"/>
  <c r="P9" i="39"/>
  <c r="P28" i="39" s="1"/>
  <c r="G26" i="39"/>
  <c r="AA9" i="39"/>
  <c r="P26" i="39"/>
  <c r="G28" i="39"/>
  <c r="X6" i="39"/>
  <c r="AA26" i="39"/>
  <c r="O28" i="39"/>
  <c r="O26" i="39"/>
  <c r="O27" i="39"/>
  <c r="Q9" i="39"/>
  <c r="Q31" i="39" s="1"/>
  <c r="G27" i="39"/>
  <c r="D6" i="18" s="1"/>
  <c r="AA2" i="39"/>
  <c r="K27" i="39"/>
  <c r="D496" i="50" l="1"/>
  <c r="K68" i="47"/>
  <c r="Y32" i="39"/>
  <c r="X31" i="39"/>
  <c r="AA31" i="39"/>
  <c r="Q28" i="39"/>
  <c r="AA27" i="39"/>
  <c r="E36" i="12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Q27" i="39"/>
  <c r="P27" i="39"/>
  <c r="C6" i="18" s="1"/>
  <c r="P31" i="39"/>
  <c r="Q26" i="39"/>
  <c r="X26" i="39" s="1"/>
  <c r="X9" i="39"/>
  <c r="Z31" i="39" s="1"/>
  <c r="D497" i="50" l="1"/>
  <c r="K69" i="47"/>
  <c r="Y31" i="39"/>
  <c r="Z33" i="39"/>
  <c r="Z32" i="39"/>
  <c r="Z34" i="39"/>
  <c r="X28" i="39"/>
  <c r="X27" i="39"/>
  <c r="Z27" i="39"/>
  <c r="AA28" i="39"/>
  <c r="Z28" i="39" s="1"/>
  <c r="G6" i="18"/>
  <c r="E65" i="12"/>
  <c r="E66" i="12" s="1"/>
  <c r="Z26" i="39"/>
  <c r="D498" i="50" l="1"/>
  <c r="K70" i="47"/>
  <c r="E67" i="12"/>
  <c r="E68" i="12" s="1"/>
  <c r="K19" i="38"/>
  <c r="D499" i="50" l="1"/>
  <c r="K71" i="47"/>
  <c r="E69" i="12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Z15" i="38"/>
  <c r="Y15" i="38"/>
  <c r="U15" i="38"/>
  <c r="T15" i="38"/>
  <c r="Q15" i="38"/>
  <c r="O15" i="38"/>
  <c r="K15" i="38"/>
  <c r="G15" i="38"/>
  <c r="AA15" i="38" s="1"/>
  <c r="D500" i="50" l="1"/>
  <c r="K72" i="47"/>
  <c r="E85" i="12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P15" i="38"/>
  <c r="X15" i="38" s="1"/>
  <c r="Z24" i="38"/>
  <c r="Y24" i="38"/>
  <c r="O24" i="38" s="1"/>
  <c r="U24" i="38"/>
  <c r="T24" i="38"/>
  <c r="G24" i="38"/>
  <c r="AA24" i="38" s="1"/>
  <c r="D24" i="38"/>
  <c r="AA26" i="38"/>
  <c r="D501" i="50" l="1"/>
  <c r="K73" i="47"/>
  <c r="P24" i="38"/>
  <c r="Q24" i="38"/>
  <c r="E105" i="12"/>
  <c r="E106" i="12" s="1"/>
  <c r="E107" i="12" s="1"/>
  <c r="E108" i="12" s="1"/>
  <c r="E109" i="12" s="1"/>
  <c r="Z12" i="38"/>
  <c r="Y12" i="38"/>
  <c r="O12" i="38" s="1"/>
  <c r="U12" i="38"/>
  <c r="T12" i="38"/>
  <c r="K12" i="38"/>
  <c r="G12" i="38"/>
  <c r="AA12" i="38" s="1"/>
  <c r="Z14" i="38"/>
  <c r="Y14" i="38"/>
  <c r="O14" i="38" s="1"/>
  <c r="U14" i="38"/>
  <c r="T14" i="38"/>
  <c r="K14" i="38"/>
  <c r="G14" i="38"/>
  <c r="G39" i="38" s="1"/>
  <c r="Z16" i="38"/>
  <c r="Y16" i="38"/>
  <c r="O16" i="38" s="1"/>
  <c r="U16" i="38"/>
  <c r="T16" i="38"/>
  <c r="K16" i="38"/>
  <c r="G16" i="38"/>
  <c r="AA16" i="38" s="1"/>
  <c r="Z23" i="38"/>
  <c r="Y23" i="38"/>
  <c r="O23" i="38" s="1"/>
  <c r="U23" i="38"/>
  <c r="T23" i="38"/>
  <c r="P23" i="38" s="1"/>
  <c r="AA23" i="38"/>
  <c r="Z22" i="38"/>
  <c r="Y22" i="38"/>
  <c r="O22" i="38" s="1"/>
  <c r="U22" i="38"/>
  <c r="T22" i="38"/>
  <c r="K22" i="38"/>
  <c r="G22" i="38"/>
  <c r="AA22" i="38" s="1"/>
  <c r="Z21" i="38"/>
  <c r="Y21" i="38"/>
  <c r="O21" i="38" s="1"/>
  <c r="U21" i="38"/>
  <c r="T21" i="38"/>
  <c r="K21" i="38"/>
  <c r="G21" i="38"/>
  <c r="AA21" i="38" s="1"/>
  <c r="Z5" i="38"/>
  <c r="Y5" i="38"/>
  <c r="U5" i="38"/>
  <c r="T5" i="38"/>
  <c r="Q5" i="38"/>
  <c r="O5" i="38"/>
  <c r="K5" i="38"/>
  <c r="G5" i="38"/>
  <c r="AA5" i="38" s="1"/>
  <c r="Z4" i="38"/>
  <c r="Y4" i="38"/>
  <c r="U4" i="38"/>
  <c r="T4" i="38"/>
  <c r="Q4" i="38"/>
  <c r="O4" i="38"/>
  <c r="K4" i="38"/>
  <c r="G4" i="38"/>
  <c r="AA4" i="38" s="1"/>
  <c r="Z3" i="38"/>
  <c r="Y3" i="38"/>
  <c r="U3" i="38"/>
  <c r="T3" i="38"/>
  <c r="Q3" i="38"/>
  <c r="O3" i="38"/>
  <c r="K3" i="38"/>
  <c r="G3" i="38"/>
  <c r="AA3" i="38" s="1"/>
  <c r="Z17" i="38"/>
  <c r="Y17" i="38"/>
  <c r="O17" i="38" s="1"/>
  <c r="U17" i="38"/>
  <c r="T17" i="38"/>
  <c r="K17" i="38"/>
  <c r="G17" i="38"/>
  <c r="AA17" i="38" s="1"/>
  <c r="Z13" i="38"/>
  <c r="Y13" i="38"/>
  <c r="O13" i="38" s="1"/>
  <c r="U13" i="38"/>
  <c r="T13" i="38"/>
  <c r="K13" i="38"/>
  <c r="G13" i="38"/>
  <c r="AA13" i="38" s="1"/>
  <c r="Z9" i="38"/>
  <c r="Y9" i="38"/>
  <c r="O9" i="38" s="1"/>
  <c r="U9" i="38"/>
  <c r="T9" i="38"/>
  <c r="K9" i="38"/>
  <c r="G9" i="38"/>
  <c r="Z20" i="38"/>
  <c r="Y20" i="38"/>
  <c r="O20" i="38" s="1"/>
  <c r="U20" i="38"/>
  <c r="T20" i="38"/>
  <c r="K20" i="38"/>
  <c r="G20" i="38"/>
  <c r="AA20" i="38" s="1"/>
  <c r="Z11" i="38"/>
  <c r="Y11" i="38"/>
  <c r="O11" i="38" s="1"/>
  <c r="U11" i="38"/>
  <c r="T11" i="38"/>
  <c r="K11" i="38"/>
  <c r="G11" i="38"/>
  <c r="AA11" i="38" s="1"/>
  <c r="D502" i="50" l="1"/>
  <c r="K74" i="47"/>
  <c r="O39" i="38"/>
  <c r="AA9" i="38"/>
  <c r="AA14" i="38"/>
  <c r="AA39" i="38" s="1"/>
  <c r="X24" i="38"/>
  <c r="P13" i="38"/>
  <c r="E110" i="12"/>
  <c r="E111" i="12" s="1"/>
  <c r="P22" i="38"/>
  <c r="P33" i="38"/>
  <c r="P21" i="38"/>
  <c r="P20" i="38"/>
  <c r="P17" i="38"/>
  <c r="P16" i="38"/>
  <c r="P14" i="38"/>
  <c r="Q21" i="38"/>
  <c r="Q22" i="38"/>
  <c r="P12" i="38"/>
  <c r="Q12" i="38"/>
  <c r="P5" i="38"/>
  <c r="X5" i="38" s="1"/>
  <c r="P11" i="38"/>
  <c r="Q23" i="38"/>
  <c r="X23" i="38" s="1"/>
  <c r="Q14" i="38"/>
  <c r="Q16" i="38"/>
  <c r="Q17" i="38"/>
  <c r="P9" i="38"/>
  <c r="P4" i="38"/>
  <c r="X4" i="38" s="1"/>
  <c r="P3" i="38"/>
  <c r="X3" i="38" s="1"/>
  <c r="Q20" i="38"/>
  <c r="Q13" i="38"/>
  <c r="Q9" i="38"/>
  <c r="Q11" i="38"/>
  <c r="D503" i="50" l="1"/>
  <c r="K75" i="47"/>
  <c r="Q39" i="38"/>
  <c r="X39" i="38"/>
  <c r="P39" i="38"/>
  <c r="X22" i="38"/>
  <c r="Q33" i="38"/>
  <c r="X21" i="38"/>
  <c r="X20" i="38"/>
  <c r="X17" i="38"/>
  <c r="X16" i="38"/>
  <c r="X14" i="38"/>
  <c r="X11" i="38"/>
  <c r="X13" i="38"/>
  <c r="X12" i="38"/>
  <c r="X9" i="38"/>
  <c r="Z7" i="38"/>
  <c r="Y7" i="38"/>
  <c r="U7" i="38"/>
  <c r="T7" i="38"/>
  <c r="Q7" i="38"/>
  <c r="O7" i="38"/>
  <c r="K7" i="38"/>
  <c r="G7" i="38"/>
  <c r="AA7" i="38" s="1"/>
  <c r="Z8" i="38"/>
  <c r="Y8" i="38"/>
  <c r="O8" i="38" s="1"/>
  <c r="U8" i="38"/>
  <c r="T8" i="38"/>
  <c r="K8" i="38"/>
  <c r="G8" i="38"/>
  <c r="AA8" i="38" s="1"/>
  <c r="K6" i="38"/>
  <c r="Z6" i="38"/>
  <c r="Y6" i="38"/>
  <c r="U6" i="38"/>
  <c r="T6" i="38"/>
  <c r="Q6" i="38"/>
  <c r="O6" i="38"/>
  <c r="G6" i="38"/>
  <c r="Z2" i="38"/>
  <c r="Y2" i="38"/>
  <c r="U2" i="38"/>
  <c r="T2" i="38"/>
  <c r="Q2" i="38"/>
  <c r="O2" i="38"/>
  <c r="K2" i="38"/>
  <c r="G2" i="38"/>
  <c r="D504" i="50" l="1"/>
  <c r="D505" i="50" s="1"/>
  <c r="K76" i="47"/>
  <c r="O41" i="38"/>
  <c r="AA6" i="38"/>
  <c r="G41" i="38"/>
  <c r="Y39" i="38"/>
  <c r="AA2" i="38"/>
  <c r="E112" i="12"/>
  <c r="E113" i="12" s="1"/>
  <c r="E114" i="12" s="1"/>
  <c r="E115" i="12" s="1"/>
  <c r="P8" i="38"/>
  <c r="P7" i="38"/>
  <c r="X7" i="38" s="1"/>
  <c r="Q8" i="38"/>
  <c r="Q41" i="38" s="1"/>
  <c r="P6" i="38"/>
  <c r="P2" i="38"/>
  <c r="D506" i="50" l="1"/>
  <c r="K77" i="47"/>
  <c r="X6" i="38"/>
  <c r="X41" i="38"/>
  <c r="P41" i="38"/>
  <c r="E116" i="12"/>
  <c r="E117" i="12" s="1"/>
  <c r="E118" i="12" s="1"/>
  <c r="E119" i="12" s="1"/>
  <c r="E120" i="12" s="1"/>
  <c r="X2" i="38"/>
  <c r="X8" i="38"/>
  <c r="Z10" i="38"/>
  <c r="Y10" i="38"/>
  <c r="O10" i="38" s="1"/>
  <c r="U10" i="38"/>
  <c r="T10" i="38"/>
  <c r="K10" i="38"/>
  <c r="G10" i="38"/>
  <c r="Z19" i="38"/>
  <c r="Y19" i="38"/>
  <c r="O19" i="38" s="1"/>
  <c r="O40" i="38" s="1"/>
  <c r="U19" i="38"/>
  <c r="T19" i="38"/>
  <c r="G19" i="38"/>
  <c r="G40" i="38" s="1"/>
  <c r="D507" i="50" l="1"/>
  <c r="K78" i="47"/>
  <c r="AA10" i="38"/>
  <c r="AA19" i="38"/>
  <c r="AA40" i="38" s="1"/>
  <c r="P19" i="38"/>
  <c r="P10" i="38"/>
  <c r="Q19" i="38"/>
  <c r="Q40" i="38" s="1"/>
  <c r="Q10" i="38"/>
  <c r="N35" i="38"/>
  <c r="M35" i="38"/>
  <c r="L35" i="38"/>
  <c r="N34" i="38"/>
  <c r="M34" i="38"/>
  <c r="L34" i="38"/>
  <c r="H33" i="38"/>
  <c r="R33" i="38"/>
  <c r="Z18" i="38"/>
  <c r="Y18" i="38"/>
  <c r="O18" i="38" s="1"/>
  <c r="O34" i="38" s="1"/>
  <c r="U18" i="38"/>
  <c r="T18" i="38"/>
  <c r="K18" i="38"/>
  <c r="G18" i="38"/>
  <c r="AA18" i="38" s="1"/>
  <c r="A30" i="38"/>
  <c r="Z94" i="34"/>
  <c r="Y94" i="34"/>
  <c r="O94" i="34" s="1"/>
  <c r="Q94" i="34" s="1"/>
  <c r="U94" i="34"/>
  <c r="T94" i="34"/>
  <c r="K94" i="34"/>
  <c r="G94" i="34"/>
  <c r="AA94" i="34" s="1"/>
  <c r="Z90" i="34"/>
  <c r="Y90" i="34"/>
  <c r="O90" i="34" s="1"/>
  <c r="Q90" i="34" s="1"/>
  <c r="U90" i="34"/>
  <c r="T90" i="34"/>
  <c r="K90" i="34"/>
  <c r="G90" i="34"/>
  <c r="AA90" i="34" s="1"/>
  <c r="Z91" i="34"/>
  <c r="Z92" i="34"/>
  <c r="Z88" i="34"/>
  <c r="Z86" i="34"/>
  <c r="Z89" i="34"/>
  <c r="Z93" i="34"/>
  <c r="Z95" i="34"/>
  <c r="Z96" i="34"/>
  <c r="Y91" i="34"/>
  <c r="Y92" i="34"/>
  <c r="Y88" i="34"/>
  <c r="Y86" i="34"/>
  <c r="Y89" i="34"/>
  <c r="Y93" i="34"/>
  <c r="Y95" i="34"/>
  <c r="Y96" i="34"/>
  <c r="S2" i="36"/>
  <c r="Q2" i="36"/>
  <c r="Q1" i="36"/>
  <c r="S1" i="36"/>
  <c r="D508" i="50" l="1"/>
  <c r="K79" i="47"/>
  <c r="O38" i="38"/>
  <c r="P40" i="38"/>
  <c r="X40" i="38"/>
  <c r="G38" i="38"/>
  <c r="G34" i="38"/>
  <c r="D5" i="18" s="1"/>
  <c r="O35" i="38"/>
  <c r="G35" i="38"/>
  <c r="AA38" i="38"/>
  <c r="F5" i="18"/>
  <c r="X19" i="38"/>
  <c r="P18" i="38"/>
  <c r="X10" i="38"/>
  <c r="P94" i="34"/>
  <c r="X94" i="34" s="1"/>
  <c r="K34" i="38"/>
  <c r="AA33" i="38"/>
  <c r="Q18" i="38"/>
  <c r="Q34" i="38" s="1"/>
  <c r="O33" i="38"/>
  <c r="G33" i="38"/>
  <c r="K35" i="38"/>
  <c r="P90" i="34"/>
  <c r="X90" i="34" s="1"/>
  <c r="O95" i="34"/>
  <c r="U95" i="34"/>
  <c r="T95" i="34"/>
  <c r="K95" i="34"/>
  <c r="G95" i="34"/>
  <c r="AA95" i="34" s="1"/>
  <c r="O96" i="34"/>
  <c r="U96" i="34"/>
  <c r="T96" i="34"/>
  <c r="K96" i="34"/>
  <c r="G96" i="34"/>
  <c r="AA96" i="34" s="1"/>
  <c r="O93" i="34"/>
  <c r="U93" i="34"/>
  <c r="T93" i="34"/>
  <c r="K93" i="34"/>
  <c r="G93" i="34"/>
  <c r="AA93" i="34" s="1"/>
  <c r="O89" i="34"/>
  <c r="U89" i="34"/>
  <c r="T89" i="34"/>
  <c r="K89" i="34"/>
  <c r="G89" i="34"/>
  <c r="AA89" i="34" s="1"/>
  <c r="K87" i="34"/>
  <c r="Z85" i="34"/>
  <c r="Z84" i="34"/>
  <c r="Z83" i="34"/>
  <c r="Z82" i="34"/>
  <c r="Z81" i="34"/>
  <c r="Z80" i="34"/>
  <c r="Z79" i="34"/>
  <c r="Z78" i="34"/>
  <c r="Z77" i="34"/>
  <c r="Z76" i="34"/>
  <c r="Z75" i="34"/>
  <c r="Z74" i="34"/>
  <c r="Z73" i="34"/>
  <c r="Z72" i="34"/>
  <c r="Z71" i="34"/>
  <c r="Z70" i="34"/>
  <c r="Z69" i="34"/>
  <c r="Z68" i="34"/>
  <c r="Z67" i="34"/>
  <c r="Z66" i="34"/>
  <c r="Z65" i="34"/>
  <c r="Z64" i="34"/>
  <c r="Z63" i="34"/>
  <c r="Z62" i="34"/>
  <c r="Z61" i="34"/>
  <c r="Z60" i="34"/>
  <c r="Z59" i="34"/>
  <c r="Z58" i="34"/>
  <c r="Z57" i="34"/>
  <c r="Z56" i="34"/>
  <c r="Z55" i="34"/>
  <c r="Z54" i="34"/>
  <c r="Z53" i="34"/>
  <c r="Z52" i="34"/>
  <c r="Z51" i="34"/>
  <c r="Z50" i="34"/>
  <c r="Z49" i="34"/>
  <c r="Z48" i="34"/>
  <c r="Z47" i="34"/>
  <c r="Z46" i="34"/>
  <c r="Z45" i="34"/>
  <c r="Z44" i="34"/>
  <c r="Z43" i="34"/>
  <c r="Z42" i="34"/>
  <c r="Z41" i="34"/>
  <c r="Z40" i="34"/>
  <c r="Z39" i="34"/>
  <c r="Z38" i="34"/>
  <c r="Z37" i="34"/>
  <c r="Z36" i="34"/>
  <c r="Z35" i="34"/>
  <c r="Z34" i="34"/>
  <c r="Z33" i="34"/>
  <c r="Z32" i="34"/>
  <c r="Z31" i="34"/>
  <c r="Z30" i="34"/>
  <c r="Z29" i="34"/>
  <c r="Z28" i="34"/>
  <c r="Z27" i="34"/>
  <c r="Z26" i="34"/>
  <c r="Z25" i="34"/>
  <c r="Z24" i="34"/>
  <c r="Z23" i="34"/>
  <c r="Z22" i="34"/>
  <c r="Z87" i="34"/>
  <c r="D509" i="50" l="1"/>
  <c r="K80" i="47"/>
  <c r="X38" i="38"/>
  <c r="Q38" i="38"/>
  <c r="P35" i="38"/>
  <c r="P34" i="38"/>
  <c r="C5" i="18" s="1"/>
  <c r="P38" i="38"/>
  <c r="Q35" i="38"/>
  <c r="Y40" i="38"/>
  <c r="P93" i="34"/>
  <c r="AA34" i="38"/>
  <c r="AA35" i="38" s="1"/>
  <c r="X18" i="38"/>
  <c r="Z41" i="38" s="1"/>
  <c r="P96" i="34"/>
  <c r="P95" i="34"/>
  <c r="P89" i="34"/>
  <c r="Q95" i="34"/>
  <c r="Q96" i="34"/>
  <c r="Q93" i="34"/>
  <c r="Q89" i="34"/>
  <c r="O88" i="34"/>
  <c r="O86" i="34"/>
  <c r="Y87" i="34"/>
  <c r="O87" i="34" s="1"/>
  <c r="Q87" i="34" s="1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68" i="34"/>
  <c r="Y69" i="34"/>
  <c r="Y70" i="34"/>
  <c r="Y71" i="34"/>
  <c r="Y72" i="34"/>
  <c r="Y73" i="34"/>
  <c r="Y74" i="34"/>
  <c r="Y75" i="34"/>
  <c r="Y76" i="34"/>
  <c r="Y77" i="34"/>
  <c r="Y78" i="34"/>
  <c r="Y79" i="34"/>
  <c r="Y80" i="34"/>
  <c r="Y81" i="34"/>
  <c r="Y82" i="34"/>
  <c r="Y83" i="34"/>
  <c r="Y84" i="34"/>
  <c r="Y85" i="34"/>
  <c r="Y22" i="34"/>
  <c r="H381" i="12"/>
  <c r="U87" i="34"/>
  <c r="T87" i="34"/>
  <c r="G87" i="34"/>
  <c r="AA87" i="34" s="1"/>
  <c r="U88" i="34"/>
  <c r="T88" i="34"/>
  <c r="K88" i="34"/>
  <c r="G88" i="34"/>
  <c r="AA88" i="34" s="1"/>
  <c r="U86" i="34"/>
  <c r="T86" i="34"/>
  <c r="K86" i="34"/>
  <c r="G86" i="34"/>
  <c r="AA86" i="34" s="1"/>
  <c r="D510" i="50" l="1"/>
  <c r="K81" i="47"/>
  <c r="Y38" i="38"/>
  <c r="Z39" i="38"/>
  <c r="Z38" i="38"/>
  <c r="Z40" i="38"/>
  <c r="X89" i="34"/>
  <c r="X96" i="34"/>
  <c r="X93" i="34"/>
  <c r="L319" i="12"/>
  <c r="K319" i="12"/>
  <c r="G5" i="18"/>
  <c r="X35" i="38"/>
  <c r="X33" i="38"/>
  <c r="Z33" i="38"/>
  <c r="Z35" i="38"/>
  <c r="Z34" i="38"/>
  <c r="X34" i="38"/>
  <c r="X95" i="34"/>
  <c r="P86" i="34"/>
  <c r="P88" i="34"/>
  <c r="Q86" i="34"/>
  <c r="P87" i="34"/>
  <c r="X87" i="34" s="1"/>
  <c r="Q88" i="34"/>
  <c r="I381" i="12"/>
  <c r="D511" i="50" l="1"/>
  <c r="K82" i="47"/>
  <c r="X86" i="34"/>
  <c r="X88" i="34"/>
  <c r="D512" i="50" l="1"/>
  <c r="K83" i="47"/>
  <c r="O81" i="34"/>
  <c r="U81" i="34"/>
  <c r="T81" i="34"/>
  <c r="K81" i="34"/>
  <c r="G81" i="34"/>
  <c r="AA81" i="34" s="1"/>
  <c r="O83" i="34"/>
  <c r="U83" i="34"/>
  <c r="T83" i="34"/>
  <c r="K83" i="34"/>
  <c r="G83" i="34"/>
  <c r="AA83" i="34" s="1"/>
  <c r="U72" i="34"/>
  <c r="T72" i="34"/>
  <c r="Q72" i="34"/>
  <c r="O72" i="34"/>
  <c r="K72" i="34"/>
  <c r="G72" i="34"/>
  <c r="AA72" i="34" s="1"/>
  <c r="O74" i="34"/>
  <c r="U74" i="34"/>
  <c r="T74" i="34"/>
  <c r="K74" i="34"/>
  <c r="G74" i="34"/>
  <c r="AA74" i="34" s="1"/>
  <c r="Q64" i="34"/>
  <c r="Q65" i="34"/>
  <c r="Q66" i="34"/>
  <c r="Q67" i="34"/>
  <c r="Q68" i="34"/>
  <c r="Q69" i="34"/>
  <c r="Q70" i="34"/>
  <c r="O73" i="34"/>
  <c r="U73" i="34"/>
  <c r="T73" i="34"/>
  <c r="K73" i="34"/>
  <c r="G73" i="34"/>
  <c r="AA73" i="34" s="1"/>
  <c r="O75" i="34"/>
  <c r="U75" i="34"/>
  <c r="T75" i="34"/>
  <c r="K75" i="34"/>
  <c r="G75" i="34"/>
  <c r="AA75" i="34" s="1"/>
  <c r="O82" i="34"/>
  <c r="U82" i="34"/>
  <c r="T82" i="34"/>
  <c r="K82" i="34"/>
  <c r="G82" i="34"/>
  <c r="AA82" i="34" s="1"/>
  <c r="O79" i="34"/>
  <c r="U79" i="34"/>
  <c r="T79" i="34"/>
  <c r="K79" i="34"/>
  <c r="G79" i="34"/>
  <c r="AA79" i="34" s="1"/>
  <c r="O92" i="34"/>
  <c r="U92" i="34"/>
  <c r="T92" i="34"/>
  <c r="K92" i="34"/>
  <c r="G92" i="34"/>
  <c r="AA92" i="34" s="1"/>
  <c r="O85" i="34"/>
  <c r="U85" i="34"/>
  <c r="T85" i="34"/>
  <c r="K85" i="34"/>
  <c r="G85" i="34"/>
  <c r="AA85" i="34" s="1"/>
  <c r="O80" i="34"/>
  <c r="U80" i="34"/>
  <c r="T80" i="34"/>
  <c r="K80" i="34"/>
  <c r="G80" i="34"/>
  <c r="AA80" i="34" s="1"/>
  <c r="O70" i="34"/>
  <c r="U70" i="34"/>
  <c r="T70" i="34"/>
  <c r="K70" i="34"/>
  <c r="G70" i="34"/>
  <c r="AA70" i="34" s="1"/>
  <c r="O76" i="34"/>
  <c r="U76" i="34"/>
  <c r="T76" i="34"/>
  <c r="K76" i="34"/>
  <c r="G76" i="34"/>
  <c r="AA76" i="34" s="1"/>
  <c r="O69" i="34"/>
  <c r="U69" i="34"/>
  <c r="T69" i="34"/>
  <c r="K69" i="34"/>
  <c r="G69" i="34"/>
  <c r="AA69" i="34" s="1"/>
  <c r="O68" i="34"/>
  <c r="U68" i="34"/>
  <c r="T68" i="34"/>
  <c r="K68" i="34"/>
  <c r="G68" i="34"/>
  <c r="AA68" i="34" s="1"/>
  <c r="O67" i="34"/>
  <c r="U67" i="34"/>
  <c r="T67" i="34"/>
  <c r="K67" i="34"/>
  <c r="G67" i="34"/>
  <c r="AA67" i="34" s="1"/>
  <c r="O66" i="34"/>
  <c r="U66" i="34"/>
  <c r="T66" i="34"/>
  <c r="K66" i="34"/>
  <c r="G66" i="34"/>
  <c r="AA66" i="34" s="1"/>
  <c r="O65" i="34"/>
  <c r="U65" i="34"/>
  <c r="T65" i="34"/>
  <c r="K65" i="34"/>
  <c r="G65" i="34"/>
  <c r="AA65" i="34" s="1"/>
  <c r="O71" i="34"/>
  <c r="U71" i="34"/>
  <c r="T71" i="34"/>
  <c r="K71" i="34"/>
  <c r="G71" i="34"/>
  <c r="AA71" i="34" s="1"/>
  <c r="O63" i="34"/>
  <c r="Q63" i="34" s="1"/>
  <c r="U63" i="34"/>
  <c r="T63" i="34"/>
  <c r="K63" i="34"/>
  <c r="G63" i="34"/>
  <c r="AA63" i="34" s="1"/>
  <c r="O84" i="34"/>
  <c r="U84" i="34"/>
  <c r="T84" i="34"/>
  <c r="K84" i="34"/>
  <c r="G84" i="34"/>
  <c r="AA84" i="34" s="1"/>
  <c r="O91" i="34"/>
  <c r="U91" i="34"/>
  <c r="T91" i="34"/>
  <c r="K91" i="34"/>
  <c r="G91" i="34"/>
  <c r="AA91" i="34" s="1"/>
  <c r="O62" i="34"/>
  <c r="Q62" i="34" s="1"/>
  <c r="U62" i="34"/>
  <c r="T62" i="34"/>
  <c r="K62" i="34"/>
  <c r="G62" i="34"/>
  <c r="AA62" i="34" s="1"/>
  <c r="O64" i="34"/>
  <c r="U64" i="34"/>
  <c r="T64" i="34"/>
  <c r="K64" i="34"/>
  <c r="G64" i="34"/>
  <c r="AA64" i="34" s="1"/>
  <c r="O58" i="34"/>
  <c r="Q58" i="34" s="1"/>
  <c r="U58" i="34"/>
  <c r="T58" i="34"/>
  <c r="K58" i="34"/>
  <c r="G58" i="34"/>
  <c r="AA58" i="34" s="1"/>
  <c r="D513" i="50" l="1"/>
  <c r="K84" i="47"/>
  <c r="P64" i="34"/>
  <c r="P116" i="34"/>
  <c r="P91" i="34"/>
  <c r="P92" i="34"/>
  <c r="Q92" i="34"/>
  <c r="P85" i="34"/>
  <c r="P82" i="34"/>
  <c r="P83" i="34"/>
  <c r="P84" i="34"/>
  <c r="P81" i="34"/>
  <c r="P80" i="34"/>
  <c r="P79" i="34"/>
  <c r="P76" i="34"/>
  <c r="Q81" i="34"/>
  <c r="P74" i="34"/>
  <c r="P73" i="34"/>
  <c r="Q83" i="34"/>
  <c r="P75" i="34"/>
  <c r="P72" i="34"/>
  <c r="X72" i="34" s="1"/>
  <c r="P66" i="34"/>
  <c r="X66" i="34" s="1"/>
  <c r="Q76" i="34"/>
  <c r="P71" i="34"/>
  <c r="Q74" i="34"/>
  <c r="Q80" i="34"/>
  <c r="Q71" i="34"/>
  <c r="Q79" i="34"/>
  <c r="Q82" i="34"/>
  <c r="Q75" i="34"/>
  <c r="P65" i="34"/>
  <c r="Q84" i="34"/>
  <c r="P70" i="34"/>
  <c r="X70" i="34" s="1"/>
  <c r="Q85" i="34"/>
  <c r="Q91" i="34"/>
  <c r="Q73" i="34"/>
  <c r="P69" i="34"/>
  <c r="P68" i="34"/>
  <c r="P67" i="34"/>
  <c r="X67" i="34" s="1"/>
  <c r="P63" i="34"/>
  <c r="X63" i="34" s="1"/>
  <c r="P62" i="34"/>
  <c r="X62" i="34" s="1"/>
  <c r="P58" i="34"/>
  <c r="X58" i="34" s="1"/>
  <c r="D514" i="50" l="1"/>
  <c r="K85" i="47"/>
  <c r="X91" i="34"/>
  <c r="X92" i="34"/>
  <c r="X82" i="34"/>
  <c r="X73" i="34"/>
  <c r="X85" i="34"/>
  <c r="X84" i="34"/>
  <c r="X83" i="34"/>
  <c r="X81" i="34"/>
  <c r="X80" i="34"/>
  <c r="X79" i="34"/>
  <c r="X76" i="34"/>
  <c r="X74" i="34"/>
  <c r="X75" i="34"/>
  <c r="X71" i="34"/>
  <c r="X64" i="34"/>
  <c r="X68" i="34"/>
  <c r="X69" i="34"/>
  <c r="X65" i="34"/>
  <c r="O55" i="34"/>
  <c r="U55" i="34"/>
  <c r="T55" i="34"/>
  <c r="K55" i="34"/>
  <c r="G55" i="34"/>
  <c r="K60" i="34"/>
  <c r="D515" i="50" l="1"/>
  <c r="K86" i="47"/>
  <c r="AA55" i="34"/>
  <c r="Q55" i="34"/>
  <c r="P55" i="34"/>
  <c r="O59" i="34"/>
  <c r="U59" i="34"/>
  <c r="T59" i="34"/>
  <c r="K59" i="34"/>
  <c r="G59" i="34"/>
  <c r="AA59" i="34" s="1"/>
  <c r="AA116" i="34"/>
  <c r="O56" i="34"/>
  <c r="Q56" i="34" s="1"/>
  <c r="U56" i="34"/>
  <c r="T56" i="34"/>
  <c r="K56" i="34"/>
  <c r="G56" i="34"/>
  <c r="AA56" i="34" s="1"/>
  <c r="D516" i="50" l="1"/>
  <c r="K87" i="47"/>
  <c r="X55" i="34"/>
  <c r="Q116" i="34"/>
  <c r="P59" i="34"/>
  <c r="P56" i="34"/>
  <c r="X56" i="34" s="1"/>
  <c r="Q59" i="34"/>
  <c r="D517" i="50" l="1"/>
  <c r="K88" i="47"/>
  <c r="Z116" i="34"/>
  <c r="X59" i="34"/>
  <c r="O61" i="34"/>
  <c r="U61" i="34"/>
  <c r="T61" i="34"/>
  <c r="K61" i="34"/>
  <c r="G61" i="34"/>
  <c r="AA61" i="34" s="1"/>
  <c r="O78" i="34"/>
  <c r="U78" i="34"/>
  <c r="T78" i="34"/>
  <c r="K78" i="34"/>
  <c r="G78" i="34"/>
  <c r="AA78" i="34" s="1"/>
  <c r="O77" i="34"/>
  <c r="U77" i="34"/>
  <c r="T77" i="34"/>
  <c r="K77" i="34"/>
  <c r="G77" i="34"/>
  <c r="AA77" i="34" s="1"/>
  <c r="O51" i="34"/>
  <c r="Q51" i="34" s="1"/>
  <c r="U51" i="34"/>
  <c r="T51" i="34"/>
  <c r="K51" i="34"/>
  <c r="G51" i="34"/>
  <c r="AA51" i="34" s="1"/>
  <c r="O60" i="34"/>
  <c r="U60" i="34"/>
  <c r="T60" i="34"/>
  <c r="G60" i="34"/>
  <c r="G122" i="34" s="1"/>
  <c r="O49" i="34"/>
  <c r="U49" i="34"/>
  <c r="T49" i="34"/>
  <c r="K49" i="34"/>
  <c r="G49" i="34"/>
  <c r="AA49" i="34" s="1"/>
  <c r="O54" i="34"/>
  <c r="U54" i="34"/>
  <c r="T54" i="34"/>
  <c r="K54" i="34"/>
  <c r="G54" i="34"/>
  <c r="AA54" i="34" s="1"/>
  <c r="O53" i="34"/>
  <c r="U53" i="34"/>
  <c r="T53" i="34"/>
  <c r="K53" i="34"/>
  <c r="G53" i="34"/>
  <c r="AA53" i="34" s="1"/>
  <c r="O52" i="34"/>
  <c r="Q52" i="34" s="1"/>
  <c r="U52" i="34"/>
  <c r="T52" i="34"/>
  <c r="K52" i="34"/>
  <c r="G52" i="34"/>
  <c r="AA52" i="34" s="1"/>
  <c r="O48" i="34"/>
  <c r="Q48" i="34" s="1"/>
  <c r="U48" i="34"/>
  <c r="T48" i="34"/>
  <c r="K48" i="34"/>
  <c r="G48" i="34"/>
  <c r="AA48" i="34" s="1"/>
  <c r="D518" i="50" l="1"/>
  <c r="D519" i="50" s="1"/>
  <c r="K89" i="47"/>
  <c r="AA60" i="34"/>
  <c r="AA122" i="34" s="1"/>
  <c r="P78" i="34"/>
  <c r="P77" i="34"/>
  <c r="Q78" i="34"/>
  <c r="P61" i="34"/>
  <c r="P54" i="34"/>
  <c r="P60" i="34"/>
  <c r="Q61" i="34"/>
  <c r="P53" i="34"/>
  <c r="P52" i="34"/>
  <c r="X52" i="34" s="1"/>
  <c r="P51" i="34"/>
  <c r="X51" i="34" s="1"/>
  <c r="Q77" i="34"/>
  <c r="P49" i="34"/>
  <c r="Q60" i="34"/>
  <c r="Q122" i="34" s="1"/>
  <c r="P48" i="34"/>
  <c r="X48" i="34" s="1"/>
  <c r="Q49" i="34"/>
  <c r="Q54" i="34"/>
  <c r="Q53" i="34"/>
  <c r="O57" i="34"/>
  <c r="U57" i="34"/>
  <c r="T57" i="34"/>
  <c r="K57" i="34"/>
  <c r="G57" i="34"/>
  <c r="AA57" i="34" s="1"/>
  <c r="O47" i="34"/>
  <c r="U47" i="34"/>
  <c r="T47" i="34"/>
  <c r="K47" i="34"/>
  <c r="G47" i="34"/>
  <c r="AA47" i="34" s="1"/>
  <c r="U46" i="34"/>
  <c r="T46" i="34"/>
  <c r="Q46" i="34"/>
  <c r="O46" i="34"/>
  <c r="K46" i="34"/>
  <c r="G46" i="34"/>
  <c r="AA46" i="34" s="1"/>
  <c r="O50" i="34"/>
  <c r="U50" i="34"/>
  <c r="T50" i="34"/>
  <c r="K50" i="34"/>
  <c r="G50" i="34"/>
  <c r="AA50" i="34" s="1"/>
  <c r="O44" i="34"/>
  <c r="Q44" i="34" s="1"/>
  <c r="U44" i="34"/>
  <c r="T44" i="34"/>
  <c r="K44" i="34"/>
  <c r="G44" i="34"/>
  <c r="AA44" i="34" s="1"/>
  <c r="O43" i="34"/>
  <c r="Q43" i="34" s="1"/>
  <c r="U43" i="34"/>
  <c r="T43" i="34"/>
  <c r="K43" i="34"/>
  <c r="G43" i="34"/>
  <c r="AA43" i="34" s="1"/>
  <c r="H112" i="12"/>
  <c r="H113" i="12"/>
  <c r="H114" i="12"/>
  <c r="H115" i="12"/>
  <c r="H121" i="12"/>
  <c r="K121" i="12" s="1"/>
  <c r="H122" i="12"/>
  <c r="H123" i="12"/>
  <c r="H124" i="12"/>
  <c r="K124" i="12" s="1"/>
  <c r="H125" i="12"/>
  <c r="H127" i="12"/>
  <c r="H141" i="12"/>
  <c r="H142" i="12"/>
  <c r="H143" i="12"/>
  <c r="K15" i="12"/>
  <c r="K14" i="12"/>
  <c r="H19" i="12"/>
  <c r="K19" i="12" s="1"/>
  <c r="H21" i="12"/>
  <c r="H22" i="12"/>
  <c r="H25" i="12"/>
  <c r="H26" i="12"/>
  <c r="H27" i="12"/>
  <c r="H34" i="12"/>
  <c r="H37" i="12"/>
  <c r="H31" i="12"/>
  <c r="H32" i="12"/>
  <c r="K32" i="12" s="1"/>
  <c r="H33" i="12"/>
  <c r="K33" i="12" s="1"/>
  <c r="H43" i="12"/>
  <c r="H49" i="12"/>
  <c r="H47" i="12"/>
  <c r="K47" i="12" s="1"/>
  <c r="H50" i="12"/>
  <c r="K50" i="12" s="1"/>
  <c r="H46" i="12"/>
  <c r="K46" i="12" s="1"/>
  <c r="H54" i="12"/>
  <c r="K54" i="12" s="1"/>
  <c r="H56" i="12"/>
  <c r="K56" i="12" s="1"/>
  <c r="H65" i="12"/>
  <c r="K65" i="12" s="1"/>
  <c r="H66" i="12"/>
  <c r="H53" i="12"/>
  <c r="K53" i="12" s="1"/>
  <c r="H70" i="12"/>
  <c r="H71" i="12"/>
  <c r="H72" i="12"/>
  <c r="H83" i="12"/>
  <c r="K83" i="12" s="1"/>
  <c r="H84" i="12"/>
  <c r="H86" i="12"/>
  <c r="H88" i="12"/>
  <c r="H90" i="12"/>
  <c r="H92" i="12"/>
  <c r="H93" i="12"/>
  <c r="H94" i="12"/>
  <c r="H98" i="12"/>
  <c r="H99" i="12"/>
  <c r="H105" i="12"/>
  <c r="H106" i="12"/>
  <c r="H104" i="12"/>
  <c r="K104" i="12" s="1"/>
  <c r="H109" i="12"/>
  <c r="H110" i="12"/>
  <c r="C230" i="12"/>
  <c r="F180" i="12" s="1"/>
  <c r="O40" i="34"/>
  <c r="Q40" i="34" s="1"/>
  <c r="U40" i="34"/>
  <c r="T40" i="34"/>
  <c r="K40" i="34"/>
  <c r="G40" i="34"/>
  <c r="AA40" i="34" s="1"/>
  <c r="O38" i="34"/>
  <c r="U38" i="34"/>
  <c r="T38" i="34"/>
  <c r="K38" i="34"/>
  <c r="G38" i="34"/>
  <c r="AA38" i="34" s="1"/>
  <c r="O37" i="34"/>
  <c r="Q37" i="34" s="1"/>
  <c r="U37" i="34"/>
  <c r="T37" i="34"/>
  <c r="K37" i="34"/>
  <c r="G37" i="34"/>
  <c r="AA37" i="34" s="1"/>
  <c r="O36" i="34"/>
  <c r="Q36" i="34" s="1"/>
  <c r="U36" i="34"/>
  <c r="T36" i="34"/>
  <c r="K36" i="34"/>
  <c r="G36" i="34"/>
  <c r="AA36" i="34" s="1"/>
  <c r="O35" i="34"/>
  <c r="Q35" i="34" s="1"/>
  <c r="U35" i="34"/>
  <c r="T35" i="34"/>
  <c r="K35" i="34"/>
  <c r="G35" i="34"/>
  <c r="AA35" i="34" s="1"/>
  <c r="O29" i="34"/>
  <c r="Q29" i="34" s="1"/>
  <c r="U29" i="34"/>
  <c r="T29" i="34"/>
  <c r="K29" i="34"/>
  <c r="G29" i="34"/>
  <c r="AA29" i="34" s="1"/>
  <c r="O27" i="34"/>
  <c r="Q27" i="34" s="1"/>
  <c r="U27" i="34"/>
  <c r="T27" i="34"/>
  <c r="K27" i="34"/>
  <c r="G27" i="34"/>
  <c r="AA27" i="34" s="1"/>
  <c r="O34" i="34"/>
  <c r="U34" i="34"/>
  <c r="T34" i="34"/>
  <c r="K34" i="34"/>
  <c r="G34" i="34"/>
  <c r="AA34" i="34" s="1"/>
  <c r="K90" i="47" l="1"/>
  <c r="X122" i="34"/>
  <c r="P122" i="34"/>
  <c r="Y122" i="34" s="1"/>
  <c r="K180" i="12"/>
  <c r="L180" i="12"/>
  <c r="X78" i="34"/>
  <c r="X77" i="34"/>
  <c r="X61" i="34"/>
  <c r="X54" i="34"/>
  <c r="P57" i="34"/>
  <c r="X53" i="34"/>
  <c r="X60" i="34"/>
  <c r="X49" i="34"/>
  <c r="P47" i="34"/>
  <c r="Q57" i="34"/>
  <c r="Q47" i="34"/>
  <c r="P46" i="34"/>
  <c r="X46" i="34" s="1"/>
  <c r="Q50" i="34"/>
  <c r="P50" i="34"/>
  <c r="P38" i="34"/>
  <c r="P44" i="34"/>
  <c r="X44" i="34" s="1"/>
  <c r="P43" i="34"/>
  <c r="X43" i="34" s="1"/>
  <c r="P35" i="34"/>
  <c r="X35" i="34" s="1"/>
  <c r="P36" i="34"/>
  <c r="X36" i="34" s="1"/>
  <c r="P34" i="34"/>
  <c r="P40" i="34"/>
  <c r="X40" i="34" s="1"/>
  <c r="P37" i="34"/>
  <c r="X37" i="34" s="1"/>
  <c r="Q34" i="34"/>
  <c r="P29" i="34"/>
  <c r="X29" i="34" s="1"/>
  <c r="P27" i="34"/>
  <c r="X27" i="34" s="1"/>
  <c r="Q38" i="34"/>
  <c r="K91" i="47" l="1"/>
  <c r="X57" i="34"/>
  <c r="X47" i="34"/>
  <c r="X50" i="34"/>
  <c r="X38" i="34"/>
  <c r="X34" i="34"/>
  <c r="O39" i="34"/>
  <c r="U39" i="34"/>
  <c r="T39" i="34"/>
  <c r="K39" i="34"/>
  <c r="G39" i="34"/>
  <c r="AA39" i="34" s="1"/>
  <c r="D520" i="50" l="1"/>
  <c r="K92" i="47"/>
  <c r="P39" i="34"/>
  <c r="Q39" i="34"/>
  <c r="D521" i="50" l="1"/>
  <c r="K93" i="47"/>
  <c r="X39" i="34"/>
  <c r="O45" i="34"/>
  <c r="U45" i="34"/>
  <c r="T45" i="34"/>
  <c r="K45" i="34"/>
  <c r="G45" i="34"/>
  <c r="G125" i="34" s="1"/>
  <c r="O42" i="34"/>
  <c r="U42" i="34"/>
  <c r="T42" i="34"/>
  <c r="K42" i="34"/>
  <c r="G42" i="34"/>
  <c r="AA42" i="34" s="1"/>
  <c r="O41" i="34"/>
  <c r="U41" i="34"/>
  <c r="T41" i="34"/>
  <c r="K41" i="34"/>
  <c r="G41" i="34"/>
  <c r="AA41" i="34" s="1"/>
  <c r="O30" i="34"/>
  <c r="U30" i="34"/>
  <c r="T30" i="34"/>
  <c r="K30" i="34"/>
  <c r="G30" i="34"/>
  <c r="AA30" i="34" s="1"/>
  <c r="O28" i="34"/>
  <c r="U28" i="34"/>
  <c r="T28" i="34"/>
  <c r="K28" i="34"/>
  <c r="G28" i="34"/>
  <c r="AA28" i="34" s="1"/>
  <c r="O33" i="34"/>
  <c r="U33" i="34"/>
  <c r="T33" i="34"/>
  <c r="K33" i="34"/>
  <c r="G33" i="34"/>
  <c r="AA33" i="34" s="1"/>
  <c r="O26" i="34"/>
  <c r="U26" i="34"/>
  <c r="T26" i="34"/>
  <c r="K26" i="34"/>
  <c r="G26" i="34"/>
  <c r="AA26" i="34" s="1"/>
  <c r="O32" i="34"/>
  <c r="U32" i="34"/>
  <c r="T32" i="34"/>
  <c r="K32" i="34"/>
  <c r="G32" i="34"/>
  <c r="AA32" i="34" s="1"/>
  <c r="O31" i="34"/>
  <c r="U31" i="34"/>
  <c r="T31" i="34"/>
  <c r="K31" i="34"/>
  <c r="G31" i="34"/>
  <c r="G123" i="34" s="1"/>
  <c r="U25" i="34"/>
  <c r="T25" i="34"/>
  <c r="Q25" i="34"/>
  <c r="O25" i="34"/>
  <c r="K25" i="34"/>
  <c r="G25" i="34"/>
  <c r="U24" i="34"/>
  <c r="T24" i="34"/>
  <c r="Q24" i="34"/>
  <c r="O24" i="34"/>
  <c r="K24" i="34"/>
  <c r="G24" i="34"/>
  <c r="AA24" i="34" s="1"/>
  <c r="U23" i="34"/>
  <c r="T23" i="34"/>
  <c r="Q23" i="34"/>
  <c r="O23" i="34"/>
  <c r="K23" i="34"/>
  <c r="G23" i="34"/>
  <c r="AA23" i="34" s="1"/>
  <c r="U22" i="34"/>
  <c r="T22" i="34"/>
  <c r="Q22" i="34"/>
  <c r="O22" i="34"/>
  <c r="K22" i="34"/>
  <c r="G22" i="34"/>
  <c r="N118" i="34"/>
  <c r="M118" i="34"/>
  <c r="L118" i="34"/>
  <c r="N117" i="34"/>
  <c r="M117" i="34"/>
  <c r="L117" i="34"/>
  <c r="R116" i="34"/>
  <c r="H116" i="34"/>
  <c r="A113" i="34"/>
  <c r="H30" i="28"/>
  <c r="D522" i="50" l="1"/>
  <c r="K94" i="47"/>
  <c r="G124" i="34"/>
  <c r="G117" i="34"/>
  <c r="G118" i="34"/>
  <c r="G121" i="34"/>
  <c r="AA45" i="34"/>
  <c r="AA125" i="34" s="1"/>
  <c r="AA22" i="34"/>
  <c r="AA31" i="34"/>
  <c r="AA123" i="34" s="1"/>
  <c r="AA25" i="34"/>
  <c r="AA124" i="34" s="1"/>
  <c r="F4" i="18"/>
  <c r="P25" i="34"/>
  <c r="P33" i="34"/>
  <c r="P42" i="34"/>
  <c r="P41" i="34"/>
  <c r="P45" i="34"/>
  <c r="P31" i="34"/>
  <c r="P32" i="34"/>
  <c r="P28" i="34"/>
  <c r="P30" i="34"/>
  <c r="P26" i="34"/>
  <c r="Q45" i="34"/>
  <c r="Q125" i="34" s="1"/>
  <c r="Q42" i="34"/>
  <c r="Q41" i="34"/>
  <c r="Q31" i="34"/>
  <c r="Q123" i="34" s="1"/>
  <c r="Q32" i="34"/>
  <c r="Q26" i="34"/>
  <c r="Q33" i="34"/>
  <c r="Q30" i="34"/>
  <c r="Q121" i="34" s="1"/>
  <c r="Q28" i="34"/>
  <c r="G116" i="34"/>
  <c r="K117" i="34"/>
  <c r="O117" i="34"/>
  <c r="P24" i="34"/>
  <c r="X24" i="34" s="1"/>
  <c r="P23" i="34"/>
  <c r="X23" i="34" s="1"/>
  <c r="P22" i="34"/>
  <c r="O116" i="34"/>
  <c r="O118" i="34"/>
  <c r="D4" i="18"/>
  <c r="K118" i="34"/>
  <c r="P121" i="34" l="1"/>
  <c r="D523" i="50"/>
  <c r="P117" i="34"/>
  <c r="K95" i="47"/>
  <c r="P118" i="34"/>
  <c r="C4" i="18" s="1"/>
  <c r="Q124" i="34"/>
  <c r="X121" i="34"/>
  <c r="X124" i="34"/>
  <c r="P124" i="34"/>
  <c r="X125" i="34"/>
  <c r="P125" i="34"/>
  <c r="Y125" i="34" s="1"/>
  <c r="P123" i="34"/>
  <c r="Y123" i="34" s="1"/>
  <c r="X123" i="34"/>
  <c r="AA121" i="34"/>
  <c r="AA117" i="34"/>
  <c r="X25" i="34"/>
  <c r="X22" i="34"/>
  <c r="Q117" i="34"/>
  <c r="X33" i="34"/>
  <c r="X31" i="34"/>
  <c r="X41" i="34"/>
  <c r="X42" i="34"/>
  <c r="X30" i="34"/>
  <c r="X45" i="34"/>
  <c r="X28" i="34"/>
  <c r="X26" i="34"/>
  <c r="X32" i="34"/>
  <c r="Q118" i="34"/>
  <c r="D524" i="50" l="1"/>
  <c r="K96" i="47"/>
  <c r="Y121" i="34"/>
  <c r="Z122" i="34"/>
  <c r="Z123" i="34"/>
  <c r="Z124" i="34"/>
  <c r="Z125" i="34"/>
  <c r="Z121" i="34"/>
  <c r="Y124" i="34"/>
  <c r="X116" i="34"/>
  <c r="X118" i="34"/>
  <c r="X117" i="34"/>
  <c r="AA118" i="34"/>
  <c r="Z118" i="34" s="1"/>
  <c r="Z117" i="34"/>
  <c r="D525" i="50" l="1"/>
  <c r="K97" i="47"/>
  <c r="G4" i="18"/>
  <c r="O20" i="28"/>
  <c r="Q20" i="28" s="1"/>
  <c r="U20" i="28"/>
  <c r="T20" i="28"/>
  <c r="K20" i="28"/>
  <c r="G20" i="28"/>
  <c r="AA20" i="28" s="1"/>
  <c r="D526" i="50" l="1"/>
  <c r="D527" i="50" s="1"/>
  <c r="D528" i="50" s="1"/>
  <c r="D529" i="50" s="1"/>
  <c r="D530" i="50" s="1"/>
  <c r="D531" i="50" s="1"/>
  <c r="D532" i="50" s="1"/>
  <c r="D533" i="50" s="1"/>
  <c r="D534" i="50" s="1"/>
  <c r="D535" i="50" s="1"/>
  <c r="D536" i="50" s="1"/>
  <c r="D537" i="50" s="1"/>
  <c r="D538" i="50" s="1"/>
  <c r="D539" i="50" s="1"/>
  <c r="D540" i="50" s="1"/>
  <c r="D541" i="50" s="1"/>
  <c r="D542" i="50" s="1"/>
  <c r="D543" i="50" s="1"/>
  <c r="D544" i="50" s="1"/>
  <c r="D545" i="50" s="1"/>
  <c r="D546" i="50" s="1"/>
  <c r="D547" i="50" s="1"/>
  <c r="D548" i="50" s="1"/>
  <c r="D549" i="50" s="1"/>
  <c r="D550" i="50" s="1"/>
  <c r="D551" i="50" s="1"/>
  <c r="D552" i="50" s="1"/>
  <c r="K98" i="47"/>
  <c r="P20" i="28"/>
  <c r="X20" i="28" s="1"/>
  <c r="D553" i="50" l="1"/>
  <c r="K99" i="47"/>
  <c r="O19" i="28"/>
  <c r="Q19" i="28" s="1"/>
  <c r="U19" i="28"/>
  <c r="T19" i="28"/>
  <c r="K19" i="28"/>
  <c r="G19" i="28"/>
  <c r="AA19" i="28" s="1"/>
  <c r="O17" i="28"/>
  <c r="Q17" i="28" s="1"/>
  <c r="U17" i="28"/>
  <c r="T17" i="28"/>
  <c r="K17" i="28"/>
  <c r="G17" i="28"/>
  <c r="AA17" i="28" s="1"/>
  <c r="D554" i="50" l="1"/>
  <c r="K100" i="47"/>
  <c r="P19" i="28"/>
  <c r="X19" i="28" s="1"/>
  <c r="P17" i="28"/>
  <c r="X17" i="28" s="1"/>
  <c r="O18" i="28"/>
  <c r="U18" i="28"/>
  <c r="T18" i="28"/>
  <c r="K18" i="28"/>
  <c r="G18" i="28"/>
  <c r="AA18" i="28" s="1"/>
  <c r="D555" i="50" l="1"/>
  <c r="K101" i="47"/>
  <c r="P18" i="28"/>
  <c r="Q18" i="28"/>
  <c r="D556" i="50" l="1"/>
  <c r="K102" i="47"/>
  <c r="X18" i="28"/>
  <c r="D557" i="50" l="1"/>
  <c r="K103" i="47"/>
  <c r="O12" i="28"/>
  <c r="U12" i="28"/>
  <c r="T12" i="28"/>
  <c r="K12" i="28"/>
  <c r="G12" i="28"/>
  <c r="AA12" i="28" s="1"/>
  <c r="O16" i="28"/>
  <c r="Q16" i="28" s="1"/>
  <c r="U16" i="28"/>
  <c r="T16" i="28"/>
  <c r="K16" i="28"/>
  <c r="G16" i="28"/>
  <c r="AA16" i="28" s="1"/>
  <c r="D558" i="50" l="1"/>
  <c r="K104" i="47"/>
  <c r="P12" i="28"/>
  <c r="P16" i="28"/>
  <c r="X16" i="28" s="1"/>
  <c r="Q12" i="28"/>
  <c r="O13" i="28"/>
  <c r="U13" i="28"/>
  <c r="T13" i="28"/>
  <c r="K13" i="28"/>
  <c r="G13" i="28"/>
  <c r="AA13" i="28" s="1"/>
  <c r="O15" i="28"/>
  <c r="U15" i="28"/>
  <c r="T15" i="28"/>
  <c r="K15" i="28"/>
  <c r="G15" i="28"/>
  <c r="AA15" i="28" s="1"/>
  <c r="O11" i="28"/>
  <c r="U11" i="28"/>
  <c r="T11" i="28"/>
  <c r="K11" i="28"/>
  <c r="G11" i="28"/>
  <c r="AA11" i="28" s="1"/>
  <c r="O14" i="28"/>
  <c r="U14" i="28"/>
  <c r="T14" i="28"/>
  <c r="K14" i="28"/>
  <c r="G14" i="28"/>
  <c r="AA14" i="28" s="1"/>
  <c r="D559" i="50" l="1"/>
  <c r="K105" i="47"/>
  <c r="P13" i="28"/>
  <c r="P11" i="28"/>
  <c r="P14" i="28"/>
  <c r="P15" i="28"/>
  <c r="X12" i="28"/>
  <c r="Q14" i="28"/>
  <c r="Q11" i="28"/>
  <c r="Q15" i="28"/>
  <c r="Q13" i="28"/>
  <c r="O10" i="28"/>
  <c r="Q10" i="28" s="1"/>
  <c r="U10" i="28"/>
  <c r="T10" i="28"/>
  <c r="K10" i="28"/>
  <c r="G10" i="28"/>
  <c r="AA10" i="28" s="1"/>
  <c r="D560" i="50" l="1"/>
  <c r="K106" i="47"/>
  <c r="P28" i="28"/>
  <c r="X15" i="28"/>
  <c r="P10" i="28"/>
  <c r="X10" i="28" s="1"/>
  <c r="X13" i="28"/>
  <c r="X14" i="28"/>
  <c r="X11" i="28"/>
  <c r="O7" i="28"/>
  <c r="U7" i="28"/>
  <c r="T7" i="28"/>
  <c r="K7" i="28"/>
  <c r="G7" i="28"/>
  <c r="AA7" i="28" s="1"/>
  <c r="D561" i="50" l="1"/>
  <c r="K107" i="47"/>
  <c r="P7" i="28"/>
  <c r="Q7" i="28"/>
  <c r="O6" i="28"/>
  <c r="U6" i="28"/>
  <c r="T6" i="28"/>
  <c r="K6" i="28"/>
  <c r="G6" i="28"/>
  <c r="O8" i="28"/>
  <c r="U8" i="28"/>
  <c r="T8" i="28"/>
  <c r="K8" i="28"/>
  <c r="G8" i="28"/>
  <c r="AA8" i="28" s="1"/>
  <c r="D562" i="50" l="1"/>
  <c r="K108" i="47"/>
  <c r="Q6" i="28"/>
  <c r="AA6" i="28"/>
  <c r="P8" i="28"/>
  <c r="P6" i="28"/>
  <c r="X7" i="28"/>
  <c r="Q8" i="28"/>
  <c r="A25" i="27"/>
  <c r="U5" i="28"/>
  <c r="T5" i="28"/>
  <c r="Q5" i="28"/>
  <c r="O5" i="28"/>
  <c r="K5" i="28"/>
  <c r="G5" i="28"/>
  <c r="AA5" i="28" s="1"/>
  <c r="U4" i="28"/>
  <c r="T4" i="28"/>
  <c r="Q4" i="28"/>
  <c r="O4" i="28"/>
  <c r="K4" i="28"/>
  <c r="G4" i="28"/>
  <c r="H67" i="27"/>
  <c r="D563" i="50" l="1"/>
  <c r="K109" i="47"/>
  <c r="AA4" i="28"/>
  <c r="P4" i="28"/>
  <c r="P5" i="28"/>
  <c r="X5" i="28" s="1"/>
  <c r="X6" i="28"/>
  <c r="X8" i="28"/>
  <c r="O9" i="28"/>
  <c r="O33" i="28" s="1"/>
  <c r="U9" i="28"/>
  <c r="T9" i="28"/>
  <c r="K9" i="28"/>
  <c r="G9" i="28"/>
  <c r="G33" i="28" s="1"/>
  <c r="D564" i="50" l="1"/>
  <c r="D565" i="50" s="1"/>
  <c r="K110" i="47"/>
  <c r="AA9" i="28"/>
  <c r="AA33" i="28" s="1"/>
  <c r="P9" i="28"/>
  <c r="X33" i="28" s="1"/>
  <c r="X4" i="28"/>
  <c r="Q9" i="28"/>
  <c r="Q33" i="28" s="1"/>
  <c r="O3" i="28"/>
  <c r="Q3" i="28" s="1"/>
  <c r="U3" i="28"/>
  <c r="T3" i="28"/>
  <c r="K3" i="28"/>
  <c r="G3" i="28"/>
  <c r="AA3" i="28" s="1"/>
  <c r="D566" i="50" l="1"/>
  <c r="K111" i="47"/>
  <c r="P33" i="28"/>
  <c r="Y33" i="28" s="1"/>
  <c r="P3" i="28"/>
  <c r="X3" i="28" s="1"/>
  <c r="X9" i="28"/>
  <c r="D567" i="50" l="1"/>
  <c r="K112" i="47"/>
  <c r="O2" i="28"/>
  <c r="U2" i="28"/>
  <c r="T2" i="28"/>
  <c r="K2" i="28"/>
  <c r="G2" i="28"/>
  <c r="AA2" i="28" s="1"/>
  <c r="R30" i="28"/>
  <c r="N30" i="28"/>
  <c r="M30" i="28"/>
  <c r="L30" i="28"/>
  <c r="R29" i="28"/>
  <c r="N29" i="28"/>
  <c r="M29" i="28"/>
  <c r="L29" i="28"/>
  <c r="H29" i="28"/>
  <c r="R28" i="28"/>
  <c r="H28" i="28"/>
  <c r="D568" i="50" l="1"/>
  <c r="K113" i="47"/>
  <c r="O35" i="28"/>
  <c r="O34" i="28"/>
  <c r="G35" i="28"/>
  <c r="G34" i="28"/>
  <c r="F3" i="18"/>
  <c r="AA28" i="28"/>
  <c r="P2" i="28"/>
  <c r="P29" i="28" s="1"/>
  <c r="Q2" i="28"/>
  <c r="G30" i="28"/>
  <c r="D3" i="18" s="1"/>
  <c r="K29" i="28"/>
  <c r="O28" i="28"/>
  <c r="O29" i="28"/>
  <c r="G28" i="28"/>
  <c r="O30" i="28"/>
  <c r="K30" i="28"/>
  <c r="G29" i="28"/>
  <c r="G2" i="27"/>
  <c r="AA2" i="27" s="1"/>
  <c r="R31" i="27"/>
  <c r="D569" i="50" l="1"/>
  <c r="K114" i="47"/>
  <c r="Q35" i="28"/>
  <c r="Q34" i="28"/>
  <c r="X34" i="28"/>
  <c r="X35" i="28"/>
  <c r="P34" i="28"/>
  <c r="AA35" i="28"/>
  <c r="AA34" i="28"/>
  <c r="P35" i="28"/>
  <c r="AA29" i="28"/>
  <c r="AA30" i="28" s="1"/>
  <c r="X2" i="28"/>
  <c r="Q29" i="28"/>
  <c r="Q28" i="28"/>
  <c r="X28" i="28" s="1"/>
  <c r="Q30" i="28"/>
  <c r="P30" i="28"/>
  <c r="C3" i="18" s="1"/>
  <c r="D570" i="50" l="1"/>
  <c r="K115" i="47"/>
  <c r="Y35" i="28"/>
  <c r="Z34" i="28"/>
  <c r="Z35" i="28"/>
  <c r="Z33" i="28"/>
  <c r="Y34" i="28"/>
  <c r="Z29" i="28"/>
  <c r="G3" i="18"/>
  <c r="X29" i="28"/>
  <c r="Z28" i="28"/>
  <c r="X30" i="28"/>
  <c r="Z30" i="28"/>
  <c r="D571" i="50" l="1"/>
  <c r="K116" i="47"/>
  <c r="T20" i="27"/>
  <c r="T21" i="27"/>
  <c r="T17" i="27"/>
  <c r="T19" i="27"/>
  <c r="T15" i="27"/>
  <c r="T18" i="27"/>
  <c r="T16" i="27"/>
  <c r="T14" i="27"/>
  <c r="T13" i="27"/>
  <c r="T11" i="27"/>
  <c r="T12" i="27"/>
  <c r="T2" i="27"/>
  <c r="T3" i="27"/>
  <c r="T4" i="27"/>
  <c r="T5" i="27"/>
  <c r="T6" i="27"/>
  <c r="T7" i="27"/>
  <c r="T8" i="27"/>
  <c r="T9" i="27"/>
  <c r="T10" i="27"/>
  <c r="D572" i="50" l="1"/>
  <c r="K117" i="47"/>
  <c r="O20" i="27"/>
  <c r="U20" i="27"/>
  <c r="K20" i="27"/>
  <c r="G20" i="27"/>
  <c r="AA20" i="27" s="1"/>
  <c r="O21" i="27"/>
  <c r="U21" i="27"/>
  <c r="K21" i="27"/>
  <c r="G21" i="27"/>
  <c r="AA21" i="27" s="1"/>
  <c r="O17" i="27"/>
  <c r="Q17" i="27" s="1"/>
  <c r="U17" i="27"/>
  <c r="K17" i="27"/>
  <c r="G17" i="27"/>
  <c r="AA17" i="27" s="1"/>
  <c r="D573" i="50" l="1"/>
  <c r="K118" i="47"/>
  <c r="P21" i="27"/>
  <c r="P17" i="27"/>
  <c r="X17" i="27" s="1"/>
  <c r="P20" i="27"/>
  <c r="Q20" i="27"/>
  <c r="Q21" i="27"/>
  <c r="K13" i="27"/>
  <c r="D574" i="50" l="1"/>
  <c r="K119" i="47"/>
  <c r="X21" i="27"/>
  <c r="X20" i="27"/>
  <c r="O14" i="27"/>
  <c r="O3" i="27"/>
  <c r="O4" i="27"/>
  <c r="O5" i="27"/>
  <c r="O6" i="27"/>
  <c r="O7" i="27"/>
  <c r="O8" i="27"/>
  <c r="O9" i="27"/>
  <c r="O10" i="27"/>
  <c r="O11" i="27"/>
  <c r="O12" i="27"/>
  <c r="Q3" i="27"/>
  <c r="Q4" i="27"/>
  <c r="Q5" i="27"/>
  <c r="Q6" i="27"/>
  <c r="Q7" i="27"/>
  <c r="Q8" i="27"/>
  <c r="Q9" i="27"/>
  <c r="Q10" i="27"/>
  <c r="Q11" i="27"/>
  <c r="Q12" i="27"/>
  <c r="K19" i="27"/>
  <c r="K15" i="27"/>
  <c r="K18" i="27"/>
  <c r="K16" i="27"/>
  <c r="K14" i="27"/>
  <c r="K12" i="27"/>
  <c r="D575" i="50" l="1"/>
  <c r="K120" i="47"/>
  <c r="U15" i="27"/>
  <c r="G15" i="27"/>
  <c r="AA15" i="27" s="1"/>
  <c r="K11" i="27"/>
  <c r="K10" i="27"/>
  <c r="O19" i="27"/>
  <c r="U19" i="27"/>
  <c r="G19" i="27"/>
  <c r="AA19" i="27" s="1"/>
  <c r="O18" i="27"/>
  <c r="U18" i="27"/>
  <c r="G18" i="27"/>
  <c r="AA18" i="27" s="1"/>
  <c r="O16" i="27"/>
  <c r="U16" i="27"/>
  <c r="G16" i="27"/>
  <c r="AA16" i="27" s="1"/>
  <c r="D576" i="50" l="1"/>
  <c r="K121" i="47"/>
  <c r="P19" i="27"/>
  <c r="P18" i="27"/>
  <c r="P16" i="27"/>
  <c r="P15" i="27"/>
  <c r="O15" i="27"/>
  <c r="Q15" i="27" s="1"/>
  <c r="Q19" i="27"/>
  <c r="Q16" i="27"/>
  <c r="Q18" i="27"/>
  <c r="D577" i="50" l="1"/>
  <c r="K122" i="47"/>
  <c r="X18" i="27"/>
  <c r="X19" i="27"/>
  <c r="X16" i="27"/>
  <c r="X15" i="27"/>
  <c r="U14" i="27"/>
  <c r="G14" i="27"/>
  <c r="AA14" i="27" s="1"/>
  <c r="D578" i="50" l="1"/>
  <c r="K123" i="47"/>
  <c r="P14" i="27"/>
  <c r="Q14" i="27"/>
  <c r="U12" i="27"/>
  <c r="G12" i="27"/>
  <c r="AA12" i="27" s="1"/>
  <c r="O13" i="27"/>
  <c r="U13" i="27"/>
  <c r="G13" i="27"/>
  <c r="AA13" i="27" s="1"/>
  <c r="U10" i="27"/>
  <c r="G10" i="27"/>
  <c r="AA10" i="27" s="1"/>
  <c r="U9" i="27"/>
  <c r="K9" i="27"/>
  <c r="G9" i="27"/>
  <c r="AA9" i="27" s="1"/>
  <c r="D579" i="50" l="1"/>
  <c r="K124" i="47"/>
  <c r="P13" i="27"/>
  <c r="P12" i="27"/>
  <c r="X14" i="27"/>
  <c r="P10" i="27"/>
  <c r="P9" i="27"/>
  <c r="X9" i="27" s="1"/>
  <c r="Q13" i="27"/>
  <c r="D580" i="50" l="1"/>
  <c r="K125" i="47"/>
  <c r="X13" i="27"/>
  <c r="X12" i="27"/>
  <c r="X10" i="27"/>
  <c r="K8" i="27"/>
  <c r="D581" i="50" l="1"/>
  <c r="K126" i="47"/>
  <c r="K3" i="27"/>
  <c r="K4" i="27"/>
  <c r="K5" i="27"/>
  <c r="K6" i="27"/>
  <c r="K7" i="27"/>
  <c r="D582" i="50" l="1"/>
  <c r="K127" i="47"/>
  <c r="G4" i="12"/>
  <c r="D583" i="50" l="1"/>
  <c r="K128" i="47"/>
  <c r="G5" i="12"/>
  <c r="U6" i="27"/>
  <c r="G6" i="27"/>
  <c r="AA6" i="27" s="1"/>
  <c r="D584" i="50" l="1"/>
  <c r="K129" i="47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P6" i="27"/>
  <c r="X6" i="27" s="1"/>
  <c r="U5" i="27"/>
  <c r="G5" i="27"/>
  <c r="AA5" i="27" s="1"/>
  <c r="U11" i="27"/>
  <c r="G11" i="27"/>
  <c r="AA11" i="27" s="1"/>
  <c r="U8" i="27"/>
  <c r="G8" i="27"/>
  <c r="AA8" i="27" s="1"/>
  <c r="D585" i="50" l="1"/>
  <c r="K130" i="47"/>
  <c r="G19" i="12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P11" i="27"/>
  <c r="P8" i="27"/>
  <c r="X8" i="27" s="1"/>
  <c r="P5" i="27"/>
  <c r="X5" i="27" s="1"/>
  <c r="D586" i="50" l="1"/>
  <c r="K131" i="47"/>
  <c r="G35" i="12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X11" i="27"/>
  <c r="Z33" i="27" s="1"/>
  <c r="U2" i="27"/>
  <c r="Q2" i="27"/>
  <c r="O2" i="27"/>
  <c r="K2" i="27"/>
  <c r="K31" i="27" s="1"/>
  <c r="D587" i="50" l="1"/>
  <c r="K132" i="47"/>
  <c r="G68" i="12"/>
  <c r="P2" i="27"/>
  <c r="D588" i="50" l="1"/>
  <c r="K133" i="47"/>
  <c r="G69" i="12"/>
  <c r="G70" i="12" s="1"/>
  <c r="G71" i="12" s="1"/>
  <c r="G72" i="12" s="1"/>
  <c r="X2" i="27"/>
  <c r="U7" i="27"/>
  <c r="G7" i="27"/>
  <c r="AA7" i="27" s="1"/>
  <c r="D589" i="50" l="1"/>
  <c r="K134" i="47"/>
  <c r="G73" i="12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s="1"/>
  <c r="G100" i="12" s="1"/>
  <c r="G101" i="12" s="1"/>
  <c r="G102" i="12" s="1"/>
  <c r="G103" i="12" s="1"/>
  <c r="G104" i="12" s="1"/>
  <c r="G105" i="12" s="1"/>
  <c r="P7" i="27"/>
  <c r="X7" i="27" s="1"/>
  <c r="U4" i="27"/>
  <c r="G4" i="27"/>
  <c r="AA4" i="27" s="1"/>
  <c r="U3" i="27"/>
  <c r="G3" i="27"/>
  <c r="AA3" i="27" s="1"/>
  <c r="R30" i="27"/>
  <c r="N30" i="27"/>
  <c r="M30" i="27"/>
  <c r="L30" i="27"/>
  <c r="R29" i="27"/>
  <c r="H29" i="27"/>
  <c r="AA26" i="27"/>
  <c r="AA29" i="27" s="1"/>
  <c r="Z29" i="27" s="1"/>
  <c r="N31" i="27"/>
  <c r="M31" i="27"/>
  <c r="L31" i="27"/>
  <c r="D590" i="50" l="1"/>
  <c r="K135" i="47"/>
  <c r="F2" i="18"/>
  <c r="F10" i="18" s="1"/>
  <c r="G106" i="12"/>
  <c r="G107" i="12" s="1"/>
  <c r="G108" i="12" s="1"/>
  <c r="G109" i="12" s="1"/>
  <c r="G110" i="12" s="1"/>
  <c r="G31" i="27"/>
  <c r="D2" i="18" s="1"/>
  <c r="D10" i="18" s="1"/>
  <c r="P3" i="27"/>
  <c r="P4" i="27"/>
  <c r="AA30" i="27"/>
  <c r="G30" i="27"/>
  <c r="O29" i="27"/>
  <c r="K30" i="27"/>
  <c r="O31" i="27"/>
  <c r="O30" i="27"/>
  <c r="G29" i="27"/>
  <c r="D591" i="50" l="1"/>
  <c r="K136" i="47"/>
  <c r="P31" i="27"/>
  <c r="C2" i="18" s="1"/>
  <c r="C10" i="18" s="1"/>
  <c r="AA31" i="27"/>
  <c r="P30" i="27"/>
  <c r="X4" i="27"/>
  <c r="X3" i="27"/>
  <c r="Q29" i="27"/>
  <c r="Q31" i="27"/>
  <c r="Q30" i="27"/>
  <c r="P29" i="27"/>
  <c r="D592" i="50" l="1"/>
  <c r="K137" i="47"/>
  <c r="I2" i="18"/>
  <c r="X31" i="27"/>
  <c r="X29" i="27"/>
  <c r="Z30" i="27"/>
  <c r="Z32" i="27"/>
  <c r="X30" i="27"/>
  <c r="Z31" i="27"/>
  <c r="D593" i="50" l="1"/>
  <c r="K138" i="47"/>
  <c r="G2" i="18"/>
  <c r="G10" i="18"/>
  <c r="I3" i="18"/>
  <c r="J3" i="18" s="1"/>
  <c r="J2" i="18"/>
  <c r="C1" i="12"/>
  <c r="D594" i="50" l="1"/>
  <c r="D595" i="50" s="1"/>
  <c r="D596" i="50" s="1"/>
  <c r="D597" i="50" s="1"/>
  <c r="D598" i="50" s="1"/>
  <c r="D599" i="50" s="1"/>
  <c r="D600" i="50" s="1"/>
  <c r="D601" i="50" s="1"/>
  <c r="D602" i="50" s="1"/>
  <c r="D603" i="50" s="1"/>
  <c r="D604" i="50" s="1"/>
  <c r="K139" i="47"/>
  <c r="I4" i="18"/>
  <c r="I5" i="18" s="1"/>
  <c r="I689" i="12"/>
  <c r="H689" i="12"/>
  <c r="I683" i="12"/>
  <c r="H683" i="12"/>
  <c r="I682" i="12"/>
  <c r="L682" i="12" s="1"/>
  <c r="H682" i="12"/>
  <c r="K682" i="12" s="1"/>
  <c r="H684" i="12"/>
  <c r="I684" i="12"/>
  <c r="H691" i="12"/>
  <c r="I691" i="12"/>
  <c r="H685" i="12"/>
  <c r="I685" i="12"/>
  <c r="H692" i="12"/>
  <c r="H686" i="12"/>
  <c r="I686" i="12"/>
  <c r="H693" i="12"/>
  <c r="I692" i="12"/>
  <c r="I693" i="12"/>
  <c r="H694" i="12"/>
  <c r="I694" i="12"/>
  <c r="H671" i="12"/>
  <c r="H668" i="12"/>
  <c r="I671" i="12"/>
  <c r="I668" i="12"/>
  <c r="H672" i="12"/>
  <c r="H669" i="12"/>
  <c r="I672" i="12"/>
  <c r="I669" i="12"/>
  <c r="H673" i="12"/>
  <c r="H670" i="12"/>
  <c r="K670" i="12" s="1"/>
  <c r="I673" i="12"/>
  <c r="I670" i="12"/>
  <c r="L670" i="12" s="1"/>
  <c r="H665" i="12"/>
  <c r="I665" i="12"/>
  <c r="H675" i="12"/>
  <c r="I675" i="12"/>
  <c r="H676" i="12"/>
  <c r="H677" i="12"/>
  <c r="I674" i="12"/>
  <c r="I676" i="12"/>
  <c r="I677" i="12"/>
  <c r="H674" i="12"/>
  <c r="H667" i="12"/>
  <c r="I667" i="12"/>
  <c r="I662" i="12"/>
  <c r="H662" i="12"/>
  <c r="I660" i="12"/>
  <c r="H663" i="12"/>
  <c r="H664" i="12"/>
  <c r="H661" i="12"/>
  <c r="I661" i="12"/>
  <c r="I663" i="12"/>
  <c r="I664" i="12"/>
  <c r="H660" i="12"/>
  <c r="I658" i="12"/>
  <c r="L658" i="12" s="1"/>
  <c r="H658" i="12"/>
  <c r="K658" i="12" s="1"/>
  <c r="I656" i="12"/>
  <c r="H656" i="12"/>
  <c r="I654" i="12"/>
  <c r="H654" i="12"/>
  <c r="H652" i="12"/>
  <c r="I652" i="12"/>
  <c r="H649" i="12"/>
  <c r="K649" i="12" s="1"/>
  <c r="I649" i="12"/>
  <c r="L649" i="12" s="1"/>
  <c r="H648" i="12"/>
  <c r="H657" i="12"/>
  <c r="I651" i="12"/>
  <c r="I659" i="12"/>
  <c r="I653" i="12"/>
  <c r="I648" i="12"/>
  <c r="H653" i="12"/>
  <c r="I650" i="12"/>
  <c r="H650" i="12"/>
  <c r="I657" i="12"/>
  <c r="H651" i="12"/>
  <c r="H659" i="12"/>
  <c r="I647" i="12"/>
  <c r="H647" i="12"/>
  <c r="I644" i="12"/>
  <c r="H644" i="12"/>
  <c r="H643" i="12"/>
  <c r="K643" i="12" s="1"/>
  <c r="I643" i="12"/>
  <c r="L643" i="12" s="1"/>
  <c r="H640" i="12"/>
  <c r="K640" i="12" s="1"/>
  <c r="I640" i="12"/>
  <c r="L640" i="12" s="1"/>
  <c r="H637" i="12"/>
  <c r="I637" i="12"/>
  <c r="H638" i="12"/>
  <c r="I638" i="12"/>
  <c r="H641" i="12"/>
  <c r="I641" i="12"/>
  <c r="H642" i="12"/>
  <c r="I642" i="12"/>
  <c r="I636" i="12"/>
  <c r="H636" i="12"/>
  <c r="I633" i="12"/>
  <c r="L633" i="12" s="1"/>
  <c r="I634" i="12"/>
  <c r="H634" i="12"/>
  <c r="I628" i="12"/>
  <c r="L628" i="12" s="1"/>
  <c r="I631" i="12"/>
  <c r="H631" i="12"/>
  <c r="H627" i="12"/>
  <c r="I627" i="12"/>
  <c r="I625" i="12"/>
  <c r="H625" i="12"/>
  <c r="I620" i="12"/>
  <c r="L620" i="12" s="1"/>
  <c r="I621" i="12"/>
  <c r="H621" i="12"/>
  <c r="I613" i="12"/>
  <c r="H613" i="12"/>
  <c r="H611" i="12"/>
  <c r="I611" i="12"/>
  <c r="H609" i="12"/>
  <c r="I622" i="12"/>
  <c r="I605" i="12"/>
  <c r="H607" i="12"/>
  <c r="I606" i="12"/>
  <c r="L606" i="12" s="1"/>
  <c r="I612" i="12"/>
  <c r="H612" i="12"/>
  <c r="I607" i="12"/>
  <c r="I608" i="12"/>
  <c r="H608" i="12"/>
  <c r="I629" i="12"/>
  <c r="I609" i="12"/>
  <c r="H629" i="12"/>
  <c r="H622" i="12"/>
  <c r="H605" i="12"/>
  <c r="I601" i="12"/>
  <c r="L601" i="12" s="1"/>
  <c r="H601" i="12"/>
  <c r="K601" i="12" s="1"/>
  <c r="I593" i="12"/>
  <c r="L593" i="12" s="1"/>
  <c r="H598" i="12"/>
  <c r="I598" i="12"/>
  <c r="H586" i="12"/>
  <c r="I586" i="12"/>
  <c r="I585" i="12"/>
  <c r="L585" i="12" s="1"/>
  <c r="H587" i="12"/>
  <c r="K587" i="12" s="1"/>
  <c r="I587" i="12"/>
  <c r="L587" i="12" s="1"/>
  <c r="I581" i="12"/>
  <c r="H581" i="12"/>
  <c r="H579" i="12"/>
  <c r="I579" i="12"/>
  <c r="I578" i="12"/>
  <c r="L578" i="12" s="1"/>
  <c r="I577" i="12"/>
  <c r="H577" i="12"/>
  <c r="H573" i="12"/>
  <c r="I573" i="12" s="1"/>
  <c r="H597" i="12"/>
  <c r="H590" i="12"/>
  <c r="I597" i="12"/>
  <c r="I589" i="12"/>
  <c r="H574" i="12"/>
  <c r="H594" i="12"/>
  <c r="H589" i="12"/>
  <c r="I574" i="12"/>
  <c r="I594" i="12"/>
  <c r="H591" i="12"/>
  <c r="I591" i="12"/>
  <c r="H599" i="12"/>
  <c r="H600" i="12"/>
  <c r="H588" i="12"/>
  <c r="I588" i="12"/>
  <c r="H575" i="12"/>
  <c r="H595" i="12"/>
  <c r="I599" i="12"/>
  <c r="I576" i="12"/>
  <c r="I596" i="12"/>
  <c r="I590" i="12"/>
  <c r="I600" i="12"/>
  <c r="I575" i="12"/>
  <c r="I595" i="12"/>
  <c r="H592" i="12"/>
  <c r="I592" i="12"/>
  <c r="H596" i="12"/>
  <c r="H576" i="12"/>
  <c r="I111" i="12"/>
  <c r="I545" i="12"/>
  <c r="L545" i="12" s="1"/>
  <c r="I570" i="12"/>
  <c r="L570" i="12" s="1"/>
  <c r="H570" i="12"/>
  <c r="K570" i="12" s="1"/>
  <c r="H510" i="12"/>
  <c r="I510" i="12"/>
  <c r="I511" i="12"/>
  <c r="H511" i="12"/>
  <c r="H504" i="12"/>
  <c r="H492" i="12"/>
  <c r="H489" i="12"/>
  <c r="K489" i="12" s="1"/>
  <c r="I491" i="12"/>
  <c r="L491" i="12" s="1"/>
  <c r="I488" i="12"/>
  <c r="I534" i="12"/>
  <c r="L534" i="12" s="1"/>
  <c r="I506" i="12"/>
  <c r="L506" i="12" s="1"/>
  <c r="H488" i="12"/>
  <c r="I515" i="12"/>
  <c r="H493" i="12"/>
  <c r="I489" i="12"/>
  <c r="L489" i="12" s="1"/>
  <c r="H515" i="12"/>
  <c r="I501" i="12"/>
  <c r="H501" i="12"/>
  <c r="I492" i="12"/>
  <c r="I490" i="12"/>
  <c r="H486" i="12"/>
  <c r="I530" i="12"/>
  <c r="L530" i="12" s="1"/>
  <c r="H530" i="12"/>
  <c r="K530" i="12" s="1"/>
  <c r="I487" i="12"/>
  <c r="I486" i="12"/>
  <c r="I504" i="12"/>
  <c r="H487" i="12"/>
  <c r="H490" i="12"/>
  <c r="I520" i="12"/>
  <c r="L520" i="12" s="1"/>
  <c r="I493" i="12"/>
  <c r="I485" i="12"/>
  <c r="H485" i="12"/>
  <c r="I484" i="12"/>
  <c r="H483" i="12"/>
  <c r="H484" i="12"/>
  <c r="I483" i="12"/>
  <c r="I473" i="12"/>
  <c r="L473" i="12" s="1"/>
  <c r="H478" i="12"/>
  <c r="I478" i="12" s="1"/>
  <c r="I459" i="12"/>
  <c r="L459" i="12" s="1"/>
  <c r="H468" i="12"/>
  <c r="I468" i="12" s="1"/>
  <c r="H458" i="12"/>
  <c r="I458" i="12" s="1"/>
  <c r="H465" i="12"/>
  <c r="I465" i="12" s="1"/>
  <c r="H472" i="12"/>
  <c r="I472" i="12" s="1"/>
  <c r="H479" i="12"/>
  <c r="I479" i="12" s="1"/>
  <c r="H466" i="12"/>
  <c r="I466" i="12" s="1"/>
  <c r="H460" i="12"/>
  <c r="H480" i="12"/>
  <c r="I480" i="12" s="1"/>
  <c r="H467" i="12"/>
  <c r="I467" i="12" s="1"/>
  <c r="H474" i="12"/>
  <c r="I474" i="12" s="1"/>
  <c r="H461" i="12"/>
  <c r="H481" i="12"/>
  <c r="I481" i="12" s="1"/>
  <c r="H475" i="12"/>
  <c r="H462" i="12"/>
  <c r="I475" i="12"/>
  <c r="H482" i="12"/>
  <c r="H469" i="12"/>
  <c r="I469" i="12" s="1"/>
  <c r="I482" i="12"/>
  <c r="H476" i="12"/>
  <c r="H463" i="12"/>
  <c r="I463" i="12" s="1"/>
  <c r="I476" i="12"/>
  <c r="H470" i="12"/>
  <c r="I470" i="12" s="1"/>
  <c r="H477" i="12"/>
  <c r="H464" i="12"/>
  <c r="I464" i="12" s="1"/>
  <c r="H471" i="12"/>
  <c r="I471" i="12" s="1"/>
  <c r="I477" i="12"/>
  <c r="I457" i="12"/>
  <c r="H457" i="12"/>
  <c r="H448" i="12"/>
  <c r="I448" i="12"/>
  <c r="I447" i="12"/>
  <c r="H447" i="12"/>
  <c r="I446" i="12"/>
  <c r="L446" i="12" s="1"/>
  <c r="H446" i="12"/>
  <c r="K446" i="12" s="1"/>
  <c r="I444" i="12"/>
  <c r="L444" i="12" s="1"/>
  <c r="H445" i="12"/>
  <c r="I445" i="12" s="1"/>
  <c r="H438" i="12"/>
  <c r="I438" i="12" s="1"/>
  <c r="H439" i="12"/>
  <c r="I439" i="12" s="1"/>
  <c r="H440" i="12"/>
  <c r="I440" i="12" s="1"/>
  <c r="I435" i="12"/>
  <c r="H431" i="12"/>
  <c r="I431" i="12"/>
  <c r="H435" i="12"/>
  <c r="I408" i="12"/>
  <c r="L408" i="12" s="1"/>
  <c r="I422" i="12"/>
  <c r="L422" i="12" s="1"/>
  <c r="H406" i="12"/>
  <c r="I406" i="12" s="1"/>
  <c r="H401" i="12"/>
  <c r="I401" i="12" s="1"/>
  <c r="I378" i="12"/>
  <c r="L378" i="12" s="1"/>
  <c r="I398" i="12"/>
  <c r="H370" i="12"/>
  <c r="I370" i="12"/>
  <c r="I364" i="12"/>
  <c r="I367" i="12"/>
  <c r="L367" i="12" s="1"/>
  <c r="I363" i="12"/>
  <c r="H363" i="12"/>
  <c r="I362" i="12"/>
  <c r="L362" i="12" s="1"/>
  <c r="H321" i="12"/>
  <c r="H324" i="12"/>
  <c r="I324" i="12" s="1"/>
  <c r="H325" i="12"/>
  <c r="I325" i="12"/>
  <c r="I321" i="12"/>
  <c r="H355" i="12"/>
  <c r="I355" i="12"/>
  <c r="H349" i="12"/>
  <c r="I349" i="12"/>
  <c r="H343" i="12"/>
  <c r="I343" i="12"/>
  <c r="H351" i="12"/>
  <c r="I351" i="12"/>
  <c r="H345" i="12"/>
  <c r="I345" i="12" s="1"/>
  <c r="H347" i="12"/>
  <c r="I347" i="12" s="1"/>
  <c r="H342" i="12"/>
  <c r="I342" i="12"/>
  <c r="I332" i="12"/>
  <c r="I318" i="12"/>
  <c r="H315" i="12"/>
  <c r="I315" i="12"/>
  <c r="H317" i="12"/>
  <c r="I317" i="12"/>
  <c r="H313" i="12"/>
  <c r="I313" i="12" s="1"/>
  <c r="I298" i="12"/>
  <c r="I311" i="12"/>
  <c r="L311" i="12" s="1"/>
  <c r="I291" i="12"/>
  <c r="I293" i="12"/>
  <c r="I233" i="12"/>
  <c r="L233" i="12" s="1"/>
  <c r="I267" i="12"/>
  <c r="L267" i="12" s="1"/>
  <c r="I198" i="12"/>
  <c r="L198" i="12" s="1"/>
  <c r="I170" i="12"/>
  <c r="L170" i="12" s="1"/>
  <c r="I195" i="12"/>
  <c r="L195" i="12" s="1"/>
  <c r="I147" i="12"/>
  <c r="L147" i="12" s="1"/>
  <c r="I151" i="12"/>
  <c r="I138" i="12"/>
  <c r="L138" i="12" s="1"/>
  <c r="I144" i="12"/>
  <c r="L144" i="12" s="1"/>
  <c r="I120" i="12"/>
  <c r="L120" i="12" s="1"/>
  <c r="I126" i="12"/>
  <c r="L126" i="12" s="1"/>
  <c r="I116" i="12"/>
  <c r="L116" i="12" s="1"/>
  <c r="I81" i="12"/>
  <c r="L81" i="12" s="1"/>
  <c r="I76" i="12"/>
  <c r="L76" i="12" s="1"/>
  <c r="I75" i="12"/>
  <c r="L75" i="12" s="1"/>
  <c r="I78" i="12"/>
  <c r="L78" i="12" s="1"/>
  <c r="I73" i="12"/>
  <c r="L73" i="12" s="1"/>
  <c r="I79" i="12"/>
  <c r="L79" i="12" s="1"/>
  <c r="I80" i="12"/>
  <c r="L80" i="12" s="1"/>
  <c r="I82" i="12"/>
  <c r="L82" i="12" s="1"/>
  <c r="I77" i="12"/>
  <c r="L77" i="12" s="1"/>
  <c r="I74" i="12"/>
  <c r="L74" i="12" s="1"/>
  <c r="I68" i="12"/>
  <c r="L68" i="12" s="1"/>
  <c r="I69" i="12"/>
  <c r="L69" i="12" s="1"/>
  <c r="I4" i="12"/>
  <c r="L4" i="12" s="1"/>
  <c r="I108" i="12"/>
  <c r="I107" i="12"/>
  <c r="I102" i="12"/>
  <c r="I103" i="12"/>
  <c r="I101" i="12"/>
  <c r="I100" i="12"/>
  <c r="I91" i="12"/>
  <c r="I97" i="12"/>
  <c r="I96" i="12"/>
  <c r="I95" i="12"/>
  <c r="I87" i="12"/>
  <c r="I89" i="12"/>
  <c r="I62" i="12"/>
  <c r="I60" i="12"/>
  <c r="L60" i="12" s="1"/>
  <c r="I61" i="12"/>
  <c r="L61" i="12" s="1"/>
  <c r="I58" i="12"/>
  <c r="I59" i="12"/>
  <c r="I55" i="12"/>
  <c r="L55" i="12" s="1"/>
  <c r="I57" i="12"/>
  <c r="I52" i="12"/>
  <c r="I51" i="12"/>
  <c r="I48" i="12"/>
  <c r="H369" i="12"/>
  <c r="K369" i="12" s="1"/>
  <c r="I369" i="12"/>
  <c r="L369" i="12" s="1"/>
  <c r="I112" i="12"/>
  <c r="I123" i="12"/>
  <c r="L123" i="12" s="1"/>
  <c r="I113" i="12"/>
  <c r="I124" i="12"/>
  <c r="L124" i="12" s="1"/>
  <c r="I114" i="12"/>
  <c r="I125" i="12"/>
  <c r="I115" i="12"/>
  <c r="I143" i="12"/>
  <c r="I127" i="12"/>
  <c r="I122" i="12"/>
  <c r="L122" i="12" s="1"/>
  <c r="I141" i="12"/>
  <c r="I121" i="12"/>
  <c r="L121" i="12" s="1"/>
  <c r="I142" i="12"/>
  <c r="I181" i="12"/>
  <c r="I72" i="12"/>
  <c r="K122" i="12"/>
  <c r="K123" i="12"/>
  <c r="I25" i="12"/>
  <c r="I109" i="12"/>
  <c r="I110" i="12"/>
  <c r="I104" i="12"/>
  <c r="L104" i="12" s="1"/>
  <c r="I98" i="12"/>
  <c r="I99" i="12"/>
  <c r="I105" i="12"/>
  <c r="I106" i="12"/>
  <c r="I93" i="12"/>
  <c r="I94" i="12"/>
  <c r="I92" i="12"/>
  <c r="I90" i="12"/>
  <c r="I88" i="12"/>
  <c r="I86" i="12"/>
  <c r="I84" i="12"/>
  <c r="I83" i="12"/>
  <c r="L83" i="12" s="1"/>
  <c r="I46" i="12"/>
  <c r="L46" i="12" s="1"/>
  <c r="I71" i="12"/>
  <c r="I70" i="12"/>
  <c r="I56" i="12"/>
  <c r="L56" i="12" s="1"/>
  <c r="I66" i="12"/>
  <c r="I54" i="12"/>
  <c r="L54" i="12" s="1"/>
  <c r="I53" i="12"/>
  <c r="L53" i="12" s="1"/>
  <c r="I65" i="12"/>
  <c r="L65" i="12" s="1"/>
  <c r="I50" i="12"/>
  <c r="L50" i="12" s="1"/>
  <c r="I47" i="12"/>
  <c r="L47" i="12" s="1"/>
  <c r="I49" i="12"/>
  <c r="I45" i="12"/>
  <c r="L45" i="12" s="1"/>
  <c r="I44" i="12"/>
  <c r="L44" i="12" s="1"/>
  <c r="I43" i="12"/>
  <c r="I35" i="12"/>
  <c r="L35" i="12" s="1"/>
  <c r="I19" i="12"/>
  <c r="L19" i="12" s="1"/>
  <c r="I31" i="12"/>
  <c r="I32" i="12"/>
  <c r="L32" i="12" s="1"/>
  <c r="I33" i="12"/>
  <c r="L33" i="12" s="1"/>
  <c r="I37" i="12"/>
  <c r="I34" i="12"/>
  <c r="I6" i="12"/>
  <c r="L15" i="12"/>
  <c r="L14" i="12"/>
  <c r="I22" i="12"/>
  <c r="I26" i="12"/>
  <c r="I21" i="12"/>
  <c r="I27" i="12"/>
  <c r="I5" i="12"/>
  <c r="L5" i="12" s="1"/>
  <c r="D605" i="50" l="1"/>
  <c r="D606" i="50" s="1"/>
  <c r="D607" i="50" s="1"/>
  <c r="D608" i="50" s="1"/>
  <c r="D609" i="50" s="1"/>
  <c r="D610" i="50" s="1"/>
  <c r="D611" i="50" s="1"/>
  <c r="D612" i="50" s="1"/>
  <c r="D613" i="50" s="1"/>
  <c r="D614" i="50" s="1"/>
  <c r="D615" i="50" s="1"/>
  <c r="D616" i="50" s="1"/>
  <c r="J4" i="18"/>
  <c r="K140" i="47"/>
  <c r="I6" i="18"/>
  <c r="J5" i="18"/>
  <c r="B699" i="12"/>
  <c r="O644" i="12"/>
  <c r="E9" i="18" s="1"/>
  <c r="H9" i="18" s="1"/>
  <c r="O573" i="12"/>
  <c r="E6" i="18" s="1"/>
  <c r="O198" i="12"/>
  <c r="E4" i="18" s="1"/>
  <c r="O5" i="12"/>
  <c r="I460" i="12"/>
  <c r="L460" i="12" s="1"/>
  <c r="K460" i="12"/>
  <c r="I461" i="12"/>
  <c r="L461" i="12" s="1"/>
  <c r="K461" i="12"/>
  <c r="I462" i="12"/>
  <c r="L462" i="12" s="1"/>
  <c r="K462" i="12"/>
  <c r="O112" i="12"/>
  <c r="E3" i="18" s="1"/>
  <c r="D617" i="50" l="1"/>
  <c r="D618" i="50" s="1"/>
  <c r="K141" i="47"/>
  <c r="I7" i="18"/>
  <c r="J6" i="18"/>
  <c r="H6" i="18"/>
  <c r="E7" i="18"/>
  <c r="E8" i="18"/>
  <c r="O458" i="12"/>
  <c r="E5" i="18" s="1"/>
  <c r="E2" i="18"/>
  <c r="D619" i="50" l="1"/>
  <c r="K142" i="47"/>
  <c r="E10" i="18"/>
  <c r="H10" i="18" s="1"/>
  <c r="I8" i="18"/>
  <c r="I9" i="18" s="1"/>
  <c r="J9" i="18" s="1"/>
  <c r="J7" i="18"/>
  <c r="K4" i="18"/>
  <c r="K5" i="18"/>
  <c r="K6" i="18"/>
  <c r="K7" i="18"/>
  <c r="K2" i="18"/>
  <c r="K3" i="18"/>
  <c r="H5" i="18"/>
  <c r="H7" i="18"/>
  <c r="H8" i="18"/>
  <c r="H2" i="18"/>
  <c r="A24" i="28"/>
  <c r="D620" i="50" l="1"/>
  <c r="K143" i="47"/>
  <c r="J8" i="18"/>
  <c r="K8" i="18"/>
  <c r="F111" i="12"/>
  <c r="D621" i="50" l="1"/>
  <c r="K144" i="47"/>
  <c r="K9" i="18"/>
  <c r="L111" i="12"/>
  <c r="K111" i="12"/>
  <c r="G111" i="12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D622" i="50" l="1"/>
  <c r="K145" i="47"/>
  <c r="G124" i="12"/>
  <c r="G125" i="12" s="1"/>
  <c r="E121" i="12"/>
  <c r="H3" i="18"/>
  <c r="D623" i="50" l="1"/>
  <c r="K146" i="47"/>
  <c r="G126" i="12"/>
  <c r="G127" i="12" s="1"/>
  <c r="G128" i="12" s="1"/>
  <c r="G129" i="12" s="1"/>
  <c r="G130" i="12" s="1"/>
  <c r="G131" i="12" s="1"/>
  <c r="G132" i="12" s="1"/>
  <c r="G133" i="12" s="1"/>
  <c r="G134" i="12" s="1"/>
  <c r="G135" i="12" s="1"/>
  <c r="G136" i="12" s="1"/>
  <c r="G137" i="12" s="1"/>
  <c r="G138" i="12" s="1"/>
  <c r="G139" i="12" s="1"/>
  <c r="G140" i="12" s="1"/>
  <c r="G141" i="12" s="1"/>
  <c r="G142" i="12" s="1"/>
  <c r="G143" i="12" s="1"/>
  <c r="G144" i="12" s="1"/>
  <c r="G145" i="12" s="1"/>
  <c r="G146" i="12" s="1"/>
  <c r="E122" i="12"/>
  <c r="E123" i="12" s="1"/>
  <c r="D624" i="50" l="1"/>
  <c r="K147" i="47"/>
  <c r="G147" i="12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E124" i="12"/>
  <c r="E125" i="12" s="1"/>
  <c r="D625" i="50" l="1"/>
  <c r="K148" i="47"/>
  <c r="G161" i="12"/>
  <c r="G162" i="12" s="1"/>
  <c r="G163" i="12" s="1"/>
  <c r="E126" i="12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D626" i="50" l="1"/>
  <c r="K149" i="47"/>
  <c r="G164" i="12"/>
  <c r="G165" i="12" s="1"/>
  <c r="E146" i="12"/>
  <c r="D627" i="50" l="1"/>
  <c r="K150" i="47"/>
  <c r="G166" i="12"/>
  <c r="G167" i="12" s="1"/>
  <c r="G168" i="12" s="1"/>
  <c r="G169" i="12" s="1"/>
  <c r="G170" i="12" s="1"/>
  <c r="G171" i="12" s="1"/>
  <c r="G172" i="12" s="1"/>
  <c r="G173" i="12" s="1"/>
  <c r="G174" i="12" s="1"/>
  <c r="G175" i="12" s="1"/>
  <c r="G176" i="12" s="1"/>
  <c r="E147" i="12"/>
  <c r="E148" i="12" s="1"/>
  <c r="D628" i="50" l="1"/>
  <c r="K151" i="47"/>
  <c r="G177" i="12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E149" i="12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D629" i="50" l="1"/>
  <c r="K152" i="47"/>
  <c r="G197" i="12"/>
  <c r="G198" i="12" s="1"/>
  <c r="G199" i="12" s="1"/>
  <c r="G200" i="12" s="1"/>
  <c r="G201" i="12" s="1"/>
  <c r="E161" i="12"/>
  <c r="E162" i="12" s="1"/>
  <c r="E163" i="12" s="1"/>
  <c r="D630" i="50" l="1"/>
  <c r="D631" i="50" s="1"/>
  <c r="D632" i="50" s="1"/>
  <c r="D633" i="50" s="1"/>
  <c r="D634" i="50" s="1"/>
  <c r="D635" i="50" s="1"/>
  <c r="D636" i="50" s="1"/>
  <c r="D637" i="50" s="1"/>
  <c r="D638" i="50" s="1"/>
  <c r="D639" i="50" s="1"/>
  <c r="D640" i="50" s="1"/>
  <c r="D641" i="50" s="1"/>
  <c r="D642" i="50" s="1"/>
  <c r="D643" i="50" s="1"/>
  <c r="D644" i="50" s="1"/>
  <c r="D645" i="50" s="1"/>
  <c r="D646" i="50" s="1"/>
  <c r="D647" i="50" s="1"/>
  <c r="D648" i="50" s="1"/>
  <c r="D649" i="50" s="1"/>
  <c r="D650" i="50" s="1"/>
  <c r="D651" i="50" s="1"/>
  <c r="D652" i="50" s="1"/>
  <c r="D653" i="50" s="1"/>
  <c r="K153" i="47"/>
  <c r="G202" i="12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E164" i="12"/>
  <c r="E165" i="12" s="1"/>
  <c r="D654" i="50" l="1"/>
  <c r="D655" i="50" s="1"/>
  <c r="D656" i="50" s="1"/>
  <c r="D657" i="50"/>
  <c r="D658" i="50" s="1"/>
  <c r="D659" i="50" s="1"/>
  <c r="D660" i="50" s="1"/>
  <c r="D661" i="50" s="1"/>
  <c r="D662" i="50" s="1"/>
  <c r="D663" i="50" s="1"/>
  <c r="D664" i="50" s="1"/>
  <c r="D665" i="50" s="1"/>
  <c r="D666" i="50" s="1"/>
  <c r="D667" i="50" s="1"/>
  <c r="D668" i="50" s="1"/>
  <c r="D669" i="50" s="1"/>
  <c r="D670" i="50" s="1"/>
  <c r="D671" i="50" s="1"/>
  <c r="D672" i="50" s="1"/>
  <c r="D673" i="50" s="1"/>
  <c r="D674" i="50" s="1"/>
  <c r="D675" i="50" s="1"/>
  <c r="D676" i="50" s="1"/>
  <c r="D677" i="50" s="1"/>
  <c r="D678" i="50" s="1"/>
  <c r="D679" i="50" s="1"/>
  <c r="D680" i="50" s="1"/>
  <c r="D681" i="50" s="1"/>
  <c r="D682" i="50" s="1"/>
  <c r="D683" i="50" s="1"/>
  <c r="D684" i="50" s="1"/>
  <c r="D685" i="50" s="1"/>
  <c r="D686" i="50" s="1"/>
  <c r="D687" i="50" s="1"/>
  <c r="D688" i="50" s="1"/>
  <c r="D689" i="50" s="1"/>
  <c r="D690" i="50" s="1"/>
  <c r="D691" i="50" s="1"/>
  <c r="K154" i="47"/>
  <c r="G213" i="12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G225" i="12" s="1"/>
  <c r="G226" i="12" s="1"/>
  <c r="G227" i="12" s="1"/>
  <c r="G228" i="12" s="1"/>
  <c r="G229" i="12" s="1"/>
  <c r="G230" i="12" s="1"/>
  <c r="E166" i="12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D692" i="50" l="1"/>
  <c r="D694" i="50" s="1"/>
  <c r="D697" i="50" s="1"/>
  <c r="D693" i="50"/>
  <c r="K155" i="47"/>
  <c r="G231" i="12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E177" i="12"/>
  <c r="E178" i="12" s="1"/>
  <c r="E179" i="12" s="1"/>
  <c r="E180" i="12" s="1"/>
  <c r="E181" i="12" s="1"/>
  <c r="E182" i="12" s="1"/>
  <c r="E183" i="12" s="1"/>
  <c r="E184" i="12" s="1"/>
  <c r="E185" i="12" s="1"/>
  <c r="E186" i="12" s="1"/>
  <c r="E187" i="12" s="1"/>
  <c r="E188" i="12" s="1"/>
  <c r="E189" i="12" s="1"/>
  <c r="E190" i="12" s="1"/>
  <c r="E191" i="12" s="1"/>
  <c r="E192" i="12" s="1"/>
  <c r="E193" i="12" s="1"/>
  <c r="E194" i="12" s="1"/>
  <c r="E195" i="12" s="1"/>
  <c r="E196" i="12" s="1"/>
  <c r="K156" i="47" l="1"/>
  <c r="E197" i="12"/>
  <c r="E198" i="12" s="1"/>
  <c r="E199" i="12" s="1"/>
  <c r="E200" i="12" s="1"/>
  <c r="E201" i="12" s="1"/>
  <c r="G268" i="12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K157" i="47" l="1"/>
  <c r="E202" i="12"/>
  <c r="E203" i="12" s="1"/>
  <c r="E204" i="12" s="1"/>
  <c r="H4" i="18"/>
  <c r="K158" i="47" l="1"/>
  <c r="E205" i="12"/>
  <c r="E206" i="12" s="1"/>
  <c r="E207" i="12" s="1"/>
  <c r="E208" i="12" s="1"/>
  <c r="E209" i="12" s="1"/>
  <c r="K159" i="47" l="1"/>
  <c r="G318" i="12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E210" i="12"/>
  <c r="E211" i="12" s="1"/>
  <c r="E212" i="12" s="1"/>
  <c r="K160" i="47" l="1"/>
  <c r="E213" i="12"/>
  <c r="E214" i="12" s="1"/>
  <c r="E215" i="12" s="1"/>
  <c r="O359" i="49" l="1"/>
  <c r="O364" i="49" s="1"/>
  <c r="K161" i="47"/>
  <c r="G332" i="12"/>
  <c r="G333" i="12" s="1"/>
  <c r="E216" i="12"/>
  <c r="E217" i="12" s="1"/>
  <c r="E218" i="12" s="1"/>
  <c r="E219" i="12" s="1"/>
  <c r="E220" i="12" s="1"/>
  <c r="E221" i="12" s="1"/>
  <c r="E222" i="12" s="1"/>
  <c r="E223" i="12" s="1"/>
  <c r="E224" i="12" s="1"/>
  <c r="E225" i="12" s="1"/>
  <c r="E226" i="12" s="1"/>
  <c r="E227" i="12" s="1"/>
  <c r="E228" i="12" s="1"/>
  <c r="E229" i="12" s="1"/>
  <c r="E230" i="12" s="1"/>
  <c r="K162" i="47" l="1"/>
  <c r="G334" i="12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E231" i="12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E243" i="12" s="1"/>
  <c r="E244" i="12" s="1"/>
  <c r="E245" i="12" s="1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56" i="12" s="1"/>
  <c r="E257" i="12" s="1"/>
  <c r="E258" i="12" s="1"/>
  <c r="E259" i="12" s="1"/>
  <c r="E260" i="12" s="1"/>
  <c r="E261" i="12" s="1"/>
  <c r="E262" i="12" s="1"/>
  <c r="E263" i="12" s="1"/>
  <c r="E264" i="12" s="1"/>
  <c r="E265" i="12" s="1"/>
  <c r="E266" i="12" s="1"/>
  <c r="E267" i="12" s="1"/>
  <c r="K163" i="47" l="1"/>
  <c r="E268" i="12"/>
  <c r="E269" i="12" s="1"/>
  <c r="E270" i="12" s="1"/>
  <c r="E271" i="12" s="1"/>
  <c r="E272" i="12" s="1"/>
  <c r="E273" i="12" s="1"/>
  <c r="E274" i="12" s="1"/>
  <c r="E275" i="12" s="1"/>
  <c r="E276" i="12" s="1"/>
  <c r="E277" i="12" s="1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291" i="12" s="1"/>
  <c r="E292" i="12" s="1"/>
  <c r="E293" i="12" s="1"/>
  <c r="E294" i="12" s="1"/>
  <c r="G350" i="12"/>
  <c r="G351" i="12" s="1"/>
  <c r="G352" i="12" s="1"/>
  <c r="G353" i="12" s="1"/>
  <c r="G354" i="12" s="1"/>
  <c r="G355" i="12" s="1"/>
  <c r="G356" i="12" s="1"/>
  <c r="G357" i="12" s="1"/>
  <c r="G358" i="12" s="1"/>
  <c r="K164" i="47" l="1"/>
  <c r="G359" i="12"/>
  <c r="E295" i="12"/>
  <c r="E296" i="12" s="1"/>
  <c r="E297" i="12" s="1"/>
  <c r="K165" i="47" l="1"/>
  <c r="G360" i="12"/>
  <c r="G361" i="12" s="1"/>
  <c r="E298" i="12"/>
  <c r="E299" i="12" s="1"/>
  <c r="E300" i="12" s="1"/>
  <c r="E301" i="12" s="1"/>
  <c r="E302" i="12" s="1"/>
  <c r="E303" i="12" s="1"/>
  <c r="E304" i="12" s="1"/>
  <c r="K166" i="47" l="1"/>
  <c r="G362" i="12"/>
  <c r="E305" i="12"/>
  <c r="K167" i="47" l="1"/>
  <c r="G363" i="12"/>
  <c r="G364" i="12" s="1"/>
  <c r="E306" i="12"/>
  <c r="E307" i="12" s="1"/>
  <c r="E308" i="12" s="1"/>
  <c r="E309" i="12" s="1"/>
  <c r="E310" i="12" s="1"/>
  <c r="E311" i="12" s="1"/>
  <c r="E312" i="12" s="1"/>
  <c r="E313" i="12" s="1"/>
  <c r="E314" i="12" s="1"/>
  <c r="E315" i="12" s="1"/>
  <c r="E316" i="12" s="1"/>
  <c r="E317" i="12" s="1"/>
  <c r="E318" i="12" s="1"/>
  <c r="K168" i="47" l="1"/>
  <c r="G365" i="12"/>
  <c r="E319" i="12"/>
  <c r="E320" i="12" s="1"/>
  <c r="E321" i="12" s="1"/>
  <c r="E322" i="12" s="1"/>
  <c r="K169" i="47" l="1"/>
  <c r="G366" i="12"/>
  <c r="E323" i="12"/>
  <c r="E324" i="12" s="1"/>
  <c r="E325" i="12" s="1"/>
  <c r="E326" i="12" s="1"/>
  <c r="E327" i="12" s="1"/>
  <c r="E328" i="12" s="1"/>
  <c r="E329" i="12" s="1"/>
  <c r="E330" i="12" s="1"/>
  <c r="E331" i="12" s="1"/>
  <c r="E332" i="12" s="1"/>
  <c r="E333" i="12" s="1"/>
  <c r="E334" i="12" s="1"/>
  <c r="E335" i="12" s="1"/>
  <c r="E336" i="12" s="1"/>
  <c r="E337" i="12" s="1"/>
  <c r="E338" i="12" s="1"/>
  <c r="E339" i="12" s="1"/>
  <c r="E340" i="12" s="1"/>
  <c r="E341" i="12" s="1"/>
  <c r="E342" i="12" s="1"/>
  <c r="E343" i="12" s="1"/>
  <c r="E344" i="12" s="1"/>
  <c r="E345" i="12" s="1"/>
  <c r="E346" i="12" s="1"/>
  <c r="E347" i="12" s="1"/>
  <c r="E348" i="12" s="1"/>
  <c r="E349" i="12" s="1"/>
  <c r="K170" i="47" l="1"/>
  <c r="E350" i="12"/>
  <c r="E351" i="12" s="1"/>
  <c r="E352" i="12" s="1"/>
  <c r="E353" i="12" s="1"/>
  <c r="E354" i="12" s="1"/>
  <c r="E355" i="12" s="1"/>
  <c r="E356" i="12" s="1"/>
  <c r="E357" i="12" s="1"/>
  <c r="E358" i="12" s="1"/>
  <c r="E359" i="12" s="1"/>
  <c r="E360" i="12" s="1"/>
  <c r="E361" i="12" s="1"/>
  <c r="E362" i="12" s="1"/>
  <c r="E363" i="12" s="1"/>
  <c r="E364" i="12" s="1"/>
  <c r="E365" i="12" s="1"/>
  <c r="E366" i="12" s="1"/>
  <c r="G367" i="12"/>
  <c r="K171" i="47" l="1"/>
  <c r="G368" i="12"/>
  <c r="G369" i="12" s="1"/>
  <c r="E367" i="12"/>
  <c r="K172" i="47" l="1"/>
  <c r="G370" i="12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E368" i="12"/>
  <c r="E369" i="12" s="1"/>
  <c r="K173" i="47" l="1"/>
  <c r="E370" i="12"/>
  <c r="E371" i="12" s="1"/>
  <c r="E372" i="12" s="1"/>
  <c r="E373" i="12" s="1"/>
  <c r="E374" i="12" s="1"/>
  <c r="E375" i="12" s="1"/>
  <c r="E376" i="12" s="1"/>
  <c r="E377" i="12" s="1"/>
  <c r="E378" i="12" s="1"/>
  <c r="G381" i="12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G394" i="12" s="1"/>
  <c r="G395" i="12" s="1"/>
  <c r="G396" i="12" s="1"/>
  <c r="G397" i="12" s="1"/>
  <c r="G398" i="12" s="1"/>
  <c r="G399" i="12" s="1"/>
  <c r="G400" i="12" s="1"/>
  <c r="G401" i="12" s="1"/>
  <c r="G402" i="12" s="1"/>
  <c r="G403" i="12" s="1"/>
  <c r="G404" i="12" s="1"/>
  <c r="K174" i="47" l="1"/>
  <c r="G405" i="12"/>
  <c r="G406" i="12" s="1"/>
  <c r="G407" i="12" s="1"/>
  <c r="G408" i="12" s="1"/>
  <c r="G409" i="12" s="1"/>
  <c r="G410" i="12" s="1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E379" i="12"/>
  <c r="E380" i="12" s="1"/>
  <c r="E381" i="12" s="1"/>
  <c r="K175" i="47" l="1"/>
  <c r="G422" i="12"/>
  <c r="G423" i="12" s="1"/>
  <c r="G424" i="12" s="1"/>
  <c r="G425" i="12" s="1"/>
  <c r="G426" i="12" s="1"/>
  <c r="G427" i="12" s="1"/>
  <c r="G428" i="12" s="1"/>
  <c r="G429" i="12" s="1"/>
  <c r="G430" i="12" s="1"/>
  <c r="G431" i="12" s="1"/>
  <c r="G432" i="12" s="1"/>
  <c r="G433" i="12" s="1"/>
  <c r="E382" i="12"/>
  <c r="E383" i="12" s="1"/>
  <c r="E384" i="12" s="1"/>
  <c r="E385" i="12" s="1"/>
  <c r="K176" i="47" l="1"/>
  <c r="G434" i="12"/>
  <c r="E386" i="12"/>
  <c r="E387" i="12" s="1"/>
  <c r="E388" i="12" s="1"/>
  <c r="E389" i="12" s="1"/>
  <c r="E390" i="12" s="1"/>
  <c r="K177" i="47" l="1"/>
  <c r="G435" i="12"/>
  <c r="G436" i="12" s="1"/>
  <c r="G437" i="12" s="1"/>
  <c r="G438" i="12" s="1"/>
  <c r="G439" i="12" s="1"/>
  <c r="G440" i="12" s="1"/>
  <c r="G441" i="12" s="1"/>
  <c r="E391" i="12"/>
  <c r="E392" i="12" s="1"/>
  <c r="E393" i="12" s="1"/>
  <c r="K178" i="47" l="1"/>
  <c r="G442" i="12"/>
  <c r="E394" i="12"/>
  <c r="E395" i="12" s="1"/>
  <c r="K179" i="47" l="1"/>
  <c r="G443" i="12"/>
  <c r="G444" i="12" s="1"/>
  <c r="G445" i="12" s="1"/>
  <c r="G446" i="12" s="1"/>
  <c r="G447" i="12" s="1"/>
  <c r="G448" i="12" s="1"/>
  <c r="G449" i="12" s="1"/>
  <c r="E396" i="12"/>
  <c r="E397" i="12" s="1"/>
  <c r="E398" i="12" s="1"/>
  <c r="K180" i="47" l="1"/>
  <c r="G450" i="12"/>
  <c r="E399" i="12"/>
  <c r="E400" i="12" s="1"/>
  <c r="E401" i="12" s="1"/>
  <c r="E402" i="12" s="1"/>
  <c r="E403" i="12" s="1"/>
  <c r="E404" i="12" s="1"/>
  <c r="E405" i="12" s="1"/>
  <c r="E406" i="12" s="1"/>
  <c r="E407" i="12" s="1"/>
  <c r="E408" i="12" s="1"/>
  <c r="E409" i="12" s="1"/>
  <c r="E410" i="12" s="1"/>
  <c r="E411" i="12" s="1"/>
  <c r="E412" i="12" s="1"/>
  <c r="E413" i="12" s="1"/>
  <c r="E414" i="12" s="1"/>
  <c r="K181" i="47" l="1"/>
  <c r="G451" i="12"/>
  <c r="G452" i="12" s="1"/>
  <c r="G453" i="12" s="1"/>
  <c r="G454" i="12" s="1"/>
  <c r="G455" i="12" s="1"/>
  <c r="G456" i="12" s="1"/>
  <c r="E415" i="12"/>
  <c r="E416" i="12" s="1"/>
  <c r="E417" i="12" s="1"/>
  <c r="E418" i="12" s="1"/>
  <c r="E419" i="12" s="1"/>
  <c r="E420" i="12" s="1"/>
  <c r="E421" i="12" s="1"/>
  <c r="K182" i="47" l="1"/>
  <c r="G457" i="12"/>
  <c r="G458" i="12" s="1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469" i="12" s="1"/>
  <c r="G470" i="12" s="1"/>
  <c r="E422" i="12"/>
  <c r="E423" i="12" s="1"/>
  <c r="K183" i="47" l="1"/>
  <c r="G471" i="12"/>
  <c r="G472" i="12" s="1"/>
  <c r="E424" i="12"/>
  <c r="E425" i="12" s="1"/>
  <c r="E426" i="12" s="1"/>
  <c r="E427" i="12" s="1"/>
  <c r="E428" i="12" s="1"/>
  <c r="E429" i="12" s="1"/>
  <c r="E430" i="12" s="1"/>
  <c r="E431" i="12" s="1"/>
  <c r="E432" i="12" s="1"/>
  <c r="E433" i="12" s="1"/>
  <c r="K184" i="47" l="1"/>
  <c r="G473" i="12"/>
  <c r="G474" i="12" s="1"/>
  <c r="E434" i="12"/>
  <c r="K185" i="47" l="1"/>
  <c r="G475" i="12"/>
  <c r="G476" i="12" s="1"/>
  <c r="E435" i="12"/>
  <c r="E436" i="12" s="1"/>
  <c r="E437" i="12" s="1"/>
  <c r="E438" i="12" s="1"/>
  <c r="E439" i="12" s="1"/>
  <c r="E440" i="12" s="1"/>
  <c r="E441" i="12" s="1"/>
  <c r="K186" i="47" l="1"/>
  <c r="G477" i="12"/>
  <c r="G478" i="12" s="1"/>
  <c r="E442" i="12"/>
  <c r="K187" i="47" l="1"/>
  <c r="G479" i="12"/>
  <c r="G480" i="12" s="1"/>
  <c r="E443" i="12"/>
  <c r="E444" i="12" s="1"/>
  <c r="E445" i="12" s="1"/>
  <c r="E446" i="12" s="1"/>
  <c r="E447" i="12" s="1"/>
  <c r="E448" i="12" s="1"/>
  <c r="E449" i="12" s="1"/>
  <c r="K188" i="47" l="1"/>
  <c r="G481" i="12"/>
  <c r="G482" i="12" s="1"/>
  <c r="G483" i="12" s="1"/>
  <c r="G484" i="12" s="1"/>
  <c r="G485" i="12" s="1"/>
  <c r="G486" i="12" s="1"/>
  <c r="G487" i="12" s="1"/>
  <c r="G488" i="12" s="1"/>
  <c r="G489" i="12" s="1"/>
  <c r="G490" i="12" s="1"/>
  <c r="G491" i="12" s="1"/>
  <c r="G492" i="12" s="1"/>
  <c r="G493" i="12" s="1"/>
  <c r="G494" i="12" s="1"/>
  <c r="G495" i="12" s="1"/>
  <c r="G496" i="12" s="1"/>
  <c r="G497" i="12" s="1"/>
  <c r="G498" i="12" s="1"/>
  <c r="G499" i="12" s="1"/>
  <c r="G500" i="12" s="1"/>
  <c r="G501" i="12" s="1"/>
  <c r="G502" i="12" s="1"/>
  <c r="G503" i="12" s="1"/>
  <c r="G504" i="12" s="1"/>
  <c r="G505" i="12" s="1"/>
  <c r="G506" i="12" s="1"/>
  <c r="G507" i="12" s="1"/>
  <c r="G508" i="12" s="1"/>
  <c r="E450" i="12"/>
  <c r="K189" i="47" l="1"/>
  <c r="G509" i="12"/>
  <c r="E451" i="12"/>
  <c r="E452" i="12" s="1"/>
  <c r="E453" i="12" s="1"/>
  <c r="E454" i="12" s="1"/>
  <c r="E455" i="12" s="1"/>
  <c r="E456" i="12" s="1"/>
  <c r="K190" i="47" l="1"/>
  <c r="E457" i="12"/>
  <c r="E458" i="12" s="1"/>
  <c r="E459" i="12" s="1"/>
  <c r="E460" i="12" s="1"/>
  <c r="E461" i="12" s="1"/>
  <c r="E462" i="12" s="1"/>
  <c r="E463" i="12" s="1"/>
  <c r="E464" i="12" s="1"/>
  <c r="E465" i="12" s="1"/>
  <c r="E466" i="12" s="1"/>
  <c r="E467" i="12" s="1"/>
  <c r="E468" i="12" s="1"/>
  <c r="E469" i="12" s="1"/>
  <c r="E470" i="12" s="1"/>
  <c r="G510" i="12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K191" i="47" l="1"/>
  <c r="G554" i="12"/>
  <c r="G555" i="12" s="1"/>
  <c r="G556" i="12" s="1"/>
  <c r="G557" i="12" s="1"/>
  <c r="G558" i="12" s="1"/>
  <c r="G559" i="12" s="1"/>
  <c r="G560" i="12" s="1"/>
  <c r="G561" i="12" s="1"/>
  <c r="G562" i="12" s="1"/>
  <c r="G563" i="12" s="1"/>
  <c r="G564" i="12" s="1"/>
  <c r="G565" i="12" s="1"/>
  <c r="G566" i="12" s="1"/>
  <c r="G567" i="12" s="1"/>
  <c r="G568" i="12" s="1"/>
  <c r="G569" i="12" s="1"/>
  <c r="G570" i="12" s="1"/>
  <c r="G571" i="12" s="1"/>
  <c r="E471" i="12"/>
  <c r="E472" i="12" s="1"/>
  <c r="K192" i="47" l="1"/>
  <c r="G572" i="12"/>
  <c r="G573" i="12" s="1"/>
  <c r="G574" i="12" s="1"/>
  <c r="G575" i="12" s="1"/>
  <c r="G576" i="12" s="1"/>
  <c r="E473" i="12"/>
  <c r="E474" i="12" s="1"/>
  <c r="K193" i="47" l="1"/>
  <c r="G577" i="12"/>
  <c r="G578" i="12" s="1"/>
  <c r="E475" i="12"/>
  <c r="E476" i="12" s="1"/>
  <c r="K194" i="47" l="1"/>
  <c r="G579" i="12"/>
  <c r="G580" i="12" s="1"/>
  <c r="G581" i="12" s="1"/>
  <c r="G582" i="12" s="1"/>
  <c r="E477" i="12"/>
  <c r="E478" i="12" s="1"/>
  <c r="K195" i="47" l="1"/>
  <c r="G583" i="12"/>
  <c r="E479" i="12"/>
  <c r="E480" i="12" s="1"/>
  <c r="K196" i="47" l="1"/>
  <c r="G584" i="12"/>
  <c r="G585" i="12" s="1"/>
  <c r="G586" i="12" s="1"/>
  <c r="G587" i="12" s="1"/>
  <c r="G588" i="12" s="1"/>
  <c r="G589" i="12" s="1"/>
  <c r="G590" i="12" s="1"/>
  <c r="G591" i="12" s="1"/>
  <c r="G592" i="12" s="1"/>
  <c r="E481" i="12"/>
  <c r="E482" i="12" s="1"/>
  <c r="E483" i="12" s="1"/>
  <c r="E484" i="12" s="1"/>
  <c r="E485" i="12" s="1"/>
  <c r="E486" i="12" s="1"/>
  <c r="E487" i="12" s="1"/>
  <c r="E488" i="12" s="1"/>
  <c r="E489" i="12" s="1"/>
  <c r="E490" i="12" s="1"/>
  <c r="E491" i="12" s="1"/>
  <c r="E492" i="12" s="1"/>
  <c r="E493" i="12" s="1"/>
  <c r="E494" i="12" s="1"/>
  <c r="E495" i="12" s="1"/>
  <c r="E496" i="12" s="1"/>
  <c r="E497" i="12" s="1"/>
  <c r="E498" i="12" s="1"/>
  <c r="E499" i="12" s="1"/>
  <c r="E500" i="12" s="1"/>
  <c r="E501" i="12" s="1"/>
  <c r="E502" i="12" s="1"/>
  <c r="E503" i="12" s="1"/>
  <c r="E504" i="12" s="1"/>
  <c r="E505" i="12" s="1"/>
  <c r="E506" i="12" s="1"/>
  <c r="E507" i="12" s="1"/>
  <c r="E508" i="12" s="1"/>
  <c r="K197" i="47" l="1"/>
  <c r="G593" i="12"/>
  <c r="G594" i="12" s="1"/>
  <c r="G595" i="12" s="1"/>
  <c r="G596" i="12" s="1"/>
  <c r="G597" i="12" s="1"/>
  <c r="E509" i="12"/>
  <c r="E510" i="12" s="1"/>
  <c r="E511" i="12" s="1"/>
  <c r="E512" i="12" s="1"/>
  <c r="E513" i="12" s="1"/>
  <c r="E514" i="12" s="1"/>
  <c r="E515" i="12" s="1"/>
  <c r="E516" i="12" s="1"/>
  <c r="E517" i="12" s="1"/>
  <c r="E518" i="12" s="1"/>
  <c r="E519" i="12" s="1"/>
  <c r="E520" i="12" s="1"/>
  <c r="E521" i="12" s="1"/>
  <c r="E522" i="12" s="1"/>
  <c r="E523" i="12" s="1"/>
  <c r="E524" i="12" s="1"/>
  <c r="E525" i="12" s="1"/>
  <c r="E526" i="12" s="1"/>
  <c r="E527" i="12" s="1"/>
  <c r="E528" i="12" s="1"/>
  <c r="E529" i="12" s="1"/>
  <c r="E530" i="12" s="1"/>
  <c r="E531" i="12" s="1"/>
  <c r="E532" i="12" s="1"/>
  <c r="E533" i="12" s="1"/>
  <c r="E534" i="12" s="1"/>
  <c r="E535" i="12" s="1"/>
  <c r="E536" i="12" s="1"/>
  <c r="E537" i="12" s="1"/>
  <c r="E538" i="12" s="1"/>
  <c r="E539" i="12" s="1"/>
  <c r="E540" i="12" s="1"/>
  <c r="E541" i="12" s="1"/>
  <c r="E542" i="12" s="1"/>
  <c r="E543" i="12" s="1"/>
  <c r="E544" i="12" s="1"/>
  <c r="E545" i="12" s="1"/>
  <c r="E546" i="12" s="1"/>
  <c r="E547" i="12" s="1"/>
  <c r="E548" i="12" s="1"/>
  <c r="E549" i="12" s="1"/>
  <c r="E550" i="12" s="1"/>
  <c r="E551" i="12" s="1"/>
  <c r="E552" i="12" s="1"/>
  <c r="N510" i="12"/>
  <c r="K198" i="47" l="1"/>
  <c r="N511" i="12"/>
  <c r="G598" i="12"/>
  <c r="G599" i="12" s="1"/>
  <c r="G600" i="12" s="1"/>
  <c r="E553" i="12"/>
  <c r="K199" i="47" l="1"/>
  <c r="G601" i="12"/>
  <c r="G602" i="12" s="1"/>
  <c r="G603" i="12" s="1"/>
  <c r="G604" i="12" s="1"/>
  <c r="G605" i="12" s="1"/>
  <c r="G606" i="12" s="1"/>
  <c r="G607" i="12" s="1"/>
  <c r="G608" i="12" s="1"/>
  <c r="G609" i="12" s="1"/>
  <c r="G610" i="12" s="1"/>
  <c r="G611" i="12" s="1"/>
  <c r="G612" i="12" s="1"/>
  <c r="G613" i="12" s="1"/>
  <c r="G614" i="12" s="1"/>
  <c r="G615" i="12" s="1"/>
  <c r="G616" i="12" s="1"/>
  <c r="G617" i="12" s="1"/>
  <c r="G618" i="12" s="1"/>
  <c r="G619" i="12" s="1"/>
  <c r="G620" i="12" s="1"/>
  <c r="G621" i="12" s="1"/>
  <c r="G622" i="12" s="1"/>
  <c r="G623" i="12" s="1"/>
  <c r="E554" i="12"/>
  <c r="E555" i="12" s="1"/>
  <c r="E556" i="12" s="1"/>
  <c r="E557" i="12" s="1"/>
  <c r="E558" i="12" s="1"/>
  <c r="E559" i="12" s="1"/>
  <c r="E560" i="12" s="1"/>
  <c r="E561" i="12" s="1"/>
  <c r="E562" i="12" s="1"/>
  <c r="E563" i="12" s="1"/>
  <c r="E564" i="12" s="1"/>
  <c r="E565" i="12" s="1"/>
  <c r="E566" i="12" s="1"/>
  <c r="E567" i="12" s="1"/>
  <c r="E568" i="12" s="1"/>
  <c r="E569" i="12" s="1"/>
  <c r="E570" i="12" s="1"/>
  <c r="E571" i="12" s="1"/>
  <c r="K200" i="47" l="1"/>
  <c r="G624" i="12"/>
  <c r="G625" i="12" s="1"/>
  <c r="G626" i="12" s="1"/>
  <c r="G627" i="12" s="1"/>
  <c r="G628" i="12" s="1"/>
  <c r="E572" i="12"/>
  <c r="K201" i="47" l="1"/>
  <c r="G629" i="12"/>
  <c r="G630" i="12" s="1"/>
  <c r="G631" i="12" s="1"/>
  <c r="G632" i="12" s="1"/>
  <c r="G633" i="12" s="1"/>
  <c r="G634" i="12" s="1"/>
  <c r="E573" i="12"/>
  <c r="E574" i="12" s="1"/>
  <c r="E575" i="12" s="1"/>
  <c r="E576" i="12" s="1"/>
  <c r="K202" i="47" l="1"/>
  <c r="G635" i="12"/>
  <c r="G636" i="12" s="1"/>
  <c r="G637" i="12" s="1"/>
  <c r="G638" i="12" s="1"/>
  <c r="G639" i="12" s="1"/>
  <c r="G640" i="12" s="1"/>
  <c r="G641" i="12" s="1"/>
  <c r="E577" i="12"/>
  <c r="E578" i="12" s="1"/>
  <c r="K203" i="47" l="1"/>
  <c r="G642" i="12"/>
  <c r="G643" i="12" s="1"/>
  <c r="G644" i="12" s="1"/>
  <c r="G645" i="12" s="1"/>
  <c r="G646" i="12" s="1"/>
  <c r="G647" i="12" s="1"/>
  <c r="E579" i="12"/>
  <c r="E580" i="12" s="1"/>
  <c r="E581" i="12" s="1"/>
  <c r="E582" i="12" s="1"/>
  <c r="K204" i="47" l="1"/>
  <c r="G648" i="12"/>
  <c r="G649" i="12" s="1"/>
  <c r="G650" i="12" s="1"/>
  <c r="G651" i="12" s="1"/>
  <c r="G652" i="12" s="1"/>
  <c r="G653" i="12" s="1"/>
  <c r="G654" i="12" s="1"/>
  <c r="G655" i="12" s="1"/>
  <c r="G656" i="12" s="1"/>
  <c r="G657" i="12" s="1"/>
  <c r="E583" i="12"/>
  <c r="K205" i="47" l="1"/>
  <c r="G658" i="12"/>
  <c r="G659" i="12" s="1"/>
  <c r="G660" i="12" s="1"/>
  <c r="G661" i="12" s="1"/>
  <c r="G662" i="12" s="1"/>
  <c r="G663" i="12" s="1"/>
  <c r="G664" i="12" s="1"/>
  <c r="E584" i="12"/>
  <c r="E585" i="12" s="1"/>
  <c r="E586" i="12" s="1"/>
  <c r="E587" i="12" s="1"/>
  <c r="E588" i="12" s="1"/>
  <c r="E589" i="12" s="1"/>
  <c r="E590" i="12" s="1"/>
  <c r="E591" i="12" s="1"/>
  <c r="E592" i="12" s="1"/>
  <c r="K206" i="47" l="1"/>
  <c r="G665" i="12"/>
  <c r="G666" i="12" s="1"/>
  <c r="G667" i="12" s="1"/>
  <c r="E593" i="12"/>
  <c r="E594" i="12" s="1"/>
  <c r="E595" i="12" s="1"/>
  <c r="E596" i="12" s="1"/>
  <c r="E597" i="12" s="1"/>
  <c r="K207" i="47" l="1"/>
  <c r="G668" i="12"/>
  <c r="G669" i="12" s="1"/>
  <c r="G670" i="12" s="1"/>
  <c r="G671" i="12" s="1"/>
  <c r="G672" i="12" s="1"/>
  <c r="G673" i="12" s="1"/>
  <c r="G674" i="12" s="1"/>
  <c r="G675" i="12" s="1"/>
  <c r="G676" i="12" s="1"/>
  <c r="G677" i="12" s="1"/>
  <c r="E598" i="12"/>
  <c r="E599" i="12" s="1"/>
  <c r="E600" i="12" s="1"/>
  <c r="K208" i="47" l="1"/>
  <c r="G678" i="12"/>
  <c r="G679" i="12" s="1"/>
  <c r="G680" i="12" s="1"/>
  <c r="G681" i="12" s="1"/>
  <c r="G682" i="12" s="1"/>
  <c r="E601" i="12"/>
  <c r="E602" i="12" s="1"/>
  <c r="E603" i="12" s="1"/>
  <c r="E604" i="12" s="1"/>
  <c r="E605" i="12" s="1"/>
  <c r="E606" i="12" s="1"/>
  <c r="E607" i="12" s="1"/>
  <c r="E608" i="12" s="1"/>
  <c r="E609" i="12" s="1"/>
  <c r="E610" i="12" s="1"/>
  <c r="E611" i="12" s="1"/>
  <c r="E612" i="12" s="1"/>
  <c r="E613" i="12" s="1"/>
  <c r="E614" i="12" s="1"/>
  <c r="E615" i="12" s="1"/>
  <c r="E616" i="12" s="1"/>
  <c r="E617" i="12" s="1"/>
  <c r="E618" i="12" s="1"/>
  <c r="E619" i="12" s="1"/>
  <c r="E620" i="12" s="1"/>
  <c r="E621" i="12" s="1"/>
  <c r="E622" i="12" s="1"/>
  <c r="E623" i="12" s="1"/>
  <c r="K209" i="47" l="1"/>
  <c r="G683" i="12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E624" i="12"/>
  <c r="E625" i="12" s="1"/>
  <c r="E626" i="12" s="1"/>
  <c r="E627" i="12" s="1"/>
  <c r="E628" i="12" s="1"/>
  <c r="K210" i="47" l="1"/>
  <c r="E629" i="12"/>
  <c r="E630" i="12" s="1"/>
  <c r="E631" i="12" s="1"/>
  <c r="E632" i="12" s="1"/>
  <c r="E633" i="12" s="1"/>
  <c r="E634" i="12" s="1"/>
  <c r="K211" i="47" l="1"/>
  <c r="E635" i="12"/>
  <c r="E636" i="12" s="1"/>
  <c r="E637" i="12" s="1"/>
  <c r="E638" i="12" s="1"/>
  <c r="E639" i="12" s="1"/>
  <c r="E640" i="12" s="1"/>
  <c r="E641" i="12" s="1"/>
  <c r="K212" i="47" l="1"/>
  <c r="E642" i="12"/>
  <c r="E643" i="12" s="1"/>
  <c r="E644" i="12" s="1"/>
  <c r="E645" i="12" s="1"/>
  <c r="E646" i="12" s="1"/>
  <c r="E647" i="12" s="1"/>
  <c r="K213" i="47" l="1"/>
  <c r="E648" i="12"/>
  <c r="E649" i="12" s="1"/>
  <c r="E650" i="12" s="1"/>
  <c r="E651" i="12" s="1"/>
  <c r="E652" i="12" s="1"/>
  <c r="E653" i="12" s="1"/>
  <c r="K214" i="47" l="1"/>
  <c r="E654" i="12"/>
  <c r="E655" i="12" s="1"/>
  <c r="E656" i="12" s="1"/>
  <c r="E657" i="12" s="1"/>
  <c r="K215" i="47" l="1"/>
  <c r="E658" i="12"/>
  <c r="K216" i="47" l="1"/>
  <c r="E659" i="12"/>
  <c r="K217" i="47" l="1"/>
  <c r="E660" i="12"/>
  <c r="E661" i="12" s="1"/>
  <c r="E662" i="12" s="1"/>
  <c r="E663" i="12" s="1"/>
  <c r="E664" i="12" s="1"/>
  <c r="E665" i="12" s="1"/>
  <c r="E666" i="12" s="1"/>
  <c r="E667" i="12" s="1"/>
  <c r="E668" i="12" s="1"/>
  <c r="E669" i="12" s="1"/>
  <c r="E670" i="12" s="1"/>
  <c r="E671" i="12" s="1"/>
  <c r="E672" i="12" s="1"/>
  <c r="E673" i="12" s="1"/>
  <c r="E674" i="12" s="1"/>
  <c r="E675" i="12" s="1"/>
  <c r="E676" i="12" s="1"/>
  <c r="E677" i="12" s="1"/>
  <c r="K218" i="47" l="1"/>
  <c r="E678" i="12"/>
  <c r="E679" i="12" s="1"/>
  <c r="E680" i="12" s="1"/>
  <c r="E681" i="12" s="1"/>
  <c r="E682" i="12" s="1"/>
  <c r="E683" i="12" s="1"/>
  <c r="E684" i="12" s="1"/>
  <c r="E685" i="12" s="1"/>
  <c r="E686" i="12" s="1"/>
  <c r="E687" i="12" s="1"/>
  <c r="E688" i="12" s="1"/>
  <c r="E689" i="12" s="1"/>
  <c r="E690" i="12" s="1"/>
  <c r="E691" i="12" s="1"/>
  <c r="E692" i="12" s="1"/>
  <c r="E693" i="12" s="1"/>
  <c r="E694" i="12" s="1"/>
  <c r="K219" i="47" l="1"/>
  <c r="K220" i="47" l="1"/>
  <c r="K221" i="47" l="1"/>
  <c r="K222" i="47" l="1"/>
  <c r="K223" i="47" l="1"/>
  <c r="K224" i="47" l="1"/>
  <c r="K225" i="47" l="1"/>
  <c r="K226" i="47" l="1"/>
  <c r="K227" i="47" l="1"/>
  <c r="K228" i="47" l="1"/>
  <c r="K229" i="47" l="1"/>
  <c r="K230" i="47" l="1"/>
  <c r="K231" i="47" l="1"/>
  <c r="K232" i="47" l="1"/>
  <c r="K233" i="47" l="1"/>
  <c r="K234" i="47" l="1"/>
  <c r="K235" i="47" l="1"/>
  <c r="K236" i="47" l="1"/>
  <c r="K237" i="47" s="1"/>
  <c r="K238" i="47" s="1"/>
  <c r="K239" i="47" l="1"/>
  <c r="K240" i="47" s="1"/>
  <c r="K241" i="47" s="1"/>
  <c r="K242" i="47" s="1"/>
  <c r="K243" i="47" s="1"/>
  <c r="K244" i="47" s="1"/>
  <c r="K245" i="47" s="1"/>
  <c r="K246" i="47" s="1"/>
  <c r="K247" i="47" s="1"/>
  <c r="K248" i="47" s="1"/>
  <c r="K249" i="47" s="1"/>
  <c r="K250" i="47" s="1"/>
  <c r="K251" i="47" s="1"/>
  <c r="K252" i="47" s="1"/>
  <c r="K253" i="47" s="1"/>
  <c r="K254" i="47" s="1"/>
  <c r="K255" i="47" s="1"/>
  <c r="K256" i="47" s="1"/>
  <c r="K257" i="47" s="1"/>
  <c r="K258" i="47" s="1"/>
  <c r="K259" i="47" s="1"/>
  <c r="K260" i="47" s="1"/>
  <c r="K261" i="47" s="1"/>
  <c r="K262" i="47" s="1"/>
  <c r="K263" i="47" s="1"/>
  <c r="K264" i="47" s="1"/>
  <c r="K265" i="47" s="1"/>
  <c r="K266" i="47" s="1"/>
  <c r="K267" i="47" s="1"/>
  <c r="K268" i="47" s="1"/>
  <c r="K269" i="47" s="1"/>
  <c r="K270" i="47" s="1"/>
  <c r="K271" i="47" s="1"/>
  <c r="K272" i="47" s="1"/>
  <c r="K273" i="47" s="1"/>
  <c r="K274" i="47" s="1"/>
  <c r="K275" i="47" s="1"/>
  <c r="K276" i="47" s="1"/>
  <c r="K277" i="47" s="1"/>
  <c r="K278" i="47" s="1"/>
  <c r="K279" i="47" s="1"/>
  <c r="K280" i="47" s="1"/>
  <c r="K281" i="47" s="1"/>
  <c r="K282" i="47" s="1"/>
  <c r="K283" i="47" s="1"/>
  <c r="K284" i="47" s="1"/>
  <c r="K285" i="47" s="1"/>
  <c r="K286" i="47" s="1"/>
  <c r="K287" i="47" s="1"/>
  <c r="K288" i="47" s="1"/>
  <c r="K289" i="47" s="1"/>
  <c r="K290" i="47" s="1"/>
  <c r="K291" i="47" s="1"/>
  <c r="K292" i="47" s="1"/>
  <c r="K293" i="47" s="1"/>
  <c r="K294" i="47" s="1"/>
  <c r="K295" i="47" s="1"/>
  <c r="K296" i="47" s="1"/>
  <c r="K297" i="47" s="1"/>
  <c r="K298" i="47" s="1"/>
  <c r="K299" i="47" s="1"/>
  <c r="K300" i="47" s="1"/>
  <c r="K301" i="47" s="1"/>
  <c r="K302" i="47" s="1"/>
  <c r="K303" i="47" s="1"/>
  <c r="K304" i="47" s="1"/>
  <c r="K305" i="47" s="1"/>
  <c r="K306" i="47" s="1"/>
  <c r="K307" i="47" s="1"/>
  <c r="K308" i="47" s="1"/>
  <c r="K309" i="47" l="1"/>
  <c r="K311" i="47" s="1"/>
  <c r="K312" i="47" s="1"/>
  <c r="K313" i="47" s="1"/>
  <c r="K314" i="47" s="1"/>
  <c r="K315" i="47" s="1"/>
  <c r="K316" i="47" s="1"/>
  <c r="K310" i="47"/>
  <c r="K317" i="47" l="1"/>
  <c r="K318" i="47" s="1"/>
  <c r="K319" i="47" s="1"/>
  <c r="K320" i="4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8" authorId="0" shapeId="0" xr:uid="{1A14A070-FF80-47B8-AFFD-42B37B61B42B}">
      <text>
        <r>
          <rPr>
            <sz val="9"/>
            <color indexed="81"/>
            <rFont val="新細明體"/>
            <family val="1"/>
            <charset val="136"/>
            <scheme val="minor"/>
          </rPr>
          <t>20260410 除息 1195</t>
        </r>
      </text>
    </comment>
    <comment ref="R22" authorId="0" shapeId="0" xr:uid="{B4D3B805-EE1D-4943-952D-7DEE8695278D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28" authorId="0" shapeId="0" xr:uid="{0D36F6BC-FFE1-483B-9219-3D23B6D634E3}">
      <text>
        <r>
          <rPr>
            <sz val="9"/>
            <color indexed="81"/>
            <rFont val="Tahoma"/>
            <family val="2"/>
          </rPr>
          <t>20210408 982
20210825 1412
20220224 2568
20220823 1584
20230313 651
20240816 173</t>
        </r>
        <r>
          <rPr>
            <sz val="9"/>
            <color indexed="81"/>
            <rFont val="細明體"/>
            <family val="3"/>
            <charset val="136"/>
          </rPr>
          <t>零股 3841</t>
        </r>
      </text>
    </comment>
    <comment ref="R29" authorId="0" shapeId="0" xr:uid="{2F369231-B623-406E-8D54-AF45B812EFA2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15600
20220712 除息 51500
20230711 除息 37000
20240710 除息 32000
20250709 除息 28000
20260713 除息 23000</t>
        </r>
      </text>
    </comment>
    <comment ref="R30" authorId="0" shapeId="0" xr:uid="{CD93137B-F285-43A0-8BDD-7B9C685ACEA0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9000
2022 除息 13811
20230807 除息 3069
20231006 除息 2046
20240328 除息 3052
20240925 除息 4069
20250327 除息 3763
20250925 除息 2624
20260326 除息 4424</t>
        </r>
      </text>
    </comment>
    <comment ref="R31" authorId="0" shapeId="0" xr:uid="{9960E77C-5C91-4515-A573-FAD61A6AD9EB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398
20220711 除息 1054
2025/05/22 除息 755</t>
        </r>
      </text>
    </comment>
    <comment ref="R32" authorId="0" shapeId="0" xr:uid="{19756C35-B5E5-47AF-AE10-307785B46D45}">
      <text>
        <r>
          <rPr>
            <sz val="9"/>
            <color indexed="81"/>
            <rFont val="新細明體"/>
            <family val="1"/>
            <charset val="136"/>
            <scheme val="minor"/>
          </rPr>
          <t>20240717 除息 6000
2025/07/08 除息 5905
2026/06/24 除息 6448</t>
        </r>
      </text>
    </comment>
    <comment ref="R34" authorId="0" shapeId="0" xr:uid="{2472956A-FF86-4536-BF6B-F60D32D3C329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5" authorId="0" shapeId="0" xr:uid="{47D4F04C-88A0-4CCC-B3D6-65E92E0DC5A1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6" authorId="0" shapeId="0" xr:uid="{8E23E594-7438-4F52-8026-73C653BCF10F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7" authorId="0" shapeId="0" xr:uid="{45225656-E59E-460D-9533-D13F4AA253BB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8" authorId="0" shapeId="0" xr:uid="{5B4BA947-E79B-402E-92A5-78DEAA04297F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48" authorId="0" shapeId="0" xr:uid="{8DA6C6DE-17E6-4B73-A068-4FD61A93A288}">
      <text>
        <r>
          <rPr>
            <sz val="9"/>
            <color indexed="81"/>
            <rFont val="新細明體"/>
            <family val="1"/>
            <charset val="136"/>
            <scheme val="minor"/>
          </rPr>
          <t>20260721 除息</t>
        </r>
      </text>
    </comment>
    <comment ref="R70" authorId="0" shapeId="0" xr:uid="{68877BC3-1F1D-4FA3-819A-4A6B816B0798}">
      <text>
        <r>
          <rPr>
            <sz val="9"/>
            <color indexed="81"/>
            <rFont val="新細明體"/>
            <family val="1"/>
            <charset val="136"/>
            <scheme val="minor"/>
          </rPr>
          <t>20260721 除息</t>
        </r>
      </text>
    </comment>
    <comment ref="R81" authorId="0" shapeId="0" xr:uid="{ADA8A021-79AF-4B76-AD62-FFC5A1A86C2D}">
      <text>
        <r>
          <rPr>
            <sz val="9"/>
            <color indexed="81"/>
            <rFont val="新細明體"/>
            <family val="1"/>
            <charset val="136"/>
            <scheme val="minor"/>
          </rPr>
          <t>20260623 4220</t>
        </r>
      </text>
    </comment>
    <comment ref="R82" authorId="0" shapeId="0" xr:uid="{129E0347-5C64-4A8A-9896-BE367ED47595}">
      <text>
        <r>
          <rPr>
            <sz val="9"/>
            <color indexed="81"/>
            <rFont val="新細明體"/>
            <family val="1"/>
            <charset val="136"/>
            <scheme val="minor"/>
          </rPr>
          <t>20260701 42200</t>
        </r>
      </text>
    </comment>
    <comment ref="R83" authorId="0" shapeId="0" xr:uid="{7D74F53C-2CF0-4C9A-B0A8-48BA44A4FFA8}">
      <text>
        <r>
          <rPr>
            <sz val="9"/>
            <color indexed="81"/>
            <rFont val="新細明體"/>
            <family val="1"/>
            <charset val="136"/>
            <scheme val="minor"/>
          </rPr>
          <t>20260608 除息</t>
        </r>
      </text>
    </comment>
    <comment ref="R84" authorId="0" shapeId="0" xr:uid="{AB53DA74-80EB-442E-9075-AE598E363A7D}">
      <text>
        <r>
          <rPr>
            <sz val="9"/>
            <color indexed="81"/>
            <rFont val="新細明體"/>
            <family val="1"/>
            <charset val="136"/>
            <scheme val="minor"/>
          </rPr>
          <t>20260617 1190</t>
        </r>
      </text>
    </comment>
    <comment ref="R85" authorId="0" shapeId="0" xr:uid="{D3F9BFEA-A351-44EB-B1E8-EBEED39CA3D7}">
      <text>
        <r>
          <rPr>
            <sz val="9"/>
            <color indexed="81"/>
            <rFont val="新細明體"/>
            <family val="1"/>
            <charset val="136"/>
            <scheme val="minor"/>
          </rPr>
          <t>20260611 除息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6" authorId="0" shapeId="0" xr:uid="{676AA928-64A1-4BF6-8BF9-E51F20F7F22B}">
      <text>
        <r>
          <rPr>
            <sz val="9"/>
            <color indexed="81"/>
            <rFont val="新細明體"/>
            <family val="1"/>
            <charset val="136"/>
            <scheme val="minor"/>
          </rPr>
          <t>20250723 除息 4600</t>
        </r>
      </text>
    </comment>
    <comment ref="R17" authorId="0" shapeId="0" xr:uid="{010D27BB-284E-4F3F-95F1-D09C319B994B}">
      <text>
        <r>
          <rPr>
            <sz val="9"/>
            <color indexed="81"/>
            <rFont val="新細明體"/>
            <family val="1"/>
            <charset val="136"/>
            <scheme val="minor"/>
          </rPr>
          <t>20250731 除息 5800</t>
        </r>
      </text>
    </comment>
    <comment ref="R18" authorId="0" shapeId="0" xr:uid="{D3306433-A930-4240-86EF-1B3276951C49}">
      <text>
        <r>
          <rPr>
            <sz val="9"/>
            <color indexed="81"/>
            <rFont val="新細明體"/>
            <family val="1"/>
            <charset val="136"/>
            <scheme val="minor"/>
          </rPr>
          <t>20250724 除息 3600</t>
        </r>
      </text>
    </comment>
    <comment ref="R20" authorId="0" shapeId="0" xr:uid="{E310CA8F-FF3E-405B-9209-C7DF22394FB7}">
      <text>
        <r>
          <rPr>
            <sz val="9"/>
            <color indexed="81"/>
            <rFont val="新細明體"/>
            <family val="1"/>
            <charset val="136"/>
            <scheme val="minor"/>
          </rPr>
          <t>20250714 除息 3700</t>
        </r>
      </text>
    </comment>
    <comment ref="R33" authorId="0" shapeId="0" xr:uid="{6C50C1E9-D04E-4539-B885-2134699842D0}">
      <text>
        <r>
          <rPr>
            <sz val="9"/>
            <color indexed="81"/>
            <rFont val="新細明體"/>
            <family val="1"/>
            <charset val="136"/>
            <scheme val="minor"/>
          </rPr>
          <t>20250902 除息 2553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1" authorId="0" shapeId="0" xr:uid="{A6D6B28F-20F6-492E-9B1F-52DF7F66A5A9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4000</t>
        </r>
      </text>
    </comment>
    <comment ref="R12" authorId="0" shapeId="0" xr:uid="{3C75697F-1DB3-41E6-B5C3-93CD289816A8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1200</t>
        </r>
      </text>
    </comment>
    <comment ref="R15" authorId="0" shapeId="0" xr:uid="{C76F799C-7BDA-4AC0-B548-3A6C175F7A34}">
      <text>
        <r>
          <rPr>
            <sz val="9"/>
            <color indexed="81"/>
            <rFont val="新細明體"/>
            <family val="1"/>
            <charset val="136"/>
            <scheme val="minor"/>
          </rPr>
          <t>20240710 除息 500</t>
        </r>
      </text>
    </comment>
    <comment ref="R16" authorId="0" shapeId="0" xr:uid="{65233D41-6171-440D-A647-6F548EF8A64E}">
      <text>
        <r>
          <rPr>
            <sz val="9"/>
            <color indexed="81"/>
            <rFont val="新細明體"/>
            <family val="1"/>
            <charset val="136"/>
            <scheme val="minor"/>
          </rPr>
          <t>20240711 除息 2200</t>
        </r>
      </text>
    </comment>
    <comment ref="R18" authorId="0" shapeId="0" xr:uid="{29CA7108-1671-4FA1-8F20-0FE7EC3DFAC9}">
      <text>
        <r>
          <rPr>
            <sz val="9"/>
            <color indexed="81"/>
            <rFont val="新細明體"/>
            <family val="1"/>
            <charset val="136"/>
            <scheme val="minor"/>
          </rPr>
          <t>20240730 除息 2000</t>
        </r>
      </text>
    </comment>
    <comment ref="R19" authorId="0" shapeId="0" xr:uid="{4581CC8B-4753-4C01-AF9E-CCD2F3A6E12A}">
      <text>
        <r>
          <rPr>
            <sz val="9"/>
            <color indexed="81"/>
            <rFont val="新細明體"/>
            <family val="1"/>
            <charset val="136"/>
            <scheme val="minor"/>
          </rPr>
          <t>20240712 除息 4000</t>
        </r>
      </text>
    </comment>
    <comment ref="R22" authorId="0" shapeId="0" xr:uid="{4F3CD2D6-2F5F-4CD0-8282-5D5C867FBBBA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2000</t>
        </r>
      </text>
    </comment>
    <comment ref="R23" authorId="0" shapeId="0" xr:uid="{233B31D3-4D69-451C-827B-A9FEE67AD0EC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400
20241001 除權 2948</t>
        </r>
      </text>
    </comment>
    <comment ref="R29" authorId="0" shapeId="0" xr:uid="{1F8CA2CD-41C3-4150-B7D5-84A7C317F73D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10511</t>
        </r>
      </text>
    </comment>
    <comment ref="R30" authorId="0" shapeId="0" xr:uid="{99A02C16-A699-43BE-942B-D5569069370D}">
      <text>
        <r>
          <rPr>
            <sz val="9"/>
            <color indexed="81"/>
            <rFont val="新細明體"/>
            <family val="1"/>
            <charset val="136"/>
            <scheme val="minor"/>
          </rPr>
          <t>20240521 除息 1600
20240620 除息 1600
20240717 除息 1440
20240820 除息 1440
20240919 除息 1280
20241022 除息 1120
20241119 除息 880
20241218 除息 400</t>
        </r>
      </text>
    </comment>
    <comment ref="R33" authorId="0" shapeId="0" xr:uid="{611D6454-C861-4CDA-9379-59502B6CA1F2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9965
20250619 除息 32500</t>
        </r>
      </text>
    </comment>
    <comment ref="R34" authorId="0" shapeId="0" xr:uid="{EF6D9A33-D3A6-4709-B306-F5CF75F8482B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20250723 除息 13000
</t>
        </r>
      </text>
    </comment>
    <comment ref="R35" authorId="0" shapeId="0" xr:uid="{B4AD438D-1F3D-48E9-BDBA-63F38AFDA06F}">
      <text>
        <r>
          <rPr>
            <sz val="9"/>
            <color indexed="81"/>
            <rFont val="新細明體"/>
            <family val="1"/>
            <charset val="136"/>
            <scheme val="minor"/>
          </rPr>
          <t>20240808 除息 1500
20250814 除息 1500</t>
        </r>
      </text>
    </comment>
    <comment ref="R36" authorId="0" shapeId="0" xr:uid="{B657450B-08D6-4432-BFA7-76C70A76D755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500
20250721 除息 6000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2" authorId="0" shapeId="0" xr:uid="{2543D9E4-64F9-43AD-AC2A-D73021FA2AB5}">
      <text>
        <r>
          <rPr>
            <sz val="9"/>
            <color indexed="81"/>
            <rFont val="新細明體"/>
            <family val="1"/>
            <charset val="136"/>
            <scheme val="minor"/>
          </rPr>
          <t>20240718 除息 690</t>
        </r>
      </text>
    </comment>
    <comment ref="R13" authorId="0" shapeId="0" xr:uid="{AC143D9B-646C-4119-8704-A66FA229A17F}">
      <text>
        <r>
          <rPr>
            <sz val="9"/>
            <color indexed="81"/>
            <rFont val="新細明體"/>
            <family val="1"/>
            <charset val="136"/>
            <scheme val="minor"/>
          </rPr>
          <t>20240708 除息 1800</t>
        </r>
      </text>
    </comment>
    <comment ref="R14" authorId="0" shapeId="0" xr:uid="{2E0705D8-2BF5-4552-B086-75DFE101E8BE}">
      <text>
        <r>
          <rPr>
            <sz val="9"/>
            <color indexed="81"/>
            <rFont val="新細明體"/>
            <family val="1"/>
            <charset val="136"/>
            <scheme val="minor"/>
          </rPr>
          <t>20230817 除息 330
20230916 除息 330
20231024 除息 330
20231121 除息 330
20231219 除息 330</t>
        </r>
      </text>
    </comment>
    <comment ref="R15" authorId="0" shapeId="0" xr:uid="{6A8D48F9-A99F-41DE-A360-A485137675B9}">
      <text>
        <r>
          <rPr>
            <sz val="9"/>
            <color indexed="81"/>
            <rFont val="新細明體"/>
            <family val="1"/>
            <charset val="136"/>
            <scheme val="minor"/>
          </rPr>
          <t>20230916 除息 110
20231024 除息 110
20231121 除息 110
20231219 除息 110</t>
        </r>
      </text>
    </comment>
    <comment ref="R16" authorId="0" shapeId="0" xr:uid="{0692B168-AD3E-4821-9699-0A6C2751C8BE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</t>
        </r>
      </text>
    </comment>
    <comment ref="R17" authorId="0" shapeId="0" xr:uid="{C05373B2-E5B3-4DE8-B82C-6BFDA65E8B3B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
20240118 除息 910
20240118 除息 910
20240229 除息 1040
20240319 除息 1040
20240423 除息 1600</t>
        </r>
      </text>
    </comment>
    <comment ref="R18" authorId="0" shapeId="0" xr:uid="{EC8A9755-2384-44EB-A573-F1AB7C92BB84}">
      <text>
        <r>
          <rPr>
            <sz val="9"/>
            <color indexed="81"/>
            <rFont val="新細明體"/>
            <family val="1"/>
            <charset val="136"/>
            <scheme val="minor"/>
          </rPr>
          <t>20230710 除息 1600
20240702 除息 1600
20250327 除息 1500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20" authorId="0" shapeId="0" xr:uid="{EF1A8E86-8D7C-47E0-B4AF-CF618F0522C3}">
      <text>
        <r>
          <rPr>
            <sz val="9"/>
            <color indexed="81"/>
            <rFont val="Tahoma"/>
            <family val="2"/>
          </rPr>
          <t xml:space="preserve">20220610 </t>
        </r>
        <r>
          <rPr>
            <sz val="9"/>
            <color indexed="81"/>
            <rFont val="細明體"/>
            <family val="3"/>
            <charset val="136"/>
          </rPr>
          <t>除息 3000</t>
        </r>
      </text>
    </comment>
    <comment ref="R21" authorId="0" shapeId="0" xr:uid="{0DEF908A-DF39-424C-BD4C-3E791A3008F7}">
      <text>
        <r>
          <rPr>
            <sz val="9"/>
            <color indexed="81"/>
            <rFont val="Tahoma"/>
            <family val="2"/>
          </rPr>
          <t xml:space="preserve">20220729 </t>
        </r>
        <r>
          <rPr>
            <sz val="9"/>
            <color indexed="81"/>
            <rFont val="細明體"/>
            <family val="3"/>
            <charset val="136"/>
          </rPr>
          <t>除息 5400
20230804 除息 6000</t>
        </r>
      </text>
    </comment>
    <comment ref="R22" authorId="0" shapeId="0" xr:uid="{661DF8F6-8D7C-4235-80BB-1FA150FBFB41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20220618 除息 13000
20221213 除息 10277
20230704 除息 4450
20231221 除息 4424
</t>
        </r>
      </text>
    </comment>
    <comment ref="R23" authorId="0" shapeId="0" xr:uid="{7EFF912B-C9B4-418F-BDFC-4D38E94983FF}">
      <text>
        <r>
          <rPr>
            <sz val="9"/>
            <color indexed="81"/>
            <rFont val="Tahoma"/>
            <family val="2"/>
          </rPr>
          <t xml:space="preserve">20230804 </t>
        </r>
        <r>
          <rPr>
            <sz val="9"/>
            <color indexed="81"/>
            <rFont val="細明體"/>
            <family val="3"/>
            <charset val="136"/>
          </rPr>
          <t>除息 816</t>
        </r>
      </text>
    </comment>
    <comment ref="R24" authorId="0" shapeId="0" xr:uid="{7CA0DCD4-B66B-404E-831E-665C21B9A631}">
      <text>
        <r>
          <rPr>
            <sz val="9"/>
            <color indexed="81"/>
            <rFont val="Tahoma"/>
            <family val="2"/>
          </rPr>
          <t xml:space="preserve">20230809 </t>
        </r>
        <r>
          <rPr>
            <sz val="9"/>
            <color indexed="81"/>
            <rFont val="細明體"/>
            <family val="3"/>
            <charset val="136"/>
          </rPr>
          <t>除息 515
20240814 除息 702
20240916 股息 947</t>
        </r>
      </text>
    </comment>
    <comment ref="R25" authorId="0" shapeId="0" xr:uid="{647299C4-F5AE-4A13-98F0-6F60140FE371}">
      <text>
        <r>
          <rPr>
            <sz val="9"/>
            <color indexed="81"/>
            <rFont val="Tahoma"/>
            <family val="2"/>
          </rPr>
          <t xml:space="preserve">20240418 </t>
        </r>
        <r>
          <rPr>
            <sz val="9"/>
            <color indexed="81"/>
            <rFont val="細明體"/>
            <family val="3"/>
            <charset val="136"/>
          </rPr>
          <t>除息 899</t>
        </r>
      </text>
    </comment>
    <comment ref="R26" authorId="0" shapeId="0" xr:uid="{86345D64-8838-4463-B650-025AF1E3DA04}">
      <text>
        <r>
          <rPr>
            <sz val="9"/>
            <color indexed="81"/>
            <rFont val="新細明體"/>
            <family val="1"/>
            <charset val="136"/>
            <scheme val="minor"/>
          </rPr>
          <t>除息 5000
20230303 除息 4000
20240411 除息 3500
20250327 除息 3500
20260326 除息 3300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98" authorId="0" shapeId="0" xr:uid="{B3FF6B3E-B389-4979-88CB-433C7978337C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21210617 2500
20210916 2750
20211216 2750</t>
        </r>
      </text>
    </comment>
    <comment ref="R100" authorId="0" shapeId="0" xr:uid="{FB512C50-A7EA-4B6C-ACA2-D5D815AF7876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01" authorId="0" shapeId="0" xr:uid="{86A290F6-0AC4-40B3-B56D-0B54AA513580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02" authorId="0" shapeId="0" xr:uid="{B51CF0EF-D583-42D0-BE01-3179485E11AD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3100
20220704 除息 4000</t>
        </r>
      </text>
    </comment>
    <comment ref="R103" authorId="0" shapeId="0" xr:uid="{E112162D-0D66-493B-9FEE-3EB8533F5AB4}">
      <text>
        <r>
          <rPr>
            <sz val="9"/>
            <color indexed="81"/>
            <rFont val="新細明體"/>
            <family val="1"/>
            <charset val="136"/>
            <scheme val="minor"/>
          </rPr>
          <t>20210429 除息 3500
20220313 減資 4049
20220330 除息 2856
20230330 除息 1190
20240328 除息 1368</t>
        </r>
      </text>
    </comment>
    <comment ref="R104" authorId="0" shapeId="0" xr:uid="{07291324-61E7-426A-9D60-18762CF201D7}">
      <text>
        <r>
          <rPr>
            <sz val="9"/>
            <color indexed="81"/>
            <rFont val="新細明體"/>
            <family val="1"/>
            <charset val="136"/>
            <scheme val="minor"/>
          </rPr>
          <t>20220728 除息 15836
20230703 除息 503
20240711 除息 995
20250908 除息1736</t>
        </r>
      </text>
    </comment>
    <comment ref="R105" authorId="0" shapeId="0" xr:uid="{A9A96386-AD4D-4602-83B4-954980A8E8D4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300
20220726 除息 3100
20230726 除息 1000
20240725 除息 350
20250724 除息 330</t>
        </r>
      </text>
    </comment>
    <comment ref="R106" authorId="0" shapeId="0" xr:uid="{A9C9D604-C0FD-4F9A-B266-698E0E0BA52A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600
20220726 除息 6200
20230726 除息 2000
20240725 除息 700
20250724 除息 660</t>
        </r>
      </text>
    </comment>
    <comment ref="R107" authorId="0" shapeId="0" xr:uid="{34D9D9E2-124B-4E4F-B002-095A8F39338D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2800
20220706 除息 2800
20240827 除息 1000
20250827 除息 1190</t>
        </r>
      </text>
    </comment>
    <comment ref="R108" authorId="0" shapeId="0" xr:uid="{32A3BFE3-5DB3-4B7C-A66B-3CAE36C370F7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300
20220704 除息 1000
20230810 除息 640
20240805 除息 720
20250805 除息 243</t>
        </r>
      </text>
    </comment>
    <comment ref="R109" authorId="0" shapeId="0" xr:uid="{D98A529C-AFD4-4391-84BF-F4CBB938EBB2}">
      <text>
        <r>
          <rPr>
            <sz val="9"/>
            <color indexed="81"/>
            <rFont val="新細明體"/>
            <family val="1"/>
            <charset val="136"/>
            <scheme val="minor"/>
          </rPr>
          <t>2022 除息 1500
20230825 除息 722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tc={7A9F7465-F1A5-4DFF-8323-B67EDE320A56}</author>
    <author>YuHui Hsu</author>
    <author>tc={2125B50D-B804-476B-958E-5A98809B4DAD}</author>
  </authors>
  <commentList>
    <comment ref="R2" authorId="0" shapeId="0" xr:uid="{7A9F7465-F1A5-4DFF-8323-B67EDE320A5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B2" authorId="1" shapeId="0" xr:uid="{2C2DD2BD-305F-4DA1-9F6E-F456053F0801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&gt;4%</t>
        </r>
        <r>
          <rPr>
            <sz val="9"/>
            <color indexed="81"/>
            <rFont val="細明體"/>
            <family val="3"/>
            <charset val="136"/>
          </rPr>
          <t>，
近</t>
        </r>
        <r>
          <rPr>
            <sz val="9"/>
            <color indexed="81"/>
            <rFont val="Tahoma"/>
            <family val="2"/>
          </rPr>
          <t xml:space="preserve"> 5 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 xml:space="preserve"> 30 </t>
        </r>
        <r>
          <rPr>
            <sz val="9"/>
            <color indexed="81"/>
            <rFont val="細明體"/>
            <family val="3"/>
            <charset val="136"/>
          </rPr>
          <t>天內填息機率</t>
        </r>
        <r>
          <rPr>
            <sz val="9"/>
            <color indexed="81"/>
            <rFont val="Tahoma"/>
            <family val="2"/>
          </rPr>
          <t xml:space="preserve"> 75%</t>
        </r>
      </text>
    </comment>
    <comment ref="R3" authorId="2" shapeId="0" xr:uid="{2125B50D-B804-476B-958E-5A98809B4DAD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B3" authorId="1" shapeId="0" xr:uid="{F7F264D8-00D7-4C59-89B2-66E0998C9528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&gt;5%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tc={ED7B6892-BC40-48D6-A48E-195307606176}</author>
    <author>tc={EBF44E15-C262-4578-BDB1-F521DAEB58B7}</author>
    <author>tc={DDC8E112-1991-48F4-94F8-0D17C1B51FDF}</author>
    <author>tc={74F155F8-121F-45BA-BC26-70488EC0DDC8}</author>
    <author>tc={C8F3D15F-3E0F-407F-BA50-818535FCB57C}</author>
    <author>tc={AEF677AD-2922-47B8-AE39-0C9901B1F93C}</author>
    <author>tc={8751C318-4222-473E-B2AB-F989C19B4507}</author>
    <author>tc={5E82B9C4-1E8B-4038-9D54-23CBFF2488F6}</author>
    <author>tc={F3315296-9736-4F2D-8DC9-A26BEFB9777F}</author>
    <author>tc={4E6EF454-BDE1-41FD-82E3-A2FE0487E2A8}</author>
    <author>tc={0444BAB3-B771-40B7-A812-2301AE9589BA}</author>
    <author>tc={B1259007-595F-4402-BAF5-6726EB476A85}</author>
  </authors>
  <commentList>
    <comment ref="R10" authorId="0" shapeId="0" xr:uid="{ED7B6892-BC40-48D6-A48E-19530760617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1" authorId="1" shapeId="0" xr:uid="{EBF44E15-C262-4578-BDB1-F521DAEB58B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2" authorId="2" shapeId="0" xr:uid="{DDC8E112-1991-48F4-94F8-0D17C1B51FD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" authorId="3" shapeId="0" xr:uid="{74F155F8-121F-45BA-BC26-70488EC0DDC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2019/07/19</t>
      </text>
    </comment>
    <comment ref="R14" authorId="4" shapeId="0" xr:uid="{C8F3D15F-3E0F-407F-BA50-818535FCB57C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2019/08/02</t>
      </text>
    </comment>
    <comment ref="R15" authorId="5" shapeId="0" xr:uid="{AEF677AD-2922-47B8-AE39-0C9901B1F93C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2019/07/25</t>
      </text>
    </comment>
    <comment ref="R16" authorId="6" shapeId="0" xr:uid="{8751C318-4222-473E-B2AB-F989C19B450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2019/07/23</t>
      </text>
    </comment>
    <comment ref="R17" authorId="7" shapeId="0" xr:uid="{5E82B9C4-1E8B-4038-9D54-23CBFF2488F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8" authorId="8" shapeId="0" xr:uid="{F3315296-9736-4F2D-8DC9-A26BEFB9777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19" authorId="9" shapeId="0" xr:uid="{4E6EF454-BDE1-41FD-82E3-A2FE0487E2A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20" authorId="10" shapeId="0" xr:uid="{0444BAB3-B771-40B7-A812-2301AE9589BA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2019/08/2</t>
      </text>
    </comment>
    <comment ref="R21" authorId="11" shapeId="0" xr:uid="{B1259007-595F-4402-BAF5-6726EB476A85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tc={A60DB243-B772-487F-8299-AA3BFDFE871A}</author>
    <author>tc={658337C7-11FD-41EB-AF57-772990E24442}</author>
    <author>tc={B6D99A2A-58F0-4FA6-AD97-300B0BE10508}</author>
    <author>tc={E0C7977A-462B-4B2A-BCF8-3EB2FEE07E0B}</author>
    <author>tc={2C50538B-F335-420F-80E1-477005B195AB}</author>
    <author>tc={4B99CE98-FF95-4D01-941C-01E92A68FBEF}</author>
    <author>tc={38A1065E-818F-4552-84AF-193DCEFF8C42}</author>
    <author>tc={43373B6B-D09D-4313-B9AC-13A1B106DC96}</author>
    <author>tc={44765C90-ED3E-412F-9188-FB51D5C69E60}</author>
    <author>tc={14BD763C-48D1-4FC9-A192-3F847525E924}</author>
    <author>tc={3811BF8D-2CEA-41FF-84A8-6BDDEC81E456}</author>
    <author>tc={EDAC0C55-F73D-45B9-A13B-6535DDA0D42B}</author>
    <author>tc={92A86F1B-A49E-4C64-AD77-C1D30C8E99F3}</author>
    <author>tc={9981172C-E978-456A-BA95-2FCCEA150D77}</author>
    <author>YuHui</author>
  </authors>
  <commentList>
    <comment ref="R10" authorId="0" shapeId="0" xr:uid="{A60DB243-B772-487F-8299-AA3BFDFE871A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1" authorId="1" shapeId="0" xr:uid="{658337C7-11FD-41EB-AF57-772990E24442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2" authorId="2" shapeId="0" xr:uid="{B6D99A2A-58F0-4FA6-AD97-300B0BE1050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" authorId="3" shapeId="0" xr:uid="{E0C7977A-462B-4B2A-BCF8-3EB2FEE07E0B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2019/07/19</t>
      </text>
    </comment>
    <comment ref="R14" authorId="4" shapeId="0" xr:uid="{2C50538B-F335-420F-80E1-477005B195AB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2019/08/02</t>
      </text>
    </comment>
    <comment ref="R15" authorId="5" shapeId="0" xr:uid="{4B99CE98-FF95-4D01-941C-01E92A68FBE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2019/07/25</t>
      </text>
    </comment>
    <comment ref="R16" authorId="6" shapeId="0" xr:uid="{38A1065E-818F-4552-84AF-193DCEFF8C42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2019/07/23</t>
      </text>
    </comment>
    <comment ref="R17" authorId="7" shapeId="0" xr:uid="{43373B6B-D09D-4313-B9AC-13A1B106DC9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8" authorId="8" shapeId="0" xr:uid="{44765C90-ED3E-412F-9188-FB51D5C69E60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19" authorId="9" shapeId="0" xr:uid="{14BD763C-48D1-4FC9-A192-3F847525E924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20" authorId="10" shapeId="0" xr:uid="{3811BF8D-2CEA-41FF-84A8-6BDDEC81E45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2019/08/2</t>
      </text>
    </comment>
    <comment ref="R21" authorId="11" shapeId="0" xr:uid="{EDAC0C55-F73D-45B9-A13B-6535DDA0D42B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22" authorId="12" shapeId="0" xr:uid="{92A86F1B-A49E-4C64-AD77-C1D30C8E99F3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23" authorId="13" shapeId="0" xr:uid="{9981172C-E978-456A-BA95-2FCCEA150D7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7" authorId="14" shapeId="0" xr:uid="{8503EE72-9EAE-425C-BCB5-C44472724E2A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21210617 2500
20210916 2750
20211216 2750</t>
        </r>
      </text>
    </comment>
    <comment ref="R139" authorId="14" shapeId="0" xr:uid="{6C992364-51C0-419B-A1E4-5252270931E0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40" authorId="14" shapeId="0" xr:uid="{83337F8E-00F8-4052-A697-9F8C65333963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41" authorId="14" shapeId="0" xr:uid="{829B0DF1-5AC4-448F-B2BD-9F50ED177660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3100
20220704 除息 4000</t>
        </r>
      </text>
    </comment>
    <comment ref="R142" authorId="14" shapeId="0" xr:uid="{77A75189-6A97-4A75-9BF6-61F97DF13B18}">
      <text>
        <r>
          <rPr>
            <sz val="9"/>
            <color indexed="81"/>
            <rFont val="新細明體"/>
            <family val="1"/>
            <charset val="136"/>
            <scheme val="minor"/>
          </rPr>
          <t>20210429 除息 3500
20220313 減資 4049
20220330 除息 2856
20230330 除息 1190
20240328 除息 1368</t>
        </r>
      </text>
    </comment>
    <comment ref="R143" authorId="14" shapeId="0" xr:uid="{7E9E3948-0907-46C3-A4D9-38C94CFE5A61}">
      <text>
        <r>
          <rPr>
            <sz val="9"/>
            <color indexed="81"/>
            <rFont val="新細明體"/>
            <family val="1"/>
            <charset val="136"/>
            <scheme val="minor"/>
          </rPr>
          <t>20220728 除息 15836
20230703 除息 503
20240711 除息 995
20250908 除息1736</t>
        </r>
      </text>
    </comment>
    <comment ref="R144" authorId="14" shapeId="0" xr:uid="{587E270F-8F5D-431E-A5DB-CE9540A3F9DE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300
20220726 除息 3100
20230726 除息 1000
20240725 除息 350
20250724 除息 330</t>
        </r>
      </text>
    </comment>
    <comment ref="R145" authorId="14" shapeId="0" xr:uid="{2E7337A8-61A8-40E1-B45B-413A5CD403EE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600
20220726 除息 6200
20230726 除息 2000
20240725 除息 700
20250724 除息 660</t>
        </r>
      </text>
    </comment>
    <comment ref="R146" authorId="14" shapeId="0" xr:uid="{259DFF2A-4178-4448-859B-DCA2C7B8485A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2800
20220706 除息 2800
20240827 除息 1000
20250827 除息 1190</t>
        </r>
      </text>
    </comment>
    <comment ref="R147" authorId="14" shapeId="0" xr:uid="{897EF467-D05B-4008-B6FC-2EAE7C0BDAA4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300
20220704 除息 1000
20230810 除息 640
20240805 除息 720
20250805 除息 243</t>
        </r>
      </text>
    </comment>
    <comment ref="R148" authorId="14" shapeId="0" xr:uid="{A3117E01-AAB6-4C17-B361-F17ED50768EA}">
      <text>
        <r>
          <rPr>
            <sz val="9"/>
            <color indexed="81"/>
            <rFont val="新細明體"/>
            <family val="1"/>
            <charset val="136"/>
            <scheme val="minor"/>
          </rPr>
          <t>2022 除息 1500
20230825 除息 722</t>
        </r>
      </text>
    </comment>
    <comment ref="R167" authorId="14" shapeId="0" xr:uid="{CDB0B9DA-535A-4EB2-B1F8-168ED714A536}">
      <text>
        <r>
          <rPr>
            <sz val="9"/>
            <color indexed="81"/>
            <rFont val="Tahoma"/>
            <family val="2"/>
          </rPr>
          <t xml:space="preserve">20220610 </t>
        </r>
        <r>
          <rPr>
            <sz val="9"/>
            <color indexed="81"/>
            <rFont val="細明體"/>
            <family val="3"/>
            <charset val="136"/>
          </rPr>
          <t>除息 3000</t>
        </r>
      </text>
    </comment>
    <comment ref="R168" authorId="14" shapeId="0" xr:uid="{5DF38FD3-CB0E-4781-AEE7-440AD2DB30DB}">
      <text>
        <r>
          <rPr>
            <sz val="9"/>
            <color indexed="81"/>
            <rFont val="Tahoma"/>
            <family val="2"/>
          </rPr>
          <t xml:space="preserve">20220729 </t>
        </r>
        <r>
          <rPr>
            <sz val="9"/>
            <color indexed="81"/>
            <rFont val="細明體"/>
            <family val="3"/>
            <charset val="136"/>
          </rPr>
          <t>除息 5400
20230804 除息 6000</t>
        </r>
      </text>
    </comment>
    <comment ref="R169" authorId="14" shapeId="0" xr:uid="{A767B2AB-23BA-4897-AC16-B21D4EBE1FCA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20220618 除息 13000
20221213 除息 10277
20230704 除息 4450
20231221 除息 4424
</t>
        </r>
      </text>
    </comment>
    <comment ref="R170" authorId="14" shapeId="0" xr:uid="{E9CD576C-0C52-4C97-8840-94614811C008}">
      <text>
        <r>
          <rPr>
            <sz val="9"/>
            <color indexed="81"/>
            <rFont val="Tahoma"/>
            <family val="2"/>
          </rPr>
          <t xml:space="preserve">20230804 </t>
        </r>
        <r>
          <rPr>
            <sz val="9"/>
            <color indexed="81"/>
            <rFont val="細明體"/>
            <family val="3"/>
            <charset val="136"/>
          </rPr>
          <t>除息 816</t>
        </r>
      </text>
    </comment>
    <comment ref="R171" authorId="14" shapeId="0" xr:uid="{8416A0B6-4AAC-4EDF-914D-CD027524F100}">
      <text>
        <r>
          <rPr>
            <sz val="9"/>
            <color indexed="81"/>
            <rFont val="Tahoma"/>
            <family val="2"/>
          </rPr>
          <t xml:space="preserve">20230809 </t>
        </r>
        <r>
          <rPr>
            <sz val="9"/>
            <color indexed="81"/>
            <rFont val="細明體"/>
            <family val="3"/>
            <charset val="136"/>
          </rPr>
          <t>除息 515
20240814 除息 702
20240916 股息 947</t>
        </r>
      </text>
    </comment>
    <comment ref="R172" authorId="14" shapeId="0" xr:uid="{ADC28566-7CA8-478D-9DCE-CDBB1271376E}">
      <text>
        <r>
          <rPr>
            <sz val="9"/>
            <color indexed="81"/>
            <rFont val="Tahoma"/>
            <family val="2"/>
          </rPr>
          <t xml:space="preserve">20240418 </t>
        </r>
        <r>
          <rPr>
            <sz val="9"/>
            <color indexed="81"/>
            <rFont val="細明體"/>
            <family val="3"/>
            <charset val="136"/>
          </rPr>
          <t>除息 899</t>
        </r>
      </text>
    </comment>
    <comment ref="R173" authorId="14" shapeId="0" xr:uid="{EA7DFEC7-8543-4900-95AE-0DF9ADF55814}">
      <text>
        <r>
          <rPr>
            <sz val="9"/>
            <color indexed="81"/>
            <rFont val="新細明體"/>
            <family val="1"/>
            <charset val="136"/>
            <scheme val="minor"/>
          </rPr>
          <t>除息 5000
20230303 除息 4000
20240411 除息 3500
20250327 除息 3500
20260326 除息 3300</t>
        </r>
      </text>
    </comment>
    <comment ref="R184" authorId="14" shapeId="0" xr:uid="{8F17270A-1EC6-40E7-A2C6-634FCA952E3C}">
      <text>
        <r>
          <rPr>
            <sz val="9"/>
            <color indexed="81"/>
            <rFont val="新細明體"/>
            <family val="1"/>
            <charset val="136"/>
            <scheme val="minor"/>
          </rPr>
          <t>20240718 除息 690</t>
        </r>
      </text>
    </comment>
    <comment ref="R185" authorId="14" shapeId="0" xr:uid="{48AACAC1-5D26-4353-ACF1-88682C1893C3}">
      <text>
        <r>
          <rPr>
            <sz val="9"/>
            <color indexed="81"/>
            <rFont val="新細明體"/>
            <family val="1"/>
            <charset val="136"/>
            <scheme val="minor"/>
          </rPr>
          <t>20240708 除息 1800</t>
        </r>
      </text>
    </comment>
    <comment ref="R186" authorId="14" shapeId="0" xr:uid="{EDB24124-63D4-4254-9E6B-8603A59C75AA}">
      <text>
        <r>
          <rPr>
            <sz val="9"/>
            <color indexed="81"/>
            <rFont val="新細明體"/>
            <family val="1"/>
            <charset val="136"/>
            <scheme val="minor"/>
          </rPr>
          <t>20230817 除息 330
20230916 除息 330
20231024 除息 330
20231121 除息 330
20231219 除息 330</t>
        </r>
      </text>
    </comment>
    <comment ref="R187" authorId="14" shapeId="0" xr:uid="{17BABA54-FD3E-41C3-8C4E-055029877CE3}">
      <text>
        <r>
          <rPr>
            <sz val="9"/>
            <color indexed="81"/>
            <rFont val="新細明體"/>
            <family val="1"/>
            <charset val="136"/>
            <scheme val="minor"/>
          </rPr>
          <t>20230916 除息 110
20231024 除息 110
20231121 除息 110
20231219 除息 110</t>
        </r>
      </text>
    </comment>
    <comment ref="R188" authorId="14" shapeId="0" xr:uid="{9B705F21-67ED-460D-A243-A53FE6FFFBE8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</t>
        </r>
      </text>
    </comment>
    <comment ref="R189" authorId="14" shapeId="0" xr:uid="{9EBECE01-DDA6-43C7-BC9D-20EFCD29F2A7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
20240118 除息 910
20240118 除息 910
20240229 除息 1040
20240319 除息 1040
20240423 除息 1600</t>
        </r>
      </text>
    </comment>
    <comment ref="R190" authorId="14" shapeId="0" xr:uid="{7DDF600D-0186-4E2B-8140-B24D08F883EA}">
      <text>
        <r>
          <rPr>
            <sz val="9"/>
            <color indexed="81"/>
            <rFont val="新細明體"/>
            <family val="1"/>
            <charset val="136"/>
            <scheme val="minor"/>
          </rPr>
          <t>20230710 除息 1600
20240702 除息 1600
20250327 除息 1500</t>
        </r>
      </text>
    </comment>
    <comment ref="R200" authorId="14" shapeId="0" xr:uid="{CD72AA57-082D-4538-80CA-EC5B572A87BA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4000</t>
        </r>
      </text>
    </comment>
    <comment ref="R201" authorId="14" shapeId="0" xr:uid="{BBD370C3-2537-4752-A947-5FD9137B3283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1200</t>
        </r>
      </text>
    </comment>
    <comment ref="R204" authorId="14" shapeId="0" xr:uid="{7BAF1AE8-0D09-4CE7-8F39-D22410740C0D}">
      <text>
        <r>
          <rPr>
            <sz val="9"/>
            <color indexed="81"/>
            <rFont val="新細明體"/>
            <family val="1"/>
            <charset val="136"/>
            <scheme val="minor"/>
          </rPr>
          <t>20240710 除息 500</t>
        </r>
      </text>
    </comment>
    <comment ref="R205" authorId="14" shapeId="0" xr:uid="{0A990FDD-90CA-4FBF-8542-B0C7F2633286}">
      <text>
        <r>
          <rPr>
            <sz val="9"/>
            <color indexed="81"/>
            <rFont val="新細明體"/>
            <family val="1"/>
            <charset val="136"/>
            <scheme val="minor"/>
          </rPr>
          <t>20240711 除息 2200</t>
        </r>
      </text>
    </comment>
    <comment ref="R207" authorId="14" shapeId="0" xr:uid="{A0E9E70B-0E02-42AF-85EB-D72BDB89C7B3}">
      <text>
        <r>
          <rPr>
            <sz val="9"/>
            <color indexed="81"/>
            <rFont val="新細明體"/>
            <family val="1"/>
            <charset val="136"/>
            <scheme val="minor"/>
          </rPr>
          <t>20240730 除息 2000</t>
        </r>
      </text>
    </comment>
    <comment ref="R208" authorId="14" shapeId="0" xr:uid="{7763CF2D-A586-4EB7-87A8-1C074C7CFBE2}">
      <text>
        <r>
          <rPr>
            <sz val="9"/>
            <color indexed="81"/>
            <rFont val="新細明體"/>
            <family val="1"/>
            <charset val="136"/>
            <scheme val="minor"/>
          </rPr>
          <t>20240712 除息 4000</t>
        </r>
      </text>
    </comment>
    <comment ref="R211" authorId="14" shapeId="0" xr:uid="{AC5E92FE-6AB1-4D9B-BD0A-7C17B587BBE0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2000</t>
        </r>
      </text>
    </comment>
    <comment ref="R212" authorId="14" shapeId="0" xr:uid="{9894B5B7-C1A9-492D-A6AC-1E429ECBA4B0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400
20241001 除權 2948</t>
        </r>
      </text>
    </comment>
    <comment ref="R218" authorId="14" shapeId="0" xr:uid="{E77016CE-8382-4DD7-BF3E-0A60A5577624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10511</t>
        </r>
      </text>
    </comment>
    <comment ref="R219" authorId="14" shapeId="0" xr:uid="{7F19C20C-0B47-4283-A4C3-BCFD93BBFABC}">
      <text>
        <r>
          <rPr>
            <sz val="9"/>
            <color indexed="81"/>
            <rFont val="新細明體"/>
            <family val="1"/>
            <charset val="136"/>
            <scheme val="minor"/>
          </rPr>
          <t>20240521 除息 1600
20240620 除息 1600
20240717 除息 1440
20240820 除息 1440
20240919 除息 1280
20241022 除息 1120
20241119 除息 880
20241218 除息 400</t>
        </r>
      </text>
    </comment>
    <comment ref="R222" authorId="14" shapeId="0" xr:uid="{FB123C85-706C-49EA-ADD3-20CE04595C49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9965
20250619 除息 32500</t>
        </r>
      </text>
    </comment>
    <comment ref="R223" authorId="14" shapeId="0" xr:uid="{172E1C14-3D49-4E52-98A6-9D5A100A3851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20250723 除息 13000
</t>
        </r>
      </text>
    </comment>
    <comment ref="R224" authorId="14" shapeId="0" xr:uid="{EAE2D88B-EFFB-45EC-BE1D-F18C7B563131}">
      <text>
        <r>
          <rPr>
            <sz val="9"/>
            <color indexed="81"/>
            <rFont val="新細明體"/>
            <family val="1"/>
            <charset val="136"/>
            <scheme val="minor"/>
          </rPr>
          <t>20240808 除息 1500
20250814 除息 1500</t>
        </r>
      </text>
    </comment>
    <comment ref="R225" authorId="14" shapeId="0" xr:uid="{73970EAB-8F0C-45C4-8CB1-2FCA0C7CB466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500
20250721 除息 6000</t>
        </r>
      </text>
    </comment>
    <comment ref="R240" authorId="14" shapeId="0" xr:uid="{62A58384-3354-421A-86F2-C9BAEBB143A5}">
      <text>
        <r>
          <rPr>
            <sz val="9"/>
            <color indexed="81"/>
            <rFont val="新細明體"/>
            <family val="1"/>
            <charset val="136"/>
            <scheme val="minor"/>
          </rPr>
          <t>20250723 除息 4600</t>
        </r>
      </text>
    </comment>
    <comment ref="R241" authorId="14" shapeId="0" xr:uid="{A8E1839E-C8E4-453B-AB67-99115B3E8E5A}">
      <text>
        <r>
          <rPr>
            <sz val="9"/>
            <color indexed="81"/>
            <rFont val="新細明體"/>
            <family val="1"/>
            <charset val="136"/>
            <scheme val="minor"/>
          </rPr>
          <t>20250731 除息 5800</t>
        </r>
      </text>
    </comment>
    <comment ref="R242" authorId="14" shapeId="0" xr:uid="{BA701B45-282D-4C46-AD8F-3443ECE5986D}">
      <text>
        <r>
          <rPr>
            <sz val="9"/>
            <color indexed="81"/>
            <rFont val="新細明體"/>
            <family val="1"/>
            <charset val="136"/>
            <scheme val="minor"/>
          </rPr>
          <t>20250724 除息 3600</t>
        </r>
      </text>
    </comment>
    <comment ref="R244" authorId="14" shapeId="0" xr:uid="{9E7F098D-D3AE-4434-98D5-1EAD3800376C}">
      <text>
        <r>
          <rPr>
            <sz val="9"/>
            <color indexed="81"/>
            <rFont val="新細明體"/>
            <family val="1"/>
            <charset val="136"/>
            <scheme val="minor"/>
          </rPr>
          <t>20250714 除息 3700</t>
        </r>
      </text>
    </comment>
    <comment ref="R257" authorId="14" shapeId="0" xr:uid="{497471D0-BAE9-4D5A-A0D2-E4DFB8773726}">
      <text>
        <r>
          <rPr>
            <sz val="9"/>
            <color indexed="81"/>
            <rFont val="新細明體"/>
            <family val="1"/>
            <charset val="136"/>
            <scheme val="minor"/>
          </rPr>
          <t>20250902 除息 2553</t>
        </r>
      </text>
    </comment>
    <comment ref="R287" authorId="14" shapeId="0" xr:uid="{4F5BC8DA-F67D-45C6-BD37-494C485D9A8C}">
      <text>
        <r>
          <rPr>
            <sz val="9"/>
            <color indexed="81"/>
            <rFont val="新細明體"/>
            <family val="1"/>
            <charset val="136"/>
            <scheme val="minor"/>
          </rPr>
          <t>20260410 除息 1195</t>
        </r>
      </text>
    </comment>
    <comment ref="R291" authorId="14" shapeId="0" xr:uid="{634C21E2-EE25-4C5C-BF31-2A845986CABE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293" authorId="14" shapeId="0" xr:uid="{7FD55A95-704F-41A2-BCE7-345E870D2531}">
      <text>
        <r>
          <rPr>
            <sz val="9"/>
            <color indexed="81"/>
            <rFont val="Tahoma"/>
            <family val="2"/>
          </rPr>
          <t>20210408 982
20210825 1412
20220224 2568
20220823 1584
20230313 651
20240816 173</t>
        </r>
        <r>
          <rPr>
            <sz val="9"/>
            <color indexed="81"/>
            <rFont val="細明體"/>
            <family val="3"/>
            <charset val="136"/>
          </rPr>
          <t>零股 3841</t>
        </r>
      </text>
    </comment>
    <comment ref="R294" authorId="14" shapeId="0" xr:uid="{F056695E-E96E-4379-A868-255D01B89271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15600
20220712 除息 51500
20230711 除息 37000
20240710 除息 32000
20250709 除息 28000</t>
        </r>
      </text>
    </comment>
    <comment ref="R295" authorId="14" shapeId="0" xr:uid="{5495ED6B-9368-4D34-9C5A-665D55646D08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9000
2022 除息 13811
20230807 除息 3069
20231006 除息 2046
20240328 除息 3052
20240925 除息 4069
20250327 除息 3763
20250925 除息 2624
20260326 除息 4424</t>
        </r>
      </text>
    </comment>
    <comment ref="R296" authorId="14" shapeId="0" xr:uid="{1A326D3B-211B-499D-AC11-BBD9DCFC5CB5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398
20220711 除息 1054
2025/05/22 除息 755</t>
        </r>
      </text>
    </comment>
    <comment ref="R297" authorId="14" shapeId="0" xr:uid="{2CA5E362-CB08-4971-BFA6-DCFACA66B546}">
      <text>
        <r>
          <rPr>
            <sz val="9"/>
            <color indexed="81"/>
            <rFont val="新細明體"/>
            <family val="1"/>
            <charset val="136"/>
            <scheme val="minor"/>
          </rPr>
          <t>20240717 除息 6000
2025/07/08 除息 5905</t>
        </r>
      </text>
    </comment>
    <comment ref="R299" authorId="14" shapeId="0" xr:uid="{F49117CC-FB93-49EE-929B-117180BA24D6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0" authorId="14" shapeId="0" xr:uid="{F7FA56B5-9337-4359-93DF-D618A27ABF5F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1" authorId="14" shapeId="0" xr:uid="{93685A58-F3A5-4F3A-B769-C6F14002F8A1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2" authorId="14" shapeId="0" xr:uid="{E326F8A1-8865-45CA-985C-5C3EBC4294EB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3" authorId="14" shapeId="0" xr:uid="{5C397035-EF8B-4397-AB5E-A2958408C0AE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329" authorId="14" shapeId="0" xr:uid="{E0237B38-99F7-45E3-98E1-7A51FF7D7491}">
      <text>
        <r>
          <rPr>
            <sz val="9"/>
            <color indexed="81"/>
            <rFont val="新細明體"/>
            <family val="1"/>
            <charset val="136"/>
            <scheme val="minor"/>
          </rPr>
          <t>20260608 除息</t>
        </r>
      </text>
    </comment>
    <comment ref="R330" authorId="14" shapeId="0" xr:uid="{9CEA8700-904A-46CC-A388-D9AD7F5A0BA1}">
      <text>
        <r>
          <rPr>
            <sz val="9"/>
            <color indexed="81"/>
            <rFont val="新細明體"/>
            <family val="1"/>
            <charset val="136"/>
            <scheme val="minor"/>
          </rPr>
          <t>20260617 除息</t>
        </r>
      </text>
    </comment>
    <comment ref="R331" authorId="14" shapeId="0" xr:uid="{42A119FC-DDD6-4E8F-BB53-0AB3518CA3D9}">
      <text>
        <r>
          <rPr>
            <sz val="9"/>
            <color indexed="81"/>
            <rFont val="新細明體"/>
            <family val="1"/>
            <charset val="136"/>
            <scheme val="minor"/>
          </rPr>
          <t>20260611 除息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  <author>YuHui Hsu</author>
  </authors>
  <commentList>
    <comment ref="R3" authorId="0" shapeId="0" xr:uid="{ED178D35-658B-4CC8-B441-9B4C59833F4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20220414 280
20220714 280
20221013 280
20230112 280
20230413 550
20230615 550
20230914 600
20231214 600
20240318 1049</t>
        </r>
      </text>
    </comment>
    <comment ref="R5" authorId="0" shapeId="0" xr:uid="{DDAA2738-103B-499A-940E-27AE7618D428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20240613 349
20240912 400</t>
        </r>
      </text>
    </comment>
    <comment ref="R6" authorId="0" shapeId="0" xr:uid="{F6430CBC-C8DC-4A16-ACAE-77B55EC13B9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20230817 110
20230919 110
20231024 110
20231121 110
20231219 110
20240118 130
20240229 260
20240319 260
20240423 400
20240521 400
20240620 400</t>
        </r>
      </text>
    </comment>
    <comment ref="R7" authorId="0" shapeId="0" xr:uid="{79FE8E86-9F6C-477C-8CE1-C6245AA36C57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20240717 360
20240820 360
20240919 320
20241022 280
20241119 220
20241218 100</t>
        </r>
      </text>
    </comment>
    <comment ref="R9" authorId="0" shapeId="0" xr:uid="{CE10DC12-763C-48E9-BF86-2994DDEACC5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20250117 68</t>
        </r>
      </text>
    </comment>
    <comment ref="R13" authorId="1" shapeId="0" xr:uid="{079FAA56-5FAC-43A0-BED7-4B3985615982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2025/07/21 228</t>
        </r>
      </text>
    </comment>
    <comment ref="R24" authorId="0" shapeId="0" xr:uid="{48FD210A-E491-4E82-95B3-04A5FF0DD82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20220718 1483
20221116 550
20230718 732
20231116 1062
20240716 415
20241118 600</t>
        </r>
      </text>
    </comment>
    <comment ref="R25" authorId="0" shapeId="0" xr:uid="{58C6C1E1-0256-4304-8A58-CD1871B11413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20230718 732
20231116 1062
20240716 415
20241118 600</t>
        </r>
      </text>
    </comment>
    <comment ref="R26" authorId="0" shapeId="0" xr:uid="{C99B5395-0538-4CD0-9A1A-CC2BB61ABD8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20241217 49</t>
        </r>
      </text>
    </comment>
    <comment ref="R29" authorId="0" shapeId="0" xr:uid="{9B3173B7-21BC-4017-B80B-6FB6A68C3B09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20250321 357</t>
        </r>
      </text>
    </comment>
    <comment ref="R32" authorId="1" shapeId="0" xr:uid="{3360EC0E-CF33-4A1B-A351-168A0B88BC85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2025/06/20 597</t>
        </r>
      </text>
    </comment>
    <comment ref="R33" authorId="1" shapeId="0" xr:uid="{51D5D93D-933F-458C-849A-18CFC1A90C27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2025/09/19 652</t>
        </r>
      </text>
    </comment>
    <comment ref="R38" authorId="1" shapeId="0" xr:uid="{A4446475-62E3-432C-8D22-210339A90BD0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2025/12/19 880</t>
        </r>
      </text>
    </comment>
    <comment ref="R42" authorId="1" shapeId="0" xr:uid="{DD27D8C9-B8DF-442D-9139-4009BD24E548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2025/06/19 3500
2025/09/18 2600
2025/12/18 2825</t>
        </r>
      </text>
    </comment>
    <comment ref="R43" authorId="1" shapeId="0" xr:uid="{9EA910A1-E1AD-43B5-BAEE-7EA1A496225D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2025/06/17 3600
2025/09/16 2700
2025/12/16 2700</t>
        </r>
      </text>
    </comment>
    <comment ref="R44" authorId="0" shapeId="0" xr:uid="{3EBC0ED7-0FAA-46DA-88A3-7A5E28A7CFF5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20250117 113
20251023 92</t>
        </r>
      </text>
    </comment>
    <comment ref="R45" authorId="0" shapeId="0" xr:uid="{7B486419-96D4-4D18-8651-3EA16DC9288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2025/04/23 113
2025/7/21 92
2025/11/18 72</t>
        </r>
      </text>
    </comment>
    <comment ref="R46" authorId="0" shapeId="0" xr:uid="{10FE1DBB-D910-4BEA-B643-A038A3242D9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20250220 90</t>
        </r>
      </text>
    </comment>
    <comment ref="R47" authorId="0" shapeId="0" xr:uid="{31BAD081-D113-468E-A8E3-5094564C5C74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2025/05/19 84
2025/08/18 72</t>
        </r>
      </text>
    </comment>
    <comment ref="R71" authorId="0" shapeId="0" xr:uid="{1435A851-0C18-46B9-9D2F-0CDDE86E583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20240716 415
20241118 600
20250716 2512
20250716 2512</t>
        </r>
      </text>
    </comment>
    <comment ref="R72" authorId="0" shapeId="0" xr:uid="{DF05203C-CCB4-47A5-97B1-7C8B0B24B435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20251118 5008</t>
        </r>
      </text>
    </comment>
    <comment ref="R73" authorId="0" shapeId="0" xr:uid="{958A2D57-4596-4B7F-8ABD-8FE7CCFE7FE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20260810 5760</t>
        </r>
      </text>
    </comment>
    <comment ref="R74" authorId="0" shapeId="0" xr:uid="{FDDAE49B-799B-4A8C-AEC4-728080CBA3F6}">
      <text>
        <r>
          <rPr>
            <sz val="9"/>
            <color indexed="81"/>
            <rFont val="Tahoma"/>
            <family val="2"/>
          </rPr>
          <t xml:space="preserve">20260317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75" authorId="0" shapeId="0" xr:uid="{84EA3BCA-F4C7-47B8-A68F-76FFB4B57D17}">
      <text>
        <r>
          <rPr>
            <sz val="9"/>
            <color indexed="81"/>
            <rFont val="Tahoma"/>
            <family val="2"/>
          </rPr>
          <t xml:space="preserve">20260317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76" authorId="0" shapeId="0" xr:uid="{E2F43300-E80E-4377-858A-1F0AC6A810E7}">
      <text>
        <r>
          <rPr>
            <sz val="9"/>
            <color indexed="81"/>
            <rFont val="Tahoma"/>
            <family val="2"/>
          </rPr>
          <t xml:space="preserve">20260317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77" authorId="0" shapeId="0" xr:uid="{07656A70-793A-496C-AEF6-1673CB51D122}">
      <text>
        <r>
          <rPr>
            <sz val="9"/>
            <color indexed="81"/>
            <rFont val="Tahoma"/>
            <family val="2"/>
          </rPr>
          <t xml:space="preserve">20260616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82" authorId="0" shapeId="0" xr:uid="{D70047CF-CBBD-4A73-B27E-478CD068E493}">
      <text>
        <r>
          <rPr>
            <sz val="9"/>
            <color indexed="81"/>
            <rFont val="Tahoma"/>
            <family val="2"/>
          </rPr>
          <t xml:space="preserve">20260611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87" authorId="0" shapeId="0" xr:uid="{001161B2-EE59-4753-8B68-D6E7EC1FF0EF}">
      <text>
        <r>
          <rPr>
            <sz val="9"/>
            <color indexed="81"/>
            <rFont val="Tahoma"/>
            <family val="2"/>
          </rPr>
          <t xml:space="preserve">20260617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91" authorId="0" shapeId="0" xr:uid="{0522EDCC-375A-4CEA-8AD7-7F535C97CA96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20250721</t>
        </r>
      </text>
    </comment>
    <comment ref="R114" authorId="1" shapeId="0" xr:uid="{1A9A06E9-5E21-4172-BBE8-C4FA2E0D460B}">
      <text>
        <r>
          <rPr>
            <sz val="9"/>
            <color indexed="81"/>
            <rFont val="Tahoma"/>
            <family val="2"/>
          </rPr>
          <t xml:space="preserve">2024/07/04 0.35
2024/12/31 0.35
2025/07/04 0.35
2025/12/30 0.35
</t>
        </r>
      </text>
    </comment>
    <comment ref="R115" authorId="1" shapeId="0" xr:uid="{3E8F5756-8C3A-4BE3-A9DA-4001A145A46C}">
      <text>
        <r>
          <rPr>
            <sz val="9"/>
            <color indexed="81"/>
            <rFont val="Tahoma"/>
            <family val="2"/>
          </rPr>
          <t>2024/10/04 0.35
2025/04/07 0.35
2025/10/03 0.35
2026/04/06 0.35
2026/06/30 8.75</t>
        </r>
      </text>
    </comment>
    <comment ref="R116" authorId="1" shapeId="0" xr:uid="{8FC741A7-EC31-4320-BB0D-94F06EF71A17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2026/05/07 0.93
2026/08/07 0.63</t>
        </r>
      </text>
    </comment>
    <comment ref="R117" authorId="1" shapeId="0" xr:uid="{57405DDE-1777-4ED6-8E27-614EB70C9328}">
      <text>
        <r>
          <rPr>
            <sz val="9"/>
            <color indexed="81"/>
            <rFont val="Tahoma"/>
            <family val="2"/>
          </rPr>
          <t xml:space="preserve">2026/06/12 0.76
</t>
        </r>
      </text>
    </comment>
    <comment ref="R123" authorId="1" shapeId="0" xr:uid="{2BD2901C-C0D1-42AC-99C3-71B3FAE0537D}">
      <text>
        <r>
          <rPr>
            <sz val="9"/>
            <color indexed="81"/>
            <rFont val="Tahoma"/>
            <family val="2"/>
          </rPr>
          <t>2025/12/21 1.05
2026/03/12 1.21
2026/06/12 0.59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487EE-1E59-4640-905D-34FA14DA66CF}" keepAlive="1" name="查詢 - 資料表 2" description="與活頁簿中 '資料表 2' 查詢的連接。" type="5" refreshedVersion="8" background="1" saveData="1">
    <dbPr connection="Provider=Microsoft.Mashup.OleDb.1;Data Source=$Workbook$;Location=&quot;資料表 2&quot;;Extended Properties=&quot;&quot;" command="SELECT * FROM [資料表 2]"/>
  </connection>
</connections>
</file>

<file path=xl/sharedStrings.xml><?xml version="1.0" encoding="utf-8"?>
<sst xmlns="http://schemas.openxmlformats.org/spreadsheetml/2006/main" count="14280" uniqueCount="7023">
  <si>
    <t>買進日期</t>
    <phoneticPr fontId="76" type="noConversion"/>
  </si>
  <si>
    <t>種類</t>
  </si>
  <si>
    <t>股票代號</t>
    <phoneticPr fontId="76" type="noConversion"/>
  </si>
  <si>
    <t>股票名稱</t>
    <phoneticPr fontId="76" type="noConversion"/>
  </si>
  <si>
    <t>股數</t>
  </si>
  <si>
    <t>買進價</t>
  </si>
  <si>
    <t>成交金額</t>
  </si>
  <si>
    <t>手續費</t>
  </si>
  <si>
    <t>賣出日期</t>
    <phoneticPr fontId="76" type="noConversion"/>
  </si>
  <si>
    <t>賣出價</t>
  </si>
  <si>
    <t>交易稅</t>
  </si>
  <si>
    <t>證所稅</t>
  </si>
  <si>
    <t>參考現值</t>
  </si>
  <si>
    <t>已實現損益</t>
  </si>
  <si>
    <t>未實現損益</t>
  </si>
  <si>
    <t>除息</t>
    <phoneticPr fontId="76" type="noConversion"/>
  </si>
  <si>
    <t>投資報酬率</t>
  </si>
  <si>
    <t>今日股價</t>
  </si>
  <si>
    <t>漲跌</t>
    <phoneticPr fontId="76" type="noConversion"/>
  </si>
  <si>
    <t>普通買進</t>
  </si>
  <si>
    <t>總計</t>
    <phoneticPr fontId="76" type="noConversion"/>
  </si>
  <si>
    <t>持股小計</t>
    <phoneticPr fontId="76" type="noConversion"/>
  </si>
  <si>
    <t>Today:</t>
    <phoneticPr fontId="74" type="noConversion"/>
  </si>
  <si>
    <t>年化報酬率</t>
    <phoneticPr fontId="74" type="noConversion"/>
  </si>
  <si>
    <t>總投資天數</t>
    <phoneticPr fontId="74" type="noConversion"/>
  </si>
  <si>
    <t>手續費</t>
    <phoneticPr fontId="74" type="noConversion"/>
  </si>
  <si>
    <t>健保補充保費</t>
    <phoneticPr fontId="74" type="noConversion"/>
  </si>
  <si>
    <t>所得稅率</t>
    <phoneticPr fontId="74" type="noConversion"/>
  </si>
  <si>
    <t>扣抵稅率</t>
    <phoneticPr fontId="74" type="noConversion"/>
  </si>
  <si>
    <t>實質扣抵稅率</t>
    <phoneticPr fontId="74" type="noConversion"/>
  </si>
  <si>
    <t>存入</t>
    <phoneticPr fontId="74" type="noConversion"/>
  </si>
  <si>
    <t>提出</t>
    <phoneticPr fontId="74" type="noConversion"/>
  </si>
  <si>
    <t>買進理由</t>
    <phoneticPr fontId="74" type="noConversion"/>
  </si>
  <si>
    <t>賣出理由</t>
    <phoneticPr fontId="74" type="noConversion"/>
  </si>
  <si>
    <t>阿水一式</t>
    <phoneticPr fontId="74" type="noConversion"/>
  </si>
  <si>
    <t>交易金額</t>
    <phoneticPr fontId="74" type="noConversion"/>
  </si>
  <si>
    <t>投資損益</t>
    <phoneticPr fontId="74" type="noConversion"/>
  </si>
  <si>
    <t>年度</t>
    <phoneticPr fontId="74" type="noConversion"/>
  </si>
  <si>
    <t>年投資天數</t>
    <phoneticPr fontId="74" type="noConversion"/>
  </si>
  <si>
    <t>股票</t>
    <phoneticPr fontId="74" type="noConversion"/>
  </si>
  <si>
    <t>起始日</t>
    <phoneticPr fontId="74" type="noConversion"/>
  </si>
  <si>
    <t>終止日</t>
    <phoneticPr fontId="74" type="noConversion"/>
  </si>
  <si>
    <t>2019總計</t>
    <phoneticPr fontId="76" type="noConversion"/>
  </si>
  <si>
    <t>三洋紡</t>
    <phoneticPr fontId="74" type="noConversion"/>
  </si>
  <si>
    <t>台船</t>
    <phoneticPr fontId="74" type="noConversion"/>
  </si>
  <si>
    <t>長榮航</t>
    <phoneticPr fontId="74" type="noConversion"/>
  </si>
  <si>
    <t>麗清</t>
    <phoneticPr fontId="74" type="noConversion"/>
  </si>
  <si>
    <t>連續四天收綠K，且已離開上通道</t>
    <phoneticPr fontId="74" type="noConversion"/>
  </si>
  <si>
    <t>利息</t>
    <phoneticPr fontId="74" type="noConversion"/>
  </si>
  <si>
    <t>M31</t>
    <phoneticPr fontId="74" type="noConversion"/>
  </si>
  <si>
    <t>長榮航</t>
    <phoneticPr fontId="74" type="noConversion"/>
  </si>
  <si>
    <t>台船</t>
    <phoneticPr fontId="74" type="noConversion"/>
  </si>
  <si>
    <t>三洋紡</t>
    <phoneticPr fontId="74" type="noConversion"/>
  </si>
  <si>
    <t>勤凱</t>
    <phoneticPr fontId="74" type="noConversion"/>
  </si>
  <si>
    <t>麗清</t>
    <phoneticPr fontId="74" type="noConversion"/>
  </si>
  <si>
    <t>樂斯科</t>
    <phoneticPr fontId="74" type="noConversion"/>
  </si>
  <si>
    <t>緯穎</t>
    <phoneticPr fontId="74" type="noConversion"/>
  </si>
  <si>
    <t>承銷申購</t>
    <phoneticPr fontId="74" type="noConversion"/>
  </si>
  <si>
    <t>總計</t>
  </si>
  <si>
    <t>五天內收綠K居多，且已離開上通道</t>
    <phoneticPr fontId="74" type="noConversion"/>
  </si>
  <si>
    <t>連續四天收綠K，且已離開上通道，2/26就應賣出，因帳密問題延遲</t>
    <phoneticPr fontId="74" type="noConversion"/>
  </si>
  <si>
    <t>買進後連續二天收綠K，且已離開上通道</t>
    <phoneticPr fontId="74" type="noConversion"/>
  </si>
  <si>
    <t>台紙</t>
  </si>
  <si>
    <t>敬鵬</t>
  </si>
  <si>
    <t>新日興</t>
  </si>
  <si>
    <t>競國</t>
  </si>
  <si>
    <t>創見</t>
  </si>
  <si>
    <t>碰20MA停損出場</t>
    <phoneticPr fontId="74" type="noConversion"/>
  </si>
  <si>
    <t>大盤日線近上通道，個股跌破近期支撐出場</t>
    <phoneticPr fontId="74" type="noConversion"/>
  </si>
  <si>
    <t>雍智科技</t>
    <phoneticPr fontId="74" type="noConversion"/>
  </si>
  <si>
    <t>茂訊</t>
  </si>
  <si>
    <t>建榮</t>
  </si>
  <si>
    <t>雍智科技</t>
  </si>
  <si>
    <t>短線下殺，獲利了結</t>
    <phoneticPr fontId="74" type="noConversion"/>
  </si>
  <si>
    <t>現金殖利率 &gt; 8%</t>
    <phoneticPr fontId="74" type="noConversion"/>
  </si>
  <si>
    <t>近三年填息快速</t>
    <phoneticPr fontId="74" type="noConversion"/>
  </si>
  <si>
    <t>殖利率&gt;6%，股利 Sharpe&gt;10</t>
    <phoneticPr fontId="74" type="noConversion"/>
  </si>
  <si>
    <t>殖利率&gt;6%，營收成長</t>
    <phoneticPr fontId="74" type="noConversion"/>
  </si>
  <si>
    <t>股利 Sharpe&gt;10</t>
    <phoneticPr fontId="74" type="noConversion"/>
  </si>
  <si>
    <t>綠K跌破近期支撐</t>
    <phoneticPr fontId="74" type="noConversion"/>
  </si>
  <si>
    <t>殖利率&gt;8%，近五年填息快速</t>
    <phoneticPr fontId="74" type="noConversion"/>
  </si>
  <si>
    <t>殖利率&gt;10%，近三年填息快速</t>
    <phoneticPr fontId="74" type="noConversion"/>
  </si>
  <si>
    <t>填息率100%</t>
    <phoneticPr fontId="74" type="noConversion"/>
  </si>
  <si>
    <t>光隆</t>
  </si>
  <si>
    <t>折讓入帳</t>
    <phoneticPr fontId="74" type="noConversion"/>
  </si>
  <si>
    <t>鈺太</t>
    <phoneticPr fontId="74" type="noConversion"/>
  </si>
  <si>
    <t>橘子</t>
  </si>
  <si>
    <t>朋億</t>
  </si>
  <si>
    <t>鈺緯</t>
  </si>
  <si>
    <t>成交量太低，獲利了結</t>
    <phoneticPr fontId="74" type="noConversion"/>
  </si>
  <si>
    <t>20MA下彎，未破近期支撐，應可再觀察</t>
    <phoneticPr fontId="74" type="noConversion"/>
  </si>
  <si>
    <t>跌破20MA，未破近期支撐，應可再觀察</t>
    <phoneticPr fontId="74" type="noConversion"/>
  </si>
  <si>
    <t>群光</t>
  </si>
  <si>
    <t>亞泰</t>
  </si>
  <si>
    <t>鉅邁</t>
  </si>
  <si>
    <t>跌破近期支撐，獲利了結</t>
    <phoneticPr fontId="74" type="noConversion"/>
  </si>
  <si>
    <t>承啟</t>
  </si>
  <si>
    <t>已填息，獲利了結</t>
    <phoneticPr fontId="74" type="noConversion"/>
  </si>
  <si>
    <t>南亞科</t>
  </si>
  <si>
    <t>已填息，獲利了結 (未破20MA且20MA上揚，應可再觀察)</t>
    <phoneticPr fontId="74" type="noConversion"/>
  </si>
  <si>
    <t>瑞儀</t>
  </si>
  <si>
    <t>現金股利</t>
    <phoneticPr fontId="74" type="noConversion"/>
  </si>
  <si>
    <r>
      <t>除息後，均未突破 20MA，且 20MA 已下彎，</t>
    </r>
    <r>
      <rPr>
        <sz val="12"/>
        <color rgb="FFFF0000"/>
        <rFont val="新細明體"/>
        <family val="1"/>
        <charset val="136"/>
      </rPr>
      <t>停損出場</t>
    </r>
    <phoneticPr fontId="74" type="noConversion"/>
  </si>
  <si>
    <r>
      <t>除息後，連續四個交易日收綠K，</t>
    </r>
    <r>
      <rPr>
        <sz val="12"/>
        <color rgb="FFFF0000"/>
        <rFont val="新細明體"/>
        <family val="1"/>
        <charset val="136"/>
      </rPr>
      <t>停損出場</t>
    </r>
    <phoneticPr fontId="74" type="noConversion"/>
  </si>
  <si>
    <r>
      <t>除息後，連續三個交易日貼近下通道，</t>
    </r>
    <r>
      <rPr>
        <sz val="12"/>
        <color rgb="FFFF0000"/>
        <rFont val="新細明體"/>
        <family val="1"/>
        <charset val="136"/>
      </rPr>
      <t>停損出場</t>
    </r>
    <phoneticPr fontId="74" type="noConversion"/>
  </si>
  <si>
    <r>
      <t>除息後，跌破 20MA，且 5 天無法站上，雖然 20MA 尚未下彎，仍決定</t>
    </r>
    <r>
      <rPr>
        <sz val="12"/>
        <color rgb="FFFF0000"/>
        <rFont val="新細明體"/>
        <family val="1"/>
        <charset val="136"/>
      </rPr>
      <t>獲利了結</t>
    </r>
    <phoneticPr fontId="74" type="noConversion"/>
  </si>
  <si>
    <t>朋程</t>
  </si>
  <si>
    <t>奇力新</t>
  </si>
  <si>
    <t>投資收益率
交易金額計</t>
    <phoneticPr fontId="74" type="noConversion"/>
  </si>
  <si>
    <t>存款均額</t>
    <phoneticPr fontId="74" type="noConversion"/>
  </si>
  <si>
    <t>即時資訊程式碼</t>
    <phoneticPr fontId="74" type="noConversion"/>
  </si>
  <si>
    <t>成交明細改為成交彙整</t>
    <phoneticPr fontId="74" type="noConversion"/>
  </si>
  <si>
    <t>2020總計</t>
    <phoneticPr fontId="76" type="noConversion"/>
  </si>
  <si>
    <t>東陽</t>
  </si>
  <si>
    <t>艾美特-KY</t>
  </si>
  <si>
    <t>華碩</t>
  </si>
  <si>
    <t>新唐</t>
  </si>
  <si>
    <t>遠雄港</t>
  </si>
  <si>
    <t>定穎</t>
  </si>
  <si>
    <t>鑫龍騰</t>
  </si>
  <si>
    <t>優群</t>
  </si>
  <si>
    <t>牧德</t>
  </si>
  <si>
    <t>家登</t>
  </si>
  <si>
    <t>華星光</t>
  </si>
  <si>
    <t>立凱-KY</t>
  </si>
  <si>
    <t>統新</t>
  </si>
  <si>
    <t>大世科</t>
  </si>
  <si>
    <t>生展</t>
  </si>
  <si>
    <t>上海商銀</t>
  </si>
  <si>
    <t>已填息</t>
    <phoneticPr fontId="74" type="noConversion"/>
  </si>
  <si>
    <t>網站提供資訊不正確，貼息且持續低於月線走跌</t>
    <phoneticPr fontId="74" type="noConversion"/>
  </si>
  <si>
    <t>三竹</t>
  </si>
  <si>
    <t>艾姆勒</t>
  </si>
  <si>
    <t>利息</t>
  </si>
  <si>
    <t>2019 Total</t>
    <phoneticPr fontId="74" type="noConversion"/>
  </si>
  <si>
    <t>2019 Total Avg</t>
    <phoneticPr fontId="74" type="noConversion"/>
  </si>
  <si>
    <t>台紙</t>
    <phoneticPr fontId="74" type="noConversion"/>
  </si>
  <si>
    <t>昂寶-KY</t>
    <phoneticPr fontId="74" type="noConversion"/>
  </si>
  <si>
    <t>生展</t>
    <phoneticPr fontId="74" type="noConversion"/>
  </si>
  <si>
    <t>上海商銀</t>
    <phoneticPr fontId="74" type="noConversion"/>
  </si>
  <si>
    <t>遠雄港</t>
    <phoneticPr fontId="74" type="noConversion"/>
  </si>
  <si>
    <t>新唐</t>
    <phoneticPr fontId="74" type="noConversion"/>
  </si>
  <si>
    <t>艾美特-KY</t>
    <phoneticPr fontId="74" type="noConversion"/>
  </si>
  <si>
    <t>鑫龍騰</t>
    <phoneticPr fontId="74" type="noConversion"/>
  </si>
  <si>
    <t>統新</t>
    <phoneticPr fontId="74" type="noConversion"/>
  </si>
  <si>
    <t>惠特</t>
  </si>
  <si>
    <t>惠特</t>
    <phoneticPr fontId="74" type="noConversion"/>
  </si>
  <si>
    <t>大世科</t>
    <phoneticPr fontId="74" type="noConversion"/>
  </si>
  <si>
    <t>東捷資訊</t>
  </si>
  <si>
    <t>東捷資訊</t>
    <phoneticPr fontId="74" type="noConversion"/>
  </si>
  <si>
    <t>華星光</t>
    <phoneticPr fontId="74" type="noConversion"/>
  </si>
  <si>
    <t>家登</t>
    <phoneticPr fontId="74" type="noConversion"/>
  </si>
  <si>
    <t>捷流閥業</t>
  </si>
  <si>
    <t>捷流閥業</t>
    <phoneticPr fontId="74" type="noConversion"/>
  </si>
  <si>
    <t>佳醫</t>
    <phoneticPr fontId="74" type="noConversion"/>
  </si>
  <si>
    <t>上凡</t>
    <phoneticPr fontId="74" type="noConversion"/>
  </si>
  <si>
    <t>5% 停損</t>
    <phoneticPr fontId="74" type="noConversion"/>
  </si>
  <si>
    <t>大盤燈號不明，碰20MA停損出場</t>
    <phoneticPr fontId="74" type="noConversion"/>
  </si>
  <si>
    <t>除權息勝率</t>
    <phoneticPr fontId="74" type="noConversion"/>
  </si>
  <si>
    <t>阿水14勝率</t>
    <phoneticPr fontId="74" type="noConversion"/>
  </si>
  <si>
    <t>碰20MA出場</t>
    <phoneticPr fontId="74" type="noConversion"/>
  </si>
  <si>
    <t>水某說賣</t>
    <phoneticPr fontId="74" type="noConversion"/>
  </si>
  <si>
    <t>聯電</t>
    <phoneticPr fontId="74" type="noConversion"/>
  </si>
  <si>
    <t>聯發科</t>
    <phoneticPr fontId="74" type="noConversion"/>
  </si>
  <si>
    <t>華航</t>
    <phoneticPr fontId="74" type="noConversion"/>
  </si>
  <si>
    <t>萬海</t>
    <phoneticPr fontId="74" type="noConversion"/>
  </si>
  <si>
    <t>漢翔</t>
    <phoneticPr fontId="74" type="noConversion"/>
  </si>
  <si>
    <t>國泰金</t>
    <phoneticPr fontId="74" type="noConversion"/>
  </si>
  <si>
    <t>勝率</t>
    <phoneticPr fontId="74" type="noConversion"/>
  </si>
  <si>
    <t>除權息</t>
    <phoneticPr fontId="74" type="noConversion"/>
  </si>
  <si>
    <t>禾伸堂</t>
    <phoneticPr fontId="74" type="noConversion"/>
  </si>
  <si>
    <t>鴻海</t>
    <phoneticPr fontId="74" type="noConversion"/>
  </si>
  <si>
    <t>2020 Total</t>
    <phoneticPr fontId="74" type="noConversion"/>
  </si>
  <si>
    <t>2020 Total Avg</t>
    <phoneticPr fontId="74" type="noConversion"/>
  </si>
  <si>
    <t>中鋼</t>
    <phoneticPr fontId="74" type="noConversion"/>
  </si>
  <si>
    <t>第一銅</t>
    <phoneticPr fontId="74" type="noConversion"/>
  </si>
  <si>
    <t>華邦電</t>
    <phoneticPr fontId="74" type="noConversion"/>
  </si>
  <si>
    <t>友達</t>
    <phoneticPr fontId="74" type="noConversion"/>
  </si>
  <si>
    <t>全新</t>
    <phoneticPr fontId="74" type="noConversion"/>
  </si>
  <si>
    <t>奇力新</t>
    <phoneticPr fontId="74" type="noConversion"/>
  </si>
  <si>
    <t>長榮</t>
    <phoneticPr fontId="74" type="noConversion"/>
  </si>
  <si>
    <t>永豐金</t>
    <phoneticPr fontId="74" type="noConversion"/>
  </si>
  <si>
    <t>中信金</t>
    <phoneticPr fontId="74" type="noConversion"/>
  </si>
  <si>
    <t>欣興</t>
    <phoneticPr fontId="74" type="noConversion"/>
  </si>
  <si>
    <t>全台</t>
    <phoneticPr fontId="74" type="noConversion"/>
  </si>
  <si>
    <t>動力-KY</t>
  </si>
  <si>
    <t>汎德永業</t>
  </si>
  <si>
    <t>晶焱</t>
  </si>
  <si>
    <t>永冠-KY</t>
  </si>
  <si>
    <t>曾儀婷</t>
  </si>
  <si>
    <t>網路自轉</t>
  </si>
  <si>
    <t>神達</t>
    <phoneticPr fontId="74" type="noConversion"/>
  </si>
  <si>
    <t>大洋-KY</t>
    <phoneticPr fontId="74" type="noConversion"/>
  </si>
  <si>
    <t>達方</t>
    <phoneticPr fontId="74" type="noConversion"/>
  </si>
  <si>
    <t>世界</t>
    <phoneticPr fontId="74" type="noConversion"/>
  </si>
  <si>
    <t>祺驊</t>
  </si>
  <si>
    <t>西柏</t>
  </si>
  <si>
    <t>漢磊</t>
    <phoneticPr fontId="74" type="noConversion"/>
  </si>
  <si>
    <t>損益</t>
    <phoneticPr fontId="74" type="noConversion"/>
  </si>
  <si>
    <t>聯詠</t>
  </si>
  <si>
    <t>新晶投控</t>
    <phoneticPr fontId="74" type="noConversion"/>
  </si>
  <si>
    <t>維熹</t>
    <phoneticPr fontId="74" type="noConversion"/>
  </si>
  <si>
    <t>亞元</t>
    <phoneticPr fontId="74" type="noConversion"/>
  </si>
  <si>
    <t>全漢</t>
  </si>
  <si>
    <t>天宇</t>
    <phoneticPr fontId="74" type="noConversion"/>
  </si>
  <si>
    <t>玉晶光</t>
    <phoneticPr fontId="74" type="noConversion"/>
  </si>
  <si>
    <t>亞昕</t>
    <phoneticPr fontId="74" type="noConversion"/>
  </si>
  <si>
    <t>群創</t>
    <phoneticPr fontId="74" type="noConversion"/>
  </si>
  <si>
    <t>艾華</t>
    <phoneticPr fontId="74" type="noConversion"/>
  </si>
  <si>
    <t>水某精選</t>
  </si>
  <si>
    <t>上銀</t>
  </si>
  <si>
    <t>中鋼(2002)</t>
  </si>
  <si>
    <t>榮成</t>
  </si>
  <si>
    <t>威鋒電子</t>
  </si>
  <si>
    <t>鑫科</t>
    <phoneticPr fontId="74" type="noConversion"/>
  </si>
  <si>
    <t>上洋</t>
  </si>
  <si>
    <t>智聯服務</t>
  </si>
  <si>
    <t>台聚</t>
    <phoneticPr fontId="74" type="noConversion"/>
  </si>
  <si>
    <t>東和鋼鐵</t>
    <phoneticPr fontId="74" type="noConversion"/>
  </si>
  <si>
    <t>阿水一式</t>
  </si>
  <si>
    <t>碰10MA停利</t>
    <phoneticPr fontId="74" type="noConversion"/>
  </si>
  <si>
    <t>停利</t>
    <phoneticPr fontId="74" type="noConversion"/>
  </si>
  <si>
    <t>大盤過熱，碰10MA停損出場</t>
    <phoneticPr fontId="74" type="noConversion"/>
  </si>
  <si>
    <t>科嘉-KY</t>
    <phoneticPr fontId="74" type="noConversion"/>
  </si>
  <si>
    <t>旺玖</t>
    <phoneticPr fontId="74" type="noConversion"/>
  </si>
  <si>
    <t>法人蜘蛛網</t>
    <phoneticPr fontId="74" type="noConversion"/>
  </si>
  <si>
    <t>遇到壞新聞不跌</t>
    <phoneticPr fontId="74" type="noConversion"/>
  </si>
  <si>
    <t>2021總計</t>
    <phoneticPr fontId="76" type="noConversion"/>
  </si>
  <si>
    <t>投資收益率
存款均額計</t>
    <phoneticPr fontId="74" type="noConversion"/>
  </si>
  <si>
    <t>交易成本</t>
    <phoneticPr fontId="74" type="noConversion"/>
  </si>
  <si>
    <t>阿水一式</t>
    <phoneticPr fontId="74" type="noConversion"/>
  </si>
  <si>
    <t>康普</t>
  </si>
  <si>
    <t>台微醫</t>
  </si>
  <si>
    <t>長聖</t>
  </si>
  <si>
    <t>2021 Total</t>
    <phoneticPr fontId="74" type="noConversion"/>
  </si>
  <si>
    <t>2021 Total Avg</t>
    <phoneticPr fontId="74" type="noConversion"/>
  </si>
  <si>
    <t>新聞: 全球缺貨櫃，貨櫃價格大漲</t>
    <phoneticPr fontId="74" type="noConversion"/>
  </si>
  <si>
    <t>封關前，獲利了結</t>
    <phoneticPr fontId="74" type="noConversion"/>
  </si>
  <si>
    <t>日月光投控</t>
    <phoneticPr fontId="74" type="noConversion"/>
  </si>
  <si>
    <t>阿水一式變化型?</t>
    <phoneticPr fontId="74" type="noConversion"/>
  </si>
  <si>
    <t>中鋼</t>
  </si>
  <si>
    <t>長榮</t>
  </si>
  <si>
    <t>台聚</t>
  </si>
  <si>
    <t>東和鋼鐵</t>
  </si>
  <si>
    <t>聯電</t>
  </si>
  <si>
    <t>鴻海</t>
  </si>
  <si>
    <t>聯發科</t>
  </si>
  <si>
    <t>華航</t>
  </si>
  <si>
    <t>萬海</t>
  </si>
  <si>
    <t>漢翔</t>
  </si>
  <si>
    <t>國泰金</t>
  </si>
  <si>
    <t>禾伸堂</t>
  </si>
  <si>
    <t>欣興</t>
  </si>
  <si>
    <t>全台</t>
  </si>
  <si>
    <t>玉晶光</t>
  </si>
  <si>
    <t>群創</t>
  </si>
  <si>
    <t>維熹</t>
  </si>
  <si>
    <t>神達</t>
  </si>
  <si>
    <t>大洋-KY</t>
  </si>
  <si>
    <t>達方</t>
  </si>
  <si>
    <t>大學光</t>
  </si>
  <si>
    <t>鑫科</t>
  </si>
  <si>
    <t>漢磊</t>
  </si>
  <si>
    <t>亞昕</t>
  </si>
  <si>
    <t>世界</t>
  </si>
  <si>
    <t>亞元</t>
  </si>
  <si>
    <t>艾華</t>
  </si>
  <si>
    <t>方土昶</t>
  </si>
  <si>
    <t>泰詠</t>
  </si>
  <si>
    <t>倍微</t>
  </si>
  <si>
    <t>台燿</t>
  </si>
  <si>
    <t>元山</t>
  </si>
  <si>
    <t>胡連</t>
  </si>
  <si>
    <t>佳邦</t>
  </si>
  <si>
    <t>良維</t>
  </si>
  <si>
    <t>迅德</t>
  </si>
  <si>
    <t>智基</t>
  </si>
  <si>
    <t>韋僑</t>
  </si>
  <si>
    <t>京晨科</t>
  </si>
  <si>
    <t>今展科</t>
  </si>
  <si>
    <t>大中</t>
  </si>
  <si>
    <t>迅得</t>
  </si>
  <si>
    <t>藥華藥</t>
  </si>
  <si>
    <t>神盾</t>
  </si>
  <si>
    <t>大樹</t>
  </si>
  <si>
    <t>宇智</t>
  </si>
  <si>
    <t>保瑞</t>
  </si>
  <si>
    <t>弘煜科</t>
  </si>
  <si>
    <t>點序</t>
  </si>
  <si>
    <t>互動</t>
  </si>
  <si>
    <t>環球晶</t>
  </si>
  <si>
    <t>生華科</t>
  </si>
  <si>
    <t>九齊</t>
  </si>
  <si>
    <t>科懋</t>
  </si>
  <si>
    <t>益安</t>
  </si>
  <si>
    <t>雙邦</t>
  </si>
  <si>
    <t>惠光</t>
  </si>
  <si>
    <t>聚和</t>
  </si>
  <si>
    <t>精測</t>
  </si>
  <si>
    <t>啟發電</t>
  </si>
  <si>
    <t>達爾膚</t>
  </si>
  <si>
    <t>瑞耘</t>
  </si>
  <si>
    <t>順藥</t>
  </si>
  <si>
    <t>倉和</t>
  </si>
  <si>
    <t>隆中</t>
  </si>
  <si>
    <t>欣普羅</t>
  </si>
  <si>
    <t>宏觀</t>
  </si>
  <si>
    <t>醫揚</t>
  </si>
  <si>
    <t>勁豐</t>
  </si>
  <si>
    <t>展匯科</t>
  </si>
  <si>
    <t>富強鑫</t>
  </si>
  <si>
    <t>瀧澤科</t>
  </si>
  <si>
    <t>天宇</t>
  </si>
  <si>
    <t>商之器</t>
  </si>
  <si>
    <t>瑞祺電通</t>
  </si>
  <si>
    <t>杰力</t>
  </si>
  <si>
    <t>萬達光電</t>
  </si>
  <si>
    <t>廣錠</t>
  </si>
  <si>
    <t>必應</t>
  </si>
  <si>
    <t>吉茂</t>
  </si>
  <si>
    <t>虹揚-KY</t>
  </si>
  <si>
    <t>泰福-KY</t>
  </si>
  <si>
    <t>王道銀行</t>
  </si>
  <si>
    <t>天鈺</t>
  </si>
  <si>
    <t>奈米醫材</t>
  </si>
  <si>
    <t>全宇生技-KY</t>
  </si>
  <si>
    <t>永崴投控</t>
  </si>
  <si>
    <t>中揚光</t>
  </si>
  <si>
    <t>高端疫苗</t>
  </si>
  <si>
    <t>大綜</t>
  </si>
  <si>
    <t>天正國際</t>
  </si>
  <si>
    <t>南寶</t>
  </si>
  <si>
    <t>興能高</t>
  </si>
  <si>
    <t>健椿</t>
  </si>
  <si>
    <t>是方</t>
  </si>
  <si>
    <t>時碩工業</t>
  </si>
  <si>
    <t>全球傳動</t>
  </si>
  <si>
    <t>宏旭-KY</t>
  </si>
  <si>
    <t>易發</t>
  </si>
  <si>
    <t>羅麗芬-KY</t>
  </si>
  <si>
    <t>達邦蛋白</t>
  </si>
  <si>
    <t>詠昇</t>
  </si>
  <si>
    <t>安力-KY</t>
  </si>
  <si>
    <t>大詠城</t>
  </si>
  <si>
    <t>公準</t>
  </si>
  <si>
    <t>皇將</t>
  </si>
  <si>
    <t>精湛</t>
  </si>
  <si>
    <t>研揚</t>
  </si>
  <si>
    <t>鋐寶科技</t>
  </si>
  <si>
    <t>M31</t>
  </si>
  <si>
    <t>維田</t>
  </si>
  <si>
    <t>普鴻</t>
  </si>
  <si>
    <t>富林-KY</t>
  </si>
  <si>
    <t>群翊</t>
  </si>
  <si>
    <t>科際精密</t>
  </si>
  <si>
    <t>復盛應用</t>
  </si>
  <si>
    <t>誠泰科技</t>
  </si>
  <si>
    <t>茂生農經</t>
  </si>
  <si>
    <t>元翎</t>
  </si>
  <si>
    <t>集雅社</t>
  </si>
  <si>
    <t>寬宏藝術</t>
  </si>
  <si>
    <t>騰輝電子-KY</t>
  </si>
  <si>
    <t>鈺太</t>
  </si>
  <si>
    <t>寶齡富錦</t>
  </si>
  <si>
    <t>科定</t>
  </si>
  <si>
    <t>晶相光</t>
  </si>
  <si>
    <t>信紘科</t>
  </si>
  <si>
    <t>逸達</t>
  </si>
  <si>
    <t>慧智</t>
  </si>
  <si>
    <t>穎漢</t>
  </si>
  <si>
    <t>特昇-KY</t>
  </si>
  <si>
    <t>三能-KY</t>
  </si>
  <si>
    <t>雙鍵</t>
  </si>
  <si>
    <t>勤崴國際</t>
  </si>
  <si>
    <t>五福</t>
  </si>
  <si>
    <t>緯穎</t>
  </si>
  <si>
    <t>泓瀚</t>
  </si>
  <si>
    <t>漢來美食</t>
  </si>
  <si>
    <t>創威</t>
  </si>
  <si>
    <t>豆府</t>
  </si>
  <si>
    <t>大銀微系統</t>
  </si>
  <si>
    <t>申豐</t>
  </si>
  <si>
    <t>台康生技</t>
  </si>
  <si>
    <t>鋼聯</t>
  </si>
  <si>
    <t>鑫聯大投控</t>
  </si>
  <si>
    <t>勤凱</t>
  </si>
  <si>
    <t>新晶投控</t>
  </si>
  <si>
    <t>亞航</t>
  </si>
  <si>
    <t>駐龍</t>
  </si>
  <si>
    <t>州巧</t>
    <phoneticPr fontId="74" type="noConversion"/>
  </si>
  <si>
    <t>均華</t>
    <phoneticPr fontId="74" type="noConversion"/>
  </si>
  <si>
    <t>停損</t>
    <phoneticPr fontId="74" type="noConversion"/>
  </si>
  <si>
    <t>大盤不安全，停利</t>
    <phoneticPr fontId="74" type="noConversion"/>
  </si>
  <si>
    <t>大盤跌破均線，停利</t>
    <phoneticPr fontId="74" type="noConversion"/>
  </si>
  <si>
    <t>大盤跌破均線，停損</t>
    <phoneticPr fontId="74" type="noConversion"/>
  </si>
  <si>
    <t>大立光</t>
  </si>
  <si>
    <t>日月光投控</t>
  </si>
  <si>
    <t>玉山金</t>
  </si>
  <si>
    <t>和大</t>
  </si>
  <si>
    <t>晶悅</t>
  </si>
  <si>
    <t>聚鼎</t>
  </si>
  <si>
    <t>台塑(1301)</t>
  </si>
  <si>
    <t>華夏(1305)</t>
  </si>
  <si>
    <t>台玻(1802)</t>
  </si>
  <si>
    <t>光罩(2338)</t>
  </si>
  <si>
    <t>茂達(6138)</t>
  </si>
  <si>
    <t>力山</t>
  </si>
  <si>
    <t>揚智</t>
  </si>
  <si>
    <t>中興電</t>
  </si>
  <si>
    <t>億光</t>
  </si>
  <si>
    <t>大立光</t>
    <phoneticPr fontId="76" type="noConversion"/>
  </si>
  <si>
    <t>小朋友學投資</t>
    <phoneticPr fontId="74" type="noConversion"/>
  </si>
  <si>
    <t>量能不足，停利</t>
    <phoneticPr fontId="74" type="noConversion"/>
  </si>
  <si>
    <t>當沖</t>
    <phoneticPr fontId="74" type="noConversion"/>
  </si>
  <si>
    <t>多下單，改當沖</t>
    <phoneticPr fontId="74" type="noConversion"/>
  </si>
  <si>
    <t>緯軟(4953)</t>
  </si>
  <si>
    <t>元晶(6443)</t>
  </si>
  <si>
    <t>廣宇(2328)</t>
  </si>
  <si>
    <t>鴻碩(3092)</t>
  </si>
  <si>
    <t>漢磊(3707)</t>
  </si>
  <si>
    <t>乙盛-KY(5243)</t>
  </si>
  <si>
    <t>列警示股，賣出</t>
    <phoneticPr fontId="74" type="noConversion"/>
  </si>
  <si>
    <t>除權息</t>
    <phoneticPr fontId="74" type="noConversion"/>
  </si>
  <si>
    <t>碰10MA出場</t>
    <phoneticPr fontId="74" type="noConversion"/>
  </si>
  <si>
    <t>營建股，見好就收</t>
    <phoneticPr fontId="74" type="noConversion"/>
  </si>
  <si>
    <t>碰5日線，停利</t>
    <phoneticPr fontId="74" type="noConversion"/>
  </si>
  <si>
    <t>棄息</t>
    <phoneticPr fontId="74" type="noConversion"/>
  </si>
  <si>
    <t>除息後漲不動，獲利了結</t>
    <phoneticPr fontId="74" type="noConversion"/>
  </si>
  <si>
    <t>比特幣概念股</t>
    <phoneticPr fontId="74" type="noConversion"/>
  </si>
  <si>
    <t>XQ策略雷達</t>
    <phoneticPr fontId="74" type="noConversion"/>
  </si>
  <si>
    <t>棄息，獲利了結</t>
    <phoneticPr fontId="74" type="noConversion"/>
  </si>
  <si>
    <t>小朋友學投資、阿水一式</t>
    <phoneticPr fontId="74" type="noConversion"/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</si>
  <si>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</si>
  <si>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</si>
  <si>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</si>
  <si>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</si>
  <si>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</si>
  <si>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</si>
  <si>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</si>
  <si>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</si>
  <si>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</si>
  <si>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</si>
  <si>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</si>
  <si>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</si>
  <si>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</si>
  <si>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</si>
  <si>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</si>
  <si>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</si>
  <si>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</si>
  <si>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</si>
  <si>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</si>
  <si>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</si>
  <si>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</si>
  <si>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</si>
  <si>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</si>
  <si>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</si>
  <si>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</si>
  <si>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</si>
  <si>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安心</t>
  </si>
  <si>
    <t>德麥</t>
  </si>
  <si>
    <t>台塑</t>
  </si>
  <si>
    <t>南亞</t>
  </si>
  <si>
    <t>華夏</t>
  </si>
  <si>
    <t>三芳</t>
  </si>
  <si>
    <t>亞聚</t>
  </si>
  <si>
    <t>台苯</t>
  </si>
  <si>
    <t>國喬</t>
  </si>
  <si>
    <t>聯成</t>
  </si>
  <si>
    <t>中石化</t>
  </si>
  <si>
    <t>上曜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</si>
  <si>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</si>
  <si>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</si>
  <si>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</si>
  <si>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</si>
  <si>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</si>
  <si>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</si>
  <si>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</si>
  <si>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</si>
  <si>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</si>
  <si>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</si>
  <si>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八貫</t>
  </si>
  <si>
    <t>遠東新</t>
  </si>
  <si>
    <t>新纖</t>
  </si>
  <si>
    <t>南染</t>
  </si>
  <si>
    <t>宏洲</t>
  </si>
  <si>
    <t>廣豐</t>
  </si>
  <si>
    <t>嘉裕</t>
  </si>
  <si>
    <t>東華</t>
  </si>
  <si>
    <t>新紡</t>
  </si>
  <si>
    <t>利華</t>
  </si>
  <si>
    <t>大魯閣</t>
  </si>
  <si>
    <t>福懋</t>
  </si>
  <si>
    <t>華友聯</t>
  </si>
  <si>
    <t>勤益控</t>
  </si>
  <si>
    <t>三地開發</t>
  </si>
  <si>
    <t>名軒</t>
  </si>
  <si>
    <t>力麗</t>
  </si>
  <si>
    <t>大宇</t>
  </si>
  <si>
    <t>宏和</t>
  </si>
  <si>
    <t>力鵬</t>
  </si>
  <si>
    <t>年興</t>
  </si>
  <si>
    <t>宏益</t>
  </si>
  <si>
    <t>大將</t>
  </si>
  <si>
    <t>台富</t>
  </si>
  <si>
    <t>集盛</t>
  </si>
  <si>
    <t>怡華</t>
  </si>
  <si>
    <t>宜進</t>
  </si>
  <si>
    <t>宏遠</t>
  </si>
  <si>
    <t>得力</t>
  </si>
  <si>
    <t>偉全</t>
  </si>
  <si>
    <t>聚隆</t>
  </si>
  <si>
    <t>南緯</t>
  </si>
  <si>
    <t>昶和</t>
  </si>
  <si>
    <t>大統新創</t>
  </si>
  <si>
    <t>首利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</si>
  <si>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</si>
  <si>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</si>
  <si>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</si>
  <si>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</si>
  <si>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</si>
  <si>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</si>
  <si>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</si>
  <si>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</si>
  <si>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</si>
  <si>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亞力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</si>
  <si>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</si>
  <si>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</si>
  <si>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</si>
  <si>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</si>
  <si>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</si>
  <si>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</si>
  <si>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</si>
  <si>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</si>
  <si>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</si>
  <si>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</si>
  <si>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</si>
  <si>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</si>
  <si>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</si>
  <si>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</si>
  <si>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</si>
  <si>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廣隆</t>
  </si>
  <si>
    <t>巨庭</t>
  </si>
  <si>
    <t>喬福</t>
  </si>
  <si>
    <t>錩泰</t>
  </si>
  <si>
    <t>伸興</t>
  </si>
  <si>
    <t>中砂</t>
  </si>
  <si>
    <t>精華</t>
  </si>
  <si>
    <t>倉佑</t>
  </si>
  <si>
    <t>濱川</t>
  </si>
  <si>
    <t>信錦</t>
  </si>
  <si>
    <t>程泰</t>
  </si>
  <si>
    <t>精剛</t>
  </si>
  <si>
    <t>和勤</t>
  </si>
  <si>
    <t>亞德客-KY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</si>
  <si>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</si>
  <si>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</si>
  <si>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</si>
  <si>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</si>
  <si>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</si>
  <si>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</si>
  <si>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</si>
  <si>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</si>
  <si>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</si>
  <si>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</si>
  <si>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</si>
  <si>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</si>
  <si>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</si>
  <si>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</si>
  <si>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</si>
  <si>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</si>
  <si>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</si>
  <si>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</si>
  <si>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</si>
  <si>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</si>
  <si>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</si>
  <si>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</si>
  <si>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</si>
  <si>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</si>
  <si>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</si>
  <si>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中纖</t>
  </si>
  <si>
    <t>生達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</si>
  <si>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</si>
  <si>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</si>
  <si>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</si>
  <si>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</si>
  <si>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</si>
  <si>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</si>
  <si>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</si>
  <si>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</si>
  <si>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</si>
  <si>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</si>
  <si>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</si>
  <si>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</si>
  <si>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</si>
  <si>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</si>
  <si>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</si>
  <si>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</si>
  <si>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</si>
  <si>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</si>
  <si>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</si>
  <si>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</si>
  <si>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</si>
  <si>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</si>
  <si>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</si>
  <si>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</si>
  <si>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</si>
  <si>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</si>
  <si>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</si>
  <si>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</si>
  <si>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台玻</t>
  </si>
  <si>
    <t>寶徠</t>
  </si>
  <si>
    <t>冠軍</t>
  </si>
  <si>
    <t>中釉</t>
  </si>
  <si>
    <t>和成</t>
  </si>
  <si>
    <t>寶利徠</t>
  </si>
  <si>
    <t>富喬</t>
  </si>
  <si>
    <t>凱撒衛</t>
  </si>
  <si>
    <t>士紙</t>
  </si>
  <si>
    <t>正隆</t>
  </si>
  <si>
    <t>寶隆</t>
  </si>
  <si>
    <t>永豐餘</t>
  </si>
  <si>
    <t>燁興</t>
  </si>
  <si>
    <t>高興昌</t>
  </si>
  <si>
    <t>春源</t>
  </si>
  <si>
    <t>春雨</t>
  </si>
  <si>
    <t>中鋼構</t>
  </si>
  <si>
    <t>中鴻</t>
  </si>
  <si>
    <t>豐興</t>
  </si>
  <si>
    <t>官田鋼</t>
  </si>
  <si>
    <t>美亞</t>
  </si>
  <si>
    <t>燁輝</t>
  </si>
  <si>
    <t>志聯</t>
  </si>
  <si>
    <t>大成鋼</t>
  </si>
  <si>
    <t>威致</t>
  </si>
  <si>
    <t>盛餘</t>
  </si>
  <si>
    <t>彰源</t>
  </si>
  <si>
    <t>新鋼</t>
  </si>
  <si>
    <t>佳大</t>
  </si>
  <si>
    <t>允強</t>
  </si>
  <si>
    <t>唐榮</t>
  </si>
  <si>
    <t>海光</t>
  </si>
  <si>
    <t>川湖</t>
  </si>
  <si>
    <t>風青</t>
  </si>
  <si>
    <t>橋椿</t>
  </si>
  <si>
    <t>世鎧</t>
  </si>
  <si>
    <t>晉椿</t>
  </si>
  <si>
    <t>世德</t>
  </si>
  <si>
    <t>運錩</t>
  </si>
  <si>
    <t>泰豐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</si>
  <si>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</si>
  <si>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</si>
  <si>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</si>
  <si>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</si>
  <si>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</si>
  <si>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</si>
  <si>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</si>
  <si>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</si>
  <si>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</si>
  <si>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</si>
  <si>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</si>
  <si>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</si>
  <si>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</si>
  <si>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</si>
  <si>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</si>
  <si>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</si>
  <si>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</si>
  <si>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</si>
  <si>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</si>
  <si>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</si>
  <si>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光寶科</t>
  </si>
  <si>
    <t>麗正</t>
  </si>
  <si>
    <t>全友</t>
  </si>
  <si>
    <t>台達電</t>
  </si>
  <si>
    <t>金寶</t>
  </si>
  <si>
    <t>華通</t>
  </si>
  <si>
    <t>楠梓電</t>
  </si>
  <si>
    <t>仁寶</t>
  </si>
  <si>
    <t>廣宇</t>
  </si>
  <si>
    <t>華泰</t>
  </si>
  <si>
    <t>精英</t>
  </si>
  <si>
    <t>旺宏</t>
  </si>
  <si>
    <t>光罩</t>
  </si>
  <si>
    <t>茂矽</t>
  </si>
  <si>
    <t>智邦</t>
  </si>
  <si>
    <t>聯強</t>
  </si>
  <si>
    <t>海悅</t>
  </si>
  <si>
    <t>錸德</t>
  </si>
  <si>
    <t>順德</t>
  </si>
  <si>
    <t>宏碁</t>
  </si>
  <si>
    <t>鴻準</t>
  </si>
  <si>
    <t>英業達</t>
  </si>
  <si>
    <t>廷鑫</t>
  </si>
  <si>
    <t>所羅門</t>
  </si>
  <si>
    <t>致茂</t>
  </si>
  <si>
    <t>藍天</t>
  </si>
  <si>
    <t>倫飛</t>
  </si>
  <si>
    <t>昆盈</t>
  </si>
  <si>
    <t>燿華</t>
  </si>
  <si>
    <t>菱生</t>
  </si>
  <si>
    <t>大同</t>
  </si>
  <si>
    <t>震旦行</t>
  </si>
  <si>
    <t>佳能</t>
  </si>
  <si>
    <t>技嘉</t>
  </si>
  <si>
    <t>微星</t>
  </si>
  <si>
    <t>瑞昱</t>
  </si>
  <si>
    <t>廣達</t>
  </si>
  <si>
    <t>台光電</t>
  </si>
  <si>
    <t>精元</t>
  </si>
  <si>
    <t>威盛</t>
  </si>
  <si>
    <t>云辰</t>
  </si>
  <si>
    <t>正崴</t>
  </si>
  <si>
    <t>研華</t>
  </si>
  <si>
    <t>友通</t>
  </si>
  <si>
    <t>映泰</t>
  </si>
  <si>
    <t>凌陽</t>
  </si>
  <si>
    <t>毅嘉</t>
  </si>
  <si>
    <t>漢唐</t>
  </si>
  <si>
    <t>國碩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</si>
  <si>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</si>
  <si>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</si>
  <si>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</si>
  <si>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</si>
  <si>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</si>
  <si>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</si>
  <si>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</si>
  <si>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</si>
  <si>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</si>
  <si>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</si>
  <si>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鼎元</t>
  </si>
  <si>
    <t>三商電</t>
  </si>
  <si>
    <t>興勤</t>
  </si>
  <si>
    <t>銘旺科</t>
  </si>
  <si>
    <t>聯昌</t>
  </si>
  <si>
    <t>互盛電</t>
  </si>
  <si>
    <t>統懋</t>
  </si>
  <si>
    <t>偉詮電</t>
  </si>
  <si>
    <t>美律</t>
  </si>
  <si>
    <t>太空梭</t>
  </si>
  <si>
    <t>超豐</t>
  </si>
  <si>
    <t>新美齊</t>
  </si>
  <si>
    <t>兆勁</t>
  </si>
  <si>
    <t>京元電子</t>
  </si>
  <si>
    <t>神腦</t>
  </si>
  <si>
    <t>凌群</t>
  </si>
  <si>
    <t>全新</t>
  </si>
  <si>
    <t>飛宏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</si>
  <si>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</si>
  <si>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</si>
  <si>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</si>
  <si>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</si>
  <si>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</si>
  <si>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</si>
  <si>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</si>
  <si>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</si>
  <si>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</si>
  <si>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</si>
  <si>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</si>
  <si>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</si>
  <si>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</si>
  <si>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</si>
  <si>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</si>
  <si>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</si>
  <si>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</si>
  <si>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</si>
  <si>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</si>
  <si>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</si>
  <si>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</si>
  <si>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</si>
  <si>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</si>
  <si>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</si>
  <si>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</si>
  <si>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</si>
  <si>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</si>
  <si>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</si>
  <si>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</si>
  <si>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</si>
  <si>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</si>
  <si>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</si>
  <si>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</si>
  <si>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</si>
  <si>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</si>
  <si>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</si>
  <si>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</si>
  <si>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</si>
  <si>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</si>
  <si>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</si>
  <si>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</si>
  <si>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</si>
  <si>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</si>
  <si>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</si>
  <si>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</si>
  <si>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</si>
  <si>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</si>
  <si>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</si>
  <si>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</si>
  <si>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</si>
  <si>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</si>
  <si>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</si>
  <si>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</si>
  <si>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</si>
  <si>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</si>
  <si>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</si>
  <si>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</si>
  <si>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新興</t>
  </si>
  <si>
    <t>裕民</t>
  </si>
  <si>
    <t>嘉里大榮</t>
  </si>
  <si>
    <t>陽明</t>
  </si>
  <si>
    <t>志信</t>
  </si>
  <si>
    <t>中航</t>
  </si>
  <si>
    <t>中櫃</t>
  </si>
  <si>
    <t>山隆</t>
  </si>
  <si>
    <t>台航</t>
  </si>
  <si>
    <t>台灣高鐵</t>
  </si>
  <si>
    <t>大車隊</t>
  </si>
  <si>
    <t>宅配通</t>
  </si>
  <si>
    <t>捷迅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</si>
  <si>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</si>
  <si>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</si>
  <si>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</si>
  <si>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</si>
  <si>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</si>
  <si>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</si>
  <si>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</si>
  <si>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</si>
  <si>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</si>
  <si>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</si>
  <si>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瓦城</t>
  </si>
  <si>
    <t>雄獅</t>
  </si>
  <si>
    <t>六角</t>
  </si>
  <si>
    <t>易飛網</t>
  </si>
  <si>
    <t>山富</t>
  </si>
  <si>
    <t>雲品</t>
  </si>
  <si>
    <t>亞洲藏壽司</t>
  </si>
  <si>
    <t>揚秦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</si>
  <si>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</si>
  <si>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</si>
  <si>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</si>
  <si>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</si>
  <si>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</si>
  <si>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</si>
  <si>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</si>
  <si>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</si>
  <si>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</si>
  <si>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</si>
  <si>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</si>
  <si>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</si>
  <si>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</si>
  <si>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</si>
  <si>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華南金</t>
  </si>
  <si>
    <t>元大金</t>
  </si>
  <si>
    <t>兆豐金</t>
  </si>
  <si>
    <t>國票金</t>
  </si>
  <si>
    <t>永豐金</t>
  </si>
  <si>
    <t>中信金</t>
  </si>
  <si>
    <t>第一金</t>
  </si>
  <si>
    <t>欣欣</t>
  </si>
  <si>
    <t>遠百</t>
  </si>
  <si>
    <t>匯僑</t>
  </si>
  <si>
    <t>三商</t>
  </si>
  <si>
    <t>高林</t>
  </si>
  <si>
    <t>特力</t>
  </si>
  <si>
    <t>統領</t>
  </si>
  <si>
    <t>統一超</t>
  </si>
  <si>
    <t>農林</t>
  </si>
  <si>
    <t>潤泰全</t>
  </si>
  <si>
    <t>滿心</t>
  </si>
  <si>
    <t>鼎固-KY</t>
  </si>
  <si>
    <t>誠品生活</t>
  </si>
  <si>
    <t>淘帝-KY</t>
  </si>
  <si>
    <t>歐格</t>
  </si>
  <si>
    <t>健和興</t>
  </si>
  <si>
    <t>豐達科</t>
  </si>
  <si>
    <t>神基</t>
  </si>
  <si>
    <t>晶豪科</t>
  </si>
  <si>
    <t>華立</t>
  </si>
  <si>
    <t>今皓</t>
  </si>
  <si>
    <t>晟銘電</t>
  </si>
  <si>
    <t>聯陽</t>
  </si>
  <si>
    <t>嘉晶</t>
  </si>
  <si>
    <t>奇鋐</t>
  </si>
  <si>
    <t>亞光</t>
  </si>
  <si>
    <t>鴻名</t>
  </si>
  <si>
    <t>威強電</t>
  </si>
  <si>
    <t>憶聲</t>
  </si>
  <si>
    <t>盛達</t>
  </si>
  <si>
    <t>增你強</t>
  </si>
  <si>
    <t>佰鴻</t>
  </si>
  <si>
    <t>偉訓</t>
  </si>
  <si>
    <t>威健</t>
  </si>
  <si>
    <t>智原</t>
  </si>
  <si>
    <t>文曄</t>
  </si>
  <si>
    <t>遠見</t>
  </si>
  <si>
    <t>科風</t>
  </si>
  <si>
    <t>健鼎</t>
  </si>
  <si>
    <t>台灣大</t>
  </si>
  <si>
    <t>建碁</t>
  </si>
  <si>
    <t>訊舟</t>
  </si>
  <si>
    <t>益登</t>
  </si>
  <si>
    <t>鈺德</t>
  </si>
  <si>
    <t>夆典</t>
  </si>
  <si>
    <t>立萬利</t>
  </si>
  <si>
    <t>蔚華科</t>
  </si>
  <si>
    <t>立德</t>
  </si>
  <si>
    <t>華晶科</t>
  </si>
  <si>
    <t>銘異</t>
  </si>
  <si>
    <t>建漢</t>
  </si>
  <si>
    <t>泰偉</t>
  </si>
  <si>
    <t>李洲</t>
  </si>
  <si>
    <t>協禧</t>
  </si>
  <si>
    <t>僑威</t>
  </si>
  <si>
    <t>聯亞</t>
  </si>
  <si>
    <t>網龍</t>
  </si>
  <si>
    <t>艾訊</t>
  </si>
  <si>
    <t>鴻碩</t>
  </si>
  <si>
    <t>聯傑</t>
  </si>
  <si>
    <t>及成</t>
  </si>
  <si>
    <t>穩懋</t>
  </si>
  <si>
    <t>好德</t>
  </si>
  <si>
    <t>進階</t>
  </si>
  <si>
    <t>笙泉</t>
  </si>
  <si>
    <t>昇銳</t>
  </si>
  <si>
    <t>一零四</t>
  </si>
  <si>
    <t>弘塑</t>
  </si>
  <si>
    <t>耀登</t>
  </si>
  <si>
    <t>晶宏</t>
  </si>
  <si>
    <t>正達</t>
  </si>
  <si>
    <t>精確</t>
  </si>
  <si>
    <t>波若威</t>
  </si>
  <si>
    <t>景岳</t>
  </si>
  <si>
    <t>大量</t>
  </si>
  <si>
    <t>亞信</t>
  </si>
  <si>
    <t>基亞</t>
  </si>
  <si>
    <t>景碩</t>
  </si>
  <si>
    <t>佰研</t>
  </si>
  <si>
    <t>志豐</t>
  </si>
  <si>
    <t>耀勝</t>
  </si>
  <si>
    <t>全科</t>
  </si>
  <si>
    <t>順達</t>
  </si>
  <si>
    <t>台嘉碩</t>
  </si>
  <si>
    <t>三顧</t>
  </si>
  <si>
    <t>原相</t>
  </si>
  <si>
    <t>金麗科</t>
  </si>
  <si>
    <t>錦明</t>
  </si>
  <si>
    <t>緯創</t>
  </si>
  <si>
    <t>昱捷</t>
  </si>
  <si>
    <t>光環</t>
  </si>
  <si>
    <t>千如</t>
  </si>
  <si>
    <t>海灣</t>
  </si>
  <si>
    <t>虹冠電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</si>
  <si>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</si>
  <si>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</si>
  <si>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</si>
  <si>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</si>
  <si>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</si>
  <si>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</si>
  <si>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</si>
  <si>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</si>
  <si>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</si>
  <si>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</si>
  <si>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宜特</t>
  </si>
  <si>
    <t>鈊象</t>
  </si>
  <si>
    <t>英濟</t>
  </si>
  <si>
    <t>勝德</t>
  </si>
  <si>
    <t>杭特</t>
  </si>
  <si>
    <t>岱稜</t>
  </si>
  <si>
    <t>昇貿</t>
  </si>
  <si>
    <t>鼎天</t>
  </si>
  <si>
    <t>佳穎</t>
  </si>
  <si>
    <t>閎暉</t>
  </si>
  <si>
    <t>弘憶股</t>
  </si>
  <si>
    <t>斐成</t>
  </si>
  <si>
    <t>尼克森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</si>
  <si>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</si>
  <si>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</si>
  <si>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</si>
  <si>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</si>
  <si>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</si>
  <si>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</si>
  <si>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</si>
  <si>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</si>
  <si>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律勝</t>
  </si>
  <si>
    <t>尚立</t>
  </si>
  <si>
    <t>先進光</t>
  </si>
  <si>
    <t>上詮</t>
  </si>
  <si>
    <t>典範</t>
  </si>
  <si>
    <t>熱映</t>
  </si>
  <si>
    <t>精材</t>
  </si>
  <si>
    <t>彬台</t>
  </si>
  <si>
    <t>明泰</t>
  </si>
  <si>
    <t>崇越電</t>
  </si>
  <si>
    <t>旭軟</t>
  </si>
  <si>
    <t>漢科</t>
  </si>
  <si>
    <t>京鼎</t>
  </si>
  <si>
    <t>融程電</t>
  </si>
  <si>
    <t>譁裕</t>
  </si>
  <si>
    <t>哲固</t>
  </si>
  <si>
    <t>榮創</t>
  </si>
  <si>
    <t>類比科</t>
  </si>
  <si>
    <t>聯一光</t>
  </si>
  <si>
    <t>創意</t>
  </si>
  <si>
    <t>利機</t>
  </si>
  <si>
    <t>聯鈞</t>
  </si>
  <si>
    <t>由田</t>
  </si>
  <si>
    <t>進泰電子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</si>
  <si>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</si>
  <si>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</si>
  <si>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</si>
  <si>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</si>
  <si>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</si>
  <si>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</si>
  <si>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</si>
  <si>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</si>
  <si>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</si>
  <si>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</si>
  <si>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</si>
  <si>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</si>
  <si>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</si>
  <si>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</si>
  <si>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</si>
  <si>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</si>
  <si>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</si>
  <si>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凡甲</t>
  </si>
  <si>
    <t>聚積</t>
  </si>
  <si>
    <t>安馳</t>
  </si>
  <si>
    <t>台勝科</t>
  </si>
  <si>
    <t>嘉澤</t>
  </si>
  <si>
    <t>晶彩科</t>
  </si>
  <si>
    <t>堡達</t>
  </si>
  <si>
    <t>曜越</t>
  </si>
  <si>
    <t>州巧</t>
  </si>
  <si>
    <t>敦泰</t>
  </si>
  <si>
    <t>宇峻</t>
  </si>
  <si>
    <t>兆利</t>
  </si>
  <si>
    <t>聯穎</t>
  </si>
  <si>
    <t>世禾</t>
  </si>
  <si>
    <t>同致</t>
  </si>
  <si>
    <t>禾瑞亞</t>
  </si>
  <si>
    <t>嘉威</t>
  </si>
  <si>
    <t>神準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</si>
  <si>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</si>
  <si>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</si>
  <si>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</si>
  <si>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</si>
  <si>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</si>
  <si>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</si>
  <si>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</si>
  <si>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</si>
  <si>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</si>
  <si>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</si>
  <si>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磐儀</t>
  </si>
  <si>
    <t>映興</t>
  </si>
  <si>
    <t>宏致</t>
  </si>
  <si>
    <t>谷崧</t>
  </si>
  <si>
    <t>鼎翰</t>
  </si>
  <si>
    <t>安可</t>
  </si>
  <si>
    <t>碩天</t>
  </si>
  <si>
    <t>洋華</t>
  </si>
  <si>
    <t>富晶通</t>
  </si>
  <si>
    <t>光頡</t>
  </si>
  <si>
    <t>盈正</t>
  </si>
  <si>
    <t>地心引力</t>
  </si>
  <si>
    <t>新鉅科</t>
  </si>
  <si>
    <t>晟楠</t>
  </si>
  <si>
    <t>達邁</t>
  </si>
  <si>
    <t>艾恩特</t>
  </si>
  <si>
    <t>精聯</t>
  </si>
  <si>
    <t>健策</t>
  </si>
  <si>
    <t>世芯-KY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</si>
  <si>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</si>
  <si>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</si>
  <si>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</si>
  <si>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</si>
  <si>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</si>
  <si>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</si>
  <si>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</si>
  <si>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</si>
  <si>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榮昌</t>
  </si>
  <si>
    <t>元創精密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</si>
  <si>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</si>
  <si>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</si>
  <si>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</si>
  <si>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</si>
  <si>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</si>
  <si>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</si>
  <si>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</si>
  <si>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</si>
  <si>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永信</t>
  </si>
  <si>
    <t>上緯投控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</si>
  <si>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</si>
  <si>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</si>
  <si>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</si>
  <si>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</si>
  <si>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</si>
  <si>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</si>
  <si>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</si>
  <si>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</si>
  <si>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</si>
  <si>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</si>
  <si>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</si>
  <si>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</si>
  <si>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</si>
  <si>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</si>
  <si>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</si>
  <si>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</si>
  <si>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</si>
  <si>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</si>
  <si>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亞諾法</t>
  </si>
  <si>
    <t>麗豐-KY</t>
  </si>
  <si>
    <t>曜亞</t>
  </si>
  <si>
    <t>馬光-KY</t>
  </si>
  <si>
    <t>國光生</t>
  </si>
  <si>
    <t>中裕</t>
  </si>
  <si>
    <t>太景*-KY</t>
  </si>
  <si>
    <t>聿新科</t>
  </si>
  <si>
    <t>智擎</t>
  </si>
  <si>
    <t>鐿鈦</t>
  </si>
  <si>
    <t>承業醫</t>
  </si>
  <si>
    <t>松瑞藥</t>
  </si>
  <si>
    <t>醣聯</t>
  </si>
  <si>
    <t>瑞基</t>
  </si>
  <si>
    <t>久裕</t>
  </si>
  <si>
    <t>杏一</t>
  </si>
  <si>
    <t>福永生技</t>
  </si>
  <si>
    <t>安克</t>
  </si>
  <si>
    <t>佐登-KY</t>
  </si>
  <si>
    <t>杏國</t>
  </si>
  <si>
    <t>中華食</t>
  </si>
  <si>
    <t>環泰</t>
  </si>
  <si>
    <t>信立</t>
  </si>
  <si>
    <t>勝昱</t>
  </si>
  <si>
    <t>世坤</t>
  </si>
  <si>
    <t>炎洲</t>
  </si>
  <si>
    <t>東隆興</t>
  </si>
  <si>
    <t>新昕纖</t>
  </si>
  <si>
    <t>飛寶企業</t>
  </si>
  <si>
    <t>三圓</t>
  </si>
  <si>
    <t>金洲</t>
  </si>
  <si>
    <t>光明</t>
  </si>
  <si>
    <t>利勤</t>
  </si>
  <si>
    <t>耀億</t>
  </si>
  <si>
    <t>銘旺實</t>
  </si>
  <si>
    <t>興采</t>
  </si>
  <si>
    <t>廣越</t>
  </si>
  <si>
    <t>冠星-KY</t>
  </si>
  <si>
    <t>健信</t>
  </si>
  <si>
    <t>金雨</t>
  </si>
  <si>
    <t>崇友</t>
  </si>
  <si>
    <t>高鋒</t>
  </si>
  <si>
    <t>福裕</t>
  </si>
  <si>
    <t>永彰</t>
  </si>
  <si>
    <t>東台</t>
  </si>
  <si>
    <t>江興鍛</t>
  </si>
  <si>
    <t>淳紳</t>
  </si>
  <si>
    <t>瑞智</t>
  </si>
  <si>
    <t>協易機</t>
  </si>
  <si>
    <t>慶騰</t>
  </si>
  <si>
    <t>至興</t>
  </si>
  <si>
    <t>拓凱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</si>
  <si>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</si>
  <si>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</si>
  <si>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</si>
  <si>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</si>
  <si>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</si>
  <si>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</si>
  <si>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</si>
  <si>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</si>
  <si>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</si>
  <si>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</si>
  <si>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永新-KY</t>
  </si>
  <si>
    <t>強信-KY</t>
  </si>
  <si>
    <t>百德</t>
  </si>
  <si>
    <t>鈞興-KY</t>
  </si>
  <si>
    <t>光隆精密-KY</t>
  </si>
  <si>
    <t>唐鋒</t>
  </si>
  <si>
    <t>中美實</t>
  </si>
  <si>
    <t>大恭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</si>
  <si>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</si>
  <si>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</si>
  <si>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</si>
  <si>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</si>
  <si>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</si>
  <si>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</si>
  <si>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</si>
  <si>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</si>
  <si>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豪展</t>
  </si>
  <si>
    <t>泰博</t>
  </si>
  <si>
    <t>華廣</t>
  </si>
  <si>
    <t>合一</t>
  </si>
  <si>
    <t>合富-KY</t>
  </si>
  <si>
    <t>台耀</t>
  </si>
  <si>
    <t>國碳科</t>
  </si>
  <si>
    <t>三福化</t>
  </si>
  <si>
    <t>日成-KY</t>
  </si>
  <si>
    <t>聯光通</t>
  </si>
  <si>
    <t>遠傳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</si>
  <si>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</si>
  <si>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</si>
  <si>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</si>
  <si>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</si>
  <si>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</si>
  <si>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</si>
  <si>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</si>
  <si>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</si>
  <si>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欣厚-KY</t>
  </si>
  <si>
    <t>泰鼎-KY</t>
  </si>
  <si>
    <t>新盛力</t>
  </si>
  <si>
    <t>友輝</t>
  </si>
  <si>
    <t>太極</t>
  </si>
  <si>
    <t>茂林-KY</t>
  </si>
  <si>
    <t>亞電</t>
  </si>
  <si>
    <t>嘉彰</t>
  </si>
  <si>
    <t>康控-KY</t>
  </si>
  <si>
    <t>凌通</t>
  </si>
  <si>
    <t>緯軟</t>
  </si>
  <si>
    <t>光鋐</t>
  </si>
  <si>
    <t>臻鼎-KY</t>
  </si>
  <si>
    <t>誠美材</t>
  </si>
  <si>
    <t>譜瑞-KY</t>
  </si>
  <si>
    <t>立積</t>
  </si>
  <si>
    <t>IET-KY</t>
  </si>
  <si>
    <t>湯石照明</t>
  </si>
  <si>
    <t>廣穎</t>
  </si>
  <si>
    <t>佳凌</t>
  </si>
  <si>
    <t>眾達-KY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</si>
  <si>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</si>
  <si>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</si>
  <si>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</si>
  <si>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</si>
  <si>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</si>
  <si>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</si>
  <si>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</si>
  <si>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</si>
  <si>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</si>
  <si>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</si>
  <si>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</si>
  <si>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</si>
  <si>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</si>
  <si>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</si>
  <si>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</si>
  <si>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</si>
  <si>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</si>
  <si>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</si>
  <si>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</si>
  <si>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</si>
  <si>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科嘉-KY</t>
  </si>
  <si>
    <t>東科-KY</t>
  </si>
  <si>
    <t>雷笛克光學</t>
  </si>
  <si>
    <t>達興材料</t>
  </si>
  <si>
    <t>乙盛-KY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</si>
  <si>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</si>
  <si>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</si>
  <si>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</si>
  <si>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</si>
  <si>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</si>
  <si>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</si>
  <si>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</si>
  <si>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</si>
  <si>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禾聯碩</t>
  </si>
  <si>
    <t>jpp-KY</t>
  </si>
  <si>
    <t>界霖</t>
  </si>
  <si>
    <t>數字</t>
  </si>
  <si>
    <t>豐祥-KY</t>
  </si>
  <si>
    <t>宜鼎</t>
  </si>
  <si>
    <t>邑昇</t>
  </si>
  <si>
    <t>太欣</t>
  </si>
  <si>
    <t>桂盟</t>
  </si>
  <si>
    <t>系統電</t>
  </si>
  <si>
    <t>寶島科</t>
  </si>
  <si>
    <t>光聯</t>
  </si>
  <si>
    <t>士開</t>
  </si>
  <si>
    <t>華容</t>
  </si>
  <si>
    <t>立衛</t>
  </si>
  <si>
    <t>鈺創</t>
  </si>
  <si>
    <t>台林</t>
  </si>
  <si>
    <t>佳總</t>
  </si>
  <si>
    <t>協益</t>
  </si>
  <si>
    <t>力麗店</t>
  </si>
  <si>
    <t>青雲</t>
  </si>
  <si>
    <t>中磊</t>
  </si>
  <si>
    <t>慕康生醫</t>
  </si>
  <si>
    <t>中菲</t>
  </si>
  <si>
    <t>國眾</t>
  </si>
  <si>
    <t>台半</t>
  </si>
  <si>
    <t>振發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</si>
  <si>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</si>
  <si>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</si>
  <si>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</si>
  <si>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</si>
  <si>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</si>
  <si>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</si>
  <si>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</si>
  <si>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</si>
  <si>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</si>
  <si>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</si>
  <si>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凱鈺</t>
  </si>
  <si>
    <t>松翰</t>
  </si>
  <si>
    <t>聰泰</t>
  </si>
  <si>
    <t>德宏</t>
  </si>
  <si>
    <t>智冠</t>
  </si>
  <si>
    <t>慧友</t>
  </si>
  <si>
    <t>通泰</t>
  </si>
  <si>
    <t>松普</t>
  </si>
  <si>
    <t>彩富</t>
  </si>
  <si>
    <t>三聯</t>
  </si>
  <si>
    <t>凱崴</t>
  </si>
  <si>
    <t>永信建</t>
  </si>
  <si>
    <t>德昌</t>
  </si>
  <si>
    <t>力麒</t>
  </si>
  <si>
    <t>三豐</t>
  </si>
  <si>
    <t>雙喜</t>
  </si>
  <si>
    <t>隆大</t>
  </si>
  <si>
    <t>力泰</t>
  </si>
  <si>
    <t>工信</t>
  </si>
  <si>
    <t>遠雄</t>
  </si>
  <si>
    <t>豐謙</t>
  </si>
  <si>
    <t>順天</t>
  </si>
  <si>
    <t>龍巖</t>
  </si>
  <si>
    <t>鄉林</t>
  </si>
  <si>
    <t>皇鼎</t>
  </si>
  <si>
    <t>長虹</t>
  </si>
  <si>
    <t>東明-KY</t>
  </si>
  <si>
    <t>桓鼎-KY</t>
  </si>
  <si>
    <t>永固-KY</t>
  </si>
  <si>
    <t>台聯櫃</t>
  </si>
  <si>
    <t>陸海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</si>
  <si>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</si>
  <si>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</si>
  <si>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</si>
  <si>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</si>
  <si>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</si>
  <si>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</si>
  <si>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</si>
  <si>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</si>
  <si>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台名</t>
  </si>
  <si>
    <t>合庫金</t>
  </si>
  <si>
    <t>德記</t>
  </si>
  <si>
    <t>全家</t>
  </si>
  <si>
    <t>南仁湖</t>
  </si>
  <si>
    <t>台南-KY</t>
  </si>
  <si>
    <t>群益證</t>
  </si>
  <si>
    <t>宏遠證</t>
  </si>
  <si>
    <t>康和證</t>
  </si>
  <si>
    <t>大展證</t>
  </si>
  <si>
    <t>元大期</t>
  </si>
  <si>
    <t>群益期</t>
  </si>
  <si>
    <t>福邦證</t>
  </si>
  <si>
    <t>寬魚國際</t>
  </si>
  <si>
    <t>合邦</t>
  </si>
  <si>
    <t>創惟</t>
  </si>
  <si>
    <t>亞矽</t>
  </si>
  <si>
    <t>久威</t>
  </si>
  <si>
    <t>鎰勝</t>
  </si>
  <si>
    <t>彩晶</t>
  </si>
  <si>
    <t>迎廣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</si>
  <si>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</si>
  <si>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</si>
  <si>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</si>
  <si>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</si>
  <si>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</si>
  <si>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</si>
  <si>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</si>
  <si>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</si>
  <si>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</si>
  <si>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金橋</t>
  </si>
  <si>
    <t>萬旭</t>
  </si>
  <si>
    <t>富爾特</t>
  </si>
  <si>
    <t>茂達</t>
  </si>
  <si>
    <t>亞翔</t>
  </si>
  <si>
    <t>訊達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</si>
  <si>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</si>
  <si>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</si>
  <si>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</si>
  <si>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</si>
  <si>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</si>
  <si>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</si>
  <si>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</si>
  <si>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</si>
  <si>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順發</t>
  </si>
  <si>
    <t>鈞寶</t>
  </si>
  <si>
    <t>松上</t>
  </si>
  <si>
    <t>禾昌</t>
  </si>
  <si>
    <t>欣技</t>
  </si>
  <si>
    <t>華電網</t>
  </si>
  <si>
    <t>浪凡</t>
  </si>
  <si>
    <t>凌華</t>
  </si>
  <si>
    <t>宏齊</t>
  </si>
  <si>
    <t>昱泉</t>
  </si>
  <si>
    <t>統振</t>
  </si>
  <si>
    <t>安碁</t>
  </si>
  <si>
    <t>立敦</t>
  </si>
  <si>
    <t>達麗</t>
  </si>
  <si>
    <t>亞通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</si>
  <si>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</si>
  <si>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</si>
  <si>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</si>
  <si>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</si>
  <si>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</si>
  <si>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</si>
  <si>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</si>
  <si>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</si>
  <si>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</si>
  <si>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</si>
  <si>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育富</t>
  </si>
  <si>
    <t>詩肯</t>
  </si>
  <si>
    <t>佳必琪</t>
  </si>
  <si>
    <t>天品</t>
  </si>
  <si>
    <t>亞弘電</t>
  </si>
  <si>
    <t>盛群</t>
  </si>
  <si>
    <t>海韻電</t>
  </si>
  <si>
    <t>詮欣</t>
  </si>
  <si>
    <t>飛捷</t>
  </si>
  <si>
    <t>雷科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</si>
  <si>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</si>
  <si>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</si>
  <si>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</si>
  <si>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</si>
  <si>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</si>
  <si>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</si>
  <si>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</si>
  <si>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</si>
  <si>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</si>
  <si>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</si>
  <si>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</si>
  <si>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</si>
  <si>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旺矽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</si>
  <si>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</si>
  <si>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</si>
  <si>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</si>
  <si>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</si>
  <si>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</si>
  <si>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</si>
  <si>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</si>
  <si>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</si>
  <si>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</si>
  <si>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</si>
  <si>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</si>
  <si>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</si>
  <si>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</si>
  <si>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</si>
  <si>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</si>
  <si>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</si>
  <si>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</si>
  <si>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</si>
  <si>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</si>
  <si>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</si>
  <si>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</si>
  <si>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</si>
  <si>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</si>
  <si>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</si>
  <si>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</si>
  <si>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台郡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</si>
  <si>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</si>
  <si>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</si>
  <si>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</si>
  <si>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</si>
  <si>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</si>
  <si>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</si>
  <si>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</si>
  <si>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</si>
  <si>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</si>
  <si>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</si>
  <si>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光麗-KY</t>
  </si>
  <si>
    <t>光聖</t>
  </si>
  <si>
    <t>元晶</t>
  </si>
  <si>
    <t>鈺邦</t>
  </si>
  <si>
    <t>訊芯-KY</t>
  </si>
  <si>
    <t>GIS-KY</t>
  </si>
  <si>
    <t>台數科</t>
  </si>
  <si>
    <t>安集</t>
  </si>
  <si>
    <t>晶碩</t>
  </si>
  <si>
    <t>南六</t>
  </si>
  <si>
    <t>台塑化</t>
  </si>
  <si>
    <t>捷敏-KY</t>
  </si>
  <si>
    <t>明達醫</t>
  </si>
  <si>
    <t>晶心科</t>
  </si>
  <si>
    <t>易華電</t>
  </si>
  <si>
    <t>勝品</t>
  </si>
  <si>
    <t>霈方</t>
  </si>
  <si>
    <t>東典光電</t>
  </si>
  <si>
    <t>和潤企業</t>
  </si>
  <si>
    <t>台灣銘板</t>
  </si>
  <si>
    <t>ABC-KY</t>
  </si>
  <si>
    <t>帝寶</t>
  </si>
  <si>
    <t>萬年清</t>
  </si>
  <si>
    <t>泰金-KY</t>
  </si>
  <si>
    <t>均華</t>
  </si>
  <si>
    <t>基士德-KY</t>
  </si>
  <si>
    <t>富致</t>
  </si>
  <si>
    <t>台生材</t>
  </si>
  <si>
    <t>樂斯科</t>
  </si>
  <si>
    <t>鑫創電子</t>
  </si>
  <si>
    <t>安碁資訊</t>
  </si>
  <si>
    <t>國揚</t>
  </si>
  <si>
    <t>穎崴</t>
  </si>
  <si>
    <t>力積電</t>
    <phoneticPr fontId="74" type="noConversion"/>
  </si>
  <si>
    <t>跌破10日線，停損</t>
    <phoneticPr fontId="74" type="noConversion"/>
  </si>
  <si>
    <t>跌破20MA，停損</t>
    <phoneticPr fontId="74" type="noConversion"/>
  </si>
  <si>
    <t>跌破10日線，停利</t>
    <phoneticPr fontId="74" type="noConversion"/>
  </si>
  <si>
    <t>跌破20MA，停利</t>
    <phoneticPr fontId="74" type="noConversion"/>
  </si>
  <si>
    <t>當沖</t>
  </si>
  <si>
    <t>成交量</t>
  </si>
  <si>
    <t>未嚴守紀律，認賠</t>
    <phoneticPr fontId="74" type="noConversion"/>
  </si>
  <si>
    <t>和碩(4938)</t>
  </si>
  <si>
    <t>日月光投控(3711)</t>
  </si>
  <si>
    <t>嘉聯益(6153)</t>
  </si>
  <si>
    <t>豐謙(5523)</t>
  </si>
  <si>
    <t>力積電(6770)</t>
  </si>
  <si>
    <t>台積電(2330)</t>
  </si>
  <si>
    <t>世鎧(2063)</t>
  </si>
  <si>
    <t>聯成(1313)</t>
  </si>
  <si>
    <t>富邦金(2881)</t>
  </si>
  <si>
    <t>技嘉(2376)</t>
  </si>
  <si>
    <t>信邦(3023)</t>
  </si>
  <si>
    <t>智易(3596)</t>
  </si>
  <si>
    <t>宏捷科(8086)</t>
  </si>
  <si>
    <t>美亞(2020)</t>
  </si>
  <si>
    <t>聯詠(3034)</t>
  </si>
  <si>
    <t>台聚(1304)</t>
  </si>
  <si>
    <t>燦星網(4930)</t>
  </si>
  <si>
    <t>義隆(2458)</t>
  </si>
  <si>
    <t>長榮航(2618)</t>
  </si>
  <si>
    <t>晶技(3042)</t>
  </si>
  <si>
    <t>台橡(2103)</t>
  </si>
  <si>
    <t>台達化(1309)</t>
  </si>
  <si>
    <t>第一銅(2009)</t>
  </si>
  <si>
    <t>中美晶(5483)</t>
  </si>
  <si>
    <t>華紙(1905)</t>
  </si>
  <si>
    <t>新光鋼(2031)</t>
  </si>
  <si>
    <t>台船(2208)</t>
  </si>
  <si>
    <t>友達(2409)</t>
  </si>
  <si>
    <t>慧洋-KY(2637)</t>
  </si>
  <si>
    <t>日電貿(3090)</t>
  </si>
  <si>
    <t>群創(3481)</t>
  </si>
  <si>
    <t>德律(3030)</t>
  </si>
  <si>
    <t>綠電(8440)</t>
  </si>
  <si>
    <t>零壹(3029)</t>
  </si>
  <si>
    <t>鴻海(2317)</t>
  </si>
  <si>
    <t>長榮鋼</t>
    <phoneticPr fontId="74" type="noConversion"/>
  </si>
  <si>
    <t>神基科技現金股</t>
    <phoneticPr fontId="74" type="noConversion"/>
  </si>
  <si>
    <t>期貨入金</t>
    <phoneticPr fontId="74" type="noConversion"/>
  </si>
  <si>
    <t>台達化</t>
  </si>
  <si>
    <t>南紡</t>
  </si>
  <si>
    <t>華紙</t>
  </si>
  <si>
    <t>第一銅</t>
  </si>
  <si>
    <t>新光鋼</t>
  </si>
  <si>
    <t>台橡</t>
  </si>
  <si>
    <t>台船</t>
  </si>
  <si>
    <t>長榮鋼</t>
  </si>
  <si>
    <t>IKKA-KY</t>
  </si>
  <si>
    <t>台積電</t>
  </si>
  <si>
    <t>華邦電</t>
  </si>
  <si>
    <t>翔耀</t>
  </si>
  <si>
    <t>義隆</t>
  </si>
  <si>
    <t>長榮航</t>
  </si>
  <si>
    <t>慧洋-KY</t>
  </si>
  <si>
    <t>--</t>
  </si>
  <si>
    <t>八方雲集</t>
  </si>
  <si>
    <t>富邦金</t>
  </si>
  <si>
    <t>振宇五金</t>
  </si>
  <si>
    <t>信邦</t>
  </si>
  <si>
    <t>零壹</t>
  </si>
  <si>
    <t>德律</t>
  </si>
  <si>
    <t>晶技</t>
  </si>
  <si>
    <t>日電貿</t>
  </si>
  <si>
    <t>倚強科</t>
  </si>
  <si>
    <t>臺慶科</t>
  </si>
  <si>
    <t>智易</t>
  </si>
  <si>
    <t>三一東林</t>
  </si>
  <si>
    <t>富采</t>
  </si>
  <si>
    <t>和碩</t>
  </si>
  <si>
    <t>凌陽創新</t>
  </si>
  <si>
    <t>美而快</t>
  </si>
  <si>
    <t>能率</t>
  </si>
  <si>
    <t>新門</t>
  </si>
  <si>
    <t>中美晶</t>
  </si>
  <si>
    <t>鉅陞</t>
  </si>
  <si>
    <t>嘉聯益</t>
  </si>
  <si>
    <t>帆宣</t>
  </si>
  <si>
    <t>全宇昕</t>
  </si>
  <si>
    <t>威健生技</t>
  </si>
  <si>
    <t>安格</t>
  </si>
  <si>
    <t>報價 mapping 改為XQ</t>
    <phoneticPr fontId="74" type="noConversion"/>
  </si>
  <si>
    <t>三洋實業</t>
  </si>
  <si>
    <t>宜新實業</t>
  </si>
  <si>
    <t>全訊</t>
  </si>
  <si>
    <t>大城地產</t>
  </si>
  <si>
    <t>愛普*</t>
  </si>
  <si>
    <t>友訊</t>
  </si>
  <si>
    <t>迎輝</t>
  </si>
  <si>
    <t>榮科</t>
  </si>
  <si>
    <t>上漲家數</t>
    <phoneticPr fontId="74" type="noConversion"/>
  </si>
  <si>
    <t>下跌家數</t>
    <phoneticPr fontId="74" type="noConversion"/>
  </si>
  <si>
    <t>漲停家數</t>
    <phoneticPr fontId="74" type="noConversion"/>
  </si>
  <si>
    <t>跌停家數</t>
    <phoneticPr fontId="74" type="noConversion"/>
  </si>
  <si>
    <t>代碼</t>
  </si>
  <si>
    <t>商品</t>
  </si>
  <si>
    <t>開盤</t>
  </si>
  <si>
    <t>成交</t>
  </si>
  <si>
    <t>漲跌</t>
  </si>
  <si>
    <t>漲幅%</t>
  </si>
  <si>
    <t>成交值</t>
  </si>
  <si>
    <t>總量</t>
  </si>
  <si>
    <t>五日均量</t>
  </si>
  <si>
    <t>股本</t>
  </si>
  <si>
    <t>最高</t>
  </si>
  <si>
    <t>最低</t>
  </si>
  <si>
    <t>換手率%</t>
  </si>
  <si>
    <t>三商家購</t>
  </si>
  <si>
    <t>台聯電</t>
  </si>
  <si>
    <t>全域</t>
  </si>
  <si>
    <t>達新</t>
  </si>
  <si>
    <t>富野</t>
  </si>
  <si>
    <t>富驊</t>
  </si>
  <si>
    <t>中連</t>
  </si>
  <si>
    <t>上品</t>
  </si>
  <si>
    <t>台亞</t>
  </si>
  <si>
    <t>力特</t>
  </si>
  <si>
    <t>柏承</t>
  </si>
  <si>
    <t>天剛</t>
  </si>
  <si>
    <t>洋基工程</t>
  </si>
  <si>
    <t>瑞鼎</t>
  </si>
  <si>
    <t>晟鈦</t>
  </si>
  <si>
    <t>2022總計</t>
    <phoneticPr fontId="76" type="noConversion"/>
  </si>
  <si>
    <t>聯發國際</t>
  </si>
  <si>
    <t>弘凱</t>
  </si>
  <si>
    <t>美好證</t>
  </si>
  <si>
    <t>廣閎科</t>
  </si>
  <si>
    <t>力士</t>
  </si>
  <si>
    <t>寶緯</t>
  </si>
  <si>
    <t>寶德</t>
  </si>
  <si>
    <t>燦星網</t>
  </si>
  <si>
    <t>晶呈科技</t>
  </si>
  <si>
    <t>高股息，棄息操作</t>
    <phoneticPr fontId="74" type="noConversion"/>
  </si>
  <si>
    <t>近 5 年填息機率 100%</t>
    <phoneticPr fontId="74" type="noConversion"/>
  </si>
  <si>
    <t>台灣精銳</t>
  </si>
  <si>
    <t>鈺鎧</t>
  </si>
  <si>
    <t>正基</t>
  </si>
  <si>
    <t>鼎基</t>
  </si>
  <si>
    <t>碰 20MA，獲利了結</t>
    <phoneticPr fontId="74" type="noConversion"/>
  </si>
  <si>
    <t>碰 10MA，獲利了結</t>
    <phoneticPr fontId="74" type="noConversion"/>
  </si>
  <si>
    <t>破 20MA，停損</t>
    <phoneticPr fontId="74" type="noConversion"/>
  </si>
  <si>
    <t>達航科技</t>
  </si>
  <si>
    <t>矽力*-KY</t>
  </si>
  <si>
    <t>燦星旅</t>
  </si>
  <si>
    <t>燦坤</t>
  </si>
  <si>
    <t>欣大健康</t>
  </si>
  <si>
    <t>邁達特</t>
  </si>
  <si>
    <t>寒舍</t>
  </si>
  <si>
    <t>定穎投控</t>
  </si>
  <si>
    <t>朋億*</t>
  </si>
  <si>
    <t>輔信</t>
  </si>
  <si>
    <t>立益物流</t>
  </si>
  <si>
    <t>長科*</t>
  </si>
  <si>
    <t>奇鈦科</t>
  </si>
  <si>
    <t>凱美</t>
  </si>
  <si>
    <t>伊雲谷</t>
  </si>
  <si>
    <t>樂事綠能</t>
  </si>
  <si>
    <t>金像電</t>
  </si>
  <si>
    <t>聖暉*</t>
  </si>
  <si>
    <t>雋揚</t>
  </si>
  <si>
    <t>點晶</t>
  </si>
  <si>
    <t>沛亨</t>
  </si>
  <si>
    <t>熒茂</t>
  </si>
  <si>
    <t>長興</t>
  </si>
  <si>
    <t>易威</t>
  </si>
  <si>
    <t>友達</t>
  </si>
  <si>
    <t>達能</t>
  </si>
  <si>
    <t>合勤控</t>
  </si>
  <si>
    <t>君帆</t>
  </si>
  <si>
    <t>精拓科</t>
  </si>
  <si>
    <t>十銓</t>
  </si>
  <si>
    <t>巨路</t>
  </si>
  <si>
    <t>瑞築</t>
  </si>
  <si>
    <t>佳和</t>
  </si>
  <si>
    <t>美隆電</t>
  </si>
  <si>
    <t>港建*</t>
  </si>
  <si>
    <t>展達</t>
  </si>
  <si>
    <t>同欣電</t>
  </si>
  <si>
    <t>保勝光學</t>
  </si>
  <si>
    <t>宏太-KY</t>
  </si>
  <si>
    <t>長榮航太</t>
  </si>
  <si>
    <t>富邦公司治理</t>
  </si>
  <si>
    <t>元大台灣50</t>
  </si>
  <si>
    <t>元大中型100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</si>
  <si>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</si>
  <si>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</si>
  <si>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</si>
  <si>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</si>
  <si>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</si>
  <si>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</si>
  <si>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</si>
  <si>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</si>
  <si>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元大上證50</t>
  </si>
  <si>
    <t>富邦台50</t>
  </si>
  <si>
    <t>00625K</t>
  </si>
  <si>
    <t>富邦上証+R</t>
  </si>
  <si>
    <t>00633L</t>
  </si>
  <si>
    <t>富邦上証正2</t>
  </si>
  <si>
    <t>00634R</t>
  </si>
  <si>
    <t>富邦上証反1</t>
  </si>
  <si>
    <t>00635U</t>
  </si>
  <si>
    <t>期元大S＆P黃金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</si>
  <si>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</si>
  <si>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</si>
  <si>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</si>
  <si>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</si>
  <si>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</si>
  <si>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</si>
  <si>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</si>
  <si>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富邦深100</t>
  </si>
  <si>
    <t>00640L</t>
  </si>
  <si>
    <t>富邦日本正2</t>
  </si>
  <si>
    <t>00641R</t>
  </si>
  <si>
    <t>富邦日本反1</t>
  </si>
  <si>
    <t>00642U</t>
  </si>
  <si>
    <t>期元大S＆P石油</t>
  </si>
  <si>
    <t>群益深証中小</t>
  </si>
  <si>
    <t>00643K</t>
  </si>
  <si>
    <t>群益深証中小+R</t>
  </si>
  <si>
    <t>富邦日本</t>
  </si>
  <si>
    <t>元大S＆P500</t>
  </si>
  <si>
    <t>00647L</t>
  </si>
  <si>
    <t>元大S＆P500正2</t>
  </si>
  <si>
    <t>00648R</t>
  </si>
  <si>
    <t>元大S＆P500反1</t>
  </si>
  <si>
    <t>00650L</t>
  </si>
  <si>
    <t>00651R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</si>
  <si>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</si>
  <si>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</si>
  <si>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</si>
  <si>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</si>
  <si>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</si>
  <si>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</si>
  <si>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</si>
  <si>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</si>
  <si>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</si>
  <si>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國泰日經225</t>
  </si>
  <si>
    <t>00657K</t>
  </si>
  <si>
    <t>國泰日經225+U</t>
  </si>
  <si>
    <t>元大歐洲50</t>
  </si>
  <si>
    <t>元大日經225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</si>
  <si>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</si>
  <si>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</si>
  <si>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</si>
  <si>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</si>
  <si>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</si>
  <si>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</si>
  <si>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</si>
  <si>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</si>
  <si>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</si>
  <si>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</si>
  <si>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</si>
  <si>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</si>
  <si>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</si>
  <si>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</si>
  <si>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</si>
  <si>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</si>
  <si>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</si>
  <si>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</si>
  <si>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00675L</t>
  </si>
  <si>
    <t>富邦臺灣加權正2</t>
  </si>
  <si>
    <t>00679B</t>
  </si>
  <si>
    <t>元大美債20年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</si>
  <si>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</si>
  <si>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</si>
  <si>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</si>
  <si>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</si>
  <si>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</si>
  <si>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</si>
  <si>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</si>
  <si>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</si>
  <si>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</si>
  <si>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</si>
  <si>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00687B</t>
  </si>
  <si>
    <t>國泰20年美債</t>
  </si>
  <si>
    <t>00688L</t>
  </si>
  <si>
    <t>國泰20年美債正2</t>
  </si>
  <si>
    <t>00689R</t>
  </si>
  <si>
    <t>國泰20年美債反1</t>
  </si>
  <si>
    <t>兆豐藍籌30</t>
  </si>
  <si>
    <t>00693U</t>
  </si>
  <si>
    <t>期街口S＆P黃豆</t>
  </si>
  <si>
    <t>00694B</t>
  </si>
  <si>
    <t>富邦美債1-3</t>
  </si>
  <si>
    <t>00695B</t>
  </si>
  <si>
    <t>富邦美債7-10</t>
  </si>
  <si>
    <t>00696B</t>
  </si>
  <si>
    <t>富邦美債20年</t>
  </si>
  <si>
    <t>00697B</t>
  </si>
  <si>
    <t>元大美債7-10</t>
  </si>
  <si>
    <t>富邦恒生國企</t>
  </si>
  <si>
    <t>國泰股利精選30</t>
  </si>
  <si>
    <t>國泰標普低波高息</t>
  </si>
  <si>
    <t>台新MSCI中國</t>
  </si>
  <si>
    <t>00707R</t>
  </si>
  <si>
    <t>期元大S＆P日圓反1</t>
  </si>
  <si>
    <t>00708L</t>
  </si>
  <si>
    <t>期元大S＆P黃金正2</t>
  </si>
  <si>
    <t>富邦歐洲</t>
  </si>
  <si>
    <t>00710B</t>
  </si>
  <si>
    <t>00711B</t>
  </si>
  <si>
    <t>元大台灣高息低波</t>
  </si>
  <si>
    <t>群益道瓊美國地產</t>
  </si>
  <si>
    <t>富邦美國特別股</t>
  </si>
  <si>
    <t>00719B</t>
  </si>
  <si>
    <t>元大美債1-3</t>
  </si>
  <si>
    <t>00720B</t>
  </si>
  <si>
    <t>元大投資級公司債</t>
  </si>
  <si>
    <t>00722B</t>
  </si>
  <si>
    <t>00723B</t>
  </si>
  <si>
    <t>00724B</t>
  </si>
  <si>
    <t>00725B</t>
  </si>
  <si>
    <t>國泰投資級公司債</t>
  </si>
  <si>
    <t>00726B</t>
  </si>
  <si>
    <t>00727B</t>
  </si>
  <si>
    <t>第一金工業30</t>
  </si>
  <si>
    <t>富邦臺灣優質高息</t>
  </si>
  <si>
    <t>富邦臺灣中小</t>
  </si>
  <si>
    <t>00734B</t>
  </si>
  <si>
    <t>台新JPM新興債</t>
  </si>
  <si>
    <t>國泰臺韓科技</t>
  </si>
  <si>
    <t>國泰新興市場</t>
  </si>
  <si>
    <t>00738U</t>
  </si>
  <si>
    <t>期元大道瓊白銀</t>
  </si>
  <si>
    <t>元大MSCI A股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</si>
  <si>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</si>
  <si>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</si>
  <si>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</si>
  <si>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</si>
  <si>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</si>
  <si>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</si>
  <si>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</si>
  <si>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</si>
  <si>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</si>
  <si>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</si>
  <si>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</si>
  <si>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</si>
  <si>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中信中國50</t>
  </si>
  <si>
    <t>00753L</t>
  </si>
  <si>
    <t>中信中國50正2</t>
  </si>
  <si>
    <t>00754B</t>
  </si>
  <si>
    <t>群益AAA-AA公司債</t>
  </si>
  <si>
    <t>00755B</t>
  </si>
  <si>
    <t>00756B</t>
  </si>
  <si>
    <t>統一FANG+</t>
  </si>
  <si>
    <t>00758B</t>
  </si>
  <si>
    <t>00759B</t>
  </si>
  <si>
    <t>00760B</t>
  </si>
  <si>
    <t>00761B</t>
  </si>
  <si>
    <t>國泰A級公司債</t>
  </si>
  <si>
    <t>元大全球AI</t>
  </si>
  <si>
    <t>00763U</t>
  </si>
  <si>
    <t>期街口道瓊銅</t>
  </si>
  <si>
    <t>00764B</t>
  </si>
  <si>
    <t>群益25年美債</t>
  </si>
  <si>
    <t>00768B</t>
  </si>
  <si>
    <t>國泰北美科技</t>
  </si>
  <si>
    <t>元大US高息特別股</t>
  </si>
  <si>
    <t>00772B</t>
  </si>
  <si>
    <t>中信高評級公司債</t>
  </si>
  <si>
    <t>00773B</t>
  </si>
  <si>
    <t>中信優先金融債</t>
  </si>
  <si>
    <t>00775B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</si>
  <si>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</si>
  <si>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</si>
  <si>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</si>
  <si>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</si>
  <si>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</si>
  <si>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</si>
  <si>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</si>
  <si>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</si>
  <si>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</si>
  <si>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</si>
  <si>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</si>
  <si>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</si>
  <si>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富邦中証500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</si>
  <si>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</si>
  <si>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</si>
  <si>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</si>
  <si>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</si>
  <si>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</si>
  <si>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</si>
  <si>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</si>
  <si>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</si>
  <si>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</si>
  <si>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00791B</t>
  </si>
  <si>
    <t>00792B</t>
  </si>
  <si>
    <t>群益A級公司債</t>
  </si>
  <si>
    <t>00795B</t>
  </si>
  <si>
    <t>中信美國公債20年</t>
  </si>
  <si>
    <t>00799B</t>
  </si>
  <si>
    <t>國泰A級醫療債</t>
  </si>
  <si>
    <t>國泰費城半導體</t>
  </si>
  <si>
    <t>00834B</t>
  </si>
  <si>
    <t>第一金金融債10+</t>
  </si>
  <si>
    <t>00836B</t>
  </si>
  <si>
    <t>永豐10年A公司債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</si>
  <si>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</si>
  <si>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</si>
  <si>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</si>
  <si>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</si>
  <si>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</si>
  <si>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</si>
  <si>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</si>
  <si>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00845B</t>
  </si>
  <si>
    <t>富邦新興投等債</t>
  </si>
  <si>
    <t>00846B</t>
  </si>
  <si>
    <t>富邦歐洲銀行債</t>
  </si>
  <si>
    <t>00848B</t>
  </si>
  <si>
    <t>中信新興亞洲債</t>
  </si>
  <si>
    <t>00849B</t>
  </si>
  <si>
    <t>中信EM主權債0-5</t>
  </si>
  <si>
    <t>元大臺灣ESG永續</t>
  </si>
  <si>
    <t>台新全球AI</t>
  </si>
  <si>
    <t>00852L</t>
  </si>
  <si>
    <t>國泰美國道瓊正2</t>
  </si>
  <si>
    <t>00853B</t>
  </si>
  <si>
    <t>統一美債10年Aa-A</t>
  </si>
  <si>
    <t>00856B</t>
  </si>
  <si>
    <t>永豐1-3年美公債</t>
  </si>
  <si>
    <t>00857B</t>
  </si>
  <si>
    <t>永豐20年美公債</t>
  </si>
  <si>
    <t>永豐美國500大</t>
  </si>
  <si>
    <t>00859B</t>
  </si>
  <si>
    <t>群益0-1年美債</t>
  </si>
  <si>
    <t>00860B</t>
  </si>
  <si>
    <t>元大全球未來通訊</t>
  </si>
  <si>
    <t>00862B</t>
  </si>
  <si>
    <t>中信投資級公司債</t>
  </si>
  <si>
    <t>00863B</t>
  </si>
  <si>
    <t>中信全球電信債</t>
  </si>
  <si>
    <t>00864B</t>
  </si>
  <si>
    <t>中信美國公債0-1</t>
  </si>
  <si>
    <t>00865B</t>
  </si>
  <si>
    <t>國泰US短期公債</t>
  </si>
  <si>
    <t>00867B</t>
  </si>
  <si>
    <t>00870B</t>
  </si>
  <si>
    <t>元大15年EM主權債</t>
  </si>
  <si>
    <t>國泰網路資安</t>
  </si>
  <si>
    <t>元大全球5G</t>
  </si>
  <si>
    <t>國泰永續高股息</t>
  </si>
  <si>
    <t>中信中國高股息</t>
  </si>
  <si>
    <t>00884B</t>
  </si>
  <si>
    <t>中信低碳新興債</t>
  </si>
  <si>
    <t>富邦越南</t>
  </si>
  <si>
    <t>永豐美國科技</t>
  </si>
  <si>
    <t>永豐中國科技50大</t>
  </si>
  <si>
    <t>永豐台灣ESG</t>
  </si>
  <si>
    <t>00890B</t>
  </si>
  <si>
    <t>凱基ESG 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</si>
  <si>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</si>
  <si>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</si>
  <si>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</si>
  <si>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</si>
  <si>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</si>
  <si>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</si>
  <si>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</si>
  <si>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</si>
  <si>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</si>
  <si>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</si>
  <si>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</si>
  <si>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</si>
  <si>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</si>
  <si>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</si>
  <si>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</si>
  <si>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</si>
  <si>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</si>
  <si>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</si>
  <si>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</si>
  <si>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</si>
  <si>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</si>
  <si>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</si>
  <si>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</si>
  <si>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</si>
  <si>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</si>
  <si>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</si>
  <si>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</si>
  <si>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</si>
  <si>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富邦特選蘋果N</t>
  </si>
  <si>
    <t>富邦存股雙十N</t>
  </si>
  <si>
    <t>統一微波高息20N</t>
  </si>
  <si>
    <t>富邦行動通訊N</t>
  </si>
  <si>
    <t>02001L</t>
  </si>
  <si>
    <t>富邦蘋果正二N</t>
  </si>
  <si>
    <t>元大台股領航N</t>
  </si>
  <si>
    <t>統一亞洲半導體N</t>
  </si>
  <si>
    <t>元大特選電動車N</t>
  </si>
  <si>
    <t>元大ESG高股息N</t>
  </si>
  <si>
    <t>統一智慧電動車N</t>
  </si>
  <si>
    <t>統一IC設計臺灣N</t>
  </si>
  <si>
    <t>元大綠能N</t>
  </si>
  <si>
    <t>統一恒生科期N</t>
  </si>
  <si>
    <t>元大IC設計N</t>
  </si>
  <si>
    <t>元大上櫃ESG高息N</t>
  </si>
  <si>
    <t>復華滬深</t>
  </si>
  <si>
    <t>復華香港正2</t>
  </si>
  <si>
    <t>復華香港反1</t>
  </si>
  <si>
    <t>復華彭博非投等債</t>
  </si>
  <si>
    <t>復華彭博新興債</t>
  </si>
  <si>
    <t>復華富時不動產</t>
  </si>
  <si>
    <t>群益投資級電信債</t>
  </si>
  <si>
    <t>群益投資級科技債</t>
  </si>
  <si>
    <t>群益投資級金融債</t>
  </si>
  <si>
    <t>復華富時高息低波</t>
  </si>
  <si>
    <t>群益投資級公用債</t>
  </si>
  <si>
    <t>群益投等新興公債</t>
  </si>
  <si>
    <t>復華能源債</t>
  </si>
  <si>
    <t>復華製藥債</t>
  </si>
  <si>
    <t>復華新興企業債</t>
  </si>
  <si>
    <t>復華20年美債</t>
  </si>
  <si>
    <t>復華公司債A3</t>
  </si>
  <si>
    <t>復華信用債1-5</t>
  </si>
  <si>
    <t>群益1-5Y投資級債</t>
  </si>
  <si>
    <t>復華中國5G</t>
  </si>
  <si>
    <t>國泰台灣領袖50</t>
  </si>
  <si>
    <t>復華S＆P500成長</t>
  </si>
  <si>
    <t>凱基全球菁英55</t>
  </si>
  <si>
    <t>群益半導體收益</t>
  </si>
  <si>
    <t>中信上櫃ESG30</t>
  </si>
  <si>
    <t>復華台灣科技優息</t>
  </si>
  <si>
    <t>元大金融配息N</t>
  </si>
  <si>
    <t>元大金融高股息N</t>
  </si>
  <si>
    <t>元大ESG配息N</t>
  </si>
  <si>
    <t>雄順</t>
  </si>
  <si>
    <t>天方能源</t>
  </si>
  <si>
    <t>南俊國際</t>
  </si>
  <si>
    <t>建德工業</t>
  </si>
  <si>
    <t>華安</t>
  </si>
  <si>
    <t>芯鼎</t>
  </si>
  <si>
    <t>旭暉應材</t>
  </si>
  <si>
    <t>軒郁</t>
  </si>
  <si>
    <t>天擎</t>
  </si>
  <si>
    <t>嘉基</t>
  </si>
  <si>
    <t>應廣</t>
  </si>
  <si>
    <t>力智</t>
  </si>
  <si>
    <t>信實</t>
  </si>
  <si>
    <t>亞泰金屬</t>
  </si>
  <si>
    <t>昇佳電子</t>
  </si>
  <si>
    <t>博晟生醫</t>
  </si>
  <si>
    <t>美達科技</t>
  </si>
  <si>
    <t>91APP*-KY</t>
  </si>
  <si>
    <t>安普新</t>
  </si>
  <si>
    <t>叡揚</t>
  </si>
  <si>
    <t>龍德造船</t>
  </si>
  <si>
    <t>匯僑設計</t>
  </si>
  <si>
    <t>穩得</t>
  </si>
  <si>
    <t>達亞</t>
  </si>
  <si>
    <t>志強-KY</t>
  </si>
  <si>
    <t>力積電</t>
  </si>
  <si>
    <t>展碁國際</t>
  </si>
  <si>
    <t>AES-KY</t>
  </si>
  <si>
    <t>視陽</t>
  </si>
  <si>
    <t>華景電</t>
  </si>
  <si>
    <t>采鈺</t>
  </si>
  <si>
    <t>永豐實</t>
  </si>
  <si>
    <t>虎門科技</t>
  </si>
  <si>
    <t>詠業</t>
  </si>
  <si>
    <t>晉弘</t>
  </si>
  <si>
    <t>來頡</t>
  </si>
  <si>
    <t>崑鼎</t>
  </si>
  <si>
    <t>明係</t>
  </si>
  <si>
    <t>峰源-KY</t>
  </si>
  <si>
    <t>宏碁資訊</t>
  </si>
  <si>
    <t>聯寶</t>
  </si>
  <si>
    <t>濾能</t>
  </si>
  <si>
    <t>千附精密</t>
  </si>
  <si>
    <t>汎銓</t>
  </si>
  <si>
    <t>天二科技</t>
  </si>
  <si>
    <t>圓裕</t>
  </si>
  <si>
    <t>東研信超</t>
  </si>
  <si>
    <t>長佳智能</t>
  </si>
  <si>
    <t>進典</t>
  </si>
  <si>
    <t>綠茵</t>
  </si>
  <si>
    <t>數泓科</t>
  </si>
  <si>
    <t>伯特光</t>
  </si>
  <si>
    <t>睿生光電</t>
  </si>
  <si>
    <t>永道-KY</t>
  </si>
  <si>
    <t>偉康科技</t>
  </si>
  <si>
    <t>倍力</t>
  </si>
  <si>
    <t>鏵友益</t>
  </si>
  <si>
    <t>意德士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</si>
  <si>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</si>
  <si>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</si>
  <si>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</si>
  <si>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</si>
  <si>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</si>
  <si>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</si>
  <si>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</si>
  <si>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</si>
  <si>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長園科</t>
  </si>
  <si>
    <t>台虹</t>
  </si>
  <si>
    <t>九暘</t>
  </si>
  <si>
    <t>金山電</t>
  </si>
  <si>
    <t>蜜望實</t>
  </si>
  <si>
    <t>網家</t>
  </si>
  <si>
    <t>南電</t>
  </si>
  <si>
    <t>德勝</t>
  </si>
  <si>
    <t>晶采</t>
  </si>
  <si>
    <t>廣積</t>
  </si>
  <si>
    <t>安國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</si>
  <si>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</si>
  <si>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</si>
  <si>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</si>
  <si>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</si>
  <si>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</si>
  <si>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</si>
  <si>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</si>
  <si>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</si>
  <si>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</si>
  <si>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</si>
  <si>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</si>
  <si>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致新</t>
  </si>
  <si>
    <t>瑞穎</t>
  </si>
  <si>
    <t>巨虹</t>
  </si>
  <si>
    <t>福華</t>
  </si>
  <si>
    <t>宏捷科</t>
  </si>
  <si>
    <t>品安</t>
  </si>
  <si>
    <t>康全電訊</t>
  </si>
  <si>
    <t>翔名</t>
  </si>
  <si>
    <t>建暐</t>
  </si>
  <si>
    <t>擎亞</t>
  </si>
  <si>
    <t>常珵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</si>
  <si>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</si>
  <si>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</si>
  <si>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</si>
  <si>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</si>
  <si>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</si>
  <si>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</si>
  <si>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</si>
  <si>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</si>
  <si>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</si>
  <si>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</si>
  <si>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</si>
  <si>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</si>
  <si>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</si>
  <si>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智捷</t>
  </si>
  <si>
    <t>加高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</si>
  <si>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</si>
  <si>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</si>
  <si>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</si>
  <si>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</si>
  <si>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</si>
  <si>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</si>
  <si>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</si>
  <si>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</si>
  <si>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富鼎</t>
  </si>
  <si>
    <t>宇瞻</t>
  </si>
  <si>
    <t>泰藝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</si>
  <si>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</si>
  <si>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</si>
  <si>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</si>
  <si>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</si>
  <si>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</si>
  <si>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</si>
  <si>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</si>
  <si>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</si>
  <si>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</si>
  <si>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</si>
  <si>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</si>
  <si>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</si>
  <si>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</si>
  <si>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森田</t>
  </si>
  <si>
    <t>福貞-KY</t>
  </si>
  <si>
    <t>大國鋼</t>
  </si>
  <si>
    <t>實威</t>
  </si>
  <si>
    <t>旭源</t>
  </si>
  <si>
    <t>保綠-KY</t>
  </si>
  <si>
    <t>惠普</t>
  </si>
  <si>
    <t>紅木-KY</t>
  </si>
  <si>
    <t>金麗-KY</t>
  </si>
  <si>
    <t>匯鑽科</t>
  </si>
  <si>
    <t>東生華</t>
  </si>
  <si>
    <t>弘帆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</si>
  <si>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</si>
  <si>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</si>
  <si>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</si>
  <si>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</si>
  <si>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</si>
  <si>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</si>
  <si>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</si>
  <si>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</si>
  <si>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</si>
  <si>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</si>
  <si>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</si>
  <si>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</si>
  <si>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</si>
  <si>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</si>
  <si>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</si>
  <si>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</si>
  <si>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山林水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</si>
  <si>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</si>
  <si>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</si>
  <si>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</si>
  <si>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</si>
  <si>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</si>
  <si>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</si>
  <si>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</si>
  <si>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</si>
  <si>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</si>
  <si>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</si>
  <si>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</si>
  <si>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</si>
  <si>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</si>
  <si>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</si>
  <si>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</si>
  <si>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</si>
  <si>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</si>
  <si>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</si>
  <si>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</si>
  <si>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</si>
  <si>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愛地雅</t>
  </si>
  <si>
    <t>邦泰</t>
  </si>
  <si>
    <t>國統</t>
  </si>
  <si>
    <t>明安</t>
  </si>
  <si>
    <t>新天地</t>
  </si>
  <si>
    <t>關中</t>
  </si>
  <si>
    <t>森鉅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</si>
  <si>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</si>
  <si>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</si>
  <si>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</si>
  <si>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</si>
  <si>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</si>
  <si>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</si>
  <si>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</si>
  <si>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</si>
  <si>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</si>
  <si>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</si>
  <si>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</si>
  <si>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</si>
  <si>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</si>
  <si>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</si>
  <si>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</si>
  <si>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</si>
  <si>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</si>
  <si>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</si>
  <si>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</si>
  <si>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</si>
  <si>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</si>
  <si>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</si>
  <si>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</si>
  <si>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</si>
  <si>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</si>
  <si>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</si>
  <si>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</si>
  <si>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</si>
  <si>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</si>
  <si>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</si>
  <si>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</si>
  <si>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</si>
  <si>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</si>
  <si>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</si>
  <si>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</si>
  <si>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</si>
  <si>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</si>
  <si>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</si>
  <si>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</si>
  <si>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</si>
  <si>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</si>
  <si>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</si>
  <si>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</si>
  <si>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獲利了結</t>
    <phoneticPr fontId="74" type="noConversion"/>
  </si>
  <si>
    <t>紅燈，碰 10MA，獲利了結</t>
    <phoneticPr fontId="74" type="noConversion"/>
  </si>
  <si>
    <t>2023總計</t>
    <phoneticPr fontId="76" type="noConversion"/>
  </si>
  <si>
    <t>永豐ESG低碳高息</t>
  </si>
  <si>
    <t>除權息</t>
    <phoneticPr fontId="74" type="noConversion"/>
  </si>
  <si>
    <t>六方科-KY</t>
  </si>
  <si>
    <t>存股</t>
    <phoneticPr fontId="74" type="noConversion"/>
  </si>
  <si>
    <t>結餘</t>
    <phoneticPr fontId="74" type="noConversion"/>
  </si>
  <si>
    <t>總損益</t>
    <phoneticPr fontId="74" type="noConversion"/>
  </si>
  <si>
    <t>朋億</t>
    <phoneticPr fontId="74" type="noConversion"/>
  </si>
  <si>
    <t>群光</t>
    <phoneticPr fontId="74" type="noConversion"/>
  </si>
  <si>
    <t>鉅邁</t>
    <phoneticPr fontId="74" type="noConversion"/>
  </si>
  <si>
    <t>亞泰</t>
    <phoneticPr fontId="74" type="noConversion"/>
  </si>
  <si>
    <t>鈺緯</t>
    <phoneticPr fontId="74" type="noConversion"/>
  </si>
  <si>
    <t>南亞科</t>
    <phoneticPr fontId="74" type="noConversion"/>
  </si>
  <si>
    <t>承啟</t>
    <phoneticPr fontId="74" type="noConversion"/>
  </si>
  <si>
    <t>瑞儀</t>
    <phoneticPr fontId="74" type="noConversion"/>
  </si>
  <si>
    <t>朋程</t>
    <phoneticPr fontId="74" type="noConversion"/>
  </si>
  <si>
    <t>光隆</t>
    <phoneticPr fontId="74" type="noConversion"/>
  </si>
  <si>
    <t>群益那斯達克生技</t>
  </si>
  <si>
    <t>群益台ESG低碳50</t>
  </si>
  <si>
    <t>00931B</t>
  </si>
  <si>
    <t>統一美債20年</t>
  </si>
  <si>
    <t>富華新</t>
  </si>
  <si>
    <t>博士旺</t>
  </si>
  <si>
    <t>上亞科技</t>
  </si>
  <si>
    <t>宏碩系統</t>
  </si>
  <si>
    <t>兆豐永續高息等權</t>
  </si>
  <si>
    <t>聚亨</t>
  </si>
  <si>
    <t>東森</t>
  </si>
  <si>
    <t>鑫創</t>
  </si>
  <si>
    <t>浩泰</t>
  </si>
  <si>
    <t>訊聯基因</t>
  </si>
  <si>
    <t>精金</t>
  </si>
  <si>
    <t>德晉</t>
  </si>
  <si>
    <t>中湛</t>
  </si>
  <si>
    <t>騰雲</t>
  </si>
  <si>
    <t>鑽石投資</t>
  </si>
  <si>
    <t>00933B</t>
  </si>
  <si>
    <t>國泰10Y+金融債</t>
  </si>
  <si>
    <t>達發</t>
  </si>
  <si>
    <t>鑫傳</t>
  </si>
  <si>
    <t>中信成長高股息</t>
  </si>
  <si>
    <t>野村臺灣新科技50</t>
  </si>
  <si>
    <t>雅茗-KY</t>
  </si>
  <si>
    <t>聯策</t>
  </si>
  <si>
    <t>台新永續高息中小</t>
  </si>
  <si>
    <t>富世達</t>
  </si>
  <si>
    <t>宸曜</t>
  </si>
  <si>
    <t>AMAX-KY</t>
  </si>
  <si>
    <t>華懋</t>
  </si>
  <si>
    <t>00937B</t>
  </si>
  <si>
    <t>群益ESG投等債20+</t>
  </si>
  <si>
    <t>隆銘綠能</t>
  </si>
  <si>
    <t>竣邦-KY</t>
  </si>
  <si>
    <t>澤米</t>
  </si>
  <si>
    <t>衛司特</t>
  </si>
  <si>
    <t>伯鑫</t>
  </si>
  <si>
    <t>華凌</t>
  </si>
  <si>
    <t>欣新網</t>
  </si>
  <si>
    <t>星通</t>
  </si>
  <si>
    <t>天虹</t>
  </si>
  <si>
    <t>元大上櫃ESG龍頭N</t>
  </si>
  <si>
    <t>安鈦克</t>
  </si>
  <si>
    <t>兆豐半導體氣候N</t>
  </si>
  <si>
    <t>現觀科</t>
  </si>
  <si>
    <t>藝舍-KY</t>
  </si>
  <si>
    <t>世界健身-KY</t>
  </si>
  <si>
    <t>台端</t>
  </si>
  <si>
    <t>玖鼎電力</t>
  </si>
  <si>
    <t>進能服</t>
  </si>
  <si>
    <t>昱展新藥</t>
  </si>
  <si>
    <t>水某精選</t>
    <phoneticPr fontId="74" type="noConversion"/>
  </si>
  <si>
    <t>2024總計</t>
    <phoneticPr fontId="76" type="noConversion"/>
  </si>
  <si>
    <t>https://www.fhtrust.com.tw/Event/EC/2023_00929/index.html</t>
    <phoneticPr fontId="74" type="noConversion"/>
  </si>
  <si>
    <t>諾貝兒</t>
  </si>
  <si>
    <t>每月必漲股</t>
    <phoneticPr fontId="74" type="noConversion"/>
  </si>
  <si>
    <t>-5% 停損</t>
    <phoneticPr fontId="74" type="noConversion"/>
  </si>
  <si>
    <t>中信上游半導體</t>
  </si>
  <si>
    <t>望隼</t>
  </si>
  <si>
    <t>安倉</t>
  </si>
  <si>
    <t>統一台灣高息動能</t>
  </si>
  <si>
    <t>米斯特</t>
  </si>
  <si>
    <t>眾福科</t>
  </si>
  <si>
    <t>國邑*</t>
  </si>
  <si>
    <t>佑全</t>
  </si>
  <si>
    <t>月底出清</t>
    <phoneticPr fontId="74" type="noConversion"/>
  </si>
  <si>
    <t>若在3/1買進23.95, 則為獲利</t>
    <phoneticPr fontId="74" type="noConversion"/>
  </si>
  <si>
    <t>元大台灣價值高息</t>
  </si>
  <si>
    <t>聯德</t>
  </si>
  <si>
    <t>抽籤</t>
    <phoneticPr fontId="74" type="noConversion"/>
  </si>
  <si>
    <t>創為精密</t>
  </si>
  <si>
    <t>00942B</t>
  </si>
  <si>
    <t>台新美A公司債20+</t>
  </si>
  <si>
    <t>00945B</t>
  </si>
  <si>
    <t>凱基美國非投等債</t>
  </si>
  <si>
    <t>雲嘉南</t>
  </si>
  <si>
    <t>阜爾運通</t>
  </si>
  <si>
    <t>台驊控股</t>
    <phoneticPr fontId="74" type="noConversion"/>
  </si>
  <si>
    <t>新光鋼鐵現金股</t>
    <phoneticPr fontId="74" type="noConversion"/>
  </si>
  <si>
    <t>嘉聯益現金股</t>
    <phoneticPr fontId="74" type="noConversion"/>
  </si>
  <si>
    <t>信邦電子現金股</t>
    <phoneticPr fontId="74" type="noConversion"/>
  </si>
  <si>
    <t>中鋼現金股</t>
    <phoneticPr fontId="74" type="noConversion"/>
  </si>
  <si>
    <t>聯詠科技現金股</t>
    <phoneticPr fontId="74" type="noConversion"/>
  </si>
  <si>
    <t>力積電現金股</t>
    <phoneticPr fontId="74" type="noConversion"/>
  </si>
  <si>
    <t>精確</t>
    <phoneticPr fontId="74" type="noConversion"/>
  </si>
  <si>
    <t>永豐實</t>
    <phoneticPr fontId="74" type="noConversion"/>
  </si>
  <si>
    <t>華景電</t>
    <phoneticPr fontId="74" type="noConversion"/>
  </si>
  <si>
    <t>泰福-KY</t>
    <phoneticPr fontId="74" type="noConversion"/>
  </si>
  <si>
    <t>今國光</t>
    <phoneticPr fontId="74" type="noConversion"/>
  </si>
  <si>
    <t>韋僑</t>
    <phoneticPr fontId="74" type="noConversion"/>
  </si>
  <si>
    <t>易飛網</t>
    <phoneticPr fontId="74" type="noConversion"/>
  </si>
  <si>
    <t>富邦金</t>
    <phoneticPr fontId="74" type="noConversion"/>
  </si>
  <si>
    <t>運鎗</t>
    <phoneticPr fontId="74" type="noConversion"/>
  </si>
  <si>
    <t>紘康</t>
    <phoneticPr fontId="74" type="noConversion"/>
  </si>
  <si>
    <t>森威能源</t>
    <phoneticPr fontId="74" type="noConversion"/>
  </si>
  <si>
    <t>星寶國際</t>
    <phoneticPr fontId="74" type="noConversion"/>
  </si>
  <si>
    <t>大亞</t>
    <phoneticPr fontId="74" type="noConversion"/>
  </si>
  <si>
    <t>東元(1504)</t>
    <phoneticPr fontId="74" type="noConversion"/>
  </si>
  <si>
    <t>東陽現金股</t>
    <phoneticPr fontId="74" type="noConversion"/>
  </si>
  <si>
    <t>華碩電腦現金股</t>
    <phoneticPr fontId="74" type="noConversion"/>
  </si>
  <si>
    <t>股票申購</t>
    <phoneticPr fontId="74" type="noConversion"/>
  </si>
  <si>
    <t>世鎧現金股</t>
    <phoneticPr fontId="74" type="noConversion"/>
  </si>
  <si>
    <t>燦星網通現金股</t>
    <phoneticPr fontId="74" type="noConversion"/>
  </si>
  <si>
    <t>綠電再生現金股</t>
    <phoneticPr fontId="74" type="noConversion"/>
  </si>
  <si>
    <t>友達現金股</t>
    <phoneticPr fontId="74" type="noConversion"/>
  </si>
  <si>
    <t>華邦電現金股</t>
    <phoneticPr fontId="74" type="noConversion"/>
  </si>
  <si>
    <t>義隆電子現金股</t>
    <phoneticPr fontId="74" type="noConversion"/>
  </si>
  <si>
    <t>零壹科技現金股</t>
    <phoneticPr fontId="74" type="noConversion"/>
  </si>
  <si>
    <t>全台股息</t>
    <phoneticPr fontId="74" type="noConversion"/>
  </si>
  <si>
    <t>台積電股息</t>
    <phoneticPr fontId="74" type="noConversion"/>
  </si>
  <si>
    <t>和碩股息</t>
    <phoneticPr fontId="74" type="noConversion"/>
  </si>
  <si>
    <t>群創光電現金股</t>
    <phoneticPr fontId="74" type="noConversion"/>
  </si>
  <si>
    <t>日電貿現金股</t>
    <phoneticPr fontId="74" type="noConversion"/>
  </si>
  <si>
    <t>宏捷科技現金股</t>
    <phoneticPr fontId="74" type="noConversion"/>
  </si>
  <si>
    <t>東陽</t>
    <phoneticPr fontId="74" type="noConversion"/>
  </si>
  <si>
    <t>玉山金(2884)</t>
    <phoneticPr fontId="74" type="noConversion"/>
  </si>
  <si>
    <t>光罩(2338)</t>
    <phoneticPr fontId="74" type="noConversion"/>
  </si>
  <si>
    <t>華邦電(2344)</t>
    <phoneticPr fontId="74" type="noConversion"/>
  </si>
  <si>
    <t>神基(3005)</t>
    <phoneticPr fontId="74" type="noConversion"/>
  </si>
  <si>
    <t>野村趨勢動能高息</t>
  </si>
  <si>
    <t>群益科技高息成長</t>
  </si>
  <si>
    <t>有成精密</t>
  </si>
  <si>
    <t>家碩</t>
  </si>
  <si>
    <t>緯軟(4953)</t>
    <phoneticPr fontId="74" type="noConversion"/>
  </si>
  <si>
    <t>攸泰科技</t>
  </si>
  <si>
    <t>台達化(1309)</t>
    <phoneticPr fontId="74" type="noConversion"/>
  </si>
  <si>
    <t>技嘉(2376)</t>
    <phoneticPr fontId="74" type="noConversion"/>
  </si>
  <si>
    <t>富邦金(2881)</t>
    <phoneticPr fontId="74" type="noConversion"/>
  </si>
  <si>
    <t>南紡(1440)</t>
    <phoneticPr fontId="74" type="noConversion"/>
  </si>
  <si>
    <t>晶技(3042)</t>
    <phoneticPr fontId="74" type="noConversion"/>
  </si>
  <si>
    <t>智易(3596)</t>
    <phoneticPr fontId="74" type="noConversion"/>
  </si>
  <si>
    <t>台橡(2103)</t>
    <phoneticPr fontId="74" type="noConversion"/>
  </si>
  <si>
    <t>第一銅(2009)</t>
    <phoneticPr fontId="74" type="noConversion"/>
  </si>
  <si>
    <t>中美晶(5483)</t>
    <phoneticPr fontId="74" type="noConversion"/>
  </si>
  <si>
    <t>友達(2409)</t>
    <phoneticPr fontId="74" type="noConversion"/>
  </si>
  <si>
    <t>群創(3481)</t>
    <phoneticPr fontId="74" type="noConversion"/>
  </si>
  <si>
    <t>台聚(1304)</t>
    <phoneticPr fontId="74" type="noConversion"/>
  </si>
  <si>
    <t>乙盛-KY(5243)</t>
    <phoneticPr fontId="74" type="noConversion"/>
  </si>
  <si>
    <t>德律(3030)</t>
    <phoneticPr fontId="74" type="noConversion"/>
  </si>
  <si>
    <t>待查</t>
    <phoneticPr fontId="74" type="noConversion"/>
  </si>
  <si>
    <t>帆宣(6196)</t>
    <phoneticPr fontId="74" type="noConversion"/>
  </si>
  <si>
    <t>敦泰(3545)</t>
    <phoneticPr fontId="74" type="noConversion"/>
  </si>
  <si>
    <t>鑫創</t>
    <phoneticPr fontId="74" type="noConversion"/>
  </si>
  <si>
    <t>精聯</t>
    <phoneticPr fontId="74" type="noConversion"/>
  </si>
  <si>
    <t>均興-KY</t>
    <phoneticPr fontId="74" type="noConversion"/>
  </si>
  <si>
    <t>三地開發</t>
    <phoneticPr fontId="74" type="noConversion"/>
  </si>
  <si>
    <t>三商家購</t>
    <phoneticPr fontId="74" type="noConversion"/>
  </si>
  <si>
    <t>強茂</t>
    <phoneticPr fontId="74" type="noConversion"/>
  </si>
  <si>
    <t>強茂(2481)</t>
    <phoneticPr fontId="74" type="noConversion"/>
  </si>
  <si>
    <t>銘異(3060)</t>
    <phoneticPr fontId="74" type="noConversion"/>
  </si>
  <si>
    <t>瑞鼎科</t>
    <phoneticPr fontId="74" type="noConversion"/>
  </si>
  <si>
    <t>2022 Total</t>
    <phoneticPr fontId="74" type="noConversion"/>
  </si>
  <si>
    <t>2022 Total Avg</t>
    <phoneticPr fontId="74" type="noConversion"/>
  </si>
  <si>
    <t>金像電(2368)</t>
    <phoneticPr fontId="74" type="noConversion"/>
  </si>
  <si>
    <t>廷鑫(2358)</t>
  </si>
  <si>
    <t>雙美(4728)</t>
  </si>
  <si>
    <t>泰碩(3338)</t>
  </si>
  <si>
    <t>長榮鋼(2211)</t>
  </si>
  <si>
    <t>鑫科(3663)</t>
  </si>
  <si>
    <t>奇鋐(3017)</t>
  </si>
  <si>
    <t>弘裕(1474)</t>
  </si>
  <si>
    <t>東和鋼鐵(2006)</t>
  </si>
  <si>
    <t>金寶(2312)</t>
  </si>
  <si>
    <t>大展證(6020)</t>
  </si>
  <si>
    <t>凱鈺(5468)</t>
  </si>
  <si>
    <t>兆利(3548)</t>
  </si>
  <si>
    <t>宇隆(2233)</t>
  </si>
  <si>
    <t>群聯(8299)</t>
  </si>
  <si>
    <t>.</t>
    <phoneticPr fontId="74" type="noConversion"/>
  </si>
  <si>
    <t>力智</t>
    <phoneticPr fontId="74" type="noConversion"/>
  </si>
  <si>
    <t>弘凱</t>
    <phoneticPr fontId="74" type="noConversion"/>
  </si>
  <si>
    <t>兆豐電子高息等權</t>
  </si>
  <si>
    <t>昶昕</t>
    <phoneticPr fontId="74" type="noConversion"/>
  </si>
  <si>
    <t>千附精密</t>
    <phoneticPr fontId="74" type="noConversion"/>
  </si>
  <si>
    <t>力士</t>
    <phoneticPr fontId="74" type="noConversion"/>
  </si>
  <si>
    <t>寶瑋</t>
    <phoneticPr fontId="74" type="noConversion"/>
  </si>
  <si>
    <t>寶德</t>
    <phoneticPr fontId="74" type="noConversion"/>
  </si>
  <si>
    <t>明係</t>
    <phoneticPr fontId="74" type="noConversion"/>
  </si>
  <si>
    <t>醫楊</t>
    <phoneticPr fontId="74" type="noConversion"/>
  </si>
  <si>
    <t>燦星網通減資</t>
    <phoneticPr fontId="74" type="noConversion"/>
  </si>
  <si>
    <t>減資</t>
    <phoneticPr fontId="74" type="noConversion"/>
  </si>
  <si>
    <t>晶呈科技</t>
    <phoneticPr fontId="74" type="noConversion"/>
  </si>
  <si>
    <t>燦星現金股</t>
    <phoneticPr fontId="74" type="noConversion"/>
  </si>
  <si>
    <t>台灣精銳</t>
    <phoneticPr fontId="74" type="noConversion"/>
  </si>
  <si>
    <t>潤德</t>
  </si>
  <si>
    <t>豐興鋼鐵現金股</t>
    <phoneticPr fontId="74" type="noConversion"/>
  </si>
  <si>
    <t>北極星藥業-KY</t>
    <phoneticPr fontId="74" type="noConversion"/>
  </si>
  <si>
    <t>達航</t>
    <phoneticPr fontId="74" type="noConversion"/>
  </si>
  <si>
    <t>瑞儀(6176)</t>
    <phoneticPr fontId="74" type="noConversion"/>
  </si>
  <si>
    <t>嘉晶</t>
    <phoneticPr fontId="74" type="noConversion"/>
  </si>
  <si>
    <t>濾能</t>
    <phoneticPr fontId="74" type="noConversion"/>
  </si>
  <si>
    <t>采鈺</t>
    <phoneticPr fontId="74" type="noConversion"/>
  </si>
  <si>
    <t>元晶(6443)</t>
    <phoneticPr fontId="74" type="noConversion"/>
  </si>
  <si>
    <t>上奇科技現金股</t>
    <phoneticPr fontId="74" type="noConversion"/>
  </si>
  <si>
    <t>上奇(6123)</t>
    <phoneticPr fontId="74" type="noConversion"/>
  </si>
  <si>
    <t>東元現金股</t>
    <phoneticPr fontId="74" type="noConversion"/>
  </si>
  <si>
    <t>群聯電子現金股</t>
    <phoneticPr fontId="74" type="noConversion"/>
  </si>
  <si>
    <t>宏碁資訊</t>
    <phoneticPr fontId="74" type="noConversion"/>
  </si>
  <si>
    <t>華新</t>
    <phoneticPr fontId="74" type="noConversion"/>
  </si>
  <si>
    <t>宏捷科現金股</t>
    <phoneticPr fontId="74" type="noConversion"/>
  </si>
  <si>
    <t>連展</t>
    <phoneticPr fontId="74" type="noConversion"/>
  </si>
  <si>
    <t>普鴻</t>
    <phoneticPr fontId="74" type="noConversion"/>
  </si>
  <si>
    <t>中探針</t>
    <phoneticPr fontId="74" type="noConversion"/>
  </si>
  <si>
    <t>裕融</t>
    <phoneticPr fontId="74" type="noConversion"/>
  </si>
  <si>
    <t>汎銓</t>
    <phoneticPr fontId="74" type="noConversion"/>
  </si>
  <si>
    <t>上銀</t>
    <phoneticPr fontId="74" type="noConversion"/>
  </si>
  <si>
    <t>敦泰現金股</t>
    <phoneticPr fontId="74" type="noConversion"/>
  </si>
  <si>
    <t>天二科技</t>
    <phoneticPr fontId="74" type="noConversion"/>
  </si>
  <si>
    <t>第一金現金股</t>
    <phoneticPr fontId="74" type="noConversion"/>
  </si>
  <si>
    <t>宇隆科技現金股</t>
    <phoneticPr fontId="74" type="noConversion"/>
  </si>
  <si>
    <t>奇鈦科</t>
    <phoneticPr fontId="74" type="noConversion"/>
  </si>
  <si>
    <t>碩禾</t>
    <phoneticPr fontId="74" type="noConversion"/>
  </si>
  <si>
    <t>凱鈺</t>
    <phoneticPr fontId="74" type="noConversion"/>
  </si>
  <si>
    <t>合庫金現金股</t>
    <phoneticPr fontId="74" type="noConversion"/>
  </si>
  <si>
    <t>和潤企業甲特</t>
    <phoneticPr fontId="74" type="noConversion"/>
  </si>
  <si>
    <t>友達減資</t>
    <phoneticPr fontId="74" type="noConversion"/>
  </si>
  <si>
    <t>群創光減資</t>
    <phoneticPr fontId="74" type="noConversion"/>
  </si>
  <si>
    <t>豐興(2015)</t>
  </si>
  <si>
    <t>第一金(2892)</t>
  </si>
  <si>
    <t>合庫金(5880)</t>
  </si>
  <si>
    <t>合庫金(5904)</t>
  </si>
  <si>
    <t>合庫金(5949)</t>
  </si>
  <si>
    <t>合庫金(5950)</t>
  </si>
  <si>
    <t>合庫金(5952)</t>
  </si>
  <si>
    <t>東元(1504)</t>
  </si>
  <si>
    <t>晶達(4995)</t>
  </si>
  <si>
    <t>力山(1515)</t>
  </si>
  <si>
    <t>振發(5426)</t>
  </si>
  <si>
    <t>芯鼎(6695)</t>
  </si>
  <si>
    <t>全台(3038)</t>
  </si>
  <si>
    <t>華航(2610)</t>
  </si>
  <si>
    <t>泰銘(9927)</t>
  </si>
  <si>
    <t>復華台灣科技優息(00929)</t>
  </si>
  <si>
    <t>華城(1519)</t>
  </si>
  <si>
    <t>台產(2832)</t>
  </si>
  <si>
    <t>全台晶現金股</t>
    <phoneticPr fontId="74" type="noConversion"/>
  </si>
  <si>
    <t>宇隆科現金股</t>
    <phoneticPr fontId="74" type="noConversion"/>
  </si>
  <si>
    <t>復華台灣科技優息(00929)</t>
    <phoneticPr fontId="74" type="noConversion"/>
  </si>
  <si>
    <t>復華台灣科技優息</t>
    <phoneticPr fontId="74" type="noConversion"/>
  </si>
  <si>
    <t>2023 Total</t>
    <phoneticPr fontId="74" type="noConversion"/>
  </si>
  <si>
    <t>2023 Total Avg</t>
    <phoneticPr fontId="74" type="noConversion"/>
  </si>
  <si>
    <t>2024 Total</t>
    <phoneticPr fontId="74" type="noConversion"/>
  </si>
  <si>
    <t>2024 Total Avg</t>
    <phoneticPr fontId="74" type="noConversion"/>
  </si>
  <si>
    <t>波若威(3163)</t>
  </si>
  <si>
    <t>瑞儀(6176)</t>
  </si>
  <si>
    <t>寬宏藝術(6596)</t>
  </si>
  <si>
    <t>新洲(3171)</t>
  </si>
  <si>
    <t>訊聯(1784)</t>
  </si>
  <si>
    <t>杏一(4175)</t>
  </si>
  <si>
    <t>普萊德(6263)</t>
  </si>
  <si>
    <t>堤維西(1522)</t>
  </si>
  <si>
    <t>創為精密(6899)</t>
  </si>
  <si>
    <t>股票申購，中簽</t>
    <phoneticPr fontId="74" type="noConversion"/>
  </si>
  <si>
    <t>燦星網現金股</t>
    <phoneticPr fontId="74" type="noConversion"/>
  </si>
  <si>
    <t>寬宏藝術(6596)</t>
    <phoneticPr fontId="74" type="noConversion"/>
  </si>
  <si>
    <t>寬宏藝術現金股</t>
    <phoneticPr fontId="74" type="noConversion"/>
  </si>
  <si>
    <t>大展證現金股</t>
    <phoneticPr fontId="74" type="noConversion"/>
  </si>
  <si>
    <t>美金存現手續費</t>
    <phoneticPr fontId="74" type="noConversion"/>
  </si>
  <si>
    <t>O</t>
  </si>
  <si>
    <t>Realty Income Corp</t>
  </si>
  <si>
    <t>美國電力</t>
  </si>
  <si>
    <t>VRTX</t>
  </si>
  <si>
    <t>Vertex Pharmaceuticals Inc</t>
  </si>
  <si>
    <t>VZ</t>
  </si>
  <si>
    <t>威瑞森通訊公司</t>
  </si>
  <si>
    <t>SO</t>
  </si>
  <si>
    <t>南方公司</t>
  </si>
  <si>
    <t>MO</t>
  </si>
  <si>
    <t>奧馳亞集團</t>
  </si>
  <si>
    <t>LLY</t>
  </si>
  <si>
    <t>禮來製藥</t>
  </si>
  <si>
    <t>NVDA</t>
  </si>
  <si>
    <t>TSLA</t>
  </si>
  <si>
    <t>MSFT</t>
  </si>
  <si>
    <t>微軟公司</t>
  </si>
  <si>
    <t>Synopsys Inc</t>
  </si>
  <si>
    <t>CDNS</t>
  </si>
  <si>
    <t>Cadence Design Systems Inc</t>
  </si>
  <si>
    <t>KLAC</t>
  </si>
  <si>
    <t>NVDA</t>
    <phoneticPr fontId="74" type="noConversion"/>
  </si>
  <si>
    <t>https://www.wantgoo.com/global/us-stocks</t>
    <phoneticPr fontId="74" type="noConversion"/>
  </si>
  <si>
    <t>皇家美食</t>
  </si>
  <si>
    <t>外幣總計</t>
    <phoneticPr fontId="76" type="noConversion"/>
  </si>
  <si>
    <t>台新臺灣IC設計</t>
  </si>
  <si>
    <t>00948B</t>
  </si>
  <si>
    <t>中信優息投資級債</t>
  </si>
  <si>
    <t>來億-KY</t>
  </si>
  <si>
    <t>巨漢</t>
  </si>
  <si>
    <t>大武山</t>
  </si>
  <si>
    <t>共信-KY</t>
  </si>
  <si>
    <t>醫影</t>
  </si>
  <si>
    <t>大盤已是高點，破 5MA，獲利了結</t>
    <phoneticPr fontId="74" type="noConversion"/>
  </si>
  <si>
    <t>雲豹能源</t>
  </si>
  <si>
    <t>裕慶-KY</t>
  </si>
  <si>
    <t>換算台幣總計</t>
    <phoneticPr fontId="76" type="noConversion"/>
  </si>
  <si>
    <t>復華日本龍頭</t>
  </si>
  <si>
    <t>破 20MA，獲利了結</t>
    <phoneticPr fontId="74" type="noConversion"/>
  </si>
  <si>
    <t>00950B</t>
  </si>
  <si>
    <t>凱基A級公司債</t>
  </si>
  <si>
    <t>現鈔買入</t>
  </si>
  <si>
    <t>現鈔賣出</t>
  </si>
  <si>
    <t>即期買入</t>
  </si>
  <si>
    <t>即期賣出</t>
  </si>
  <si>
    <t>漲不動，獲利了結</t>
    <phoneticPr fontId="74" type="noConversion"/>
  </si>
  <si>
    <t>台新日本半導體</t>
  </si>
  <si>
    <t>樂意</t>
  </si>
  <si>
    <t>日期</t>
  </si>
  <si>
    <t>矽統</t>
  </si>
  <si>
    <t>台新藥</t>
  </si>
  <si>
    <t>萬達寵物</t>
  </si>
  <si>
    <t>燈號紅燈，漲不過20MA，停損</t>
    <phoneticPr fontId="74" type="noConversion"/>
  </si>
  <si>
    <t>永邑-KY</t>
  </si>
  <si>
    <t>除息多次，又遇紅燈，認賠出場</t>
    <phoneticPr fontId="74" type="noConversion"/>
  </si>
  <si>
    <t>中信日本半導體</t>
  </si>
  <si>
    <t>中信日本商社</t>
  </si>
  <si>
    <t>中信日經高股息</t>
  </si>
  <si>
    <t>日盛台駿</t>
  </si>
  <si>
    <t>00953B</t>
  </si>
  <si>
    <t>群益優選非投等債</t>
  </si>
  <si>
    <t>00959B</t>
  </si>
  <si>
    <t>大華投等美債15Y+</t>
  </si>
  <si>
    <t>中化控股</t>
  </si>
  <si>
    <t>樂威科-KY</t>
  </si>
  <si>
    <t>竹陞科技</t>
  </si>
  <si>
    <t>破20MA，且燈號紅燈，獲利了結</t>
    <phoneticPr fontId="74" type="noConversion"/>
  </si>
  <si>
    <t>凱基台灣AI50</t>
  </si>
  <si>
    <t>麗嬰房</t>
  </si>
  <si>
    <t>綠界科技*</t>
  </si>
  <si>
    <t>00957B</t>
  </si>
  <si>
    <t>兆豐US優選投等債</t>
  </si>
  <si>
    <t>王座</t>
  </si>
  <si>
    <t>https://cn.investing.com/currencies/usd-twd-historical-data</t>
    <phoneticPr fontId="74" type="noConversion"/>
  </si>
  <si>
    <t>收盘</t>
  </si>
  <si>
    <t>开盘</t>
  </si>
  <si>
    <t>高</t>
  </si>
  <si>
    <t>低</t>
  </si>
  <si>
    <t>交易量</t>
  </si>
  <si>
    <t>涨跌幅</t>
  </si>
  <si>
    <t>台驊控股</t>
  </si>
  <si>
    <t>00958B</t>
  </si>
  <si>
    <t>永豐ESG銀行債15+</t>
  </si>
  <si>
    <t>野村全球航運龍頭</t>
  </si>
  <si>
    <t>郡都開發</t>
  </si>
  <si>
    <t>台特化</t>
  </si>
  <si>
    <t>強盛新</t>
  </si>
  <si>
    <t>麗升能源</t>
  </si>
  <si>
    <t>御嵿</t>
  </si>
  <si>
    <t>中台</t>
  </si>
  <si>
    <t>汎瑋材料</t>
  </si>
  <si>
    <t>漢田生技</t>
  </si>
  <si>
    <t>泓德能源</t>
  </si>
  <si>
    <t>國泰新興投等債</t>
  </si>
  <si>
    <t>國泰優選非投等債</t>
  </si>
  <si>
    <t>下錯單</t>
    <phoneticPr fontId="74" type="noConversion"/>
  </si>
  <si>
    <t>強勢股</t>
    <phoneticPr fontId="74" type="noConversion"/>
  </si>
  <si>
    <t>辣椒</t>
  </si>
  <si>
    <t>正能量智能</t>
  </si>
  <si>
    <t>日揚</t>
  </si>
  <si>
    <t>榮群</t>
  </si>
  <si>
    <t>鴻呈</t>
  </si>
  <si>
    <t>炎洲流通</t>
  </si>
  <si>
    <t>凱基金</t>
  </si>
  <si>
    <t>FT臺灣永續高息</t>
  </si>
  <si>
    <t>瀚宇博</t>
  </si>
  <si>
    <t>捷波</t>
  </si>
  <si>
    <t>菱光</t>
  </si>
  <si>
    <t>凱基優選30</t>
  </si>
  <si>
    <t>三集瑞-KY</t>
  </si>
  <si>
    <t>全景軟體</t>
  </si>
  <si>
    <t>星宇航空</t>
  </si>
  <si>
    <t>華興</t>
  </si>
  <si>
    <t>成交金額</t>
    <phoneticPr fontId="74" type="noConversion"/>
  </si>
  <si>
    <t>參考現值</t>
    <phoneticPr fontId="74" type="noConversion"/>
  </si>
  <si>
    <t>已實現損益</t>
    <phoneticPr fontId="74" type="noConversion"/>
  </si>
  <si>
    <t>未實現損益</t>
    <phoneticPr fontId="74" type="noConversion"/>
  </si>
  <si>
    <t>除息</t>
    <phoneticPr fontId="74" type="noConversion"/>
  </si>
  <si>
    <t>投資報酬率</t>
    <phoneticPr fontId="74" type="noConversion"/>
  </si>
  <si>
    <t>技法</t>
    <phoneticPr fontId="74" type="noConversion"/>
  </si>
  <si>
    <t>總表</t>
    <phoneticPr fontId="74" type="noConversion"/>
  </si>
  <si>
    <t>分析</t>
    <phoneticPr fontId="74" type="noConversion"/>
  </si>
  <si>
    <t>除權息</t>
  </si>
  <si>
    <t>法人蜘蛛網</t>
  </si>
  <si>
    <t>小朋友學投資</t>
  </si>
  <si>
    <t>存股</t>
  </si>
  <si>
    <t>每月必漲股</t>
  </si>
  <si>
    <t>強勢股</t>
  </si>
  <si>
    <t>抽籤</t>
  </si>
  <si>
    <t>建國</t>
  </si>
  <si>
    <t>台境*</t>
  </si>
  <si>
    <t>銳澤</t>
  </si>
  <si>
    <t>中信全球高股息</t>
  </si>
  <si>
    <t>中信亞太高股息</t>
  </si>
  <si>
    <t>全家餐飲</t>
  </si>
  <si>
    <t>華冠</t>
  </si>
  <si>
    <t>誠研</t>
  </si>
  <si>
    <t>元大航太防衛科技</t>
  </si>
  <si>
    <t>三商餐飲</t>
  </si>
  <si>
    <t>台灣虎航</t>
  </si>
  <si>
    <t>久昌</t>
  </si>
  <si>
    <t>LINEPAY</t>
  </si>
  <si>
    <t>台新AI優息動能</t>
  </si>
  <si>
    <t>00967B</t>
  </si>
  <si>
    <t>元大優息美債</t>
  </si>
  <si>
    <t>00968B</t>
  </si>
  <si>
    <t>元大優息投等債</t>
  </si>
  <si>
    <t>00969B</t>
  </si>
  <si>
    <t>元大零息超長美債</t>
  </si>
  <si>
    <t>尚凡*</t>
  </si>
  <si>
    <t>00632R</t>
  </si>
  <si>
    <t>元大台灣50反1</t>
  </si>
  <si>
    <t>力領科技</t>
  </si>
  <si>
    <t>達運光電</t>
  </si>
  <si>
    <t>00966B</t>
  </si>
  <si>
    <t>統一ESG投等債15+</t>
  </si>
  <si>
    <t>全福生技</t>
  </si>
  <si>
    <t>博弘</t>
  </si>
  <si>
    <t>明遠精密</t>
  </si>
  <si>
    <t>00970B</t>
  </si>
  <si>
    <t>大井泵浦</t>
  </si>
  <si>
    <t>全心投控</t>
  </si>
  <si>
    <t>博盛半導體</t>
  </si>
  <si>
    <t>正峰</t>
  </si>
  <si>
    <t>配息率降低，轉換更好的標的</t>
    <phoneticPr fontId="74" type="noConversion"/>
  </si>
  <si>
    <t>2025總計</t>
    <phoneticPr fontId="76" type="noConversion"/>
  </si>
  <si>
    <t>野村美國研發龍頭</t>
  </si>
  <si>
    <t>野村日本動能高息</t>
  </si>
  <si>
    <t>立軒</t>
  </si>
  <si>
    <t>00687C</t>
  </si>
  <si>
    <t>國泰20年美債+櫃U</t>
  </si>
  <si>
    <t>青松健康</t>
  </si>
  <si>
    <t>富威電力</t>
  </si>
  <si>
    <t>創泓科技</t>
  </si>
  <si>
    <t>裕山</t>
  </si>
  <si>
    <t>金興精密</t>
  </si>
  <si>
    <t>富榮綱</t>
  </si>
  <si>
    <t>新應材</t>
  </si>
  <si>
    <t>泰霖</t>
  </si>
  <si>
    <t>敬鵬</t>
    <phoneticPr fontId="74" type="noConversion"/>
  </si>
  <si>
    <t>00980B</t>
  </si>
  <si>
    <t>台新特選IG債10+</t>
  </si>
  <si>
    <t>動能股</t>
    <phoneticPr fontId="74" type="noConversion"/>
  </si>
  <si>
    <t>累積收益</t>
    <phoneticPr fontId="74" type="noConversion"/>
  </si>
  <si>
    <t>累積收益率
交易金額計</t>
    <phoneticPr fontId="74" type="noConversion"/>
  </si>
  <si>
    <t>累積收益率
存款均額計</t>
    <phoneticPr fontId="74" type="noConversion"/>
  </si>
  <si>
    <t>中信NASDAQ</t>
  </si>
  <si>
    <t>中信美國創新科技</t>
  </si>
  <si>
    <t>千興</t>
  </si>
  <si>
    <t>分類</t>
    <phoneticPr fontId="74" type="noConversion"/>
  </si>
  <si>
    <t>台股</t>
    <phoneticPr fontId="74" type="noConversion"/>
  </si>
  <si>
    <t>抽籤</t>
    <phoneticPr fontId="74" type="noConversion"/>
  </si>
  <si>
    <t>美股</t>
    <phoneticPr fontId="74" type="noConversion"/>
  </si>
  <si>
    <t>台幣活儲</t>
    <phoneticPr fontId="74" type="noConversion"/>
  </si>
  <si>
    <t>台股 ETF</t>
  </si>
  <si>
    <t>台股 ETF</t>
    <phoneticPr fontId="74" type="noConversion"/>
  </si>
  <si>
    <t>破 10MA，認賠出場</t>
    <phoneticPr fontId="74" type="noConversion"/>
  </si>
  <si>
    <t>長輩們的祝福</t>
    <phoneticPr fontId="74" type="noConversion"/>
  </si>
  <si>
    <t>爸爸、媽媽的祝福</t>
    <phoneticPr fontId="74" type="noConversion"/>
  </si>
  <si>
    <t>過年的祝福</t>
    <phoneticPr fontId="74" type="noConversion"/>
  </si>
  <si>
    <t>阿嬤的生日祝福</t>
    <phoneticPr fontId="74" type="noConversion"/>
  </si>
  <si>
    <t>強恕防疫退費</t>
    <phoneticPr fontId="74" type="noConversion"/>
  </si>
  <si>
    <t>行政院發防疫</t>
    <phoneticPr fontId="74" type="noConversion"/>
  </si>
  <si>
    <t>爸爸的生日祝福</t>
    <phoneticPr fontId="74" type="noConversion"/>
  </si>
  <si>
    <t>台積電</t>
    <phoneticPr fontId="74" type="noConversion"/>
  </si>
  <si>
    <t>富邦台灣基金</t>
    <phoneticPr fontId="74" type="noConversion"/>
  </si>
  <si>
    <t>新安東京海上產險</t>
    <phoneticPr fontId="74" type="noConversion"/>
  </si>
  <si>
    <t>富邦人壽理賠金</t>
    <phoneticPr fontId="74" type="noConversion"/>
  </si>
  <si>
    <t>全球人壽保險理賠金</t>
    <phoneticPr fontId="74" type="noConversion"/>
  </si>
  <si>
    <t>國泰人壽保險理賠金</t>
    <phoneticPr fontId="74" type="noConversion"/>
  </si>
  <si>
    <t>南山人壽保險</t>
    <phoneticPr fontId="74" type="noConversion"/>
  </si>
  <si>
    <t>第一次流鼻血</t>
    <phoneticPr fontId="74" type="noConversion"/>
  </si>
  <si>
    <t>首次升學考試</t>
    <phoneticPr fontId="74" type="noConversion"/>
  </si>
  <si>
    <t>私立育才國小</t>
    <phoneticPr fontId="74" type="noConversion"/>
  </si>
  <si>
    <t>新生闖關活動</t>
    <phoneticPr fontId="74" type="noConversion"/>
  </si>
  <si>
    <t>全民普發六千元</t>
    <phoneticPr fontId="74" type="noConversion"/>
  </si>
  <si>
    <t>麻將桌拾金不昧</t>
    <phoneticPr fontId="74" type="noConversion"/>
  </si>
  <si>
    <t>朱宗慶打擊樂</t>
    <phoneticPr fontId="74" type="noConversion"/>
  </si>
  <si>
    <t>幼兒班結業式</t>
    <phoneticPr fontId="74" type="noConversion"/>
  </si>
  <si>
    <t>強恕派約里亞</t>
    <phoneticPr fontId="74" type="noConversion"/>
  </si>
  <si>
    <t>幼兒園畢業典禮</t>
    <phoneticPr fontId="74" type="noConversion"/>
  </si>
  <si>
    <t>元晶</t>
    <phoneticPr fontId="74" type="noConversion"/>
  </si>
  <si>
    <t>抽簽</t>
    <phoneticPr fontId="74" type="noConversion"/>
  </si>
  <si>
    <t>買進</t>
    <phoneticPr fontId="74" type="noConversion"/>
  </si>
  <si>
    <t>賣出</t>
    <phoneticPr fontId="74" type="noConversion"/>
  </si>
  <si>
    <t>小一新生入學式</t>
    <phoneticPr fontId="74" type="noConversion"/>
  </si>
  <si>
    <t>新北市網溪國小</t>
    <phoneticPr fontId="74" type="noConversion"/>
  </si>
  <si>
    <t>一年二班七號</t>
    <phoneticPr fontId="74" type="noConversion"/>
  </si>
  <si>
    <t>得到第一張獎狀</t>
    <phoneticPr fontId="74" type="noConversion"/>
  </si>
  <si>
    <t>復健初體驗</t>
    <phoneticPr fontId="74" type="noConversion"/>
  </si>
  <si>
    <t>換美金</t>
    <phoneticPr fontId="74" type="noConversion"/>
  </si>
  <si>
    <t>Tuto-JR 完課</t>
    <phoneticPr fontId="74" type="noConversion"/>
  </si>
  <si>
    <t>陪錢錢一起長大</t>
    <phoneticPr fontId="74" type="noConversion"/>
  </si>
  <si>
    <t>定期定額買台股</t>
    <phoneticPr fontId="74" type="noConversion"/>
  </si>
  <si>
    <t>富邦未來車 ETF</t>
    <phoneticPr fontId="74" type="noConversion"/>
  </si>
  <si>
    <t>元大高股息 ETF</t>
    <phoneticPr fontId="74" type="noConversion"/>
  </si>
  <si>
    <t>PEGA 助學金</t>
    <phoneticPr fontId="74" type="noConversion"/>
  </si>
  <si>
    <t>第一次聽演唱會-五月天</t>
    <phoneticPr fontId="74" type="noConversion"/>
  </si>
  <si>
    <t>學會騎腳踏車</t>
    <phoneticPr fontId="74" type="noConversion"/>
  </si>
  <si>
    <t>外婆的生日祝福</t>
    <phoneticPr fontId="74" type="noConversion"/>
  </si>
  <si>
    <t>00676R</t>
  </si>
  <si>
    <t>富邦臺灣加權反1</t>
  </si>
  <si>
    <t>美金儲蓄</t>
    <phoneticPr fontId="74" type="noConversion"/>
  </si>
  <si>
    <t>日期</t>
    <phoneticPr fontId="74" type="noConversion"/>
  </si>
  <si>
    <t>久未填息，破 10MA，認賠出場</t>
    <phoneticPr fontId="74" type="noConversion"/>
  </si>
  <si>
    <r>
      <t xml:space="preserve">上市三週，均低於承銷價，漲回後賣出
</t>
    </r>
    <r>
      <rPr>
        <sz val="12"/>
        <color rgb="FFFF0000"/>
        <rFont val="新細明體"/>
        <family val="1"/>
        <charset val="136"/>
      </rPr>
      <t>賣出後一路漲至 904, 失敗代表作</t>
    </r>
    <phoneticPr fontId="74" type="noConversion"/>
  </si>
  <si>
    <t>威力德生醫</t>
  </si>
  <si>
    <t>榮田</t>
  </si>
  <si>
    <t>龍鋒</t>
  </si>
  <si>
    <t>印能科技</t>
  </si>
  <si>
    <t>破 10MA，獲利了結</t>
    <phoneticPr fontId="74" type="noConversion"/>
  </si>
  <si>
    <t>光焱科技</t>
  </si>
  <si>
    <t>浩宇生醫</t>
  </si>
  <si>
    <t>中傑-KY</t>
  </si>
  <si>
    <t>00981B</t>
  </si>
  <si>
    <t>第一金優選非投債</t>
  </si>
  <si>
    <t>寶綠特-KY</t>
  </si>
  <si>
    <t>華勝-KY</t>
  </si>
  <si>
    <t>友鋮</t>
  </si>
  <si>
    <t>虎山</t>
  </si>
  <si>
    <t>富邦旗艦50</t>
  </si>
  <si>
    <t>台灣精材</t>
  </si>
  <si>
    <t>國泰AI機器人</t>
  </si>
  <si>
    <t>TSLA</t>
    <phoneticPr fontId="74" type="noConversion"/>
  </si>
  <si>
    <t>世紀*</t>
  </si>
  <si>
    <t>奕力-KY</t>
  </si>
  <si>
    <t>國泰台灣科技龍頭</t>
  </si>
  <si>
    <t>聯邦台精彩50</t>
  </si>
  <si>
    <t>台新標普500</t>
  </si>
  <si>
    <t>台新標普科技精選</t>
  </si>
  <si>
    <t>華南永昌優選50</t>
  </si>
  <si>
    <t>00980A</t>
  </si>
  <si>
    <t>主動野村臺灣優選</t>
  </si>
  <si>
    <t>00981A</t>
  </si>
  <si>
    <t>主動統一台股增長</t>
  </si>
  <si>
    <t>00982A</t>
  </si>
  <si>
    <t>主動群益台灣強棒</t>
  </si>
  <si>
    <t>00982B</t>
  </si>
  <si>
    <t>FT投資級債20+</t>
  </si>
  <si>
    <t>00983A</t>
  </si>
  <si>
    <t>主動中信ARK創新</t>
  </si>
  <si>
    <t>00983B</t>
  </si>
  <si>
    <t>大華優利美公債20</t>
  </si>
  <si>
    <t>00984B</t>
  </si>
  <si>
    <t>大華優利美A債15</t>
  </si>
  <si>
    <t>福懋油</t>
  </si>
  <si>
    <t>生合</t>
  </si>
  <si>
    <t>久禾光</t>
  </si>
  <si>
    <t>立誠</t>
  </si>
  <si>
    <t>GOGOLOOK</t>
  </si>
  <si>
    <t>創控</t>
  </si>
  <si>
    <t>愛派司</t>
  </si>
  <si>
    <t>意藍</t>
  </si>
  <si>
    <t>永鴻生技</t>
  </si>
  <si>
    <t>兆聯實業</t>
  </si>
  <si>
    <t>昶瑞機電</t>
  </si>
  <si>
    <t>築間</t>
  </si>
  <si>
    <t>金利食安</t>
  </si>
  <si>
    <t>意騰-KY</t>
  </si>
  <si>
    <t>CRWD</t>
  </si>
  <si>
    <t>CrowdStrike Holdings Inc</t>
  </si>
  <si>
    <t>材料*-KY</t>
  </si>
  <si>
    <t>昕奇雲端</t>
  </si>
  <si>
    <t>00984A</t>
  </si>
  <si>
    <t>主動安聯台灣高息</t>
  </si>
  <si>
    <t>如興</t>
  </si>
  <si>
    <t>已填息</t>
    <phoneticPr fontId="74" type="noConversion"/>
  </si>
  <si>
    <t>00985A</t>
  </si>
  <si>
    <t>主動野村台灣50</t>
  </si>
  <si>
    <t>康霈*</t>
  </si>
  <si>
    <t>除息後股價不動，成交量低，認賠出場</t>
    <phoneticPr fontId="74" type="noConversion"/>
  </si>
  <si>
    <t>近上通道。獲利了結</t>
    <phoneticPr fontId="74" type="noConversion"/>
  </si>
  <si>
    <t>統一美國50</t>
  </si>
  <si>
    <t>碩網</t>
  </si>
  <si>
    <t>微程式</t>
  </si>
  <si>
    <t>波段操作，獲利了結</t>
    <phoneticPr fontId="74" type="noConversion"/>
  </si>
  <si>
    <t>00980D</t>
  </si>
  <si>
    <t>主動聯博投等入息</t>
  </si>
  <si>
    <t>凌航</t>
  </si>
  <si>
    <t>星亞</t>
  </si>
  <si>
    <t>馥鴻</t>
  </si>
  <si>
    <t>總計</t>
    <phoneticPr fontId="74" type="noConversion"/>
  </si>
  <si>
    <t>00980T</t>
  </si>
  <si>
    <t>平衡凱基美國TOP</t>
  </si>
  <si>
    <t>聯嘉投控</t>
  </si>
  <si>
    <t>友霖</t>
  </si>
  <si>
    <t>國巨*</t>
  </si>
  <si>
    <t>東浦</t>
  </si>
  <si>
    <t>竑騰</t>
  </si>
  <si>
    <t>00986A</t>
  </si>
  <si>
    <t>主動台新龍頭成長</t>
  </si>
  <si>
    <t>台新新光金</t>
  </si>
  <si>
    <t>ENB</t>
  </si>
  <si>
    <t>Enbridge Inc.</t>
  </si>
  <si>
    <t>LLY</t>
    <phoneticPr fontId="74" type="noConversion"/>
  </si>
  <si>
    <t>SNPS</t>
    <phoneticPr fontId="74" type="noConversion"/>
  </si>
  <si>
    <t>中華資安</t>
  </si>
  <si>
    <t>振大環球</t>
  </si>
  <si>
    <t>‵</t>
    <phoneticPr fontId="74" type="noConversion"/>
  </si>
  <si>
    <t>00985B</t>
  </si>
  <si>
    <t>群益ESG投等債0-5</t>
  </si>
  <si>
    <t>南港</t>
  </si>
  <si>
    <t>同泰</t>
  </si>
  <si>
    <t>禾榮科</t>
  </si>
  <si>
    <t>00981D</t>
  </si>
  <si>
    <t>主動中信非投等債</t>
  </si>
  <si>
    <t>新代</t>
  </si>
  <si>
    <t>野村日本東證</t>
  </si>
  <si>
    <t>力肯</t>
  </si>
  <si>
    <t>新麥</t>
  </si>
  <si>
    <t>世豐</t>
  </si>
  <si>
    <t>大甲</t>
  </si>
  <si>
    <t>正德</t>
  </si>
  <si>
    <t>寶陞</t>
  </si>
  <si>
    <t>力旺</t>
  </si>
  <si>
    <t>先益</t>
  </si>
  <si>
    <t>健喬</t>
  </si>
  <si>
    <t>旭然</t>
  </si>
  <si>
    <t>磐亞</t>
  </si>
  <si>
    <t>同亨</t>
  </si>
  <si>
    <t>邑錡</t>
  </si>
  <si>
    <t>新華</t>
  </si>
  <si>
    <t>00981T</t>
  </si>
  <si>
    <t>平衡凱基雙核收息</t>
  </si>
  <si>
    <t>達明</t>
  </si>
  <si>
    <t>特斯拉</t>
  </si>
  <si>
    <t>達運</t>
  </si>
  <si>
    <t>惠民實業</t>
  </si>
  <si>
    <t>佳世達</t>
  </si>
  <si>
    <t>瑞軒</t>
  </si>
  <si>
    <t>榮運</t>
  </si>
  <si>
    <t>喬鼎</t>
  </si>
  <si>
    <t>福興</t>
  </si>
  <si>
    <t>https://historical.findrate.tw/his.php?c=USD</t>
    <phoneticPr fontId="74" type="noConversion"/>
  </si>
  <si>
    <t>股價持續下跌，減碼持股</t>
    <phoneticPr fontId="74" type="noConversion"/>
  </si>
  <si>
    <t>富邦淨零ESG50</t>
  </si>
  <si>
    <t>00982D</t>
  </si>
  <si>
    <t>主動富邦動態入息</t>
  </si>
  <si>
    <t>00983D</t>
  </si>
  <si>
    <t>主動富邦複合收益</t>
  </si>
  <si>
    <t>向榮生技</t>
  </si>
  <si>
    <t>東聯互動</t>
  </si>
  <si>
    <t>松川精密</t>
  </si>
  <si>
    <t>貝萊德標普卓越50</t>
  </si>
  <si>
    <t>台揚</t>
  </si>
  <si>
    <t>金色三麥</t>
  </si>
  <si>
    <t>00673R</t>
  </si>
  <si>
    <t>期元大S＆P原油反1</t>
  </si>
  <si>
    <t>00706L</t>
  </si>
  <si>
    <t>期元大S＆P日圓正2</t>
  </si>
  <si>
    <t>00989A</t>
  </si>
  <si>
    <t>主動摩根美國科技</t>
  </si>
  <si>
    <t>昱臺國際</t>
  </si>
  <si>
    <t>光速火箭</t>
  </si>
  <si>
    <t>皇家可口</t>
  </si>
  <si>
    <t>00988A</t>
  </si>
  <si>
    <t>主動統一全球創新</t>
  </si>
  <si>
    <t>00986B</t>
  </si>
  <si>
    <t>FT金融債10+</t>
  </si>
  <si>
    <t>嘉實</t>
  </si>
  <si>
    <t>金耘國際</t>
  </si>
  <si>
    <t>萊德光電-KY</t>
  </si>
  <si>
    <t>東方風能</t>
  </si>
  <si>
    <t>可寧衛*</t>
  </si>
  <si>
    <t>永擎</t>
  </si>
  <si>
    <t>潤隆</t>
  </si>
  <si>
    <t>威潤</t>
  </si>
  <si>
    <t>華豫寧</t>
  </si>
  <si>
    <t>資拓宏宇</t>
  </si>
  <si>
    <t>邁科</t>
  </si>
  <si>
    <t>富邦科技</t>
  </si>
  <si>
    <t>崴寶</t>
  </si>
  <si>
    <t>鴻勁</t>
  </si>
  <si>
    <t>瀚荃</t>
  </si>
  <si>
    <t>00715L</t>
  </si>
  <si>
    <t>期街口布蘭特正2</t>
  </si>
  <si>
    <t>常廣</t>
  </si>
  <si>
    <t>仁大資訊</t>
  </si>
  <si>
    <t>君曜</t>
  </si>
  <si>
    <t>德鴻</t>
  </si>
  <si>
    <t>海柏特</t>
  </si>
  <si>
    <t>富邦標普500</t>
  </si>
  <si>
    <t>00990A</t>
  </si>
  <si>
    <t>主動元大AI新經濟</t>
  </si>
  <si>
    <t>00991A</t>
  </si>
  <si>
    <t>主動復華未來50</t>
  </si>
  <si>
    <t>力銘</t>
  </si>
  <si>
    <t>驊陞</t>
  </si>
  <si>
    <t>漢達</t>
  </si>
  <si>
    <t>能率亞洲</t>
  </si>
  <si>
    <t>威聯通</t>
  </si>
  <si>
    <t>捷創科技</t>
  </si>
  <si>
    <t>傑霖科技</t>
  </si>
  <si>
    <t>出清，換股操作</t>
    <phoneticPr fontId="74" type="noConversion"/>
  </si>
  <si>
    <t>2026總計</t>
    <phoneticPr fontId="76" type="noConversion"/>
  </si>
  <si>
    <t>00982T</t>
  </si>
  <si>
    <t>平衡兆豐台美動能</t>
  </si>
  <si>
    <t>00987A</t>
  </si>
  <si>
    <t>主動台新優勢成長</t>
  </si>
  <si>
    <t>00992A</t>
  </si>
  <si>
    <t>主動群益科技創新</t>
  </si>
  <si>
    <t>矽科宏晟</t>
  </si>
  <si>
    <t>00994A</t>
  </si>
  <si>
    <t>主動第一金台股優</t>
  </si>
  <si>
    <t>A. 優先汰弱（深套 + 題材弱/循環久）</t>
    <phoneticPr fontId="74" type="noConversion"/>
  </si>
  <si>
    <t>套牢太久，認賠出場，換投 ETF 00918, 00919</t>
    <phoneticPr fontId="74" type="noConversion"/>
  </si>
  <si>
    <t>東和</t>
  </si>
  <si>
    <t>保銳</t>
  </si>
  <si>
    <t>2024 股票申購 72 次</t>
    <phoneticPr fontId="74" type="noConversion"/>
  </si>
  <si>
    <t>元大高股息</t>
    <phoneticPr fontId="74" type="noConversion"/>
  </si>
  <si>
    <t>元大台灣50</t>
    <phoneticPr fontId="74" type="noConversion"/>
  </si>
  <si>
    <t>元大台灣高息低波</t>
    <phoneticPr fontId="74" type="noConversion"/>
  </si>
  <si>
    <t>國泰永續高股息</t>
    <phoneticPr fontId="74" type="noConversion"/>
  </si>
  <si>
    <t>大華優利高填息30</t>
    <phoneticPr fontId="74" type="noConversion"/>
  </si>
  <si>
    <t>群益台灣精選高息</t>
    <phoneticPr fontId="74" type="noConversion"/>
  </si>
  <si>
    <t>魅龍六街磁力魔方</t>
    <phoneticPr fontId="74" type="noConversion"/>
  </si>
  <si>
    <t>第一次洗牙</t>
    <phoneticPr fontId="74" type="noConversion"/>
  </si>
  <si>
    <t>富邦公司治理</t>
    <phoneticPr fontId="74" type="noConversion"/>
  </si>
  <si>
    <t>阿嬤贊助麥克風</t>
    <phoneticPr fontId="74" type="noConversion"/>
  </si>
  <si>
    <t>台股</t>
    <phoneticPr fontId="74" type="noConversion"/>
  </si>
  <si>
    <t>阿公的生日祝福</t>
    <phoneticPr fontId="74" type="noConversion"/>
  </si>
  <si>
    <t>豐達科</t>
    <phoneticPr fontId="74" type="noConversion"/>
  </si>
  <si>
    <t>2023 股票申購 46 次</t>
    <phoneticPr fontId="74" type="noConversion"/>
  </si>
  <si>
    <t>2025 股票申購 61 次</t>
    <phoneticPr fontId="74" type="noConversion"/>
  </si>
  <si>
    <t>第一次奧數競賽</t>
    <phoneticPr fontId="74" type="noConversion"/>
  </si>
  <si>
    <t>小姑婆的見面禮</t>
    <phoneticPr fontId="74" type="noConversion"/>
  </si>
  <si>
    <t>媽媽筆電退貨轉存未來</t>
    <phoneticPr fontId="74" type="noConversion"/>
  </si>
  <si>
    <t>媽媽贊助從錢滾錢</t>
    <phoneticPr fontId="74" type="noConversion"/>
  </si>
  <si>
    <t>參與除息</t>
    <phoneticPr fontId="74" type="noConversion"/>
  </si>
  <si>
    <t>B. 中度套牢（-10%~ -30%）</t>
    <phoneticPr fontId="74" type="noConversion"/>
  </si>
  <si>
    <t>大華美國MAG7+</t>
  </si>
  <si>
    <t>00987B</t>
  </si>
  <si>
    <t>野村10+澳洲公債</t>
  </si>
  <si>
    <t>00995A</t>
  </si>
  <si>
    <t>主動中信台灣卓越</t>
  </si>
  <si>
    <t>大東電</t>
  </si>
  <si>
    <t>億而得</t>
  </si>
  <si>
    <t>輝創</t>
  </si>
  <si>
    <t>旅天下</t>
  </si>
  <si>
    <t>大研生醫*</t>
  </si>
  <si>
    <t>長廣</t>
  </si>
  <si>
    <t>https://finance.yahoo.com/portfolio/p_0/view/fv</t>
    <phoneticPr fontId="74" type="noConversion"/>
  </si>
  <si>
    <t>IOT</t>
    <phoneticPr fontId="74" type="noConversion"/>
  </si>
  <si>
    <t>https://hk.investing.com/portfolio/?portfolioID=ZWU1ZzJtN25kMDwzbzs4Pg%3D%3D</t>
    <phoneticPr fontId="74" type="noConversion"/>
  </si>
  <si>
    <t>名稱</t>
  </si>
  <si>
    <t>代號</t>
  </si>
  <si>
    <t>最新</t>
  </si>
  <si>
    <t>開市</t>
  </si>
  <si>
    <t>升跌</t>
  </si>
  <si>
    <t>升跌率%</t>
  </si>
  <si>
    <t>時間</t>
  </si>
  <si>
    <t>Enterprise Products Partners LP</t>
  </si>
  <si>
    <t>EPD</t>
  </si>
  <si>
    <t>景順QQQ ETF</t>
  </si>
  <si>
    <t>KLA Corporation</t>
  </si>
  <si>
    <t>ASML</t>
  </si>
  <si>
    <t>英偉達公司</t>
  </si>
  <si>
    <t>QQQ</t>
  </si>
  <si>
    <t>IOT</t>
  </si>
  <si>
    <t>Samsara Inc</t>
  </si>
  <si>
    <t>安葆</t>
  </si>
  <si>
    <t>00981A</t>
    <phoneticPr fontId="74" type="noConversion"/>
  </si>
  <si>
    <t>本金</t>
    <phoneticPr fontId="74" type="noConversion"/>
  </si>
  <si>
    <t>台幣本金</t>
    <phoneticPr fontId="74" type="noConversion"/>
  </si>
  <si>
    <t>美金本金</t>
    <phoneticPr fontId="74" type="noConversion"/>
  </si>
  <si>
    <t>投資</t>
  </si>
  <si>
    <t>投資</t>
    <phoneticPr fontId="74" type="noConversion"/>
  </si>
  <si>
    <t>雅特力-KY</t>
  </si>
  <si>
    <t>00981A</t>
    <phoneticPr fontId="74" type="noConversion"/>
  </si>
  <si>
    <t>抽籤</t>
    <phoneticPr fontId="74" type="noConversion"/>
  </si>
  <si>
    <t>除息</t>
    <phoneticPr fontId="74" type="noConversion"/>
  </si>
  <si>
    <t>定期定額</t>
    <phoneticPr fontId="74" type="noConversion"/>
  </si>
  <si>
    <t>存股</t>
    <phoneticPr fontId="74" type="noConversion"/>
  </si>
  <si>
    <t>殖利率下降，轉換標的</t>
    <phoneticPr fontId="74" type="noConversion"/>
  </si>
  <si>
    <t>獲利了結，轉攻主動式 ETF</t>
    <phoneticPr fontId="74" type="noConversion"/>
  </si>
  <si>
    <t>已填息，獲利了結</t>
    <phoneticPr fontId="74" type="noConversion"/>
  </si>
  <si>
    <t>破10MA, 獲利了結，</t>
    <phoneticPr fontId="74" type="noConversion"/>
  </si>
  <si>
    <t>生日禮物</t>
    <phoneticPr fontId="74" type="noConversion"/>
  </si>
  <si>
    <t>老爸幫你儲備未來</t>
    <phoneticPr fontId="74" type="noConversion"/>
  </si>
  <si>
    <t>凱基台灣TOP50</t>
  </si>
  <si>
    <t>00984D</t>
  </si>
  <si>
    <t>主動聯博全球非投</t>
  </si>
  <si>
    <t>00993A</t>
  </si>
  <si>
    <t>主動安聯台灣</t>
  </si>
  <si>
    <t>台鋼建設</t>
  </si>
  <si>
    <t>浩鼎</t>
  </si>
  <si>
    <t>久舜</t>
  </si>
  <si>
    <t>心誠鎂</t>
  </si>
  <si>
    <t>新增網頁圖表所需欄位</t>
    <phoneticPr fontId="74" type="noConversion"/>
  </si>
  <si>
    <t>國泰日本不動產</t>
  </si>
  <si>
    <t>尚茂</t>
  </si>
  <si>
    <t>智通*</t>
  </si>
  <si>
    <t>00991A</t>
    <phoneticPr fontId="74" type="noConversion"/>
  </si>
  <si>
    <t>套牢太久，認賠出場</t>
    <phoneticPr fontId="74" type="noConversion"/>
  </si>
  <si>
    <t>美伊戰爭，憂心 AI 估值過高，認賠出場</t>
    <phoneticPr fontId="74" type="noConversion"/>
  </si>
  <si>
    <t>美伊戰爭，憂心崩跌，認賠出場</t>
    <phoneticPr fontId="74" type="noConversion"/>
  </si>
  <si>
    <t>美伊戰爭，憂心崩跌，獲利了結</t>
    <phoneticPr fontId="74" type="noConversion"/>
  </si>
  <si>
    <t>光聚晶電</t>
  </si>
  <si>
    <t>19..49</t>
    <phoneticPr fontId="74" type="noConversion"/>
  </si>
  <si>
    <t>美伊戰爭，憂心崩盤，獲利了結。</t>
    <phoneticPr fontId="74" type="noConversion"/>
  </si>
  <si>
    <t>賣錯買回</t>
    <phoneticPr fontId="74" type="noConversion"/>
  </si>
  <si>
    <t>美伊戰爭，憂心崩盤，出清持股。</t>
    <phoneticPr fontId="74" type="noConversion"/>
  </si>
  <si>
    <t>華南永昌NASDAQxT</t>
  </si>
  <si>
    <t>美伊戰爭，卡達LNG設施遭重創</t>
    <phoneticPr fontId="74" type="noConversion"/>
  </si>
  <si>
    <t>00988B</t>
  </si>
  <si>
    <t>玉山嚴選非投債</t>
  </si>
  <si>
    <t>00996A</t>
  </si>
  <si>
    <t>主動兆豐台灣豐收</t>
  </si>
  <si>
    <t>民盛</t>
  </si>
  <si>
    <t>世紀風電</t>
  </si>
  <si>
    <t>00631L</t>
  </si>
  <si>
    <t>元大台灣50正2</t>
  </si>
  <si>
    <t>00985D</t>
  </si>
  <si>
    <t>主動貝萊德優投等</t>
  </si>
  <si>
    <t>00989B</t>
  </si>
  <si>
    <t>台新美國非投等債</t>
  </si>
  <si>
    <t>華軒</t>
  </si>
  <si>
    <t>公勝保經</t>
  </si>
  <si>
    <t>倍利科</t>
  </si>
  <si>
    <t>泰宗</t>
  </si>
  <si>
    <t>00400A</t>
  </si>
  <si>
    <t>主動國泰動能高息</t>
  </si>
  <si>
    <t>00401A</t>
  </si>
  <si>
    <t>主動摩根台灣鑫收</t>
  </si>
  <si>
    <t>光譜</t>
  </si>
  <si>
    <t>合騏*</t>
  </si>
  <si>
    <t>00997A</t>
  </si>
  <si>
    <t>主動群益美國增長</t>
  </si>
  <si>
    <t>除權息</t>
    <phoneticPr fontId="74" type="noConversion"/>
  </si>
  <si>
    <t>玉山市值動能50</t>
  </si>
  <si>
    <t>玉山全球藍籌100</t>
  </si>
  <si>
    <t>00986D</t>
  </si>
  <si>
    <t>主動復華金融債息</t>
  </si>
  <si>
    <t>00998A</t>
  </si>
  <si>
    <t>主動復華金融股息</t>
  </si>
  <si>
    <t>除息前賣出</t>
    <phoneticPr fontId="74" type="noConversion"/>
  </si>
  <si>
    <t>賣錯</t>
    <phoneticPr fontId="74" type="noConversion"/>
  </si>
  <si>
    <t>政府普發一萬</t>
    <phoneticPr fontId="74" type="noConversion"/>
  </si>
  <si>
    <t>LLY, IOT</t>
    <phoneticPr fontId="74" type="noConversion"/>
  </si>
  <si>
    <t>複委託 賣出</t>
    <phoneticPr fontId="74" type="noConversion"/>
  </si>
  <si>
    <t>複委託 買進</t>
    <phoneticPr fontId="74" type="noConversion"/>
  </si>
  <si>
    <t>美伊戰爭，減少持股</t>
    <phoneticPr fontId="74" type="noConversion"/>
  </si>
  <si>
    <t>2026 股票申購 ?? 次</t>
    <phoneticPr fontId="74" type="noConversion"/>
  </si>
  <si>
    <t>華義*</t>
  </si>
  <si>
    <t>宏碁智新</t>
  </si>
  <si>
    <t>神數</t>
  </si>
  <si>
    <t>台股</t>
    <phoneticPr fontId="74" type="noConversion"/>
  </si>
  <si>
    <t>昂寶-KY</t>
  </si>
  <si>
    <t>00674R</t>
  </si>
  <si>
    <t>期元大S＆P黃金反1</t>
  </si>
  <si>
    <t>創新服務</t>
  </si>
  <si>
    <t>不如預期，換股操作</t>
    <phoneticPr fontId="74" type="noConversion"/>
  </si>
  <si>
    <t>美伊戰爭</t>
    <phoneticPr fontId="74" type="noConversion"/>
  </si>
  <si>
    <t>中信數據及電力</t>
  </si>
  <si>
    <t>元大納斯達克精選</t>
  </si>
  <si>
    <t>ASML</t>
    <phoneticPr fontId="74" type="noConversion"/>
  </si>
  <si>
    <t>MSFT</t>
    <phoneticPr fontId="74" type="noConversion"/>
  </si>
  <si>
    <t>QQQ</t>
    <phoneticPr fontId="74" type="noConversion"/>
  </si>
  <si>
    <t>配合網頁儀表板，修改Family-帳戶紀錄格式</t>
    <phoneticPr fontId="74" type="noConversion"/>
  </si>
  <si>
    <t>類別</t>
    <phoneticPr fontId="74" type="noConversion"/>
  </si>
  <si>
    <t>美金存現</t>
    <phoneticPr fontId="74" type="noConversion"/>
  </si>
  <si>
    <t>彙總</t>
    <phoneticPr fontId="74" type="noConversion"/>
  </si>
  <si>
    <t>合庫現金股</t>
    <phoneticPr fontId="74" type="noConversion"/>
  </si>
  <si>
    <t>新復興現金股</t>
    <phoneticPr fontId="74" type="noConversion"/>
  </si>
  <si>
    <t>證卷交割</t>
    <phoneticPr fontId="74" type="noConversion"/>
  </si>
  <si>
    <t>太普高現金股</t>
    <phoneticPr fontId="74" type="noConversion"/>
  </si>
  <si>
    <t>LINE PAY</t>
    <phoneticPr fontId="74" type="noConversion"/>
  </si>
  <si>
    <t>全台現金股</t>
    <phoneticPr fontId="74" type="noConversion"/>
  </si>
  <si>
    <t>豐興現金股</t>
    <phoneticPr fontId="74" type="noConversion"/>
  </si>
  <si>
    <t>長榮海運現金股</t>
    <phoneticPr fontId="74" type="noConversion"/>
  </si>
  <si>
    <t>台星科現金股</t>
    <phoneticPr fontId="74" type="noConversion"/>
  </si>
  <si>
    <t>廣達現金股</t>
    <phoneticPr fontId="74" type="noConversion"/>
  </si>
  <si>
    <t>慶豐富現金股</t>
    <phoneticPr fontId="74" type="noConversion"/>
  </si>
  <si>
    <t>帆宣現金股</t>
    <phoneticPr fontId="74" type="noConversion"/>
  </si>
  <si>
    <t>聯詠現金股</t>
    <phoneticPr fontId="74" type="noConversion"/>
  </si>
  <si>
    <t>敬鵬現金股</t>
    <phoneticPr fontId="74" type="noConversion"/>
  </si>
  <si>
    <t>鈺德現金股</t>
    <phoneticPr fontId="74" type="noConversion"/>
  </si>
  <si>
    <t>元大50</t>
    <phoneticPr fontId="74" type="noConversion"/>
  </si>
  <si>
    <t>立盈</t>
  </si>
  <si>
    <t>QQQ, MSFT, ASML, TSLA, LLY</t>
    <phoneticPr fontId="74" type="noConversion"/>
  </si>
  <si>
    <t>享溫馨</t>
  </si>
  <si>
    <t>永笙-KY</t>
  </si>
  <si>
    <t>VT</t>
  </si>
  <si>
    <t>Vanguard Total World Stock Index Fund ETF Shares</t>
  </si>
  <si>
    <t>00999A</t>
  </si>
  <si>
    <t>主動野村臺灣高息</t>
  </si>
  <si>
    <t>敘豐</t>
  </si>
  <si>
    <t>頌勝科技</t>
  </si>
  <si>
    <t>耀穎</t>
  </si>
  <si>
    <t>AI</t>
    <phoneticPr fontId="74" type="noConversion"/>
  </si>
  <si>
    <t>賭新聞</t>
    <phoneticPr fontId="74" type="noConversion"/>
  </si>
  <si>
    <t>ETF 大賣</t>
    <phoneticPr fontId="74" type="noConversion"/>
  </si>
  <si>
    <t>轉型</t>
    <phoneticPr fontId="74" type="noConversion"/>
  </si>
  <si>
    <t>天能綠電</t>
  </si>
  <si>
    <t>鑫永洋</t>
  </si>
  <si>
    <t>宜特科技</t>
    <phoneticPr fontId="74" type="noConversion"/>
  </si>
  <si>
    <t>00403A</t>
  </si>
  <si>
    <t>主動統一升級50</t>
  </si>
  <si>
    <t>溢泰實業</t>
  </si>
  <si>
    <t>華洋精機</t>
  </si>
  <si>
    <t>精誠金融</t>
  </si>
  <si>
    <t>華南永昌未來金融</t>
  </si>
  <si>
    <t>圓祥生技</t>
  </si>
  <si>
    <t>00402A</t>
  </si>
  <si>
    <t>主動安聯美國科技</t>
  </si>
  <si>
    <t>00404A</t>
  </si>
  <si>
    <t>主動聯博動能50</t>
  </si>
  <si>
    <t>00405A</t>
  </si>
  <si>
    <t>主動富邦台灣龍耀</t>
  </si>
  <si>
    <t>00406A</t>
  </si>
  <si>
    <t>主動中信台灣收益</t>
  </si>
  <si>
    <t>達人網</t>
  </si>
  <si>
    <t>野村稀土關鍵資源</t>
  </si>
  <si>
    <t>立弘</t>
  </si>
  <si>
    <t>中福</t>
  </si>
  <si>
    <t>00407A</t>
  </si>
  <si>
    <t>主動凱基台灣</t>
  </si>
  <si>
    <t>群益S＆P500</t>
  </si>
  <si>
    <t>群益美國科技巨頭</t>
  </si>
  <si>
    <t>和迅</t>
  </si>
  <si>
    <t>00990A</t>
    <phoneticPr fontId="74" type="noConversion"/>
  </si>
  <si>
    <t>虹光</t>
  </si>
  <si>
    <t>璟德</t>
  </si>
  <si>
    <t>轉換標的，，獲利了結。</t>
    <phoneticPr fontId="74" type="noConversion"/>
  </si>
  <si>
    <t>00685L</t>
  </si>
  <si>
    <t>群益臺灣加權正2</t>
  </si>
  <si>
    <t>00990B</t>
  </si>
  <si>
    <t>國泰收益非投等債</t>
  </si>
  <si>
    <t>台新投等債15+</t>
  </si>
  <si>
    <t>台新15年IG金融債</t>
  </si>
  <si>
    <t>台新A-BBB電信債</t>
  </si>
  <si>
    <t>台新臺灣半導體30</t>
  </si>
  <si>
    <t>台新BBB投等債20+</t>
  </si>
  <si>
    <t>台新美國電力基建</t>
  </si>
  <si>
    <t>00408A</t>
  </si>
  <si>
    <t>主動第一金優股息</t>
  </si>
  <si>
    <t>海昌生技</t>
  </si>
  <si>
    <t>聯邦美國金融創新</t>
  </si>
  <si>
    <t>股息再投入</t>
    <phoneticPr fontId="74" type="noConversion"/>
  </si>
  <si>
    <t>富邦未來車</t>
    <phoneticPr fontId="74" type="noConversion"/>
  </si>
  <si>
    <t>標的轉換
賣富邦未來車</t>
    <phoneticPr fontId="74" type="noConversion"/>
  </si>
  <si>
    <t>爸爸的生日祝福
投資美股基金</t>
    <phoneticPr fontId="74" type="noConversion"/>
  </si>
  <si>
    <t>存入美金</t>
    <phoneticPr fontId="74" type="noConversion"/>
  </si>
  <si>
    <t>主動元大AI新經濟、元大台灣50、台積電</t>
    <phoneticPr fontId="74" type="noConversion"/>
  </si>
  <si>
    <t>主動元大AI新經濟</t>
    <phoneticPr fontId="74" type="noConversion"/>
  </si>
  <si>
    <t>主動統一台股增長</t>
    <phoneticPr fontId="74" type="noConversion"/>
  </si>
  <si>
    <t>手尾錢</t>
    <phoneticPr fontId="74" type="noConversion"/>
  </si>
  <si>
    <t>阿公最後的祝福</t>
    <phoneticPr fontId="74" type="noConversion"/>
  </si>
  <si>
    <t>駿吉-KY</t>
  </si>
  <si>
    <t>103萬</t>
  </si>
  <si>
    <t>台鎔科技</t>
  </si>
  <si>
    <t>大鵬科CLMX</t>
  </si>
  <si>
    <t>110萬</t>
  </si>
  <si>
    <t>緯致</t>
  </si>
  <si>
    <t>台達電</t>
    <phoneticPr fontId="74" type="noConversion"/>
  </si>
  <si>
    <t>南山人壽解約金</t>
    <phoneticPr fontId="74" type="noConversion"/>
  </si>
  <si>
    <t>阿嬤的祝福</t>
    <phoneticPr fontId="74" type="noConversion"/>
  </si>
  <si>
    <t>00410A</t>
  </si>
  <si>
    <t>主動永豐科技趨勢</t>
  </si>
  <si>
    <t>貝萊德世界股票</t>
  </si>
  <si>
    <t>00991B</t>
  </si>
  <si>
    <t>貝萊德A級公司債</t>
  </si>
  <si>
    <t>聯發</t>
  </si>
  <si>
    <t>00411A</t>
  </si>
  <si>
    <t>主動統一前沿科技</t>
  </si>
  <si>
    <t>大華韓國KOSPI50</t>
  </si>
  <si>
    <t>00987D</t>
  </si>
  <si>
    <t>主動統一美債量化</t>
  </si>
  <si>
    <t>天意能創</t>
  </si>
  <si>
    <t>強生*</t>
  </si>
  <si>
    <t>寶雅*</t>
  </si>
  <si>
    <t>和運租車</t>
  </si>
  <si>
    <t>167萬</t>
  </si>
  <si>
    <t>00409A</t>
  </si>
  <si>
    <t>主動復華全球50</t>
  </si>
  <si>
    <t>玉山未來全球算力</t>
  </si>
  <si>
    <t>中信台日韓PCB</t>
  </si>
  <si>
    <t>中光電投控</t>
  </si>
  <si>
    <t>VT</t>
    <phoneticPr fontId="74" type="noConversion"/>
  </si>
  <si>
    <t>創意電子</t>
    <phoneticPr fontId="74" type="noConversion"/>
  </si>
  <si>
    <t>群創光電</t>
    <phoneticPr fontId="74" type="noConversion"/>
  </si>
  <si>
    <t>帆宣科技</t>
    <phoneticPr fontId="74" type="noConversion"/>
  </si>
  <si>
    <t>雙鴻科技</t>
    <phoneticPr fontId="74" type="noConversion"/>
  </si>
  <si>
    <t>統一證劵</t>
    <phoneticPr fontId="74" type="noConversion"/>
  </si>
  <si>
    <t>華碩電腦</t>
    <phoneticPr fontId="74" type="noConversion"/>
  </si>
  <si>
    <t>聯詠科技</t>
    <phoneticPr fontId="74" type="noConversion"/>
  </si>
  <si>
    <t>哈特學費</t>
    <phoneticPr fontId="74" type="noConversion"/>
  </si>
  <si>
    <t>產業地位</t>
  </si>
  <si>
    <t>台灣最大水泥廠</t>
  </si>
  <si>
    <t>台灣前二大水泥廠</t>
  </si>
  <si>
    <t>主要從事水泥通路貿易</t>
  </si>
  <si>
    <t>台灣最大石膏板供應商</t>
  </si>
  <si>
    <t>台灣第三大水泥廠</t>
  </si>
  <si>
    <t>銷售市場以台北、宜蘭、基隆、桃園等為主</t>
  </si>
  <si>
    <t>台灣中南部市場水泥供應商</t>
  </si>
  <si>
    <t>老牌綜合食品大廠</t>
  </si>
  <si>
    <t>老牌食品廠</t>
  </si>
  <si>
    <t>白肉雞電宰加工廠及飼料大廠</t>
  </si>
  <si>
    <t>產品以蘋果西打為主</t>
  </si>
  <si>
    <t>台灣白肉雞供應商及飼料大廠</t>
  </si>
  <si>
    <t>台灣食品業龍頭廠之一</t>
  </si>
  <si>
    <t>以飲料、傳統類罐頭為主的食品商</t>
  </si>
  <si>
    <t>台灣油脂、飲料大廠</t>
  </si>
  <si>
    <t>台灣知名農糧油脂、寵物飼料大廠</t>
  </si>
  <si>
    <t>台灣知名果糖大廠，並生產飼料及水產品</t>
  </si>
  <si>
    <t>台灣油脂、飼料大廠</t>
  </si>
  <si>
    <t>台灣最大穀物營養品與油品供應商</t>
  </si>
  <si>
    <t>聯華神通集團之創始公司，是台灣麵粉品牌龍頭企業</t>
  </si>
  <si>
    <t>台灣休閒食品大廠，並供應7-11鮮食產品</t>
  </si>
  <si>
    <t>台灣最大黃豆加工製造廠，是豆粉與油脂製造龍頭</t>
  </si>
  <si>
    <t>台灣知名茶葉廠並轉投資喫茶趣</t>
  </si>
  <si>
    <t>主要從事黑松品牌飲料製造及酒品代理</t>
  </si>
  <si>
    <t>生產畜產及水產類飼料之廠商</t>
  </si>
  <si>
    <t>旗下七七巧克力與禮坊喜餅為知名品牌</t>
  </si>
  <si>
    <t>家禽家畜飼料、大宗原料供應商</t>
  </si>
  <si>
    <t>大陸新茶飲上游原料供應商</t>
  </si>
  <si>
    <t>東元旗下，以摩斯為速食餐飲連鎖品牌</t>
  </si>
  <si>
    <t>台灣最大烘焙原物料供應商</t>
  </si>
  <si>
    <t>台灣知名餐飲集團，經營多元品牌</t>
  </si>
  <si>
    <t>台灣知名的液劑、晶凍保健食品代工廠</t>
  </si>
  <si>
    <t>台灣專精乳酸菌研發與生產製造商</t>
  </si>
  <si>
    <t>台灣最大塑化集團，亞洲最大PVC生產商</t>
  </si>
  <si>
    <t>全球最大的塑膠加工廠、第四大EG廠</t>
  </si>
  <si>
    <t>台灣EVA、PE知名廠商</t>
  </si>
  <si>
    <t>台灣第二大PVC廠，轉投資台氯</t>
  </si>
  <si>
    <t>全球最大的合成皮生產商</t>
  </si>
  <si>
    <t>台聚轉投資之EVA及LDPE知名廠商</t>
  </si>
  <si>
    <t>台灣第三大PS廠</t>
  </si>
  <si>
    <t>台灣第三大SM廠</t>
  </si>
  <si>
    <t>台灣第二大SM及ABS廠</t>
  </si>
  <si>
    <t>全球最大可塑劑及苯酐供應商</t>
  </si>
  <si>
    <t>台灣第一大CPL廠</t>
  </si>
  <si>
    <t>台灣知名雨衣及成衣製造商</t>
  </si>
  <si>
    <t>上曜集團旗下豪宅品牌</t>
  </si>
  <si>
    <t>全球第一大汽車AM塑膠件製造商</t>
  </si>
  <si>
    <t>台灣第三大PVC廠，並有資產開發題材</t>
  </si>
  <si>
    <t>台灣知名的塑膠瓶及軟管製造商</t>
  </si>
  <si>
    <t>台灣主要PVC膠帶供應商</t>
  </si>
  <si>
    <t>台灣最大的紡結不織布生產廠</t>
  </si>
  <si>
    <t>台灣最大的PTA廠</t>
  </si>
  <si>
    <t>宣德轉投資之消費電子產品外殼製造商</t>
  </si>
  <si>
    <t>大陸第一大EVA發泡材商</t>
  </si>
  <si>
    <t>汽車OEM塑膠內飾件大廠，供應以大陸市場為主</t>
  </si>
  <si>
    <t>台灣第二大汽車AM塑膠件製造商</t>
  </si>
  <si>
    <t>專注旅館及第三方物流承租收入事業</t>
  </si>
  <si>
    <t>越南第一大PVC人造皮革生產商</t>
  </si>
  <si>
    <t>台灣機能性皮布料及薄膜製造商</t>
  </si>
  <si>
    <t>全球前五大聚酯製造商，集團轉投資橫跨領域廣</t>
  </si>
  <si>
    <t>新光集團旗下，台灣知名化纖廠</t>
  </si>
  <si>
    <t>轉型為不動產租賃業務</t>
  </si>
  <si>
    <t>宜進入主，聚酯粒、聚酯絲與加工絲一貫廠</t>
  </si>
  <si>
    <t>棉混紡紗大廠</t>
  </si>
  <si>
    <t>專注金融業應用系統開發</t>
  </si>
  <si>
    <t>裕隆集團旗下，台灣知名男性西服供應商</t>
  </si>
  <si>
    <t>台灣老牌的亞克力棉製造商</t>
  </si>
  <si>
    <t>新光集團旗下，平織布生產商，士林三寶之一</t>
  </si>
  <si>
    <t>台灣第一大的專業毛條生產商</t>
  </si>
  <si>
    <t>經營型娛樂購物中心事業</t>
  </si>
  <si>
    <t>台塑集團旗下，台灣知名輪胎簾布製造商</t>
  </si>
  <si>
    <t>主要從事物業及廠房租賃，並多元發展各種事業</t>
  </si>
  <si>
    <t>主打首購族及換屋族市場的建商</t>
  </si>
  <si>
    <t>投資控股公司，從事地產、紡織貿易及投資事業</t>
  </si>
  <si>
    <t>開發以台南及高雄地區為主力的建商</t>
  </si>
  <si>
    <t>國揚集團旗下，著重開發危老及都更計畫</t>
  </si>
  <si>
    <t>台灣最大的聚酯棉與紡紗廠，並經營夢時代購物中心</t>
  </si>
  <si>
    <t>麗寶集團旗下成員</t>
  </si>
  <si>
    <t>從事物流倉儲服務及經營房地產</t>
  </si>
  <si>
    <t>台灣聚酯加工絲龍頭廠</t>
  </si>
  <si>
    <t>台灣專業的織布廠</t>
  </si>
  <si>
    <t>台灣知名的長短纖布廠</t>
  </si>
  <si>
    <t>力麗集團旗下，台灣知名尼龍粒大廠</t>
  </si>
  <si>
    <t>織布生產商，產品為先染及長纖織物</t>
  </si>
  <si>
    <t>全球最大的牛仔成衣廠</t>
  </si>
  <si>
    <t>台灣專業的加工絲一貫廠</t>
  </si>
  <si>
    <t>主要經營營建開發及紡織買賣</t>
  </si>
  <si>
    <t>台灣加工絲、織布一貫廠</t>
  </si>
  <si>
    <t>台灣前三大尼龍粒廠商及前四大聚酯加工絲廠</t>
  </si>
  <si>
    <t>元邦集團旗下，為綜合性紡織廠及營建商</t>
  </si>
  <si>
    <t>台灣前五大加工絲廠之一</t>
  </si>
  <si>
    <t>台灣十大聚酯加工絲廠之一</t>
  </si>
  <si>
    <t>遠東集團旗下，是一家長短織一貫布廠</t>
  </si>
  <si>
    <t>台灣專業的染整廠之一</t>
  </si>
  <si>
    <t>台灣老牌織染一貫化布廠</t>
  </si>
  <si>
    <t>台灣專業的長纖布廠</t>
  </si>
  <si>
    <t>台灣前二大的尼龍加工絲廠之一</t>
  </si>
  <si>
    <t>為品牌大廠代工及與Wal-mart合作的成衣廠</t>
  </si>
  <si>
    <t>尼龍長織布廠</t>
  </si>
  <si>
    <t>台灣知名的染整廠，並跨足機能布</t>
  </si>
  <si>
    <t>台灣電源供應器及機殼廠</t>
  </si>
  <si>
    <t>承建公共工程、商辦、住宅等營造工程</t>
  </si>
  <si>
    <t>台灣前三大成衣製造商，在大陸有Tony wear自有品牌</t>
  </si>
  <si>
    <t>台灣最大的工業用布廠</t>
  </si>
  <si>
    <t>台灣紡織助染劑廠</t>
  </si>
  <si>
    <t>台灣最大針織布及前二大成衣代工廠</t>
  </si>
  <si>
    <t>全球前五大、台灣第一大成衣代工廠</t>
  </si>
  <si>
    <t>屬仰德集團，本業以電機相關產品為主，為士林三寶之一</t>
  </si>
  <si>
    <t>多角化經營的台灣老牌家電廠</t>
  </si>
  <si>
    <t>台灣知名活塞與汽車鍛件製造商</t>
  </si>
  <si>
    <t>台灣知名重電及機電工程廠商</t>
  </si>
  <si>
    <t>生產配電盤、電力變壓器為主的電機公司</t>
  </si>
  <si>
    <t>台灣知名健身器材代工廠</t>
  </si>
  <si>
    <t>台灣老牌自行車零件廠</t>
  </si>
  <si>
    <t>生產電力變壓器為主之重電廠</t>
  </si>
  <si>
    <t>台灣最大OEM車燈製造商</t>
  </si>
  <si>
    <t>台灣前二大AM車燈製造商之一</t>
  </si>
  <si>
    <t>為汽車AM鈑金件製造商</t>
  </si>
  <si>
    <t>台灣最大商用車車架及木床製造商</t>
  </si>
  <si>
    <t>全球知名的自行車內、外變速器製造商</t>
  </si>
  <si>
    <t>台灣最大的釘槍代工大廠</t>
  </si>
  <si>
    <t>台灣生產PCB鑽孔機、成型機與木工機械廠商</t>
  </si>
  <si>
    <t>以重電事業及太陽能光電業務為主</t>
  </si>
  <si>
    <t>台灣知名CNC加工機及龍門機製造商</t>
  </si>
  <si>
    <t>全球前三大工業用縫紉機商 自有品牌SiRUBA</t>
  </si>
  <si>
    <t>事業涵蓋金屬成型、建設住宅、飯店、商場等領域</t>
  </si>
  <si>
    <t>主攻AM車用電子零組件之大廠</t>
  </si>
  <si>
    <t>中鋼集團旗下，環保工程廠商</t>
  </si>
  <si>
    <t>台灣最大、全球前十大車廠之傳動零組件供應商</t>
  </si>
  <si>
    <t>鉛酸蓄電池專業製造商</t>
  </si>
  <si>
    <t>以生產電動工具機、汽車燈具為主的廠商</t>
  </si>
  <si>
    <t>DIY鉋木機領導廠商</t>
  </si>
  <si>
    <t>台灣中大型工具機製造大廠，以客製化為主</t>
  </si>
  <si>
    <t>圓鋸機、線鋸機等桌上型木工機的代工廠商</t>
  </si>
  <si>
    <t>全球最大家用縫紉機ODM廠</t>
  </si>
  <si>
    <t>台灣從事砂輪及再生晶圓生產製造廠商</t>
  </si>
  <si>
    <t>巧新</t>
  </si>
  <si>
    <t>全球汽車鍛造輪圈大廠</t>
  </si>
  <si>
    <t>台灣隱形眼鏡製造龍頭企業，並擁有「帝康」自有品牌</t>
  </si>
  <si>
    <t>汽車自動變速箱零組件製造商</t>
  </si>
  <si>
    <t>全球NB鍵盤支架領導廠商</t>
  </si>
  <si>
    <t>台灣氣動釘槍製造廠商</t>
  </si>
  <si>
    <t>亞洲最大烘焙設備製造廠</t>
  </si>
  <si>
    <t>全球螢幕架樞紐製造龍頭</t>
  </si>
  <si>
    <t>台灣規模最大的專業CNC車床製造商</t>
  </si>
  <si>
    <t>台灣鋼鐵集團旗下合金鋼廠</t>
  </si>
  <si>
    <t>台灣汽車及硬碟零件雙核心精沖技術大廠</t>
  </si>
  <si>
    <t>台灣最大汽車水箱製造廠</t>
  </si>
  <si>
    <t>大陸前三大氣動元件供應商之一</t>
  </si>
  <si>
    <t>東南亞最大氣動式工業用槍釘供應商</t>
  </si>
  <si>
    <t>台灣運動器材零組件製造商</t>
  </si>
  <si>
    <t>全球知名PCB半自動曝光機廠</t>
  </si>
  <si>
    <t>全球知名的微型線性滑軌元件廠商</t>
  </si>
  <si>
    <t>全球前三大家用健身器材廠商</t>
  </si>
  <si>
    <t>以自有品牌「AEON」沙灘車起家並跨入機車領域的業者</t>
  </si>
  <si>
    <t>台灣老牌電線電纜業者，並跨入鋁門窗生產</t>
  </si>
  <si>
    <t>台灣知名家電品牌</t>
  </si>
  <si>
    <t>大中華區電線電纜及不鏽鋼領導廠商</t>
  </si>
  <si>
    <t>台灣超高壓電力電纜線路統包工程知名業者</t>
  </si>
  <si>
    <t>國內電力電纜、漆包線知名廠商</t>
  </si>
  <si>
    <t>以東亞照明品牌銷售燈具及LED照明產品</t>
  </si>
  <si>
    <t>台灣電力電纜業者之一</t>
  </si>
  <si>
    <t>台灣知名電力電纜公司</t>
  </si>
  <si>
    <t>國內電力電纜業者</t>
  </si>
  <si>
    <t>專業漆包線及電子用線大廠</t>
  </si>
  <si>
    <t>台灣主要電力電纜廠</t>
  </si>
  <si>
    <t>大陸「艾美特AIRMATE」品牌小家電生產商</t>
  </si>
  <si>
    <t>台灣最大烘焙用油脂廠，轉投資餐飲事業眾多品牌</t>
  </si>
  <si>
    <t>台灣保健食品製造領導廠商</t>
  </si>
  <si>
    <t>台灣老牌硫酸鉀(SOP)肥料廠</t>
  </si>
  <si>
    <t>台灣烷化品大廠、且為唯一氫化石油樹脂商</t>
  </si>
  <si>
    <t>遠東集團旗下，EG大廠</t>
  </si>
  <si>
    <t>亞洲染料廠龍頭</t>
  </si>
  <si>
    <t>台灣農藥市場龍頭公司</t>
  </si>
  <si>
    <t>保險粉生產商</t>
  </si>
  <si>
    <t>亞洲最大正烷屬烴供應商</t>
  </si>
  <si>
    <t>亞洲最大合成樹脂廠，亦是全球最大乾膜光阻劑</t>
  </si>
  <si>
    <t>台灣化纖及EG重要供應商</t>
  </si>
  <si>
    <t>台灣前三大學名藥廠</t>
  </si>
  <si>
    <t>國慶科技</t>
  </si>
  <si>
    <t>油墨、表面處理劑、PU樹脂生產企業</t>
  </si>
  <si>
    <t>台灣最大肥料及化學廠商</t>
  </si>
  <si>
    <t>中鋼集團旗下，台灣唯一煤化工製造商</t>
  </si>
  <si>
    <t>石化原料之專業代理商</t>
  </si>
  <si>
    <t>台灣最大油漆廠，主要生產防火漆</t>
  </si>
  <si>
    <t>台灣主要生產硫酸產品之廠商</t>
  </si>
  <si>
    <t>台灣最大家庭日用品廠商</t>
  </si>
  <si>
    <t>藥品代理並生產自有品牌染髮劑及沐浴用品</t>
  </si>
  <si>
    <t>台灣主要清潔用品大廠</t>
  </si>
  <si>
    <t>台灣血糖測試儀製造的龍頭企業</t>
  </si>
  <si>
    <t>台灣老牌學名藥製造商，並跨足保健食品及中草藥原料開發</t>
  </si>
  <si>
    <t>專業合成皮用PU樹脂製造商</t>
  </si>
  <si>
    <t>全球最大商用健身器材、前三大家用健身器材廠商</t>
  </si>
  <si>
    <t>台灣最大製鹽商，並跨足生技及水產品</t>
  </si>
  <si>
    <t>台灣唯一蠟品專業製造商</t>
  </si>
  <si>
    <t>台灣最大針劑製藥廠</t>
  </si>
  <si>
    <t>台灣老牌學名藥廠，經營西藥與醫美保健事業</t>
  </si>
  <si>
    <t>中化旗下原料藥製造商，MMF與MCB在美國為龍頭地位</t>
  </si>
  <si>
    <t>台灣第2大溶劑廠商</t>
  </si>
  <si>
    <t>台灣PU樹脂及硬化劑大廠</t>
  </si>
  <si>
    <t>生達集團旗下開發及產製原料藥廠商</t>
  </si>
  <si>
    <t>全球類葫蘿蔔素三大供應商之一</t>
  </si>
  <si>
    <t>全球前三大電子式血壓計廠</t>
  </si>
  <si>
    <t>專注膠原蛋白之高階醫材及醫美保養產品</t>
  </si>
  <si>
    <t>台灣臍帶血公司</t>
  </si>
  <si>
    <t>全球最大硬碟靶材供應商</t>
  </si>
  <si>
    <t>台灣首家醫療級玻尿酸醫材廠</t>
  </si>
  <si>
    <t>代理歐美日一線廠牌醫療器材為主</t>
  </si>
  <si>
    <t>台灣原料藥龍頭企業</t>
  </si>
  <si>
    <t>台灣老牌學名藥廠，從事困難學名藥與癌症學名藥之製造</t>
  </si>
  <si>
    <t>為醱酵原料及保健品廠商</t>
  </si>
  <si>
    <t>台灣特殊學名藥研發廠</t>
  </si>
  <si>
    <t>台灣第一大玻璃生產商</t>
  </si>
  <si>
    <t>知名建案「寶徠花園廣場」建商</t>
  </si>
  <si>
    <t>台灣最大瓷磚廠商</t>
  </si>
  <si>
    <t>興富發集團旗下建商</t>
  </si>
  <si>
    <t>亞洲最大色釉料廠</t>
  </si>
  <si>
    <t>台灣衛浴設備大廠</t>
  </si>
  <si>
    <t>全球第三大PC(聚碳酸酯樹脂)光學鏡片商</t>
  </si>
  <si>
    <t>台灣玻纖紗、玻纖布一貫廠</t>
  </si>
  <si>
    <t>從事濕紙巾、嬰幼兒洗沐與防疫用品、保養品業務</t>
  </si>
  <si>
    <t>台灣最大工業用紙生產商</t>
  </si>
  <si>
    <t>紙漿及文化用紙一貫廠，亦為永豐餘子公司</t>
  </si>
  <si>
    <t>榮成轉投資之工業用紙代銷商</t>
  </si>
  <si>
    <t>台灣第一大造紙集團</t>
  </si>
  <si>
    <t>國內前三大工業用紙生產商</t>
  </si>
  <si>
    <t>台灣最大設有高爐的一貫作業鋼廠</t>
  </si>
  <si>
    <t>台灣最大型鋼廠及三大鋼筋廠之一</t>
  </si>
  <si>
    <t>台灣不鏽鋼線材盤元大廠之一</t>
  </si>
  <si>
    <t>台灣製管專業製造廠商</t>
  </si>
  <si>
    <t>台灣銅產品線最完整的企業</t>
  </si>
  <si>
    <t>台灣最具規模鋼鐵裁剪及通路業者</t>
  </si>
  <si>
    <t>主要外銷歐美及東南亞的線材螺絲廠</t>
  </si>
  <si>
    <t>台灣鋼結構大廠</t>
  </si>
  <si>
    <t>中鋼集團旗下，熱軋產品大廠</t>
  </si>
  <si>
    <t>台灣三大鋼筋廠之一</t>
  </si>
  <si>
    <t>台灣盤元及鐵絲大廠</t>
  </si>
  <si>
    <t>台灣第一家鋼管專業製造廠</t>
  </si>
  <si>
    <t>以泰國為生產基地的線材盤元大廠</t>
  </si>
  <si>
    <t>全球最大鍍面鋼廠</t>
  </si>
  <si>
    <t>主要從事鋼棒及鋼線生產之廠商</t>
  </si>
  <si>
    <t>台灣不鏽鋼板冷軋廠</t>
  </si>
  <si>
    <t>美國最大不鏽鋼產品通路商及最大鋁捲板廠</t>
  </si>
  <si>
    <t>台灣三大電爐廠之一，主要銷售鋼筋及鋼胚</t>
  </si>
  <si>
    <t>台灣鍍面一貫化處理鋼捲製造商</t>
  </si>
  <si>
    <t>台灣不鏽鋼管、不鏽鋼板製造大廠</t>
  </si>
  <si>
    <t>台灣鋼剪裁大廠，以內銷為主</t>
  </si>
  <si>
    <t>以內銷為主的不鏽鋼裁剪加工廠</t>
  </si>
  <si>
    <t>致力於鋼線鋼纜產品業務</t>
  </si>
  <si>
    <t>全球前五大不鏽鋼管製造商及不鏽鋼加工廠</t>
  </si>
  <si>
    <t>台灣知名不鏽鋼大廠</t>
  </si>
  <si>
    <t>台灣鋼筋大廠之一</t>
  </si>
  <si>
    <t>全球前三大滾珠螺桿廠商</t>
  </si>
  <si>
    <t>全球知名伺服器導軌廠</t>
  </si>
  <si>
    <t>台灣知名漆包線供應商</t>
  </si>
  <si>
    <t>全球最大鋅合金水龍頭零組件廠</t>
  </si>
  <si>
    <t>台灣螺絲及螺栓廠</t>
  </si>
  <si>
    <t>高階棒鋼龍頭大廠</t>
  </si>
  <si>
    <t>台灣最大烤漆、噴頭表面塗裝螺絲廠</t>
  </si>
  <si>
    <t>全球汽車大廠之第一階扣件及金屬零件供應商</t>
  </si>
  <si>
    <t>台灣不鏽鋼材料加工製造廠</t>
  </si>
  <si>
    <t>全球扣件篩選設備大廠</t>
  </si>
  <si>
    <t>世紀鋼旗下，專注風電鋼結構領域</t>
  </si>
  <si>
    <t>台灣金屬線製品加工商</t>
  </si>
  <si>
    <t>台灣擁有土地資產的老牌輪胎廠</t>
  </si>
  <si>
    <t>台灣輪胎製造商</t>
  </si>
  <si>
    <t>全球前七大橡膠生產製造商</t>
  </si>
  <si>
    <t>全球市佔率前五大的碳煙公司</t>
  </si>
  <si>
    <t>台灣最大、全球前十大輪胎製造商</t>
  </si>
  <si>
    <t>台灣第二大輪胎廠</t>
  </si>
  <si>
    <t>主要從事營建與倉儲業務，也從事於橡膠與塑膠皮加工</t>
  </si>
  <si>
    <t>全球前五大NBR乳膠廠</t>
  </si>
  <si>
    <t>台灣前六大輪胎廠</t>
  </si>
  <si>
    <t>台灣最大、全球前十大橡膠輸送帶商</t>
  </si>
  <si>
    <t>全球最大氣門嘴製造商</t>
  </si>
  <si>
    <t>與日本日產技術合作之汽車製造商</t>
  </si>
  <si>
    <t>裕隆集團與日本三菱技術合作之汽車製造廠</t>
  </si>
  <si>
    <t>現代汽車台灣代理商及台灣知名機車製造商</t>
  </si>
  <si>
    <t>TOYOTA台灣獨家代理商</t>
  </si>
  <si>
    <t>台灣第一大造船公司</t>
  </si>
  <si>
    <t>長榮集團旗下之鋼結構製造廠</t>
  </si>
  <si>
    <t>台灣最大不鏽鋼管配件製造商</t>
  </si>
  <si>
    <t>裕隆集團為NISSAN在台灣地區研發及銷售成立之公司</t>
  </si>
  <si>
    <t>為汽車安全氣囊零組件製造商</t>
  </si>
  <si>
    <t>主要經營電裝品、TPMS及毫米波雷達銷售</t>
  </si>
  <si>
    <t>汽車噴油嘴零件大廠</t>
  </si>
  <si>
    <t>為車用水箱風扇製造商，堤維西為其最大股東</t>
  </si>
  <si>
    <t>全球唯二汽車零組件一條龍之新加坡商</t>
  </si>
  <si>
    <t>台商企業，為大陸整車廠提供汽車結構件</t>
  </si>
  <si>
    <t>主要生產電動車及油電混合車的逆變器散熱產品</t>
  </si>
  <si>
    <t>大陸台資第一大、行業前五大的車身模具廠</t>
  </si>
  <si>
    <t>豪華進口車代理商</t>
  </si>
  <si>
    <t>LED汽車門檻踏板供應商</t>
  </si>
  <si>
    <t>能率集團旗下，日本車用沖壓件OEM廠商</t>
  </si>
  <si>
    <t>台灣電源供應器大廠</t>
  </si>
  <si>
    <t>台灣整流二極體廠商</t>
  </si>
  <si>
    <t>全球前十大晶圓代工廠之一</t>
  </si>
  <si>
    <t>從事數位掃描器及光通訊檢測設備製造</t>
  </si>
  <si>
    <t>全球最大的交換式電源供應器廠商</t>
  </si>
  <si>
    <t>金寶集團旗下消費性電子代工廠</t>
  </si>
  <si>
    <t>全球HDI板龍頭公司</t>
  </si>
  <si>
    <t>鴻海轉投資衛星、微波通訊設備製造商</t>
  </si>
  <si>
    <t>台灣PCB大廠，並轉投資於深交所掛牌之滬電股份</t>
  </si>
  <si>
    <t>全球最大EMS電子專業代工廠</t>
  </si>
  <si>
    <t>全球前三大光碟片製造商之一</t>
  </si>
  <si>
    <t>全球前五大NB代工廠</t>
  </si>
  <si>
    <t>全球被動元件供應商，亦為全球晶片電阻大廠</t>
  </si>
  <si>
    <t>鴻海旗下電子零件代工、PCB及連接器廠</t>
  </si>
  <si>
    <t>半導體封測及EMS廠</t>
  </si>
  <si>
    <t>全球第一大晶圓代工廠</t>
  </si>
  <si>
    <t>大同轉投資主機板及電腦產品專業代工廠</t>
  </si>
  <si>
    <t>以D-Link品牌行銷網通設備之全球領導廠商</t>
  </si>
  <si>
    <t>全球非揮發性記憶體整合元件領導廠</t>
  </si>
  <si>
    <t>光聚晶電旗下專業光罩廠</t>
  </si>
  <si>
    <t>日亞化轉投資感測元件與LED發光元件公司</t>
  </si>
  <si>
    <t>功率元件及電源管理IC之晶圓代工廠</t>
  </si>
  <si>
    <t>專注於利基型DRAM與NOR Flash市場</t>
  </si>
  <si>
    <t>以網路交換器為主產品的網通設備代工大廠</t>
  </si>
  <si>
    <t>亞太最大、全球前三大3C產品通路商</t>
  </si>
  <si>
    <t>台灣房屋代銷龍頭業者</t>
  </si>
  <si>
    <t>全球導線架前五大供應商之一</t>
  </si>
  <si>
    <t>LCD顯示器及投影機大廠</t>
  </si>
  <si>
    <t>全球前五大NB品牌廠</t>
  </si>
  <si>
    <t>鴻海旗下散熱模組及鋁鎂合金廠</t>
  </si>
  <si>
    <t>全球車用PCB龍頭廠</t>
  </si>
  <si>
    <t>全球最大自有品牌主機板兼NB廠</t>
  </si>
  <si>
    <t>電子零組件專業代理商</t>
  </si>
  <si>
    <t>全球知名的自動測試設備品牌大廠</t>
  </si>
  <si>
    <t>筆電製造商，並轉投資大陸最大IT賣場百腦匯</t>
  </si>
  <si>
    <t>轉型為觸控IC設計廠商</t>
  </si>
  <si>
    <t>主攻軍工規格NB廠商</t>
  </si>
  <si>
    <t>「Genius」電腦週邊產品商</t>
  </si>
  <si>
    <t>台灣前三大手機印刷電路板廠之一</t>
  </si>
  <si>
    <t>全球最大伺服器用板製造商</t>
  </si>
  <si>
    <t>台灣專注於類比IC的小型封裝廠</t>
  </si>
  <si>
    <t>台灣重電及家電大廠，並擁有土地資產</t>
  </si>
  <si>
    <t>台灣最大的辦公設備與辦公家俱通路商</t>
  </si>
  <si>
    <t>以車載鏡頭及AI相機應用為主</t>
  </si>
  <si>
    <t>國巨旗下的專業鋁質電容廠</t>
  </si>
  <si>
    <t>全球前四大主機板廠商之一</t>
  </si>
  <si>
    <t>台灣知名主機板及電競筆電廠</t>
  </si>
  <si>
    <t>全球超高速乙太網路IC設計龍頭廠商</t>
  </si>
  <si>
    <t>提供掃瞄器、MFP等數位化辦公設備供應商</t>
  </si>
  <si>
    <t>全球第一大無鹵素板廠、台灣第二大CCL廠</t>
  </si>
  <si>
    <t>全球鍵盤及電源供應器大廠</t>
  </si>
  <si>
    <t>全球知名NB鍵盤廠</t>
  </si>
  <si>
    <t>支援x86平台之IC解決方案廠商</t>
  </si>
  <si>
    <t>從事智慧安防系統及智慧控制系統業務</t>
  </si>
  <si>
    <t>生產3C產品連接器、電池模組、電源管理模組之廠商</t>
  </si>
  <si>
    <t>全球前十大LED封裝廠</t>
  </si>
  <si>
    <t>全球工業電腦龍頭廠商</t>
  </si>
  <si>
    <t>佳世達轉投資工業電腦嵌入式解決方案供應商</t>
  </si>
  <si>
    <t>台灣主機板、顯示卡廠商</t>
  </si>
  <si>
    <t>台灣多媒體IC設計廠商</t>
  </si>
  <si>
    <t>軟板及塑膠機構件廠</t>
  </si>
  <si>
    <t>台積電最大的無塵室供應商</t>
  </si>
  <si>
    <t>台灣準系統廠</t>
  </si>
  <si>
    <t>提供太陽電池關鍵材料與發電系統整合服務商</t>
  </si>
  <si>
    <t>台塑集團旗下DRAM大廠</t>
  </si>
  <si>
    <t>全球前五大面板大廠之一</t>
  </si>
  <si>
    <t>台灣電信業龍頭</t>
  </si>
  <si>
    <t>電源供應器及變壓器製造廠商</t>
  </si>
  <si>
    <t>台灣前三大資訊通路經營商</t>
  </si>
  <si>
    <t>全球最大揚聲器鍛造零組件廠</t>
  </si>
  <si>
    <t>台灣知名影音視訊媒體解決方案商</t>
  </si>
  <si>
    <t>台灣Cable CPE與系統整合業者</t>
  </si>
  <si>
    <t>台灣聚焦高階電源供應器與知名微動開關廠</t>
  </si>
  <si>
    <t>PC散熱風扇知名廠商</t>
  </si>
  <si>
    <t>台灣知名的電子量測儀器廠</t>
  </si>
  <si>
    <t>海上衛星寬頻營運商</t>
  </si>
  <si>
    <t>七彩虹轉投資顯示卡、主機板、伺服器公司</t>
  </si>
  <si>
    <t>台灣大型LED晶粒切割、檢測廠</t>
  </si>
  <si>
    <t>以金融、電訊與交通產業為主之系統整合商</t>
  </si>
  <si>
    <t>全球知名熱敏電阻廠</t>
  </si>
  <si>
    <t>玻璃基板及加工製造商</t>
  </si>
  <si>
    <t>全台最大3C連鎖通路</t>
  </si>
  <si>
    <t>東元轉投資，為一家電源電控廠</t>
  </si>
  <si>
    <t>日本理光辦公事務機器之台灣代理商</t>
  </si>
  <si>
    <t>台灣上下游垂直整合之二極體廠</t>
  </si>
  <si>
    <t>台灣類比IC暨消費性IC設計廠商</t>
  </si>
  <si>
    <t>主要經營玻璃基板薄化加工及機電設備</t>
  </si>
  <si>
    <t>電聲元件大廠</t>
  </si>
  <si>
    <t>台灣絞銅線及3C連接線材公司</t>
  </si>
  <si>
    <t>全球記憶體封測廠</t>
  </si>
  <si>
    <t>著重於高質感不動產開發</t>
  </si>
  <si>
    <t>台灣無線網路設備代工廠</t>
  </si>
  <si>
    <t>全球IC測試領域龍頭公司</t>
  </si>
  <si>
    <t>中華電信轉投資之數位產品通路代理商</t>
  </si>
  <si>
    <t>「Transcend」品牌之記憶體模組廠</t>
  </si>
  <si>
    <t>以金融業為主的系統整合大廠</t>
  </si>
  <si>
    <t>全球智慧型手機晶片大廠</t>
  </si>
  <si>
    <t>全球前三大砷化鎵HBT磊晶片廠</t>
  </si>
  <si>
    <t>電源供應器領導廠商</t>
  </si>
  <si>
    <t>全球NB觸控板模組與觸控IC龍頭</t>
  </si>
  <si>
    <t>經營通路、製造、驗證三大事業群</t>
  </si>
  <si>
    <t>亞洲最大電器類端子製造廠</t>
  </si>
  <si>
    <t>全球重要知名雷射全像材料整合供應商</t>
  </si>
  <si>
    <t>台灣知名電源線製造商</t>
  </si>
  <si>
    <t>自動化系統整合與智慧製造的領導商</t>
  </si>
  <si>
    <t>台灣繪圖卡廠商</t>
  </si>
  <si>
    <t>LED裝飾燈及光電元件製造商</t>
  </si>
  <si>
    <t>印刷電路板製程用壓膜機知名大廠</t>
  </si>
  <si>
    <t>以數位影像處理為主的系統整合商</t>
  </si>
  <si>
    <t>以金融業及製造業為主的系統整合廠商</t>
  </si>
  <si>
    <t>台灣第一大鋁電解電容器廠</t>
  </si>
  <si>
    <t>台灣知名的金屬機殼製造大廠</t>
  </si>
  <si>
    <t>台灣沖壓件暨機構件大廠</t>
  </si>
  <si>
    <t>台灣最大音箱及揚聲器製造廠之一</t>
  </si>
  <si>
    <t>台灣知名晶片電阻製造商</t>
  </si>
  <si>
    <t>台灣資訊系統整合服務大廠</t>
  </si>
  <si>
    <t>全球領先IDM分離器件半導體製造商</t>
  </si>
  <si>
    <t>台灣讀卡機等電子支付交易設備廠</t>
  </si>
  <si>
    <t>台灣知名程式開關兼繼電器供應商</t>
  </si>
  <si>
    <t>台灣石英元件大廠</t>
  </si>
  <si>
    <t>機上盒、LNB、有線電視傳輸設備製造商</t>
  </si>
  <si>
    <t>台灣LED導線架大廠</t>
  </si>
  <si>
    <t>台灣娛樂音訊產品ODM製造商</t>
  </si>
  <si>
    <t>台灣知名液晶電視及顯示器代工廠</t>
  </si>
  <si>
    <t>主要從事照明應用產品製造及銷售</t>
  </si>
  <si>
    <t>全球前五大MLCC廠</t>
  </si>
  <si>
    <t>全球最大的PCB濕製程大廠</t>
  </si>
  <si>
    <t>全球前十大磁碟陣列及NAS系統供應商</t>
  </si>
  <si>
    <t>為補教教育服務商，旗下擁有陳立補習班</t>
  </si>
  <si>
    <t>國內車載影音主機大廠</t>
  </si>
  <si>
    <t>以HTC品牌行銷全球前十大智慧型手機廠商</t>
  </si>
  <si>
    <t>屬霖園集團之台灣老牌營建開發業者</t>
  </si>
  <si>
    <t>台灣知名預拌混凝土大廠</t>
  </si>
  <si>
    <t>整合百貨、飯店、休閒、地產的營建商</t>
  </si>
  <si>
    <t>多角化經營建設、百貨及休閒等事業</t>
  </si>
  <si>
    <t>推案集中於大台北地區的建商</t>
  </si>
  <si>
    <t>統一集團旗下建商</t>
  </si>
  <si>
    <t>中部地區首家上市建商</t>
  </si>
  <si>
    <t>威京集團旗下，建築工程廠商</t>
  </si>
  <si>
    <t>主要承攬公共工程為主之營造廠商</t>
  </si>
  <si>
    <t>大台北地區的中大型建商</t>
  </si>
  <si>
    <t>高雄地區知名建商</t>
  </si>
  <si>
    <t>日月光旗下建商</t>
  </si>
  <si>
    <t>以大台北地區推案為主的建商</t>
  </si>
  <si>
    <t>宏泰集團旗下建商，以仁愛帝寶豪宅推案而知名</t>
  </si>
  <si>
    <t>台灣主要甲級營造廠之一</t>
  </si>
  <si>
    <t>推案集中於大台北地區之建商</t>
  </si>
  <si>
    <t>聯上集團旗下負責大台北及桃園地區推案的建商</t>
  </si>
  <si>
    <t>推案集中於大台中地區之建商</t>
  </si>
  <si>
    <t>甲山林旗下建商及代銷商</t>
  </si>
  <si>
    <t>台灣前十大推案建商</t>
  </si>
  <si>
    <t>主要承攬公共工程之營造廠</t>
  </si>
  <si>
    <t>推案集中於大台北地區建商，知名推案為皇翔御琚</t>
  </si>
  <si>
    <t>冠德旗下，住宅及土木工程營造廠</t>
  </si>
  <si>
    <t>以政府開發案起家，橫跨建築、百貨及觀光的中型建商</t>
  </si>
  <si>
    <t>大台北地區中型建商，並轉向地上權開發</t>
  </si>
  <si>
    <t>桃園及台北地區小型建商</t>
  </si>
  <si>
    <t>潤泰集團旗下，營造廠商</t>
  </si>
  <si>
    <t>全球前七大貨櫃航商，且為台灣最大</t>
  </si>
  <si>
    <t>台灣前四大散裝船商</t>
  </si>
  <si>
    <t>台灣最大散裝航運公司之一</t>
  </si>
  <si>
    <t>長榮集團旗之內陸貨櫃運輸及倉儲服務業者</t>
  </si>
  <si>
    <t>台灣大型物流貨運公司，港資嘉里物流為最大股東</t>
  </si>
  <si>
    <t>台灣第二大貨櫃海運公司</t>
  </si>
  <si>
    <t>台灣前兩大航空公司</t>
  </si>
  <si>
    <t>多角化經營陸運、加油站、營建、飯店業務</t>
  </si>
  <si>
    <t>台灣散裝航運業者，且是具規模的貨櫃運輸業者</t>
  </si>
  <si>
    <t>在台灣北、中、南擁有貨櫃集散場之公司</t>
  </si>
  <si>
    <t>主要從事寵物用品通路、新聞網站、倉儲業務</t>
  </si>
  <si>
    <t>亞洲大型貨櫃輪航商</t>
  </si>
  <si>
    <t>台灣知名加油站運營商</t>
  </si>
  <si>
    <t>主營散裝航運，兼營客貨輪與特種船舶代營</t>
  </si>
  <si>
    <t>台灣專業航空器修護公司</t>
  </si>
  <si>
    <t>台灣高速鐵路運輸服務公司</t>
  </si>
  <si>
    <t>台灣航太產業領導者</t>
  </si>
  <si>
    <t>台灣第一家海運承攬上市公司，為物流控股公司</t>
  </si>
  <si>
    <t>台灣具規模的散裝船隊船東之一</t>
  </si>
  <si>
    <t>台灣計程車車隊龍頭企業</t>
  </si>
  <si>
    <t>以亞洲近洋航線為主力之散裝航運業者</t>
  </si>
  <si>
    <t>東元與日本通運合資成立的宅配服務業者</t>
  </si>
  <si>
    <t>台灣承攬航空貨運、海運與報關業務之物流業者</t>
  </si>
  <si>
    <t>長榮航旗下，全球十大飛機維修公司之一</t>
  </si>
  <si>
    <t>主要提供國際間客、貨運輸服務</t>
  </si>
  <si>
    <t>經營商場租賃、電影院及遊樂場業務</t>
  </si>
  <si>
    <t>位於高雄六合夜市及愛河中心點的國際觀光飯店</t>
  </si>
  <si>
    <t>知名飯店及米其林餐廳業者</t>
  </si>
  <si>
    <t>集團旗下擁有遊樂園、渡假飯店及五星級飯店</t>
  </si>
  <si>
    <t>位於台北市南京東路精華地帶之飯店</t>
  </si>
  <si>
    <t>國際五星級觀光飯店</t>
  </si>
  <si>
    <t>遠雄旗下位於花蓮海洋公園旁之五星級飯店</t>
  </si>
  <si>
    <t>由飯店業跨入不動產開發產業</t>
  </si>
  <si>
    <t>台鋼集團旗下旅遊公司</t>
  </si>
  <si>
    <t>官田鋼轉投資，位於台灣墾丁之觀光渡假飯店</t>
  </si>
  <si>
    <t>以「85度C」為品牌之咖啡烘焙連鎖店</t>
  </si>
  <si>
    <t>轉型為不動產代銷服務商</t>
  </si>
  <si>
    <t>在大陸以快樂檸檬品牌知名的台商茶飲料業者</t>
  </si>
  <si>
    <t>連鎖餐飲集團，旗下擁有多個餐飲品牌</t>
  </si>
  <si>
    <t>泰式料理連鎖餐廳</t>
  </si>
  <si>
    <t>台灣知名與規模最大的旅行社之一</t>
  </si>
  <si>
    <t>在全球80個城市擁有門市據點的外帶式茶飲與甜品供應商</t>
  </si>
  <si>
    <t>聚焦於線上銷售服務的旅行社業者</t>
  </si>
  <si>
    <t>台東縣知本溫泉區的知名溫泉飯店</t>
  </si>
  <si>
    <t>在台北經營管理五星級飯店及餐飲服務之業者</t>
  </si>
  <si>
    <t>旗下「點八餐飲集團」主營港式餐飲品牌</t>
  </si>
  <si>
    <t>台灣知名旅行社之一</t>
  </si>
  <si>
    <t>來自高雄的國內前五大旅行社</t>
  </si>
  <si>
    <t>日月潭首家擁有天然溫泉的五星渡假飯店</t>
  </si>
  <si>
    <t>六角旗下，代理與經營海內外餐飲品牌</t>
  </si>
  <si>
    <t>台灣規模最大韓式連鎖餐廳集團</t>
  </si>
  <si>
    <t>台式連鎖餐飲集團，擁有八方雲集、梁社漢排骨</t>
  </si>
  <si>
    <t>日式迴轉壽司連鎖店，擁有品牌「藏壽司」</t>
  </si>
  <si>
    <t>連鎖.直營門市餐飲經營者，核心品牌「麥味登」</t>
  </si>
  <si>
    <t>茶飲連鎖店，核心品牌「歇腳亭」</t>
  </si>
  <si>
    <t>主要經營會員制連鎖健身中心</t>
  </si>
  <si>
    <t>台灣老牌銀行，為銀行界歷史悠久的三商銀之一</t>
  </si>
  <si>
    <t>中纖為大股東之中小型商業銀行</t>
  </si>
  <si>
    <t>台灣產險業第一家上市公司，後由旺旺集團入主</t>
  </si>
  <si>
    <t>台灣前三大票券商</t>
  </si>
  <si>
    <t>台灣歷史最悠久的中小型產險公司</t>
  </si>
  <si>
    <t>台灣六大泛公股銀行之一</t>
  </si>
  <si>
    <t>高雄市政府為大股東之區域型銀行</t>
  </si>
  <si>
    <t>三重幫林榮三家族為大股東之民營銀行</t>
  </si>
  <si>
    <t>遠東集團旗下之中小型商業銀行</t>
  </si>
  <si>
    <t>私募基金隆力集團入主的中小型銀行</t>
  </si>
  <si>
    <t>新光集團旗下，為台灣前三大產險公司</t>
  </si>
  <si>
    <t>長榮集團旗下，為台灣保險市場中唯一的本土再保險公司</t>
  </si>
  <si>
    <t>台灣排名前十大的產險公司</t>
  </si>
  <si>
    <t>為統一集團旗下券商，市佔排名前八大</t>
  </si>
  <si>
    <t>以銀行為主體公營金控公司，為台灣銀行界歷史悠久的三商銀之一</t>
  </si>
  <si>
    <t>台灣資產規模前二大的金控公司，旗下擁有台灣最大產險公司</t>
  </si>
  <si>
    <t>台灣資產規模前二大金控公司，旗下擁有台灣最大壽險公司</t>
  </si>
  <si>
    <t>以投資銀行業務為主之金控，並藉購併跨入證券與商業銀行領域</t>
  </si>
  <si>
    <t>以玉山銀行為主體的金控公司</t>
  </si>
  <si>
    <t>以證券為主體金控公司，旗下元大證券為台灣最大券商</t>
  </si>
  <si>
    <t>具有國營背景的金控公司，旗下銀行為台灣主要企業聯貸銀行</t>
  </si>
  <si>
    <t>以消費金融業務為主體之台灣金控公司</t>
  </si>
  <si>
    <t>台灣唯一以票券業務為主體之金控公司</t>
  </si>
  <si>
    <t>以銀行為主體的的大型金控，旗下另有證券、投信業務</t>
  </si>
  <si>
    <t>台灣資產規模前四大金控公司，旗下中信銀為最大信用卡發卡銀行</t>
  </si>
  <si>
    <t>台灣前三大官股金控公司，旗下銀行為業界歷史悠久的三商銀之一</t>
  </si>
  <si>
    <t>前身為台灣工業銀行，台灣第一家數位銀行</t>
  </si>
  <si>
    <t>位於台北市中山區精華地段之百貨業者，退撫會為最大股東</t>
  </si>
  <si>
    <t>隸屬遠東集團，合併SOGO百貨成為台灣百貨業龍頭</t>
  </si>
  <si>
    <t>台灣專業的石化倉儲廠</t>
  </si>
  <si>
    <t>轉投資子公司業務包含壽險、零售、餐飲、資訊服務、製藥等</t>
  </si>
  <si>
    <t>為國內知名貿易商，並代理G2000等多項品牌服飾</t>
  </si>
  <si>
    <t>海內外家居用品貿易商，擁有特力屋、HOLA零售品牌</t>
  </si>
  <si>
    <t>由百貨公司跨足至營建之業者</t>
  </si>
  <si>
    <t>台灣嬰幼童服飾第一大品牌</t>
  </si>
  <si>
    <t>經營7-11為台灣超商龍頭，隸屬統一集團</t>
  </si>
  <si>
    <t>台灣茶葉產製銷一條龍企業</t>
  </si>
  <si>
    <t>潤泰集團旗下，經營紡織貿易、零售事業之控股公司</t>
  </si>
  <si>
    <t>台灣前二大代理知名品牌服飾廠商</t>
  </si>
  <si>
    <t>日月光轉投資的房地產開發商</t>
  </si>
  <si>
    <t>以「黃色小鴨」品牌在兩岸經營嬰童產品</t>
  </si>
  <si>
    <t>誠品集團旗下百貨通路及餐旅業者</t>
  </si>
  <si>
    <t>為中國大陸童裝前十大品牌廠</t>
  </si>
  <si>
    <t>百貨家電龍頭通路商</t>
  </si>
  <si>
    <t>生活應用產品開發供應商</t>
  </si>
  <si>
    <t>台灣服飾品牌OMO零售商</t>
  </si>
  <si>
    <t>三商旗下社區型連鎖超市業者</t>
  </si>
  <si>
    <t>大型五金修繕專業賣場</t>
  </si>
  <si>
    <t>代理及自有地板品牌及室內建材銷售商</t>
  </si>
  <si>
    <t>台灣電商營運服務商</t>
  </si>
  <si>
    <t>台灣電源管理與智慧家庭解決方案領導廠商</t>
  </si>
  <si>
    <t>各種應用之連接器及配線器材生產</t>
  </si>
  <si>
    <t>亞洲唯一合格航太扣件供應商</t>
  </si>
  <si>
    <t>全球前三大軍工規電腦廠</t>
  </si>
  <si>
    <t>台灣利基型記憶體IC設計廠商</t>
  </si>
  <si>
    <t>全球智慧型手機鏡頭龍頭廠</t>
  </si>
  <si>
    <t>大中華半導體前段製程材料與化學品最大供應商</t>
  </si>
  <si>
    <t>3C產品之電源線供應大廠</t>
  </si>
  <si>
    <t>台灣伺服器機殼OEM/ODM製造商</t>
  </si>
  <si>
    <t>全球輸出入(I/O)控制IC領導廠商</t>
  </si>
  <si>
    <t>全球前十大交換式電源供應器廠商</t>
  </si>
  <si>
    <t>台灣專業磊晶矽晶圓業者</t>
  </si>
  <si>
    <t>全球最大PC散熱模組廠</t>
  </si>
  <si>
    <t>台灣無塵室及工廠、住宅機電系統整合工程之大廠</t>
  </si>
  <si>
    <t>台灣光學鏡頭大廠，專注於玻璃鏡片與非球面模造玻璃</t>
  </si>
  <si>
    <t>提供3C產品線材、連接器及電子元件廠商</t>
  </si>
  <si>
    <t>台灣知名工業電腦廠商</t>
  </si>
  <si>
    <t>台灣知名連接線束製造廠</t>
  </si>
  <si>
    <t>經營歌林品牌家電</t>
  </si>
  <si>
    <t>台灣電信局端設備製造商</t>
  </si>
  <si>
    <t>主要自製MLCC及代理電子元件</t>
  </si>
  <si>
    <t>再生能源設備銷售與系統供應商</t>
  </si>
  <si>
    <t>台灣半導體元件代理通路商</t>
  </si>
  <si>
    <t>台灣大型加值型網路代理商</t>
  </si>
  <si>
    <t>電路板組裝檢測設備大廠</t>
  </si>
  <si>
    <t>台灣LED封裝暨紅外線傳輸模組廠商</t>
  </si>
  <si>
    <t>台灣PC電源供應器及機殼製造廠，並跨入電競領域</t>
  </si>
  <si>
    <t>半導體零組件專業代理商</t>
  </si>
  <si>
    <t>全球面板驅動IC設計龍頭廠</t>
  </si>
  <si>
    <t>聯電體系的ASIC及設計IP廠</t>
  </si>
  <si>
    <t>台灣前三大半導體IC通路商</t>
  </si>
  <si>
    <t>全球印刷電路板龍頭廠之一</t>
  </si>
  <si>
    <t>台灣中小尺寸面板模組廠</t>
  </si>
  <si>
    <t>從事品牌授權、物業租賃及加值型服務</t>
  </si>
  <si>
    <t>專注於數位機上盒系統單晶片開發的領導廠商</t>
  </si>
  <si>
    <t>台灣最大石英元件、頻率控制元件廠商</t>
  </si>
  <si>
    <t>不斷電系統和電力保護產品品牌廠商</t>
  </si>
  <si>
    <t>全球前十大印刷電路板廠之一</t>
  </si>
  <si>
    <t>台灣前三大電信業者之一</t>
  </si>
  <si>
    <t>宏碁轉投資工業電腦與數位看板公司</t>
  </si>
  <si>
    <t>兼營品牌(EDIMAX)與代工的網通設備廠</t>
  </si>
  <si>
    <t>全球第十大半導體代理商</t>
  </si>
  <si>
    <t>瀚宇彩晶關係企業，為觸控感測器製造商</t>
  </si>
  <si>
    <t>錸德集團旗下台灣最大預錄碟片廠</t>
  </si>
  <si>
    <t>全球前十大偏光板供應商之一</t>
  </si>
  <si>
    <t>提供工程整合服務之廠商</t>
  </si>
  <si>
    <t>威剛旗下，經營電子零件通路和保健品</t>
  </si>
  <si>
    <t>半導體測試解決方案商</t>
  </si>
  <si>
    <t>推案集中於中部地區之建商</t>
  </si>
  <si>
    <t>全球知名RAID控制器及儲存解決方案供應商</t>
  </si>
  <si>
    <t>以消費性網通應用為主的電源供應器廠</t>
  </si>
  <si>
    <t>以車用鏡頭、影像晶片與醫療產品為主軸</t>
  </si>
  <si>
    <t>台灣最大硬碟零組件製造商，主要產品為音圈馬達</t>
  </si>
  <si>
    <t>鴻海投資的無線與寬頻網路設備製造商</t>
  </si>
  <si>
    <t>台灣博奕遊戲與博奕機台公司</t>
  </si>
  <si>
    <t>台灣利基型LED封裝廠</t>
  </si>
  <si>
    <t>以Phonic為品牌行銷全球之專業音響廠商</t>
  </si>
  <si>
    <t>生產NB用散熱風扇及模組廠</t>
  </si>
  <si>
    <t>從事太陽能發電、風力發電、儲能等再生能源業務</t>
  </si>
  <si>
    <t>全球clone市場上最大電源供應器製造商</t>
  </si>
  <si>
    <t>生產砷化鎵與磷化銦為基板的磊晶廠</t>
  </si>
  <si>
    <t>智冠轉投資線上遊戲開發商</t>
  </si>
  <si>
    <t>台灣知名遊戲軟體業者</t>
  </si>
  <si>
    <t>研華轉投資工業電腦廠商</t>
  </si>
  <si>
    <t>台灣最大的被動元件代理商</t>
  </si>
  <si>
    <t>台灣知名連接元件製造商</t>
  </si>
  <si>
    <t>PCB、IC封裝及CD-R/DVD製程設備廠</t>
  </si>
  <si>
    <t>嵌入式乙太網路IC設計廠商</t>
  </si>
  <si>
    <t>台灣鋁合金沖壓零件廠</t>
  </si>
  <si>
    <t>全球最大砷化鎵晶圓代工廠</t>
  </si>
  <si>
    <t>電子零組件及製程設備與耗材之專業代理商</t>
  </si>
  <si>
    <t>台灣從事鋁錠等有色金屬買賣業務公司</t>
  </si>
  <si>
    <t>台灣具規模的生醫實驗室儀器耗材通路商</t>
  </si>
  <si>
    <t>提供有關MCU軟硬體全方位服務的廠商</t>
  </si>
  <si>
    <t>為監視系統領域之專業安全監控廠</t>
  </si>
  <si>
    <t>台灣人力資源網站第一品牌</t>
  </si>
  <si>
    <t>酸槽設備在台市占率第一名</t>
  </si>
  <si>
    <t>台灣記憶體模組生產商</t>
  </si>
  <si>
    <t>台灣天線製造、儀器設備代理廠商</t>
  </si>
  <si>
    <t>LCD驅動IC設計公司，也是電子紙驅動IC重要供應商之一</t>
  </si>
  <si>
    <t>電腦軟硬體設備代理銷售及系統整合商</t>
  </si>
  <si>
    <t>鴻海集團旗下之玻璃加工龍頭廠商</t>
  </si>
  <si>
    <t>台灣最大LTCC元件廠</t>
  </si>
  <si>
    <t>金融資訊流整合系統及股市即時報價供應商</t>
  </si>
  <si>
    <t>敏實集團旗下的車用鋁壓鑄零件供應商</t>
  </si>
  <si>
    <t>台灣最大光纖被動元件代工廠</t>
  </si>
  <si>
    <t>亞洲第一家益生菌原料藥GMP廠</t>
  </si>
  <si>
    <t>全球PCB成型機龍頭廠</t>
  </si>
  <si>
    <t>佳世達旗下，為工控及客製化液晶顯示器之製造商</t>
  </si>
  <si>
    <t>台灣乙太網路控制晶片廠</t>
  </si>
  <si>
    <t>炎洲集團旗下的包材通路商</t>
  </si>
  <si>
    <t>全球知名的核酸檢驗試劑和肝癌新藥研發廠</t>
  </si>
  <si>
    <t>機台設備使用之關鍵零組件、精密模具製造商</t>
  </si>
  <si>
    <t>以開發南部不動產商品為主</t>
  </si>
  <si>
    <t>全球ABF載板的主要供應商</t>
  </si>
  <si>
    <t>變壓器線架專業生產商</t>
  </si>
  <si>
    <t>透過克緹直銷有機食品及保健食品</t>
  </si>
  <si>
    <t>耳機與蜂鳴器等電聲元件廠</t>
  </si>
  <si>
    <t>變壓器及電感線圈製造生產商</t>
  </si>
  <si>
    <t>為專業通訊元件設計及通路商</t>
  </si>
  <si>
    <t>全球知名筆記型電腦電池組裝廠</t>
  </si>
  <si>
    <t>國內專業的強固型電腦暨電腦通路商</t>
  </si>
  <si>
    <t>國內連接器製造商</t>
  </si>
  <si>
    <t>台灣最大視力健康連鎖集團</t>
  </si>
  <si>
    <t>全球領先的消費電子及車電測試方案供應商</t>
  </si>
  <si>
    <t>台灣最大的表面聲波濾波器製造商</t>
  </si>
  <si>
    <t>經營電子材料代理及再生醫療業務</t>
  </si>
  <si>
    <t>台灣車燈及車用LED模組製造商</t>
  </si>
  <si>
    <t>為CMOS影像感測器及數位影像應用IC領導廠商</t>
  </si>
  <si>
    <t>從事微控制器IC、嵌入式微處理器及網路單晶片IC等設計公司</t>
  </si>
  <si>
    <t>磷銅球、小量多樣PCB供應商</t>
  </si>
  <si>
    <t>生產液晶螢幕金屬機構模具廠</t>
  </si>
  <si>
    <t>主要代理日系的電子零組件通路商</t>
  </si>
  <si>
    <t>光收發模組上游晶粒及封裝廠</t>
  </si>
  <si>
    <t>台灣SMD晶片電感廠</t>
  </si>
  <si>
    <t>知名海邊渡假飯店</t>
  </si>
  <si>
    <t>台灣AC-DC類比電源管理IC供應商</t>
  </si>
  <si>
    <t>從事NAND Flash控制IC及MEMS麥克風IC設計廠</t>
  </si>
  <si>
    <t>全球前三大記憶體模組廠</t>
  </si>
  <si>
    <t>主攻晶圓測試，台灣前三大IC測試廠之一</t>
  </si>
  <si>
    <t>淡馬錫控股之IC封測廠</t>
  </si>
  <si>
    <t>台灣消費性IC韌體設計廠</t>
  </si>
  <si>
    <t>全球PC/行動裝置擴充基座龍頭廠</t>
  </si>
  <si>
    <t>志超轉投資印刷電路板公司</t>
  </si>
  <si>
    <t>台灣最大預塗式感光平版(PS版)廠</t>
  </si>
  <si>
    <t>數位影音產品與LCD模組製造商</t>
  </si>
  <si>
    <t>「GAMDIAS」電競周邊產品品牌商</t>
  </si>
  <si>
    <t>LED、馬達驅動應用的類比IC設計廠商</t>
  </si>
  <si>
    <t>台灣半導體驗證分析大廠</t>
  </si>
  <si>
    <t>塑膠精密元件模具廠</t>
  </si>
  <si>
    <t>台灣商用遊戲機與網路遊戲大廠</t>
  </si>
  <si>
    <t>專營塑膠零組件射出與模具廠</t>
  </si>
  <si>
    <t>以PC應用為主的電源保護器廠</t>
  </si>
  <si>
    <t>台灣安全監控系統製造商</t>
  </si>
  <si>
    <t>全球前三大的燙金箔領導商</t>
  </si>
  <si>
    <t>半導體封裝材料之錫膏、錫球生產商</t>
  </si>
  <si>
    <t>廣達旗下GPS接收機大廠</t>
  </si>
  <si>
    <t>台灣LED導線架及沖壓零件供應商</t>
  </si>
  <si>
    <t>聚焦於車用零組件及機構整合元件</t>
  </si>
  <si>
    <t>IC通路商，主要代理數位通訊應用方案與元件</t>
  </si>
  <si>
    <t>上曜集團旗下以危老都更為主的建商</t>
  </si>
  <si>
    <t>電源管理功率元件公司</t>
  </si>
  <si>
    <t>欣興、台表科轉投資的軟板公司</t>
  </si>
  <si>
    <t>台灣連接元件及電子週邊元件廠</t>
  </si>
  <si>
    <t>台灣三大NB電池模組廠之一</t>
  </si>
  <si>
    <t>台灣前二大散熱模組廠商</t>
  </si>
  <si>
    <t>電腦機殼製造商</t>
  </si>
  <si>
    <t>台灣專攻工業電源供應器廠，主銷歐美市場</t>
  </si>
  <si>
    <t>台灣生產散熱器及PC用連接器廠</t>
  </si>
  <si>
    <t>台灣專業生產綠光、藍光、紫外光LED磊晶片及晶粒供應廠</t>
  </si>
  <si>
    <t>LED車燈模組製造廠</t>
  </si>
  <si>
    <t>電競週邊產品製造商</t>
  </si>
  <si>
    <t>台灣軟式印刷電路板基材製造商</t>
  </si>
  <si>
    <t>台灣全系列電感元件製造商</t>
  </si>
  <si>
    <t>代理影像感測元件和專注於網通設備和服務的企業</t>
  </si>
  <si>
    <t>台灣光學鏡頭研發及製造廠商</t>
  </si>
  <si>
    <t>台灣光纖被動元件大廠</t>
  </si>
  <si>
    <t>記憶卡、影像感測元件封裝廠</t>
  </si>
  <si>
    <t>主營紅外線精密量測技術產品</t>
  </si>
  <si>
    <t>台積電轉投資的封測廠</t>
  </si>
  <si>
    <t>全球NB樞紐大廠</t>
  </si>
  <si>
    <t>食品飲料機械設備供應大廠</t>
  </si>
  <si>
    <t>佳世達轉投資的網通設備代工大廠</t>
  </si>
  <si>
    <t>日本信越的矽利光產品專業代理商</t>
  </si>
  <si>
    <t>專攻LCM模組的軟板廠</t>
  </si>
  <si>
    <t>專注於特殊氣體輸配工程設備廠商</t>
  </si>
  <si>
    <t>台灣光學鏡頭大廠，專注於手機鏡頭與AR/VR透鏡</t>
  </si>
  <si>
    <t>鴻海集團旗下，美商應材的相關供應商</t>
  </si>
  <si>
    <t>台灣強固型工業用行動電腦及顯示器廠商</t>
  </si>
  <si>
    <t>網通天線大廠</t>
  </si>
  <si>
    <t>台灣橡塑、UV化學添加劑生產廠</t>
  </si>
  <si>
    <t>台灣安全監控顯示器廠商</t>
  </si>
  <si>
    <t>專注於SMD LED研究、開發和製造</t>
  </si>
  <si>
    <t>台灣面板電源管理IC龍頭</t>
  </si>
  <si>
    <t>台灣光學鏡頭上游專業光學毛胚廠</t>
  </si>
  <si>
    <t>台積電轉投資之設計IP與客製化ASIC廠</t>
  </si>
  <si>
    <t>國內半導體封測材料通路商</t>
  </si>
  <si>
    <t>群光轉投資網通設備廠</t>
  </si>
  <si>
    <t>全球前三大雷射二極體封測代工廠</t>
  </si>
  <si>
    <t>應用於載板、PCB、面板的AOI檢測設備商</t>
  </si>
  <si>
    <t>專業音響OEM/ODM製造商</t>
  </si>
  <si>
    <t>台灣機上盒製造廠</t>
  </si>
  <si>
    <t>半導體設備使用的精密陶瓷零組件耗材廠</t>
  </si>
  <si>
    <t>仁寶轉投資工業電腦廠商</t>
  </si>
  <si>
    <t>全球知名面板大廠</t>
  </si>
  <si>
    <t>具風扇及熱導管自製能力的散熱廠商</t>
  </si>
  <si>
    <t>全球知名工具機開關領導廠商</t>
  </si>
  <si>
    <t>高階IC覆晶載板設備供應商</t>
  </si>
  <si>
    <t>森聯旗下，房地產開發商</t>
  </si>
  <si>
    <t>LED及半導體封裝模具及設備供應商</t>
  </si>
  <si>
    <t>台灣微波及毫米波元件廠商</t>
  </si>
  <si>
    <t>台灣連接器與線組製造商</t>
  </si>
  <si>
    <t>熱昇華式數位相片印表機供應商</t>
  </si>
  <si>
    <t>台灣PCB暨CCL、環境工程及物流等自動化設備廠</t>
  </si>
  <si>
    <t>台灣GPS相關應用製造業者</t>
  </si>
  <si>
    <t>正崴集團之連接線廠</t>
  </si>
  <si>
    <t>中光電旗下微投光機及光學元件生產廠商</t>
  </si>
  <si>
    <t>手機外殼電鍍、濺鍍與塗裝之表面處理專業廠</t>
  </si>
  <si>
    <t>佳世達旗下連接器廠</t>
  </si>
  <si>
    <t>從事營建事業及散熱片設計製造</t>
  </si>
  <si>
    <t>台灣連接線材及LED照明廠商</t>
  </si>
  <si>
    <t>為台灣第一家具備低溫真空濺鍍之專業廠商</t>
  </si>
  <si>
    <t>台灣各種應用連接線材供應商</t>
  </si>
  <si>
    <t>從事營建及POS機系統業務</t>
  </si>
  <si>
    <t>連鎖餐飲事業，擁有頂鮮餐廳及晶宴會館</t>
  </si>
  <si>
    <t>各式光學與光電膜產品製造商</t>
  </si>
  <si>
    <t>強茂轉投資之連接器廠</t>
  </si>
  <si>
    <t>全球LED顯示屏驅動IC設計龍頭廠</t>
  </si>
  <si>
    <t>台灣前5大IC通路商</t>
  </si>
  <si>
    <t>全球嵌入式非揮發性記憶體矽智財(eNVM IP)領導廠</t>
  </si>
  <si>
    <t>神盾旗下CMOS晶片廠</t>
  </si>
  <si>
    <t>LED中小尺寸背光模組專業製造廠</t>
  </si>
  <si>
    <t>台塑與Sumco合資成立的矽晶圓製造商</t>
  </si>
  <si>
    <t>全球前三大CPU Socket製造商</t>
  </si>
  <si>
    <t>國內面板前段自動光學檢測設備大廠</t>
  </si>
  <si>
    <t>為日商松下被動元件的代理商</t>
  </si>
  <si>
    <t>電競品牌廠</t>
  </si>
  <si>
    <t>台灣專業智慧型影音訊號產品製造商</t>
  </si>
  <si>
    <t>專注LCD TV面板沖壓件製造商</t>
  </si>
  <si>
    <t>台灣中小尺寸LCD驅動IC廠</t>
  </si>
  <si>
    <t>台灣知名線上遊戲開發商</t>
  </si>
  <si>
    <t>全球前三大NB樞紐生產商</t>
  </si>
  <si>
    <t>3C影音傳輸線材專業供應商</t>
  </si>
  <si>
    <t>精密洗淨及再生處理加工的龍頭廠商</t>
  </si>
  <si>
    <t>全球知名倒車雷達大廠</t>
  </si>
  <si>
    <t>區塊鏈金融科技解決方案應用開發與相關專案委託開發</t>
  </si>
  <si>
    <t>禾伸堂轉投資的觸控IC設計公司</t>
  </si>
  <si>
    <t>家居餐飲用品生產及銷售商</t>
  </si>
  <si>
    <t>神腦轉投資的網路通訊及網路安全設備廠</t>
  </si>
  <si>
    <t>台灣最大的PCB光學檢測設備供應商</t>
  </si>
  <si>
    <t>友通轉投資的網路安全設備廠</t>
  </si>
  <si>
    <t>專注類比與混合訊號IC測試廠</t>
  </si>
  <si>
    <t>工程繪圖CAD/CAM/CAE/CAID軟體代理商</t>
  </si>
  <si>
    <t>台灣太陽能電池模組龍頭</t>
  </si>
  <si>
    <t>專攻PAC遠端控制器的IPC廠</t>
  </si>
  <si>
    <t>台灣真空設備與真空濺鍍供應商</t>
  </si>
  <si>
    <t>國內提供封裝測試設備及治具之專業製造商</t>
  </si>
  <si>
    <t>再生晶圓暨半導體設備廠</t>
  </si>
  <si>
    <t>以材料分析為主之專業獨立實驗室</t>
  </si>
  <si>
    <t>台灣少數跨AC/DC及DC/DC的電源管理IC設計廠商</t>
  </si>
  <si>
    <t>友達集團旗下驅動IC設計公司</t>
  </si>
  <si>
    <t>台灣塑膠射出成型零組件廠</t>
  </si>
  <si>
    <t>專攻系統產品的工業電腦廠</t>
  </si>
  <si>
    <t>仁寶集團旗下網通廠</t>
  </si>
  <si>
    <t>台灣連接元件廠商</t>
  </si>
  <si>
    <t>國內連接器及連接線組、配件製造商</t>
  </si>
  <si>
    <t>為3C塑膠零組件製造廠</t>
  </si>
  <si>
    <t>台半轉投資的條碼印表機製造廠</t>
  </si>
  <si>
    <t>錸德轉投資的ITO導電玻璃專業鍍膜廠</t>
  </si>
  <si>
    <t>北美地區UPS市場前三大品牌之一</t>
  </si>
  <si>
    <t>台灣中小尺寸觸控面板廠</t>
  </si>
  <si>
    <t>中環與富士通合資之觸控面板廠</t>
  </si>
  <si>
    <t>利基型薄膜電阻廠</t>
  </si>
  <si>
    <t>UPS設備製造商兼專案工程商</t>
  </si>
  <si>
    <t>主要從事整合行銷公關服務</t>
  </si>
  <si>
    <t>台灣感測鏡頭供應商</t>
  </si>
  <si>
    <t>錫條、錫絲、錫膏及鉛助焊劑供應商</t>
  </si>
  <si>
    <t>全球第四大聚醯亞胺薄膜生產廠商</t>
  </si>
  <si>
    <t>台灣工業及汽車用連接器製造廠</t>
  </si>
  <si>
    <t>台灣條碼識別與自動資料收集設備(AIDC)領導品牌</t>
  </si>
  <si>
    <t>台灣均熱片兼LED導線架供應商</t>
  </si>
  <si>
    <t>全球ASIC及設計IP業者</t>
  </si>
  <si>
    <t>屬中鋼集團之台灣前兩大濺鍍靶材廠</t>
  </si>
  <si>
    <t>光聚晶電旗下雲端ADC設備廠</t>
  </si>
  <si>
    <t>為光群雷轉投資之聚光片廠</t>
  </si>
  <si>
    <t>圓剛轉投資之視訊會議與教學簡報系統供應商</t>
  </si>
  <si>
    <t>台灣光纖網路設備製造商</t>
  </si>
  <si>
    <t>全球最大玻璃投射電容觸控模組廠</t>
  </si>
  <si>
    <t>台灣整流二極體供應商</t>
  </si>
  <si>
    <t>為塑膠模具設計及射出廠商</t>
  </si>
  <si>
    <t>全球第一大半導體光罩載具廠</t>
  </si>
  <si>
    <t>高頻連接線及無線通訊整合次系統廠商</t>
  </si>
  <si>
    <t>車用導光板及沖焊零件供應商</t>
  </si>
  <si>
    <t>轉型發展太陽能EPC業務、記憶體通路</t>
  </si>
  <si>
    <t>第三方金流服務及遊戲代理商</t>
  </si>
  <si>
    <t>主要生產DT、網通及消費電子用連接器</t>
  </si>
  <si>
    <t>國碩轉投資太陽能導電漿大廠</t>
  </si>
  <si>
    <t>台灣伺服器機箱兼系統平台服務商</t>
  </si>
  <si>
    <t>和碩旗下無線通訊模組廠</t>
  </si>
  <si>
    <t>轉投資製造工程、設計製造及系統整合等產業</t>
  </si>
  <si>
    <t>全球暨亞太區第一大的半導體零組件通路商</t>
  </si>
  <si>
    <t>由大陸建設換股成立之建設、營造控股公司</t>
  </si>
  <si>
    <t>兼營品牌「ZyXEL」與代工業務之網通設備廠</t>
  </si>
  <si>
    <t>台灣人用學名藥與動物用藥之龍頭企業</t>
  </si>
  <si>
    <t>控股子公司從事伺服器、車用電子、工業電腦等業務</t>
  </si>
  <si>
    <t>中小型晶圓代工與磊晶供應商</t>
  </si>
  <si>
    <t>全球第二、亞洲最大環保耐蝕樹脂商</t>
  </si>
  <si>
    <t>大聯大旗下，經營3C通路及室內樂園</t>
  </si>
  <si>
    <t>全球封測龍頭</t>
  </si>
  <si>
    <t>轉投資業務包含能源服務、影像掃描器、3C零售等</t>
  </si>
  <si>
    <t>太陽能統包工程廠，從事太陽能電廠之投資開發、建置及維運</t>
  </si>
  <si>
    <t>全球前五大LED一條龍廠</t>
  </si>
  <si>
    <t>台灣專業多層印刷電路板製造廠</t>
  </si>
  <si>
    <t>車用LED模組及元件廠</t>
  </si>
  <si>
    <t>背光模組及投影機製造大廠</t>
  </si>
  <si>
    <t>永信集團旗下原料藥廠</t>
  </si>
  <si>
    <t>台灣最大洗腎相關儀器及耗材代理商</t>
  </si>
  <si>
    <t>專注研發微脂體、微球注射劑困難學名藥廠</t>
  </si>
  <si>
    <t>亞洲最大防褥瘡氣墊床廠</t>
  </si>
  <si>
    <t>台灣血液迴路管、穿刺針等血液透析耗材龍頭廠</t>
  </si>
  <si>
    <t>美吾華旗下植物新藥研發公司</t>
  </si>
  <si>
    <t>台灣最大甲魚相關保健食品廠</t>
  </si>
  <si>
    <t>台灣洗腎血液透析粉液龍頭企業</t>
  </si>
  <si>
    <t>聯上集團旗下負責南部推案的建商</t>
  </si>
  <si>
    <t>台灣主要學名藥產銷及代理商</t>
  </si>
  <si>
    <t>明基友達集團旗下醫療設備、醫用耗材、醫療服務公司</t>
  </si>
  <si>
    <t>全球最大之丙戊酸一系列癲癇藥物生產者</t>
  </si>
  <si>
    <t>台灣代理國際藥品與醫美玻尿酸通路商</t>
  </si>
  <si>
    <t>全球前三大電子式血壓計製造商</t>
  </si>
  <si>
    <t>台灣最大內服液劑、水劑之製藥廠</t>
  </si>
  <si>
    <t>台灣最大醫療耗材製造商</t>
  </si>
  <si>
    <t>以天良牌、鐵獅牌銷售保健品及代理諾得膠囊廠商</t>
  </si>
  <si>
    <t>台灣首家符合GMP之發酵中藥廠，並經營棉花田有機食品通路</t>
  </si>
  <si>
    <t>台灣骨科植入物及器材龍頭廠</t>
  </si>
  <si>
    <t>高分子生物檢驗晶片廠</t>
  </si>
  <si>
    <t>全球抗體與重組蛋白製造龍頭</t>
  </si>
  <si>
    <t>克麗緹娜品牌之美容護膚產品通路商</t>
  </si>
  <si>
    <t>佳醫旗下台灣最大醫學美容器材代理商</t>
  </si>
  <si>
    <t>新加坡中醫醫療連鎖機構龍頭</t>
  </si>
  <si>
    <t>台灣流感疫苗龍頭企業</t>
  </si>
  <si>
    <t>專注於愛滋新藥研發</t>
  </si>
  <si>
    <t>馬來西亞生化複合肥料龍頭廠商</t>
  </si>
  <si>
    <t>佳世達旗下醫療顯示器廠</t>
  </si>
  <si>
    <t>精品皮件之金屬配件製造商</t>
  </si>
  <si>
    <t>小分子創新化合物新藥研發廠</t>
  </si>
  <si>
    <t>台灣專攻基因醫學與數位生技的公司</t>
  </si>
  <si>
    <t>血糖檢測設備與天然蝦紅素保健品廠</t>
  </si>
  <si>
    <t>東洋集團旗下新藥研發公司</t>
  </si>
  <si>
    <t>醫療器材用精密金屬零件製造商</t>
  </si>
  <si>
    <t>台灣最大腫瘤醫學設備代理商</t>
  </si>
  <si>
    <t>友華旗下的新藥研發生產商</t>
  </si>
  <si>
    <t>全球前三大培南類抗生素原料藥供應商</t>
  </si>
  <si>
    <t>醣質抗體與蛋白質藥物研發廠</t>
  </si>
  <si>
    <t>專注肝癌檢測與泌尿道新藥研發廠商</t>
  </si>
  <si>
    <t>全球最大蝦類白點病毒檢測試劑廠</t>
  </si>
  <si>
    <t>佳醫旗下藥品經銷物流商</t>
  </si>
  <si>
    <t>潤泰集團旗下抗癌新藥研發公司</t>
  </si>
  <si>
    <t>台灣醫療用品連鎖通路龍頭</t>
  </si>
  <si>
    <t>中天生技集團旗下細胞治療新藥公司</t>
  </si>
  <si>
    <t>台灣血糖測試設備商</t>
  </si>
  <si>
    <t>全球首個FDA核准之超音波電腦輔助診斷(CAD)醫材公司</t>
  </si>
  <si>
    <t>專注研發生產、銷售保養品及課程服務領域</t>
  </si>
  <si>
    <t>杏輝旗下植物新藥研發廠</t>
  </si>
  <si>
    <t>高階數位X光機及骨質密度檢測設備廠</t>
  </si>
  <si>
    <t>中華豆腐及豆花製造廠</t>
  </si>
  <si>
    <t>台灣三大果糖廠之一</t>
  </si>
  <si>
    <t>台灣知名PU合成皮及PVC皮廠商</t>
  </si>
  <si>
    <t>台灣EMI電磁波屏隔材料第一大廠</t>
  </si>
  <si>
    <t>專業PVC軟質膠布廠</t>
  </si>
  <si>
    <t>台灣膠帶龍頭公司</t>
  </si>
  <si>
    <t>亞洲最大的尼龍66線紗供應商</t>
  </si>
  <si>
    <t>經營紡織及太陽能電站業務</t>
  </si>
  <si>
    <t>為特殊規格加工絲的中小型假撚廠</t>
  </si>
  <si>
    <t>主要經營長纖布業務</t>
  </si>
  <si>
    <t>國內知名成衣代工製造商</t>
  </si>
  <si>
    <t>從事國民住宅興建及出租出售業務</t>
  </si>
  <si>
    <t>全球第一大漁網生產商</t>
  </si>
  <si>
    <t>經營漢堡王、潮港城二大餐飲品牌</t>
  </si>
  <si>
    <t>宜進入主，經營功能性加工絲與環保訴求加工絲為主</t>
  </si>
  <si>
    <t>3D立體織物之專業生產商</t>
  </si>
  <si>
    <t>全球第一大之網球拍線製造商</t>
  </si>
  <si>
    <t>主要客戶為Adidas、Reebok等運動服大廠</t>
  </si>
  <si>
    <t>首創環保咖啡紗的功能性布料領導商</t>
  </si>
  <si>
    <t>為國際知名運動品牌之羽絨服製造商</t>
  </si>
  <si>
    <t>adidas運動服飾品牌最大的短纖布料供應商</t>
  </si>
  <si>
    <t>國內市占第一的彈性包覆紗廠商</t>
  </si>
  <si>
    <t>主要為美系客戶代工生產成衣的廠商</t>
  </si>
  <si>
    <t>亞洲知名布料供應商</t>
  </si>
  <si>
    <t>台灣主要汽車鋼圈及鋁圈廠</t>
  </si>
  <si>
    <t>台灣最大自動販賣機製造廠</t>
  </si>
  <si>
    <t>台灣前三大電梯製造商</t>
  </si>
  <si>
    <t>台灣從事生產切削機及龍門機廠商</t>
  </si>
  <si>
    <t>台灣最大磨床廠商</t>
  </si>
  <si>
    <t>汽車空調OEM廠商</t>
  </si>
  <si>
    <t>全球PCB鑽孔機的領導者</t>
  </si>
  <si>
    <t>台灣汽車傳動系統零件鍛造廠</t>
  </si>
  <si>
    <t>電動車代工製造商</t>
  </si>
  <si>
    <t>水處理工程承攬商兼汽車金屬鍛造製造商</t>
  </si>
  <si>
    <t>聲寶旗下，全球知名壓縮機廠</t>
  </si>
  <si>
    <t>台灣沖床大廠</t>
  </si>
  <si>
    <t>台灣粉末冶金及齒輪箱設計開發知名廠商</t>
  </si>
  <si>
    <t>台灣最大汽機車精密沖壓零件廠</t>
  </si>
  <si>
    <t>全球知名碳纖維網球拍生產商</t>
  </si>
  <si>
    <t>台灣工具機鑄件廠</t>
  </si>
  <si>
    <t>台灣知名的精密滾珠螺桿廠</t>
  </si>
  <si>
    <t>台灣唯一生產飛機起落架零組件廠商</t>
  </si>
  <si>
    <t>PCB用自動化乾燥設備製造大廠</t>
  </si>
  <si>
    <t>專供AM市場汽車空調與引擎冷卻系統零件製造廠</t>
  </si>
  <si>
    <t>銘異轉投資沖壓件廠</t>
  </si>
  <si>
    <t>台灣最大製程自動化感測器廠</t>
  </si>
  <si>
    <t>專業的機電工程整合公司</t>
  </si>
  <si>
    <t>汽車動力及安全零組件大廠商</t>
  </si>
  <si>
    <t>大陸通用型空氣壓縮機品牌領導廠商</t>
  </si>
  <si>
    <t>胎壓偵測器在北美市佔率達7%以上</t>
  </si>
  <si>
    <t>台灣氣壓自動化零組件廠商</t>
  </si>
  <si>
    <t>台灣最大的工業過濾設備製造商</t>
  </si>
  <si>
    <t>北美最大AM汽車剎車總分泵之零件供應商</t>
  </si>
  <si>
    <t>台灣加工鋁擠型及鋁窗生產廠</t>
  </si>
  <si>
    <t>全球工業縫紉機零配件大廠</t>
  </si>
  <si>
    <t>台灣知名的工具機精密主軸製造廠</t>
  </si>
  <si>
    <t>全球第一大金屬彎管機製造商</t>
  </si>
  <si>
    <t>為台灣老字號的綜合加工機製造廠商</t>
  </si>
  <si>
    <t>全球前二大迷你高壓氣體鋼瓶製造廠</t>
  </si>
  <si>
    <t>台灣精密金屬零件加工廠商</t>
  </si>
  <si>
    <t>台灣微型泵浦大廠</t>
  </si>
  <si>
    <t>泰國精密金屬零組件加工生產商</t>
  </si>
  <si>
    <t>專業生產客製化齒輪廠商</t>
  </si>
  <si>
    <t>飛機機身結構件研製及銷售商</t>
  </si>
  <si>
    <t>全球最大之半導體奈米級精密定位系統製造商</t>
  </si>
  <si>
    <t>台灣PCB鑽孔代工和設備廠商</t>
  </si>
  <si>
    <t>專業閥門製造商</t>
  </si>
  <si>
    <t>台灣商用車零組件鑄件公司</t>
  </si>
  <si>
    <t>高精密度之伺服用行星式齒輪減速機提供商</t>
  </si>
  <si>
    <t>大中華地區前三大油壓缸供應商</t>
  </si>
  <si>
    <t>全球第二大協作型機器人製造商</t>
  </si>
  <si>
    <t>國內智慧電表大廠</t>
  </si>
  <si>
    <t>以外銷小家電產品為主的廠商</t>
  </si>
  <si>
    <t>台灣最大合成顏料製造商</t>
  </si>
  <si>
    <t>台灣主要從事生產界面活性劑廠商</t>
  </si>
  <si>
    <t>台灣生產酸醇樹脂製造廠商</t>
  </si>
  <si>
    <t>台灣PU樹脂大廠</t>
  </si>
  <si>
    <t>台灣主要從事生產合成樹脂廠商</t>
  </si>
  <si>
    <t>台灣最大熱熔膠供應商</t>
  </si>
  <si>
    <t>全球最大PTA氧化觸媒供應商，也生產正極材料</t>
  </si>
  <si>
    <t>台灣不飽和聚酯樹脂大廠</t>
  </si>
  <si>
    <t>晟德轉投資之CDMO廠</t>
  </si>
  <si>
    <t>台灣首家生產醫療級膠原蛋白溶液的GMP醫材廠</t>
  </si>
  <si>
    <t>強茂轉投資之觸控面板廠</t>
  </si>
  <si>
    <t>全球知名紅外線額耳溫槍生產商</t>
  </si>
  <si>
    <t>台灣HCT(血球容積)變化檢測技術領導廠</t>
  </si>
  <si>
    <t>以Bionime為自有品牌生產居家醫療用血糖機及測試片廠商</t>
  </si>
  <si>
    <t>台灣特用化學材、電池材料、PTA氧化觸媒大廠</t>
  </si>
  <si>
    <t>台灣最大噴墨打印墨水研發與製造公司</t>
  </si>
  <si>
    <t>中天轉投資的植物新藥研發公司</t>
  </si>
  <si>
    <t>大陸最大台資醫療通路集團</t>
  </si>
  <si>
    <t>全球維他命D衍生物製造大廠</t>
  </si>
  <si>
    <t>台灣中小型利基型學名藥廠</t>
  </si>
  <si>
    <t>全球TFT-LCD光阻材料主要供應商</t>
  </si>
  <si>
    <t>台灣防火材料研發及生產廠商</t>
  </si>
  <si>
    <t>台灣半導體特用化學大廠</t>
  </si>
  <si>
    <t>台灣被動元件、太陽能導電漿料大廠</t>
  </si>
  <si>
    <t>全球第五大醋酸纖維絲束大廠</t>
  </si>
  <si>
    <t>全球前三大光固化起始劑生產商</t>
  </si>
  <si>
    <t>台灣接著劑材料大廠</t>
  </si>
  <si>
    <t>自動化設備用熱熔膠製造商</t>
  </si>
  <si>
    <t>半導體及光電特殊氣體供應商</t>
  </si>
  <si>
    <t>全球氟素樹脂加工應用廠商</t>
  </si>
  <si>
    <t>長華轉投資隱形眼鏡ODM廠</t>
  </si>
  <si>
    <t>中美晶旗下，特氣供應商</t>
  </si>
  <si>
    <t>泰國前三大珠寶ODM 及OEM廠商</t>
  </si>
  <si>
    <t>主產品為數據機、XDSL等網通設備廠</t>
  </si>
  <si>
    <t>台灣無線區域網路代工大廠</t>
  </si>
  <si>
    <t>富宇建設集團成員之一，針對竹科及中科週邊進行開發</t>
  </si>
  <si>
    <t>台灣光收發模組封裝及製造廠</t>
  </si>
  <si>
    <t>全球最大LNB用板製造商</t>
  </si>
  <si>
    <t>抗癌植物新藥研發公司</t>
  </si>
  <si>
    <t>主要從事消費性電子零件的模組沖壓廠</t>
  </si>
  <si>
    <t>台灣電腦週邊及聲學元件製造大廠，並跨入車電領域</t>
  </si>
  <si>
    <t>從事博奕機台、工業電腦、航太零組件等業務</t>
  </si>
  <si>
    <t>華邦旗下整合元件製造(IDM)廠，提供IC設計與製造服務</t>
  </si>
  <si>
    <t>MOSFET及類比IC之設計和生產商</t>
  </si>
  <si>
    <t>馬來西亞鍵盤週邊及生質燃料生產企業</t>
  </si>
  <si>
    <t>泰國台商最大印刷電路板公司</t>
  </si>
  <si>
    <t>由燦坤集團分割之小家電製造業</t>
  </si>
  <si>
    <t>台灣鋰電池模組之生產商</t>
  </si>
  <si>
    <t>新纖轉投資的聚光片廠</t>
  </si>
  <si>
    <t>廣運轉投資之太陽能電池廠</t>
  </si>
  <si>
    <t>台灣導光板大廠</t>
  </si>
  <si>
    <t>全球前十大EMS廠之一</t>
  </si>
  <si>
    <t>台灣第二大FCCL廠商</t>
  </si>
  <si>
    <t>台灣TFT框架、背板等零組件沖壓廠</t>
  </si>
  <si>
    <t>汽車零組件及聲學元件製造商</t>
  </si>
  <si>
    <t>台灣知名休閒遊戲運營商</t>
  </si>
  <si>
    <t>台灣太陽能發電系統安裝廠商</t>
  </si>
  <si>
    <t>台灣鋼鐵集團旗下不鏽鋼、特殊鋼通路商</t>
  </si>
  <si>
    <t>台灣電腦系統相關IC供應商</t>
  </si>
  <si>
    <t>凌陽轉投資的消費性IC廠</t>
  </si>
  <si>
    <t>緯創旗下，台灣大型資訊委外服務廠商</t>
  </si>
  <si>
    <t>泛鴻海集團LED磊晶廠</t>
  </si>
  <si>
    <t>鴻海轉投資的全球第一大PCB廠</t>
  </si>
  <si>
    <t>台灣第二大偏光板供應商</t>
  </si>
  <si>
    <t>產品涵蓋小至大尺寸顯示器驅動IC設計公司</t>
  </si>
  <si>
    <t>專攻高速訊號傳輸介面及顯示晶片廠商</t>
  </si>
  <si>
    <t>全球知名DRAM模組廠</t>
  </si>
  <si>
    <t>台灣採用矽及砷化鎵技術的RF射頻前端IC廠</t>
  </si>
  <si>
    <t>以MBE技術製造III-V族磊晶廠</t>
  </si>
  <si>
    <t>以自有品牌行銷歐美之LED燈具商</t>
  </si>
  <si>
    <t>矽創轉投資之記憶體產品廠</t>
  </si>
  <si>
    <t>全球前三大接觸式CIS影像感測器業者</t>
  </si>
  <si>
    <t>台灣光學鏡片及鏡頭機構組裝供應商</t>
  </si>
  <si>
    <t>光收發模組封裝及代工廠商</t>
  </si>
  <si>
    <t>台灣光收發模組一貫廠</t>
  </si>
  <si>
    <t>榮化轉投資的電解銅箔廠</t>
  </si>
  <si>
    <t>全球III-V族專業晶圓代工廠</t>
  </si>
  <si>
    <t>台灣知名遊戲開發商</t>
  </si>
  <si>
    <t>工業用高亮度面板專業廠商</t>
  </si>
  <si>
    <t>全球前三大筆電樞紐製造商</t>
  </si>
  <si>
    <t>全球最大鋼鐵螺帽製造商</t>
  </si>
  <si>
    <t>全球前十大合金棒鋼廠</t>
  </si>
  <si>
    <t>台鋼集團旗下螺絲大廠</t>
  </si>
  <si>
    <t>台灣超潔淨電解拋光不銹鋼管（EP管）領導廠商</t>
  </si>
  <si>
    <t>不鏽鋼板裁剪及分條加工廠</t>
  </si>
  <si>
    <t>全球知名不鏽鋼螺絲製造廠</t>
  </si>
  <si>
    <t>台灣規模最大鋼線鋼纜廠之一</t>
  </si>
  <si>
    <t>以證券金融服務為主的系統整合商</t>
  </si>
  <si>
    <t>台灣影像處理軟體商</t>
  </si>
  <si>
    <t>全球知名多媒體影音軟體公司</t>
  </si>
  <si>
    <t>廢水及廢棄物處理工程商</t>
  </si>
  <si>
    <t>推案集中於台中地區之建商</t>
  </si>
  <si>
    <t>中鼎旗下石化、煉油廠、交通機電等資訊系統工程SI廠</t>
  </si>
  <si>
    <t>證券金融相關解決方案系統整合廠商</t>
  </si>
  <si>
    <t>台灣手寫辨識軟硬體廠商</t>
  </si>
  <si>
    <t>以知識管理為主的系統整合廠</t>
  </si>
  <si>
    <t>全球知名NB薄膜觸控開關製造商</t>
  </si>
  <si>
    <t>台灣觸控面板廠，主要聚焦於軍、工控等市場</t>
  </si>
  <si>
    <t>功率放大器及低雜訊放大器微波元件製造商</t>
  </si>
  <si>
    <t>行動裝置散熱及機構件廠商</t>
  </si>
  <si>
    <t>全球最大影音揚聲器OEM製造商</t>
  </si>
  <si>
    <t>台灣磷酸鐵鋰電池正極材料廠商</t>
  </si>
  <si>
    <t>國內專業磁性被動元件製造廠</t>
  </si>
  <si>
    <t>主要從事LED二次光學透鏡之研發、製造及生產</t>
  </si>
  <si>
    <t>友達為大股東之光電特用化學材料供應商</t>
  </si>
  <si>
    <t>凌陽旗下MCU與網路攝影機晶片廠</t>
  </si>
  <si>
    <t>鴻海轉投資的機構件廠</t>
  </si>
  <si>
    <t>LED產品主要應用於高端消費及車燈市場</t>
  </si>
  <si>
    <t>PMOLED出貨量居全球第二大</t>
  </si>
  <si>
    <t>以DIY類無線居家安控產品為主之數位家庭整合系統商</t>
  </si>
  <si>
    <t>台灣電子金融交易終端機(POS)製造商</t>
  </si>
  <si>
    <t>台灣最大體感遊戲設備商</t>
  </si>
  <si>
    <t>華碩旗下高速傳輸介面之控制IC設計廠</t>
  </si>
  <si>
    <t>台灣專注於無線通訊射頻(RF)晶片廠</t>
  </si>
  <si>
    <t>全球遠端伺服器管理晶片龍頭</t>
  </si>
  <si>
    <t>奐鑫集團旗下嬰幼童產品及機車零組件廠</t>
  </si>
  <si>
    <t>台灣知名交友社群媒體服務商</t>
  </si>
  <si>
    <t>台灣智慧家電廠，經營HERAN品牌</t>
  </si>
  <si>
    <t>客製化精密金屬機構件供應商</t>
  </si>
  <si>
    <t>台灣功率單體及光電導線架供應商</t>
  </si>
  <si>
    <t>電商平台包含寶物、房屋、汽車交易及人力資源</t>
  </si>
  <si>
    <t>越南主要汽機車零件供應商，跨足醫療器材零件</t>
  </si>
  <si>
    <t>台灣專攻工業用嵌入式儲存裝置供應商</t>
  </si>
  <si>
    <t>台灣印刷電路板與自行車燈具業者</t>
  </si>
  <si>
    <t>VOCs揮發性有機廢氣防治處理設備工程服務商</t>
  </si>
  <si>
    <t>華碩轉投資的功率元件設計公司</t>
  </si>
  <si>
    <t>台灣第一家IC設計廠商，現專注影像擷取錄影之單晶片開發</t>
  </si>
  <si>
    <t>全球最大的鏈條製造商</t>
  </si>
  <si>
    <t>台灣知名TPMS及車電零件廠</t>
  </si>
  <si>
    <t>金融系統整合廠</t>
  </si>
  <si>
    <t>台灣最大眼鏡通路商</t>
  </si>
  <si>
    <t>上曜集團旗下，轉型多元化業務經營</t>
  </si>
  <si>
    <t>各尺寸液晶顯示器模組整合加工與銷售</t>
  </si>
  <si>
    <t>台灣服飾電商業者</t>
  </si>
  <si>
    <t>仰德集團旗下之建設、飯店業者</t>
  </si>
  <si>
    <t>台灣塑膠膜電容器供應商</t>
  </si>
  <si>
    <t>台灣電子領域玻纖布製造廠並跨足工業用領域</t>
  </si>
  <si>
    <t>威盛轉投資之邏輯IC及CPU測試廠商</t>
  </si>
  <si>
    <t>全方位電源整合控制系統製造商</t>
  </si>
  <si>
    <t>台積電轉投資之晶圓代工廠</t>
  </si>
  <si>
    <t>主要從事GPS智慧手錶、模組與軌跡紀錄器</t>
  </si>
  <si>
    <t>有線、無線寬頻網路、工業電腦製造商</t>
  </si>
  <si>
    <t>多層電路板供應商</t>
  </si>
  <si>
    <t>經營電腦週邊及電子零組件之廠商</t>
  </si>
  <si>
    <t>以力麗哲園為品牌之飯店經營業者</t>
  </si>
  <si>
    <t>主要從事配電變壓器業務</t>
  </si>
  <si>
    <t>高階伺服器記憶體模組及板卡的代理商</t>
  </si>
  <si>
    <t>台灣寬頻及電信設備代工大廠</t>
  </si>
  <si>
    <t>3C、手工具機、汽車等應用之零組件廠</t>
  </si>
  <si>
    <t>醫藥生技通路商，並推出保健食品及跨入健檢業務</t>
  </si>
  <si>
    <t>金融與物流業系統整合、軟體服務之廠商</t>
  </si>
  <si>
    <t>大眾控轉投資系統整合廠</t>
  </si>
  <si>
    <t>台灣整流二極體大廠</t>
  </si>
  <si>
    <t>台灣PC外殼生產商</t>
  </si>
  <si>
    <t>所羅門子公司，液晶顯示模組與太陽能系統組件廠</t>
  </si>
  <si>
    <t>日本信越晶圓產品在台代理商</t>
  </si>
  <si>
    <t>為Konica Minolta代工多功能事務機</t>
  </si>
  <si>
    <t>生產少量多樣高層數利基型PCB為主</t>
  </si>
  <si>
    <t>台灣面板及晶圓檢測設備供應商</t>
  </si>
  <si>
    <t>主要經營特殊紡織品、高彈性發泡材料及電源供應器</t>
  </si>
  <si>
    <t>全球塑膠粒及PCR環保塑膠原料整合平台商</t>
  </si>
  <si>
    <t>從事不動產開發興建及不動產租賃業務</t>
  </si>
  <si>
    <t>台灣知名NB連接器及電子代工廠</t>
  </si>
  <si>
    <t>專業的連續沖壓模具及零件大廠</t>
  </si>
  <si>
    <t>LCD TV,印表機等消費性PCB廠</t>
  </si>
  <si>
    <t>偉訓轉投資之電腦、伺服器機殼廠</t>
  </si>
  <si>
    <t>LED驅動IC及光通訊IC設計公司</t>
  </si>
  <si>
    <t>全球前三大NB板與STB板廠之一</t>
  </si>
  <si>
    <t>為語音及多媒體IC設計專業廠商</t>
  </si>
  <si>
    <t>數位監控、影音串流設備商</t>
  </si>
  <si>
    <t>台灣專業電子級玻纖布廠</t>
  </si>
  <si>
    <t>台灣最大遊戲公司，橫跨研發、營運和通路行銷等業務</t>
  </si>
  <si>
    <t>主要經營「芝麻街」連鎖美語補習班及國高中補習服務</t>
  </si>
  <si>
    <t>台灣太陽能矽晶圓龍頭，並垂直整合太陽能產業鏈</t>
  </si>
  <si>
    <t>台灣安全監控系統廠商</t>
  </si>
  <si>
    <t>老牌消費性IC設計廠商</t>
  </si>
  <si>
    <t>台灣3C電線製造商</t>
  </si>
  <si>
    <t>台灣網路視訊安全監控系統專業代工廠</t>
  </si>
  <si>
    <t>全球知名POS刷卡機DMS廠</t>
  </si>
  <si>
    <t>感測、監測系統整合服務商</t>
  </si>
  <si>
    <t>台灣PCB鑽頭製造商</t>
  </si>
  <si>
    <t>高雄建商，以成屋銷售為主</t>
  </si>
  <si>
    <t>商辦大樓、高科技廠房及公共工程等為營業項目之營造商</t>
  </si>
  <si>
    <t>力麗集團旗下建商、環衛營造商</t>
  </si>
  <si>
    <t>以都市更新為主之建商</t>
  </si>
  <si>
    <t>建築統包工程服務商</t>
  </si>
  <si>
    <t>承攬各項公共、建築及土木工程之營造廠</t>
  </si>
  <si>
    <t>綜合營造及住宅大樓開發商</t>
  </si>
  <si>
    <t>台灣預拌混凝土製造加工廠</t>
  </si>
  <si>
    <t>台灣前十大營造廠</t>
  </si>
  <si>
    <t>以營建地產、休閒娛樂為核心的企業集團</t>
  </si>
  <si>
    <t>嘉義地區建商</t>
  </si>
  <si>
    <t>台中地區建商</t>
  </si>
  <si>
    <t>推案集中於新竹地區之建商</t>
  </si>
  <si>
    <t>台灣殯葬產業龍頭</t>
  </si>
  <si>
    <t>推案以中部地區為主之建商，並跨足觀光旅館經營</t>
  </si>
  <si>
    <t>主要於大台北地區推案的建商</t>
  </si>
  <si>
    <t>以廠辦及住宅開發案為主之建商</t>
  </si>
  <si>
    <t>以無塵室工程為主，並跨足機電系統整合服務廠商</t>
  </si>
  <si>
    <t>大陸不鏽鋼緊固件龍頭大廠</t>
  </si>
  <si>
    <t>亞洲知名金屬龍骨生產廠商</t>
  </si>
  <si>
    <t>大陸重慶地區預拌混凝土領導廠商</t>
  </si>
  <si>
    <t>主要承攬住宅及廠辦及相關工程</t>
  </si>
  <si>
    <t>承攬政府公共工程的統包公司</t>
  </si>
  <si>
    <t>台灣經營貨櫃集散站之業者</t>
  </si>
  <si>
    <t>從事內陸貨櫃運輸、裝卸及重機件運輸、吊裝業務之業者</t>
  </si>
  <si>
    <t>從事工業用不動產租賃業務</t>
  </si>
  <si>
    <t>一家控股公司，並經營海、陸、空聯運之自由貿易港區</t>
  </si>
  <si>
    <t>以輕型散裝船為主的散裝航運業者</t>
  </si>
  <si>
    <t>台灣空運及海運貨運承攬商</t>
  </si>
  <si>
    <t>台灣中部地區遊樂園、百貨及飯店業者</t>
  </si>
  <si>
    <t>位於台北中山區之5星級飯店</t>
  </si>
  <si>
    <t>老爺酒店集團旗下，位於台東知本之溫泉飯店</t>
  </si>
  <si>
    <t>台灣首家上市旅行社，提供國內外全方位旅遊產品</t>
  </si>
  <si>
    <t>總部位於台南之券商</t>
  </si>
  <si>
    <t>台灣租賃業龍頭公司</t>
  </si>
  <si>
    <t>唯一自大陸遷台復業的民營銀行</t>
  </si>
  <si>
    <t>台灣前三大之保險經紀公司</t>
  </si>
  <si>
    <t>具有國營背景的金控公司，金融資產規模排名前六大</t>
  </si>
  <si>
    <t>統一集團旗下貿易商，擁有自有品牌「開喜」系列茶飲</t>
  </si>
  <si>
    <t>台灣第二大連鎖便利商店</t>
  </si>
  <si>
    <t>台灣美妝及生活用品百貨龍頭</t>
  </si>
  <si>
    <t>高速公路休息站及海生館、小墾丁渡假村之經營業者</t>
  </si>
  <si>
    <t>代理FILA、Reebok品牌</t>
  </si>
  <si>
    <t>益航轉投資在大陸從事百貨零售之企業</t>
  </si>
  <si>
    <t>台灣證券經紀市佔排名前五大之獨立券商</t>
  </si>
  <si>
    <t>三商壽轉投資的中小型券商</t>
  </si>
  <si>
    <t>台灣綜合型證券商，其中期貨業務市占排名前十大</t>
  </si>
  <si>
    <t>以大台北地區為營運的區域型券商</t>
  </si>
  <si>
    <t>台灣一家綜合型券商</t>
  </si>
  <si>
    <t>台灣期貨龍頭企業，屬元大集團</t>
  </si>
  <si>
    <t>群益金融集團旗下的期貨公司，台灣市場排名前三大</t>
  </si>
  <si>
    <t>台灣小型綜合型上券商，以承銷及資產管理為重心</t>
  </si>
  <si>
    <t>台灣首批成立的保險經紀公司</t>
  </si>
  <si>
    <t>從事流行音樂商演、活動賽事舉辦等業務</t>
  </si>
  <si>
    <t>全球最大的CD Discman IC供應商</t>
  </si>
  <si>
    <t>儲存設備USB控制晶片設計專業大廠</t>
  </si>
  <si>
    <t>台灣CMOS sensor載板最大供應廠</t>
  </si>
  <si>
    <t>應用以可攜式電子產品為主之電源供應器廠</t>
  </si>
  <si>
    <t>集團橫跨半導體、資安、重電、遊戲、餐飲、電子支付等領域</t>
  </si>
  <si>
    <t>資訊應用軟硬體服務供應中介之加值型通路商</t>
  </si>
  <si>
    <t>歐美半導體零件的專業代理商</t>
  </si>
  <si>
    <t>電子材料之代理及加工廠商</t>
  </si>
  <si>
    <t>全球IT產品電源線材大廠</t>
  </si>
  <si>
    <t>台灣中小尺寸面板供應商，及觸控面板廠商</t>
  </si>
  <si>
    <t>PC機殼及伺服器組裝廠</t>
  </si>
  <si>
    <t>3C電腦周邊產品代理通路商</t>
  </si>
  <si>
    <t>友達旗下背光模組零組件供應商</t>
  </si>
  <si>
    <t>全球最大NB電池模組廠之一</t>
  </si>
  <si>
    <t>整廠工程之承攬、規劃、設計、施工服務廠商</t>
  </si>
  <si>
    <t>電腦軟硬體、OA產品及耗材代理商</t>
  </si>
  <si>
    <t>台灣最大熱導管供應商</t>
  </si>
  <si>
    <t>經營自動化物流系統及太陽能電池等業務</t>
  </si>
  <si>
    <t>電腦及通訊用之連接器製造商</t>
  </si>
  <si>
    <t>高階精密陶瓷基板之專業製造廠</t>
  </si>
  <si>
    <t>台灣唯一具備雷射印表機之碳粉匣及OPC感光鼓齒輪研發設計廠</t>
  </si>
  <si>
    <t>從事醫美事業的醫藥採購及管理顧問</t>
  </si>
  <si>
    <t>經營電腦週邊及高頻通訊為主的連接線廠</t>
  </si>
  <si>
    <t>主要經營極細銅軸線、天線、信號線等線材業者</t>
  </si>
  <si>
    <t>以主機板客戶為主的電源管理IC大廠</t>
  </si>
  <si>
    <t>台灣無塵室及機電系統整合服務等製造商</t>
  </si>
  <si>
    <t>以金融、資訊、媒體、半導體產業為主的系統整合商</t>
  </si>
  <si>
    <t>少量多樣的利基型PCB廠</t>
  </si>
  <si>
    <t>全球知名電子書閱讀器製造大廠</t>
  </si>
  <si>
    <t>代理知名美國片商DVD及BD在台發行之公司</t>
  </si>
  <si>
    <t>國內最具規模之手機及網通專業認證實驗室</t>
  </si>
  <si>
    <t>全球最大LCD驅動IC封裝及金凸塊供應商</t>
  </si>
  <si>
    <t>金融及公共事業SI廠</t>
  </si>
  <si>
    <t>以Power Color品牌行銷全球之繪圖顯示卡供應商</t>
  </si>
  <si>
    <t>台灣汽車複合材料供應商</t>
  </si>
  <si>
    <t>STB、LNB的ODM大廠</t>
  </si>
  <si>
    <t>台灣前三大軟板廠之一</t>
  </si>
  <si>
    <t>台灣大型的3C量販零售通路商</t>
  </si>
  <si>
    <t>台灣電感及電磁波干擾對策之專業廠商</t>
  </si>
  <si>
    <t>印刷電路板和磁性元件製造商</t>
  </si>
  <si>
    <t>3C用連接器生產廠</t>
  </si>
  <si>
    <t>專攻自動辨識系統的IPC廠</t>
  </si>
  <si>
    <t>台灣工業電腦及主機板廠商</t>
  </si>
  <si>
    <t>電信系統整合大廠，並跨足智慧城控與交通機電業務</t>
  </si>
  <si>
    <t>台灣LED照明元件及模組廠</t>
  </si>
  <si>
    <t>主要經營「浪LIVE」直播平台</t>
  </si>
  <si>
    <t>台灣工業電腦大廠</t>
  </si>
  <si>
    <t>專為Avago及Osram代工之LED封裝廠</t>
  </si>
  <si>
    <t>從事數據預付卡及移工金流服務業務</t>
  </si>
  <si>
    <t>大城建設入主的中部不動產開發商</t>
  </si>
  <si>
    <t>台灣三大石英元件廠之一</t>
  </si>
  <si>
    <t>立隆電旗下的被動元件上游鋁箔製造廠</t>
  </si>
  <si>
    <t>全球最大背光模組(BLU)廠</t>
  </si>
  <si>
    <t>推案集中於林口、竹北、高雄等地，近年業務拓展至美國西雅圖</t>
  </si>
  <si>
    <t>海外以菲律賓為主，從事能源工程相關業務</t>
  </si>
  <si>
    <t>台灣遊戲軟體開發與營運知名企業</t>
  </si>
  <si>
    <t>台灣6吋及8吋矽晶圓製造商</t>
  </si>
  <si>
    <t>台灣政務相關應用軟體業者</t>
  </si>
  <si>
    <t>新北市最大有線電視公司</t>
  </si>
  <si>
    <t>生產各類應用連接器</t>
  </si>
  <si>
    <t>推案以台鐵、高鐵及捷運沿線為主之建商</t>
  </si>
  <si>
    <t>半導體及被動元件設備領導廠商</t>
  </si>
  <si>
    <t>廣達集團旗下的硬碟產品代工廠</t>
  </si>
  <si>
    <t>國內專業的電子零組件經銷通路商</t>
  </si>
  <si>
    <t>主要生產網通、醫療、車用等市場應用的線材供應商</t>
  </si>
  <si>
    <t>瀚宇博轉投資印刷電路板暨組裝代工廠</t>
  </si>
  <si>
    <t>程控儀錶與電子材料通路商</t>
  </si>
  <si>
    <t>台灣印刷電路板製造業者</t>
  </si>
  <si>
    <t>台灣連鎖品牌家具之零售通路龍頭</t>
  </si>
  <si>
    <t>專注於設備工程及耗材代理的廠商</t>
  </si>
  <si>
    <t>國內連接器及線束廠</t>
  </si>
  <si>
    <t>主打首購族市場的不動產開發公司</t>
  </si>
  <si>
    <t>專營基督徒塔位銷售及殯葬服務</t>
  </si>
  <si>
    <t>音訊及小家電ODM大廠</t>
  </si>
  <si>
    <t>全球MCU大廠</t>
  </si>
  <si>
    <t>台灣以PC高階應用為主之交換式電源供應器廠商</t>
  </si>
  <si>
    <t>國內利基型被動元件大廠</t>
  </si>
  <si>
    <t>專業連接器及連接線廠商</t>
  </si>
  <si>
    <t>台灣最大、全球前三大POS專業代工廠</t>
  </si>
  <si>
    <t>主/被動元件設備及材料供應商</t>
  </si>
  <si>
    <t>台灣最大製程設備真空元件供應商</t>
  </si>
  <si>
    <t>台灣光學鏡片、鏡頭製造商</t>
  </si>
  <si>
    <t>台灣中小型的多層PCB廠</t>
  </si>
  <si>
    <t>主力開發新竹地區的建商</t>
  </si>
  <si>
    <t>全球前十大銅箔基板廠之一</t>
  </si>
  <si>
    <t>金融服務、科技整合及加值服務系統業者</t>
  </si>
  <si>
    <t>專業的自動化設備零組件、光電製程之工業製造商</t>
  </si>
  <si>
    <t>以DrayTek自有品牌行銷寬頻接取網通設備廠商</t>
  </si>
  <si>
    <t>台灣第一家探針及探針式連接器製造廠</t>
  </si>
  <si>
    <t>專注通訊網路系統整合服務與半導體/LED設備解決方案領域</t>
  </si>
  <si>
    <t>以台中為核心擴展至全省跨區經營的建商</t>
  </si>
  <si>
    <t>主要生產區域網路線材，並延伸至終端產品生產廠商</t>
  </si>
  <si>
    <t>電子商務系統整合廠商</t>
  </si>
  <si>
    <t>住宅及大樓開發商</t>
  </si>
  <si>
    <t>全球前三大的非記憶體探針卡製造商</t>
  </si>
  <si>
    <t>全球第二大PPTC保護元件大廠</t>
  </si>
  <si>
    <t>機車用行車紀錄器及投影機廠商</t>
  </si>
  <si>
    <t>專注於LED照明市場之封裝業者</t>
  </si>
  <si>
    <t>日Macnica集團旗下電子通路大廠</t>
  </si>
  <si>
    <t>台灣底片掃瞄器及生物研究影像設備製造廠</t>
  </si>
  <si>
    <t>台灣消費性IC韌體設計領導廠商</t>
  </si>
  <si>
    <t>日本電產轉投資之散熱模組製造商</t>
  </si>
  <si>
    <t>NB及IA產品的BIOS廠商</t>
  </si>
  <si>
    <t>USB控制IC設計廠商，並切入MEMS領域</t>
  </si>
  <si>
    <t>經營自動化設備及PCB微型鑽頭的公司</t>
  </si>
  <si>
    <t>車用鎂合金零件製造廠</t>
  </si>
  <si>
    <t>台灣從事基因檢測及資訊安全服務公司</t>
  </si>
  <si>
    <t>全球前三大音效晶片設計廠商</t>
  </si>
  <si>
    <t>全球前五大封測廠</t>
  </si>
  <si>
    <t>專注協助企業數位服務與轉型領域</t>
  </si>
  <si>
    <t>無線網路通訊產品代工廠</t>
  </si>
  <si>
    <t>中草藥生產及經營觀光工廠之廠商</t>
  </si>
  <si>
    <t>全球第二大鍵盤控制IC設計供應商</t>
  </si>
  <si>
    <t>台灣太陽能電池模組大廠</t>
  </si>
  <si>
    <t>專攻網路安全設備廠商</t>
  </si>
  <si>
    <t>中小尺寸背光模組及LED燈條生產廠商</t>
  </si>
  <si>
    <t>台鋼集團旗下專業鋼筋加工與配送通路廠</t>
  </si>
  <si>
    <t>RF及混合IC專業測試廠商</t>
  </si>
  <si>
    <t>主要代理電磁波防制元件和電源相關元件</t>
  </si>
  <si>
    <t>專業半導體及光電產品切割、研磨、挑揀、測試代工廠</t>
  </si>
  <si>
    <t>以PLANET品牌行銷的網通設備廠</t>
  </si>
  <si>
    <t>入主德士通，以雙北及基隆地區為主的營建公司</t>
  </si>
  <si>
    <t>記憶體元件代理及保健食品銷售商</t>
  </si>
  <si>
    <t>台灣專業SMT加工及組裝測試廠商</t>
  </si>
  <si>
    <t>全球前十大軟板廠之一</t>
  </si>
  <si>
    <t>半導體電子零組件代理及韌體服務</t>
  </si>
  <si>
    <t>台灣陶瓷基板製造龍頭</t>
  </si>
  <si>
    <t>3C、手持裝置、PC、STB用連接器生產廠</t>
  </si>
  <si>
    <t>知名散熱風扇大廠</t>
  </si>
  <si>
    <t>專注於電腦機殼與電源供應器的廠商</t>
  </si>
  <si>
    <t>全球知名KVM製造商</t>
  </si>
  <si>
    <t>全球知名光電產品之SMT代工廠</t>
  </si>
  <si>
    <t>兩岸最大汽車端子製造商</t>
  </si>
  <si>
    <t>台灣知名家電與3C通路賣場</t>
  </si>
  <si>
    <t>金仁寶集團旗下電源供應器廠</t>
  </si>
  <si>
    <t>鍵盤導電薄膜與車載鏡頭製造商</t>
  </si>
  <si>
    <t>電子保護元件及天線產品之領導廠商</t>
  </si>
  <si>
    <t>緯創轉投資無線、衛星通訊產品大廠</t>
  </si>
  <si>
    <t>全球知名電源線及充電器轉接頭製造商</t>
  </si>
  <si>
    <t>台灣老牌電源管理IC業者</t>
  </si>
  <si>
    <t>專注生產工業用變壓器產品之廠商</t>
  </si>
  <si>
    <t>主要經營公職補習「志光」及升學補習「超級考試王」</t>
  </si>
  <si>
    <t>台灣光電玻璃薄化加工大廠</t>
  </si>
  <si>
    <t>台灣UPS及PV Inverter之ODM製造廠商</t>
  </si>
  <si>
    <t>台灣首家靜電放電防護IC設計公司</t>
  </si>
  <si>
    <t>台灣前三大PC電源供應器廠</t>
  </si>
  <si>
    <t>鴻海轉投資之工業電腦廠</t>
  </si>
  <si>
    <t>大陸電源管理晶片大廠</t>
  </si>
  <si>
    <t>台灣網通資安設備龍頭大廠</t>
  </si>
  <si>
    <t>台灣RFID Tag製造商</t>
  </si>
  <si>
    <t>各種應用之訊號連接器及傳輸線製造商</t>
  </si>
  <si>
    <t>台灣網路視訊監控系統商</t>
  </si>
  <si>
    <t>台灣NVM MTP IP供應商</t>
  </si>
  <si>
    <t>深耕面板製程設備，並跨足半導體及動力電池設備之廠商</t>
  </si>
  <si>
    <t>台灣光通訊元件濾光片廠商</t>
  </si>
  <si>
    <t>美妝保養品代工廠商</t>
  </si>
  <si>
    <t>專業之電感供應商</t>
  </si>
  <si>
    <t>茂達旗下的功率半導體元件公司</t>
  </si>
  <si>
    <t>主要為PCB相關之自動化設備供應商</t>
  </si>
  <si>
    <t>廣積旗下博奕機台兼儲能系統公司</t>
  </si>
  <si>
    <t>台灣光通訊元件製造商</t>
  </si>
  <si>
    <t>台灣太陽能模組龍頭廠</t>
  </si>
  <si>
    <t>罕見真性紅血球增生症藥物研發廠商</t>
  </si>
  <si>
    <t>全球前三大固態電容廠之一</t>
  </si>
  <si>
    <t>鴻海集團轉投資系統模組封裝廠</t>
  </si>
  <si>
    <t>鴻海集團旗下觸控面板模組廠</t>
  </si>
  <si>
    <t>台灣指紋辨識晶片龍頭</t>
  </si>
  <si>
    <t>台灣唯一由本土有線電視業者成立的多系統經營者</t>
  </si>
  <si>
    <t>以自有品牌「ATrack」行銷衛星定位監控系統廠商</t>
  </si>
  <si>
    <t>台灣連鎖藥局龍頭</t>
  </si>
  <si>
    <t>無線網路設備廠商</t>
  </si>
  <si>
    <t>台灣最大CDMO代工廠，且為利基學名藥研發公司</t>
  </si>
  <si>
    <t>主要代理MCU及電子鎖廠商</t>
  </si>
  <si>
    <t>台灣太陽能電池模組製造商</t>
  </si>
  <si>
    <t>智冠、宇峻轉投資的網頁及手機遊戲廠</t>
  </si>
  <si>
    <t>金士頓轉投資之快閃記憶體控制IC設計廠商</t>
  </si>
  <si>
    <t>仲琦旗下電信寬頻網路系統整合規劃廠商</t>
  </si>
  <si>
    <t>全球第三大、台灣最大的矽晶圓廠商，從中美晶分割成立</t>
  </si>
  <si>
    <t>和碩集團旗下隱形眼鏡公司</t>
  </si>
  <si>
    <t>小分子抗癌新藥研發廠</t>
  </si>
  <si>
    <t>新唐轉投資的語音控制IC及MCU設計公司</t>
  </si>
  <si>
    <t>代理藥品及檢驗試劑，並開發解毒劑之公司</t>
  </si>
  <si>
    <t>台灣光學塑膠鏡片、鏡頭及模組製造商</t>
  </si>
  <si>
    <t>內視鏡、心導管及手術用侵入性設備研發廠商</t>
  </si>
  <si>
    <t>亞洲最大的水針不織布廠商之一</t>
  </si>
  <si>
    <t>台灣最大的民營輕油裂解廠</t>
  </si>
  <si>
    <t>塗佈貼合加工及特用化學原料供應商</t>
  </si>
  <si>
    <t>台灣第二大農藥及全球第三大地工膜廠商</t>
  </si>
  <si>
    <t>全球前三大自黏便條紙商、知名造紙化學品廠</t>
  </si>
  <si>
    <t>中華電信旗下晶圓測試介面板廠</t>
  </si>
  <si>
    <t>專業影音訊號延長器、分配器及處理器廠商</t>
  </si>
  <si>
    <t>全球IC測試座龍頭</t>
  </si>
  <si>
    <t>中華電旗下台灣最大圖資公司</t>
  </si>
  <si>
    <t>台灣第一家光學鏡片製造廠</t>
  </si>
  <si>
    <t>台灣第一大醫美品牌DR.WU</t>
  </si>
  <si>
    <t>全球前三大專業功率半導體封測企業</t>
  </si>
  <si>
    <t>聯發科旗下無線通訊與固網通訊之晶片設計公司</t>
  </si>
  <si>
    <t>眼科診斷型儀器研發及組裝廠商</t>
  </si>
  <si>
    <t>主要生產熱插拔式及固定式光收發模組</t>
  </si>
  <si>
    <t>從事行動記憶體IC設計及IP設計的公司</t>
  </si>
  <si>
    <t>半導體前段製程設備及零件供應商</t>
  </si>
  <si>
    <t>聯發科旗下嵌入式微處理器核心IP設計公司</t>
  </si>
  <si>
    <t>晟德旗下新藥研發公司</t>
  </si>
  <si>
    <t>國內最大的太陽能精密網版廠</t>
  </si>
  <si>
    <t>免疫、癌症等領域生物相似藥及新藥研發</t>
  </si>
  <si>
    <t>台灣手機遊戲開發及代理商</t>
  </si>
  <si>
    <t>正文轉投資的無線通訊模組廠</t>
  </si>
  <si>
    <t>專注於疫苗及生物製劑開發的生技新藥公司</t>
  </si>
  <si>
    <t>長華電材旗下之封測導線架大廠</t>
  </si>
  <si>
    <t>長華轉投資之面板驅動IC用高階軟性基板廠</t>
  </si>
  <si>
    <t>佳世達轉投資專業監控攝影機製造商</t>
  </si>
  <si>
    <t>以穿載式應用為主的鋰電池廠商</t>
  </si>
  <si>
    <t>台灣影音安控產品廠商</t>
  </si>
  <si>
    <t>中華電轉投資之台灣最大IDC機房營運商</t>
  </si>
  <si>
    <t>全球前三大矽晶調諧器晶片供應商</t>
  </si>
  <si>
    <t>研揚轉投資醫療用工業電腦公司</t>
  </si>
  <si>
    <t>以嵌入式系統為主之工業電腦廠商</t>
  </si>
  <si>
    <t>二極體及橋式整流器製造商</t>
  </si>
  <si>
    <t>專注自有品牌美容保養品銷售及醫美服務</t>
  </si>
  <si>
    <t>新劑型配方新藥研發廠</t>
  </si>
  <si>
    <t>豐藝轉投資工業電腦及醫療應用顯示器廠商</t>
  </si>
  <si>
    <t>亞洲唯一具有微生物醱酵技術的飼料廠商</t>
  </si>
  <si>
    <t>華碩、廣積轉投資工業電腦廠</t>
  </si>
  <si>
    <t>亞洲最大電弧爐集塵灰之鋅資源回收廠</t>
  </si>
  <si>
    <t>永豐餘旗下合成乳膠廠，全球前7大NBR乳膠廠</t>
  </si>
  <si>
    <t>專業鋼珠滑軌之製造廠商</t>
  </si>
  <si>
    <t>全球前三大TPU產品生產商</t>
  </si>
  <si>
    <t>台灣生技藥品委託開發生產服務廠商</t>
  </si>
  <si>
    <t>台灣金融支付加解密解決方案最大供應商</t>
  </si>
  <si>
    <t>電競PC散熱風扇供應商</t>
  </si>
  <si>
    <t>和泰旗下車輛融資及租賃公司</t>
  </si>
  <si>
    <t>專業信用卡製卡廠商</t>
  </si>
  <si>
    <t>從事國內外演唱會、藝文活動之主辦與代理</t>
  </si>
  <si>
    <t>一詮轉投資之LED陶瓷基板廠</t>
  </si>
  <si>
    <t>創新數位生物條碼技術大廠</t>
  </si>
  <si>
    <t>台灣塑膠射出機領導廠商</t>
  </si>
  <si>
    <t>全球AM車燈龍頭企業</t>
  </si>
  <si>
    <t>全球專業的磨床工具機廠商</t>
  </si>
  <si>
    <t>中日合資工具機生產廠商，以CNC車床為主</t>
  </si>
  <si>
    <t>人工水晶體及其植入系統製造商</t>
  </si>
  <si>
    <t>聖暉旗下，經營半導體廠務設備製造</t>
  </si>
  <si>
    <t>中華電信轉投資，資訊系統建置與整合服務公司</t>
  </si>
  <si>
    <t>台灣基因檢測產業領導廠商</t>
  </si>
  <si>
    <t>馬來西亞前五大木製寢室傢俱公司</t>
  </si>
  <si>
    <t>聚焦腫瘤精準治療之抗癌新藥公司</t>
  </si>
  <si>
    <t>特殊學名藥與新藥研發廠</t>
  </si>
  <si>
    <t>從事工業用水與廢水處理之統包工程</t>
  </si>
  <si>
    <t>台灣最大的娛樂影音活動製作公司</t>
  </si>
  <si>
    <t>泰國家飾鑄件大廠</t>
  </si>
  <si>
    <t>專攻影像醫學設備代理商，主要代理GE醫學設備</t>
  </si>
  <si>
    <t>均豪旗下，從事半導體封裝設備的製造</t>
  </si>
  <si>
    <t>大陸水處理環保設備與技術服務綜合服務商</t>
  </si>
  <si>
    <t>台灣PPTC自復式保險絲製造商</t>
  </si>
  <si>
    <t>主攻高速傳輸的矽智材廠商</t>
  </si>
  <si>
    <t>主要從事泡沫式人工腦膜研發</t>
  </si>
  <si>
    <t>分離式半導體元件廠</t>
  </si>
  <si>
    <t>專業的被動元件自動化生產設備商</t>
  </si>
  <si>
    <t>主要從事木製板材之製造商</t>
  </si>
  <si>
    <t>小分子新藥研發廠</t>
  </si>
  <si>
    <t>電路板外觀檢測領域知名企業</t>
  </si>
  <si>
    <t>台灣第一家獲得生物晶片檢測雙認證之公司</t>
  </si>
  <si>
    <t>台灣知名實驗鼠繁殖中心</t>
  </si>
  <si>
    <t>全球最大PCB塗佈烘烤設備廠商</t>
  </si>
  <si>
    <t>銷售以面部類為主的大陸美妝品牌公司</t>
  </si>
  <si>
    <t>高科技廠務工程及製程設備領域之專業廠商</t>
  </si>
  <si>
    <t>鴻海集團轉投資的光學鏡片模具廠</t>
  </si>
  <si>
    <t>緯創轉投資之大型雲端資料中心硬體供應商</t>
  </si>
  <si>
    <t>全球最大之高爾夫球桿頭製造商</t>
  </si>
  <si>
    <t>專業烘培器具製造商</t>
  </si>
  <si>
    <t>於大陸生產的台資銅箔基板廠</t>
  </si>
  <si>
    <t>仁寶轉投資之Cable CPE廠商</t>
  </si>
  <si>
    <t>台灣MEMS麥克風晶片龍頭</t>
  </si>
  <si>
    <t>智能交通車載電腦系統製造商</t>
  </si>
  <si>
    <t>台灣IC測試設備材料供應商</t>
  </si>
  <si>
    <t>安國旗下的多媒體視訊轉換控制晶片廠</t>
  </si>
  <si>
    <t>台灣雲端託管服務龍頭廠商</t>
  </si>
  <si>
    <t>宏碁旗下資訊安全管理服務廠</t>
  </si>
  <si>
    <t>高科技廠房無塵室統包及節能工程服務商</t>
  </si>
  <si>
    <t>一體化太陽光電發電系統服務商</t>
  </si>
  <si>
    <t>茂迪轉投資功率半導體元件設計公司</t>
  </si>
  <si>
    <t>凌陽旗下影像及視訊處理IC設計公司</t>
  </si>
  <si>
    <t>東元旗下ERP整合規劃廠</t>
  </si>
  <si>
    <t>高精細金屬遮罩、微波及半導體零件生產商</t>
  </si>
  <si>
    <t>銷售以面膜為主的美妝品牌公司</t>
  </si>
  <si>
    <t>全球最大LED點測分選設備商</t>
  </si>
  <si>
    <t>台灣從事嬰兒監控、車用監控及安防視頻網路監控IC廠</t>
  </si>
  <si>
    <t>專注於細胞療法新藥研發</t>
  </si>
  <si>
    <t>嘉澤轉投資之高速連接線器廠商</t>
  </si>
  <si>
    <t>台灣散熱風扇微控制器龍頭廠</t>
  </si>
  <si>
    <t>華碩轉投資的電源管理IC設計公司</t>
  </si>
  <si>
    <t>台灣霍爾IC及電源管理晶片供應商</t>
  </si>
  <si>
    <t>主要為國內運輸機構及公家機關提供清潔、機電及保全服務</t>
  </si>
  <si>
    <t>汽車電裝配備製造廠</t>
  </si>
  <si>
    <t>化學藥品供應系統的領導商</t>
  </si>
  <si>
    <t>全球知名的銅箔基板高階含浸設備製造商</t>
  </si>
  <si>
    <t>商用洗衣設備與家電產品代理商</t>
  </si>
  <si>
    <t>微創手術耗材及器械製造商</t>
  </si>
  <si>
    <t>矽創旗下以感測器為主的IC設計公司</t>
  </si>
  <si>
    <t>晟德旗下生物性骨材研發廠</t>
  </si>
  <si>
    <t>半導體類比暨混合訊號IC測試設備知名廠商</t>
  </si>
  <si>
    <t>半導體智能化系統整合廠</t>
  </si>
  <si>
    <t>台灣知名虛實融合(OMO)新零售服務商</t>
  </si>
  <si>
    <t>光學鍍膜及半導體鍍膜公司</t>
  </si>
  <si>
    <t>音樂娛樂或電競用耳機製造商</t>
  </si>
  <si>
    <t>宏碁旗下IT規劃整合及服務廠</t>
  </si>
  <si>
    <t>企業e化應用軟體開發與服務廠</t>
  </si>
  <si>
    <t>台灣民營造船業者</t>
  </si>
  <si>
    <t>主要從事建築室內設計及裝潢裝修工程</t>
  </si>
  <si>
    <t>威盛旗下USB高速傳輸控制晶片廠</t>
  </si>
  <si>
    <t>華航旗下的廉價航空公司</t>
  </si>
  <si>
    <t>國內知名的EMC一站式服務商</t>
  </si>
  <si>
    <t>以二類、三類醫療器材及零組件研究開發與設計代工廠</t>
  </si>
  <si>
    <t>歐買尬旗下第三方支付平台</t>
  </si>
  <si>
    <t>鐿鈦旗下脊椎融合手術產品供應商</t>
  </si>
  <si>
    <t>足球鞋代工製造龍頭大廠</t>
  </si>
  <si>
    <t>台灣第二大3C電子通路代理商</t>
  </si>
  <si>
    <t>新普轉投資之鋰電池模組製造商</t>
  </si>
  <si>
    <t>明基材轉投資，為亞洲矽水膠隱形眼鏡代工龍頭</t>
  </si>
  <si>
    <t>開發治療鴉片類成癮症及難治型憂鬱症之長效藥物</t>
  </si>
  <si>
    <t>國內晶圓製程AMC防治設備龍頭</t>
  </si>
  <si>
    <t>台積電旗下影像感測器後段製程生產企業</t>
  </si>
  <si>
    <t>台灣家庭用紙龍頭製造商，為永豐餘旗下子公司</t>
  </si>
  <si>
    <t>CAE、CPC導入暨顧問諮詢服務廠</t>
  </si>
  <si>
    <t>達方轉投資的天線、壓電陶瓷元件、電路保護元件廠</t>
  </si>
  <si>
    <t>異體脂肪幹細胞新藥研發廠</t>
  </si>
  <si>
    <t>醫療影像診斷系統解決方案供應商</t>
  </si>
  <si>
    <t>台灣一家電源管理IC供應商</t>
  </si>
  <si>
    <t>中鼎集團旗下，台灣知名廢棄物處理、焚化爐營運商</t>
  </si>
  <si>
    <t>台灣自行車OEM/ODM公司</t>
  </si>
  <si>
    <t>全球精密軸承製造領導商之一</t>
  </si>
  <si>
    <t>室內傢俱研發生產銷售商</t>
  </si>
  <si>
    <t>宏碁旗下，企業數位轉型服務供應商</t>
  </si>
  <si>
    <t>主要從事變壓器及電感器等磁性元件製造</t>
  </si>
  <si>
    <t>半導體先進製程關鍵耗材供應商</t>
  </si>
  <si>
    <t>精密零組件整合及半導體關鍵零組件製造商</t>
  </si>
  <si>
    <t>半導體材料分析服務龍頭</t>
  </si>
  <si>
    <t>均溫板等散熱零組件及模組生產商</t>
  </si>
  <si>
    <t>被動元件貼片電阻製造商</t>
  </si>
  <si>
    <t>台灣軟板及連接線組製造商</t>
  </si>
  <si>
    <t>台耀旗下眼科、腫瘤和抗感染藥研發廠</t>
  </si>
  <si>
    <t>電子設備及電子產品的測試技術服務商</t>
  </si>
  <si>
    <t>電腦分析輔助診斷系統供應商</t>
  </si>
  <si>
    <t>高階工業閥門製造商</t>
  </si>
  <si>
    <t>以「丁丁藥局」為品牌之連鎖藥妝及藥局通路業者</t>
  </si>
  <si>
    <t>台灣保健食品原料製造商</t>
  </si>
  <si>
    <t>台灣數位手工具領導者</t>
  </si>
  <si>
    <t>台數科轉投資衛星電視台、節目製作、電視購物公司</t>
  </si>
  <si>
    <t>台灣精密光學鏡片模具大廠</t>
  </si>
  <si>
    <t>經營X光平板感測器產品</t>
  </si>
  <si>
    <t>台灣領先的電感器製造商之一</t>
  </si>
  <si>
    <t>永豐餘旗下RFID標籤ODM廠</t>
  </si>
  <si>
    <t>金融業數位轉型解決方案供應商</t>
  </si>
  <si>
    <t>再生能源一站式整合服務商</t>
  </si>
  <si>
    <t>台灣專業零售業一站式解決方案提供商</t>
  </si>
  <si>
    <t>聚焦式超音波及治療導引追蹤系統研發廠</t>
  </si>
  <si>
    <t>太陽能系統整合商</t>
  </si>
  <si>
    <t>資通轉投資之企業軟體代理及開發廠</t>
  </si>
  <si>
    <t>脂質體緩釋劑型肺高壓治療藥物研發廠</t>
  </si>
  <si>
    <t>國內半導體及光電產業之檢測功能自動化設備供應商</t>
  </si>
  <si>
    <t>潤泰材旗下室內裝修設計公司</t>
  </si>
  <si>
    <t>宏碁旗下資訊產品售後服務提供商</t>
  </si>
  <si>
    <t>眼科疾病治療藥物研發廠</t>
  </si>
  <si>
    <t>再生聚酯產業鍊資源與技術整合者</t>
  </si>
  <si>
    <t>專為國際品牌代工製造鞋廠</t>
  </si>
  <si>
    <t>聖暉轉投資PCB製程應用電解設備及耗材廠</t>
  </si>
  <si>
    <t>國內知名的高功率真空微波管製造商</t>
  </si>
  <si>
    <t>台灣專業的觸控面板製造商之一</t>
  </si>
  <si>
    <t>台灣大型永續型生技創投公司</t>
  </si>
  <si>
    <t>全球數位防詐及風險管理服務商</t>
  </si>
  <si>
    <t>無塵室及機電空調之統包工程廠商</t>
  </si>
  <si>
    <t>國內活動扳手之專業領導製造廠</t>
  </si>
  <si>
    <t>專注與電信業者合作提供數據分析平台領域</t>
  </si>
  <si>
    <t>智原旗下高效能微控制晶片設計公司</t>
  </si>
  <si>
    <t>國內唯一自主開發的VOCs設備製造商</t>
  </si>
  <si>
    <t>專注數位轉型、智能語音辨識、客戶心聲領域</t>
  </si>
  <si>
    <t>全球線纜製造組裝規劃供應商</t>
  </si>
  <si>
    <t>主要從事停車場自動化設備製造及銷售、停車場收費及管理服務</t>
  </si>
  <si>
    <t>液晶顯示器模組(LCM)生產銷售商</t>
  </si>
  <si>
    <t>專注於亞洲專有骨板骨釘系統研發製造商</t>
  </si>
  <si>
    <t>專注醫美與慢性發炎疾病新藥開發公司</t>
  </si>
  <si>
    <t>台灣工業控制產品、應用電腦及工業電腦公司</t>
  </si>
  <si>
    <t>可寧衛轉投資之國內首家廢光源處理廠</t>
  </si>
  <si>
    <t>提供AI與大數據技術之智能數據服務提供商</t>
  </si>
  <si>
    <t>大眾控轉投資工業電腦公司</t>
  </si>
  <si>
    <t>台灣大型連鎖藥局</t>
  </si>
  <si>
    <t>台灣中部地區頗具規模之連鎖照顧服務機構</t>
  </si>
  <si>
    <t>提供AI高效能運算、高密度伺服器和存儲、液冷整機櫃解決方案</t>
  </si>
  <si>
    <t>吸入式藥物遞送裝置研發及CDMO廠</t>
  </si>
  <si>
    <t>永信轉投資，為台灣動保藥廠領導品牌之一</t>
  </si>
  <si>
    <t>國內關鍵半導體零組件主要供應商</t>
  </si>
  <si>
    <t>台灣純水及廢水回收系統規劃設計之工程公司</t>
  </si>
  <si>
    <t>浩鼎旗下雙特異性抗體新藥研發廠</t>
  </si>
  <si>
    <t>焚化及廢熱與蒸餾回收廢棄物處理廠</t>
  </si>
  <si>
    <t>台灣前三大雞蛋供應商之一</t>
  </si>
  <si>
    <t>家登旗下的EUV光罩及傳載自動化之技術解決方案商</t>
  </si>
  <si>
    <t>商用展示架及電動床機構件研發商</t>
  </si>
  <si>
    <t>台灣第四大租賃業公司</t>
  </si>
  <si>
    <t>雄獅集團旗下之旅遊服務提供商</t>
  </si>
  <si>
    <t>聯發科旗下顯示器驅動IC設計公司</t>
  </si>
  <si>
    <t>國際品牌代工製鞋廠</t>
  </si>
  <si>
    <t>電子功能性材料製造商兼經銷商</t>
  </si>
  <si>
    <t>寵物食用品及寵物美容服務供應商</t>
  </si>
  <si>
    <t>從事污廢水處理操作維護、工程承攬之業者</t>
  </si>
  <si>
    <t>台灣老牌的水泵產品銷售商</t>
  </si>
  <si>
    <t>EUV光罩AOI微粒設備供應商</t>
  </si>
  <si>
    <t>以臍帶間質幹細胞為研發的新藥公司</t>
  </si>
  <si>
    <t>森崴能源旗下綠電交易平台</t>
  </si>
  <si>
    <t>矽創旗下LCD驅動IC設計公司</t>
  </si>
  <si>
    <t>隸屬遠東集團，遠傳旗下之一站式雲端服務供應商</t>
  </si>
  <si>
    <t>以「Brinno」為品牌之縮時攝影機供應商</t>
  </si>
  <si>
    <t>金融業聊天機器人平台研發廠</t>
  </si>
  <si>
    <t>半導體設備耗材供應商</t>
  </si>
  <si>
    <t>台灣知名遊戲代理營運商</t>
  </si>
  <si>
    <t>台灣直流馬達吊扇製造商</t>
  </si>
  <si>
    <t>台灣安防警報系統及長照警報系統廠商</t>
  </si>
  <si>
    <t>朋億旗下，高科技產業廠務及製程設備廠商</t>
  </si>
  <si>
    <t>三商旗下，經營多品牌連鎖餐飲服務</t>
  </si>
  <si>
    <t>全家旗下，從事連鎖餐飲服務</t>
  </si>
  <si>
    <t>立式車床領導大廠</t>
  </si>
  <si>
    <t>華擎轉投資伺服器主機板及伺服器整機系統公司</t>
  </si>
  <si>
    <t>專業功率半導體元件及功率積體電路設計公司</t>
  </si>
  <si>
    <t>主要代理經銷羅氏體外診斷之相關設備醫材廠</t>
  </si>
  <si>
    <t>網路資安軟硬體代理商</t>
  </si>
  <si>
    <t>基士德轉投資之土壤及地下水污染整治工程服務商</t>
  </si>
  <si>
    <t>主要提供貨物之海運承攬服務</t>
  </si>
  <si>
    <t>聚焦在利基型產品的光纖被動元件廠商</t>
  </si>
  <si>
    <t>台灣車用與工業用扣件供應商</t>
  </si>
  <si>
    <t>IOT科技服務及電子支付設備供應商</t>
  </si>
  <si>
    <t>台灣行動支付領導品牌</t>
  </si>
  <si>
    <t>台灣知名火鍋與燒肉連鎖餐飲企業</t>
  </si>
  <si>
    <t>光電子晶片(PIC)檢測大廠</t>
  </si>
  <si>
    <t>台灣車用散熱風扇、馬達、鼓風機製造商</t>
  </si>
  <si>
    <t>半導體封裝製程氣泡解決方案商</t>
  </si>
  <si>
    <t>全球AM車門把手產銷龍頭</t>
  </si>
  <si>
    <t>為外籍工作者提供小額跨境匯兌服務</t>
  </si>
  <si>
    <t>冷壓蔬果汁供應商</t>
  </si>
  <si>
    <t>機構整合解決方案服務商</t>
  </si>
  <si>
    <t>上奇轉投資雲端服務及網通資安公司</t>
  </si>
  <si>
    <t>AI聲學處理及語音識別ASIC及AI智財授權公司</t>
  </si>
  <si>
    <t>生產精密設備控制器為主的製造商</t>
  </si>
  <si>
    <t>半導體封裝及檢測設備製造商</t>
  </si>
  <si>
    <t>台亞旗下數位顯示系統及視覺燈光系統製造商</t>
  </si>
  <si>
    <t>主要經營精釀啤酒釀造及餐廳</t>
  </si>
  <si>
    <t>主要從事庭園式KTV及餐飲業務</t>
  </si>
  <si>
    <t>中華電信轉投資，資安專業服務公司</t>
  </si>
  <si>
    <t>一站式全方位資訊服務系統整合廠商</t>
  </si>
  <si>
    <t>從事半導體CMP研磨墊材料、醫療保健鞋墊等生產</t>
  </si>
  <si>
    <t>國內知名的半導體IC測試設備供應商</t>
  </si>
  <si>
    <t>專攻高速傳輸介面及觸控IC設計公司</t>
  </si>
  <si>
    <t>半導體光學整合製造商</t>
  </si>
  <si>
    <t>台灣第二家掛牌的永續型創業投資公司</t>
  </si>
  <si>
    <t>尚凡旗下子公司，以生產保健食品為主</t>
  </si>
  <si>
    <t>專注自有香氛品牌、電商平台領域</t>
  </si>
  <si>
    <t>經營離岸風力發電相關工程</t>
  </si>
  <si>
    <t>台灣最具規模的繼電器製造公司</t>
  </si>
  <si>
    <t>南僑旗下冰品大廠</t>
  </si>
  <si>
    <t>提供能源運用規劃及電力系統規劃解決方案</t>
  </si>
  <si>
    <t>宏碁旗下智慧空氣品質解決方案服務商</t>
  </si>
  <si>
    <t>長興旗下，ABF載板真空壓膜領導商</t>
  </si>
  <si>
    <t>台灣首家硼中子捕獲治療系統(AB-BNCT)供應商</t>
  </si>
  <si>
    <t>台灣知名網路儲存裝置(NAS)製造商</t>
  </si>
  <si>
    <t>半導體設備銷售與工程技術服務商</t>
  </si>
  <si>
    <t>復盛應用轉投資運動功能性鞋及護具製造商</t>
  </si>
  <si>
    <t>開發膠原蛋白植入物之醫材廠</t>
  </si>
  <si>
    <t>從事水資源產品及戶外車載產品製造及銷售</t>
  </si>
  <si>
    <t>精誠旗下，專注刷卡機設備及收單系統開發領域</t>
  </si>
  <si>
    <t>聯華神通集團旗下，全球前三大車用電子品牌</t>
  </si>
  <si>
    <t>專注於光學檢測與量測設備的公司</t>
  </si>
  <si>
    <t>國內知名的全自動探針卡植針設備製造商</t>
  </si>
  <si>
    <t>主要經營外包接案媒合平台「PRO360達人網」</t>
  </si>
  <si>
    <t>雲豹能源旗下全方位能源永續解決方案服務公司</t>
  </si>
  <si>
    <t>和泰集團旗下車輛租賃公司</t>
  </si>
  <si>
    <t>台灣光纖線纜與光纖被動元件製造商</t>
  </si>
  <si>
    <t>台灣感測元件及顯示屏驅動IC廠</t>
  </si>
  <si>
    <t>全球前三大PCB鑽針生產商之一</t>
  </si>
  <si>
    <t>玩具語音IC與MCU生產商</t>
  </si>
  <si>
    <t>專業於半導體、主機板、高階基板材料等設備廠商</t>
  </si>
  <si>
    <t>主要從事再生晶圓與晶圓薄化代工業務</t>
  </si>
  <si>
    <t>瑞薩、三菱等日系原廠產品在台代理商</t>
  </si>
  <si>
    <t>全球前五大遙控模型玩具廠</t>
  </si>
  <si>
    <t>台灣網路接取設備製造商</t>
  </si>
  <si>
    <t>氧化鋰鐵電池模組系統應用生產商</t>
  </si>
  <si>
    <t>全球前三大FCCL製造商</t>
  </si>
  <si>
    <t>台灣前二大乙太網路IC供應商</t>
  </si>
  <si>
    <t>MB、SPS、CRT用之鋁質電解電容器大廠</t>
  </si>
  <si>
    <t>主要代理太陽誘電之積層陶瓷電容及電感</t>
  </si>
  <si>
    <t>台灣知名電商平台企業</t>
  </si>
  <si>
    <t>台灣寬頻傳輸設備及智慧聯網公司</t>
  </si>
  <si>
    <t>台塑集團旗下PCB載板與IC載板製造商</t>
  </si>
  <si>
    <t>台灣光纖網路局端、用戶端設備製造商</t>
  </si>
  <si>
    <t>台灣中小尺寸液晶模組廠</t>
  </si>
  <si>
    <t>以工業級嵌入式系統為主之工業電腦廠商</t>
  </si>
  <si>
    <t>台灣USB介面裝置控制IC廠</t>
  </si>
  <si>
    <t>志聖轉投資的顯示器設備商</t>
  </si>
  <si>
    <t>擁有自有品牌之B2B傢俱商，為美國進口傢俱前五名廠商</t>
  </si>
  <si>
    <t>光電資訊產品及美妝商品之專業代理商</t>
  </si>
  <si>
    <t>大宇資旗下的IC零組件通路商</t>
  </si>
  <si>
    <t>全球電子紙龍頭廠</t>
  </si>
  <si>
    <t>半導體封裝材料及設備通路商</t>
  </si>
  <si>
    <t>專精事務機塑膠機構件及隱形眼鏡之生產業務</t>
  </si>
  <si>
    <t>從事安全監控系統及半導體代理業務</t>
  </si>
  <si>
    <t>全球最大PCB墊板供應商</t>
  </si>
  <si>
    <t>以台北市為主的飯店經營業者</t>
  </si>
  <si>
    <t>營建剩餘土石方工程商</t>
  </si>
  <si>
    <t>台灣前三大類比IC設計公司</t>
  </si>
  <si>
    <t>台灣軸承製造商，主要應用於車庫門、手推車等</t>
  </si>
  <si>
    <t>經營記憶體通路及餐飲、助聽器等產品</t>
  </si>
  <si>
    <t>大同集團旗下電子零組件廠</t>
  </si>
  <si>
    <t>全球前三大砷化鎵晶圓代工廠</t>
  </si>
  <si>
    <t>從事太陽能、風電等再生能源電廠投資與建置業務</t>
  </si>
  <si>
    <t>台灣記憶體模組廠</t>
  </si>
  <si>
    <t>訊舟轉投資網路通訊設備廠</t>
  </si>
  <si>
    <t>台灣半導體離子植入機之關鍵零件最大供應商</t>
  </si>
  <si>
    <t>IC封裝模具及量測儀器廠製造商</t>
  </si>
  <si>
    <t>主攻高階DIY市場且經營自有品牌之電源與電腦週邊廠</t>
  </si>
  <si>
    <t>為韓國三星在台之主要合作夥伴</t>
  </si>
  <si>
    <t>網通CPE設備供應商</t>
  </si>
  <si>
    <t>大同旗下資訊通信系統整合廠商</t>
  </si>
  <si>
    <t>台灣從事行動通訊產品製造商</t>
  </si>
  <si>
    <t>專注於影像處理IC設計公司</t>
  </si>
  <si>
    <t>各種應用之連接器及線纜組件廠</t>
  </si>
  <si>
    <t>錸德轉投資的全球PMOLED龍頭廠商</t>
  </si>
  <si>
    <t>從事製造利基型顯示模組</t>
  </si>
  <si>
    <t>大億集團旗下之汽車零組件供應商</t>
  </si>
  <si>
    <t>台灣專攻工業與通訊應用之利基型電源廠</t>
  </si>
  <si>
    <t>華新集團旗下封測廠</t>
  </si>
  <si>
    <t>台灣LED元件生產商及封裝大廠</t>
  </si>
  <si>
    <t>主要代理品牌以Samsung為主之IC通路商</t>
  </si>
  <si>
    <t>全球前五大POS品牌廠之一</t>
  </si>
  <si>
    <t>台聚旗下、台灣最大錳鋅系列鐵芯等電感類製造商</t>
  </si>
  <si>
    <t>南亞科旗下記憶體封測廠</t>
  </si>
  <si>
    <t>生產PC、工業及通信用的連接器廠商</t>
  </si>
  <si>
    <t>全球前3大LCD驅動IC封測廠</t>
  </si>
  <si>
    <t>仁寶旗下工業及商業用PCB廠</t>
  </si>
  <si>
    <t>專攻電池模組與電源管理模組之廠商</t>
  </si>
  <si>
    <t>台灣無線網路傳輸設備ODM/OEM廠</t>
  </si>
  <si>
    <t>日本大真空轉投資，為台灣石英元件製造商</t>
  </si>
  <si>
    <t>英業達轉投資電子辭典公司</t>
  </si>
  <si>
    <t>台灣伺服器機殼龍頭廠</t>
  </si>
  <si>
    <t>全球最大光電板廠商</t>
  </si>
  <si>
    <t>全球前五大、台灣第一大偏光板供應商</t>
  </si>
  <si>
    <t>專注於航空發動機內的高溫段零組件製造商</t>
  </si>
  <si>
    <t>台灣最早成立之IC 設計服務公司</t>
  </si>
  <si>
    <t>台灣工業電腦廠商</t>
  </si>
  <si>
    <t>國內背光模組光學膜片最大專業製造裁切廠</t>
  </si>
  <si>
    <t>全球彩色接觸式CIS龍頭廠</t>
  </si>
  <si>
    <t>全球燃油車發電機二極體龍頭之一</t>
  </si>
  <si>
    <t>提供MOSFET、IGBT和電源IC之解決方案商</t>
  </si>
  <si>
    <t>全球前十大DRAM模組廠</t>
  </si>
  <si>
    <t>緯創旗下，專注身份認證的資訊安全軟體公司</t>
  </si>
  <si>
    <t>生達旗下原料藥及保健品研發廠商</t>
  </si>
  <si>
    <t>金融服務軟體供應商</t>
  </si>
  <si>
    <t>台灣專業石英振盪器製造商</t>
  </si>
  <si>
    <t>台灣利基型銅箔基板廠</t>
  </si>
  <si>
    <t>全球USB控制IC設計之龍頭企業</t>
  </si>
  <si>
    <t>潤泰新轉投資之台灣最大醫療廢棄物處理廠商之一</t>
  </si>
  <si>
    <t>台灣最大商用金屬展示架製造商</t>
  </si>
  <si>
    <t>車用與工業用扣件製造與貿易廠商</t>
  </si>
  <si>
    <t>特殊商標專業製造廠，有粘標籤、自粘膠帶等</t>
  </si>
  <si>
    <t>台灣前三大電解銅箔製造商</t>
  </si>
  <si>
    <t>台灣從事貨櫃場服務之業者</t>
  </si>
  <si>
    <t>自動化機電零組件代理暨技術服務商</t>
  </si>
  <si>
    <t>TFT-LCD及半導體廠無塵室供應商</t>
  </si>
  <si>
    <t>台灣清運處理固體電子廢棄物業者</t>
  </si>
  <si>
    <t>台灣合版印刷龍頭</t>
  </si>
  <si>
    <t>敏盛醫控股旗下醫藥流通及健康管理業者</t>
  </si>
  <si>
    <t>全球最大黏扣帶製造商</t>
  </si>
  <si>
    <t>台灣醫療影像PACS系統龍頭廠</t>
  </si>
  <si>
    <t>台灣最大3C產品之膜內轉印(IMR)印刷廠</t>
  </si>
  <si>
    <t>大陸專業金屬包裝產品供應大廠</t>
  </si>
  <si>
    <t>大成鋼轉投資之大型螺絲螺帽配銷商</t>
  </si>
  <si>
    <t>3D CAD/CAM/CAE/PDM軟硬體代理商</t>
  </si>
  <si>
    <t>飲料標籤及生產設備製造商</t>
  </si>
  <si>
    <t>台灣最大重金屬廢棄物固化處理廠</t>
  </si>
  <si>
    <t>馬來西亞最大的再生膠、膠粉及膠粒製造商</t>
  </si>
  <si>
    <t>台灣最大矽酸鈣板廠</t>
  </si>
  <si>
    <t>國際精品的裝潢承包商</t>
  </si>
  <si>
    <t>大陸三、四線城市中低價品牌服飾與休閒鞋業者</t>
  </si>
  <si>
    <t>亞太知名表面處理大廠</t>
  </si>
  <si>
    <t>東洋旗下慢性病用藥與新藥研發公司</t>
  </si>
  <si>
    <t>全方位女性與孩童配件飾品供應商，產品外銷歐美為主</t>
  </si>
  <si>
    <t>台灣前三大工業水處理藥劑公司</t>
  </si>
  <si>
    <t>專為大廠研發保健品、保養品及有效添加物等公司</t>
  </si>
  <si>
    <t>大陸知名幼教品牌，提供幼教諮詢服務</t>
  </si>
  <si>
    <t>台灣主要PCB廢液處理商，市佔超過8成</t>
  </si>
  <si>
    <t>台灣最大的廢家電及廢資訊物品回收業者</t>
  </si>
  <si>
    <t>為全球知名運動用品及精品包袋代工製造商</t>
  </si>
  <si>
    <t>台灣第一家掛牌的鞋業自有品牌業者</t>
  </si>
  <si>
    <t>泰國塑合板與橡膠木實木板材產銷商</t>
  </si>
  <si>
    <t>亞洲跨國唱片製作及歌手經紀人公司</t>
  </si>
  <si>
    <t>台灣布袋戲文創業者</t>
  </si>
  <si>
    <t>台灣網路購物龍頭平台</t>
  </si>
  <si>
    <t>國內知名的電機、電子零組件代理經銷商</t>
  </si>
  <si>
    <t>台灣連鎖健身俱樂部業者</t>
  </si>
  <si>
    <t>潤泰集團旗下水泥及預拌式泥作材料大廠</t>
  </si>
  <si>
    <t>全球窗簾製造大廠</t>
  </si>
  <si>
    <t>全球知名塑膠地磚製造廠商</t>
  </si>
  <si>
    <t>全球最大碳纖維冰上曲棍球桿製造廠</t>
  </si>
  <si>
    <t>力麒旗下水處理工程公司</t>
  </si>
  <si>
    <t>專注發展土壤、地下水領域的環保工程服務商</t>
  </si>
  <si>
    <t>主要經營「生活市集」電商平台</t>
  </si>
  <si>
    <t>亞洲地區唯一擁有自有品牌之遊艇製造商</t>
  </si>
  <si>
    <t>全球最大自行車貼標印刷公司</t>
  </si>
  <si>
    <t>主要出口至北美的高端室內傢俱製造商</t>
  </si>
  <si>
    <t>台商金屬飲料包材大廠</t>
  </si>
  <si>
    <t>致力於K12數位教學及品牌代理授權業者</t>
  </si>
  <si>
    <t>電子衡器及EMI導電材料生產商</t>
  </si>
  <si>
    <t>主要從事肉品、冷凍冷藏倉儲、營建業務</t>
  </si>
  <si>
    <t>知名一貫化印製作業廠</t>
  </si>
  <si>
    <t>主要經營高雄市鳳山、大寮等13區之天然氣業者</t>
  </si>
  <si>
    <t>國內知名的羽絨原料加工及寢具製造商</t>
  </si>
  <si>
    <t>主要經營新北市樹林、土城等9區之天然氣業者</t>
  </si>
  <si>
    <t>永豐餘集團轉投資之印刷廠</t>
  </si>
  <si>
    <t>台灣大型出版社之一</t>
  </si>
  <si>
    <t>全球前四大高爾夫球桿頭代工廠之一</t>
  </si>
  <si>
    <t>為一開發、投資、興建及營運汽電共生廠及民營電廠</t>
  </si>
  <si>
    <t>國內加油站經營商，擁有80個據點</t>
  </si>
  <si>
    <t>主要生產不織布及成人紙尿褲產品</t>
  </si>
  <si>
    <t>亞洲最大輕鋼架生產商</t>
  </si>
  <si>
    <t>設於大園工業區內之汽電共生公司</t>
  </si>
  <si>
    <t>專注拉鍊業與軟體科技雙主業領域</t>
  </si>
  <si>
    <t>台灣第三大自行車生產廠商</t>
  </si>
  <si>
    <t>台灣鞋材及複合材料研發生產大廠</t>
  </si>
  <si>
    <t>專營輸水管材之製造與承包公司，並兼營海水淡化業務</t>
  </si>
  <si>
    <t>自創品牌「ADLY」多功能休閒車專業製造廠商</t>
  </si>
  <si>
    <t>於台灣北中南部擁有多家大型婚宴會館業者</t>
  </si>
  <si>
    <t>以生產烤肉爐、節能熱水器為主製造商</t>
  </si>
  <si>
    <t>台灣最大鋁塑複合板製造商</t>
  </si>
  <si>
    <t>台灣唯一製造硬銲型不銹鋼板式熱交換器廠</t>
  </si>
  <si>
    <t>主要從事各種功能鞋款代工研發的廠商</t>
  </si>
  <si>
    <t>進口轎車、垃圾車、建材貿易商，亦從事小客車租賃及建營開發</t>
  </si>
  <si>
    <t>全球運動鞋及休閒鞋代工龍頭</t>
  </si>
  <si>
    <t>台灣最大食品飲料綜合包裝容器廠</t>
  </si>
  <si>
    <t>高雄巴巴集團旗下建商</t>
  </si>
  <si>
    <t>台灣馬口鐵第一大廠</t>
  </si>
  <si>
    <t>主要經營台北市信義、松山等地區之天然氣業者</t>
  </si>
  <si>
    <t>全球知名運動鞋代工廠</t>
  </si>
  <si>
    <t>台灣最大系統廚具連鎖通路品牌</t>
  </si>
  <si>
    <t>以自有品牌發展專業用途顯示器廠</t>
  </si>
  <si>
    <t>台灣第二大自行車生產廠商</t>
  </si>
  <si>
    <t>台灣最大的保全業者</t>
  </si>
  <si>
    <t>主要經營新北市中和、永和、新店、深坑之天然氣業者</t>
  </si>
  <si>
    <t>為國內衛生棉及化妝棉、濕紙巾之製造龍頭企業</t>
  </si>
  <si>
    <t>全球最大自行車生產廠商</t>
  </si>
  <si>
    <t>亞洲最大，全球第二大門鎖廠商</t>
  </si>
  <si>
    <t>台灣第二大保全業者</t>
  </si>
  <si>
    <t>主要經營新北市三重、板橋及新莊區之天然氣業者</t>
  </si>
  <si>
    <t>亞洲最大合金鉛製造廠商之一</t>
  </si>
  <si>
    <t>台灣五家無線電視台之一</t>
  </si>
  <si>
    <t>台灣第一家股票上市之印刷業者</t>
  </si>
  <si>
    <t>主營採用中鋼爐石粉製造高強度水泥</t>
  </si>
  <si>
    <t>主要經營高雄市三民、左營等營業區之天然氣業者</t>
  </si>
  <si>
    <t>台灣最大統包工程公司</t>
  </si>
  <si>
    <t>亞洲最大水龍頭專業製造廠商</t>
  </si>
  <si>
    <t>台灣第一大窗簾傢飾廠</t>
  </si>
  <si>
    <t>台灣知名加油站經營商，站數逾百座</t>
  </si>
  <si>
    <t>台灣最大的飲料包材及飲料代工製造商</t>
  </si>
  <si>
    <t>台灣主要房仲業者</t>
  </si>
  <si>
    <t>裕隆集團旗下汽車融資業者</t>
  </si>
  <si>
    <t>台灣第一大、全球前五大密封元件製造商</t>
  </si>
  <si>
    <t>台灣知名KTV業者</t>
  </si>
  <si>
    <t>東南亞最大的樹脂棉製造商之一</t>
  </si>
  <si>
    <t>潤泰集團旗下建商</t>
  </si>
  <si>
    <t>全心投控轉投資公司，以都會區為主要開發標的</t>
  </si>
  <si>
    <t>以「tittot琉園」為品牌之水晶玻璃藝術品業者</t>
  </si>
  <si>
    <t>台灣最大旅行箱製造商</t>
  </si>
  <si>
    <t>全球第二大汽車窗簾ODM廠</t>
  </si>
  <si>
    <t>台灣一貫化電子廢棄物處理廠</t>
  </si>
  <si>
    <t>台灣鋼構大廠</t>
  </si>
  <si>
    <t>台灣最大的高爾夫球銷售網站</t>
  </si>
  <si>
    <t>台灣不鏽鋼厚板第一大廠</t>
  </si>
  <si>
    <t>243萬</t>
  </si>
  <si>
    <t>台灣分散性染料貿易與多元化投資控股公司</t>
  </si>
  <si>
    <t>廢氫氟酸和氟化鈣污泥處理及人造螢石銷售商</t>
  </si>
  <si>
    <t>從事汽車改裝銷售業務</t>
  </si>
  <si>
    <t>益得</t>
  </si>
  <si>
    <t>健喬旗下哮喘定量噴霧吸入劑研發廠</t>
  </si>
  <si>
    <t>1.01億</t>
  </si>
  <si>
    <t>121萬</t>
  </si>
  <si>
    <t>和亞智慧</t>
  </si>
  <si>
    <t>台亞旗下，光學影像之技術研發商</t>
  </si>
  <si>
    <t>從事澳洲商品進口、農良業務、票券電商平台業務</t>
  </si>
  <si>
    <t>221萬</t>
  </si>
  <si>
    <t>納維康</t>
  </si>
  <si>
    <t>130萬</t>
  </si>
  <si>
    <t>171萬</t>
  </si>
  <si>
    <t>111萬</t>
  </si>
  <si>
    <t>162萬</t>
  </si>
  <si>
    <t>211萬</t>
  </si>
  <si>
    <t>普誠</t>
  </si>
  <si>
    <t>台灣消費性IC設計廠商，及車用IC設計公司</t>
  </si>
  <si>
    <t>109萬</t>
  </si>
  <si>
    <t>床的世界</t>
  </si>
  <si>
    <t>台灣最大連鎖床墊、寢具通路商</t>
  </si>
  <si>
    <t>台灣一大軟膠囊生產線公司</t>
  </si>
  <si>
    <t>1.07億</t>
  </si>
  <si>
    <t>1.15億</t>
  </si>
  <si>
    <t>161萬</t>
  </si>
  <si>
    <t>139萬</t>
  </si>
  <si>
    <t>194萬</t>
  </si>
  <si>
    <t>國內知名連接線束大廠</t>
  </si>
  <si>
    <t>經營娛樂、通信、廣告相關之數位行銷服務</t>
  </si>
  <si>
    <t>179萬</t>
  </si>
  <si>
    <t>1.04億</t>
  </si>
  <si>
    <t>157萬</t>
  </si>
  <si>
    <t>137萬</t>
  </si>
  <si>
    <t>1.26億</t>
  </si>
  <si>
    <t>119萬</t>
  </si>
  <si>
    <t>1.35億</t>
  </si>
  <si>
    <t>東訊</t>
  </si>
  <si>
    <t>東元集團旗下台灣最大總機系統供應商</t>
  </si>
  <si>
    <t>101萬</t>
  </si>
  <si>
    <t>1.02億</t>
  </si>
  <si>
    <t>奇偶</t>
  </si>
  <si>
    <t>台灣專業安控廠，擁有自有品牌GeoVision</t>
  </si>
  <si>
    <t>艾笛森</t>
  </si>
  <si>
    <t>台灣最大高功率LED產品設計製造廠商</t>
  </si>
  <si>
    <t>連展投控</t>
  </si>
  <si>
    <t>控股公司，運營連接器及通訊零件等業務</t>
  </si>
  <si>
    <t>112萬</t>
  </si>
  <si>
    <t>凱碩</t>
  </si>
  <si>
    <t>金寶旗下網通設備OBM/ODM廠</t>
  </si>
  <si>
    <t>商丞</t>
  </si>
  <si>
    <t>記憶體模組兼儲存設備廠</t>
  </si>
  <si>
    <t>1.13億</t>
  </si>
  <si>
    <t>116萬</t>
  </si>
  <si>
    <t>1.21億</t>
  </si>
  <si>
    <t>302萬</t>
  </si>
  <si>
    <t>125萬</t>
  </si>
  <si>
    <t>127萬</t>
  </si>
  <si>
    <t>195萬</t>
  </si>
  <si>
    <t>185萬</t>
  </si>
  <si>
    <t>541萬</t>
  </si>
  <si>
    <t>151萬</t>
  </si>
  <si>
    <t>1.57億</t>
  </si>
  <si>
    <t>118萬</t>
  </si>
  <si>
    <t>117萬</t>
  </si>
  <si>
    <t>漢測</t>
  </si>
  <si>
    <t>台灣探針卡、半導體客製化設備、半導體技術服務公司</t>
  </si>
  <si>
    <t>1.32億</t>
  </si>
  <si>
    <t>1.03億</t>
  </si>
  <si>
    <t>152萬</t>
  </si>
  <si>
    <t>經營電源供應器及拓展無人機事業</t>
  </si>
  <si>
    <t>108萬</t>
  </si>
  <si>
    <t>126萬</t>
  </si>
  <si>
    <t>1.31億</t>
  </si>
  <si>
    <t>207萬</t>
  </si>
  <si>
    <t>1.67億</t>
  </si>
  <si>
    <t>大東</t>
  </si>
  <si>
    <t>台灣主要棉紡生產企業</t>
  </si>
  <si>
    <t>166萬</t>
  </si>
  <si>
    <t>354萬</t>
  </si>
  <si>
    <t>10.2億</t>
  </si>
  <si>
    <t>364萬</t>
  </si>
  <si>
    <t>163萬</t>
  </si>
  <si>
    <t>305萬</t>
  </si>
  <si>
    <t>北極星藥業-KY</t>
  </si>
  <si>
    <t>聚焦標靶抗癌新藥研發</t>
  </si>
  <si>
    <t>日揚旗下，半導體前段製程設備電源部件之技術服務商</t>
  </si>
  <si>
    <t>350萬</t>
  </si>
  <si>
    <t>128萬</t>
  </si>
  <si>
    <t>156萬</t>
  </si>
  <si>
    <t>320萬</t>
  </si>
  <si>
    <t>348萬</t>
  </si>
  <si>
    <t>129萬</t>
  </si>
  <si>
    <t>262萬</t>
  </si>
  <si>
    <t>1.25億</t>
  </si>
  <si>
    <t>1.09億</t>
  </si>
  <si>
    <t>160萬</t>
  </si>
  <si>
    <t>297萬</t>
  </si>
  <si>
    <t>266萬</t>
  </si>
  <si>
    <t>533萬</t>
  </si>
  <si>
    <t>1.33億</t>
  </si>
  <si>
    <t>294萬</t>
  </si>
  <si>
    <t>3.54億</t>
  </si>
  <si>
    <t>158萬</t>
  </si>
  <si>
    <t>187萬</t>
  </si>
  <si>
    <t>1.20億</t>
  </si>
  <si>
    <t>1.44億</t>
  </si>
  <si>
    <t>308萬</t>
  </si>
  <si>
    <t>1.63億</t>
  </si>
  <si>
    <t>410萬</t>
  </si>
  <si>
    <t>1.60億</t>
  </si>
  <si>
    <t>255萬</t>
  </si>
  <si>
    <t>107萬</t>
  </si>
  <si>
    <t>1.43億</t>
  </si>
  <si>
    <t>10.7億</t>
  </si>
  <si>
    <t>251萬</t>
  </si>
  <si>
    <t>益航</t>
  </si>
  <si>
    <t>從事散裝航運，在大陸持有大洋百貨</t>
  </si>
  <si>
    <t>1.82億</t>
  </si>
  <si>
    <t>133萬</t>
  </si>
  <si>
    <t>200萬</t>
  </si>
  <si>
    <t>192萬</t>
  </si>
  <si>
    <t>桂田文創</t>
  </si>
  <si>
    <t>台灣第一家掛牌電視劇製作公司</t>
  </si>
  <si>
    <t>台灣鋼鐵集團旗下光通訊暨智慧電網公司</t>
  </si>
  <si>
    <t>4.05億</t>
  </si>
  <si>
    <t>124萬</t>
  </si>
  <si>
    <t>805萬</t>
  </si>
  <si>
    <t>311萬</t>
  </si>
  <si>
    <t>155萬</t>
  </si>
  <si>
    <t>202萬</t>
  </si>
  <si>
    <t>212萬</t>
  </si>
  <si>
    <t>412萬</t>
  </si>
  <si>
    <t>1.16億</t>
  </si>
  <si>
    <t>493萬</t>
  </si>
  <si>
    <t>2.15億</t>
  </si>
  <si>
    <t>338萬</t>
  </si>
  <si>
    <t>1.99億</t>
  </si>
  <si>
    <t>1397萬</t>
  </si>
  <si>
    <t>1.40億</t>
  </si>
  <si>
    <t>49.8萬</t>
  </si>
  <si>
    <t>102萬</t>
  </si>
  <si>
    <t>14.2億</t>
  </si>
  <si>
    <t>606萬</t>
  </si>
  <si>
    <t>209萬</t>
  </si>
  <si>
    <t>215萬</t>
  </si>
  <si>
    <t>3.02億</t>
  </si>
  <si>
    <t>242萬</t>
  </si>
  <si>
    <t>609萬</t>
  </si>
  <si>
    <t>183萬</t>
  </si>
  <si>
    <t>415萬</t>
  </si>
  <si>
    <t>電動微型二輪機車代理銷售商</t>
  </si>
  <si>
    <t>148萬</t>
  </si>
  <si>
    <t>427萬</t>
  </si>
  <si>
    <t>476萬</t>
  </si>
  <si>
    <t>355萬</t>
  </si>
  <si>
    <t>2.21億</t>
  </si>
  <si>
    <t>201萬</t>
  </si>
  <si>
    <t>1.50億</t>
  </si>
  <si>
    <t>1.17億</t>
  </si>
  <si>
    <t>1.94億</t>
  </si>
  <si>
    <t>113萬</t>
  </si>
  <si>
    <t>15.7億</t>
  </si>
  <si>
    <t>儒億</t>
  </si>
  <si>
    <t>堤維西轉投資車燈ODM/OEM製造商</t>
  </si>
  <si>
    <t>30.4萬</t>
  </si>
  <si>
    <t>132萬</t>
  </si>
  <si>
    <t>台灣專業POS機系統廠商</t>
  </si>
  <si>
    <t>2.70億</t>
  </si>
  <si>
    <t>13.4億</t>
  </si>
  <si>
    <t>1.90億</t>
  </si>
  <si>
    <t>18.0億</t>
  </si>
  <si>
    <t>468萬</t>
  </si>
  <si>
    <t>319萬</t>
  </si>
  <si>
    <t>205萬</t>
  </si>
  <si>
    <t>1.18億</t>
  </si>
  <si>
    <t>1.72億</t>
  </si>
  <si>
    <t>231萬</t>
  </si>
  <si>
    <t>453萬</t>
  </si>
  <si>
    <t>1.29億</t>
  </si>
  <si>
    <t>182萬</t>
  </si>
  <si>
    <t>1.08億</t>
  </si>
  <si>
    <t>196萬</t>
  </si>
  <si>
    <t>333萬</t>
  </si>
  <si>
    <t>2.61億</t>
  </si>
  <si>
    <t>25.9萬</t>
  </si>
  <si>
    <t>10.6萬</t>
  </si>
  <si>
    <t>1.81億</t>
  </si>
  <si>
    <t>150萬</t>
  </si>
  <si>
    <t>525萬</t>
  </si>
  <si>
    <t>1.74億</t>
  </si>
  <si>
    <t>2.32億</t>
  </si>
  <si>
    <t>399萬</t>
  </si>
  <si>
    <t>153萬</t>
  </si>
  <si>
    <t>1.47億</t>
  </si>
  <si>
    <t>382萬</t>
  </si>
  <si>
    <t>241萬</t>
  </si>
  <si>
    <t>477萬</t>
  </si>
  <si>
    <t>2.93億</t>
  </si>
  <si>
    <t>2.57億</t>
  </si>
  <si>
    <t>388萬</t>
  </si>
  <si>
    <t>309萬</t>
  </si>
  <si>
    <t>40.5萬</t>
  </si>
  <si>
    <t>100萬</t>
  </si>
  <si>
    <t>286萬</t>
  </si>
  <si>
    <t>304萬</t>
  </si>
  <si>
    <t>419萬</t>
  </si>
  <si>
    <t>737萬</t>
  </si>
  <si>
    <t>19.4萬</t>
  </si>
  <si>
    <t>337萬</t>
  </si>
  <si>
    <t>2.29億</t>
  </si>
  <si>
    <t>台灣網路遊戲開發及代理商</t>
  </si>
  <si>
    <t>653萬</t>
  </si>
  <si>
    <t>2.60億</t>
  </si>
  <si>
    <t>214萬</t>
  </si>
  <si>
    <t>321萬</t>
  </si>
  <si>
    <t>744萬</t>
  </si>
  <si>
    <t>34.0萬</t>
  </si>
  <si>
    <t>31.3萬</t>
  </si>
  <si>
    <t>106萬</t>
  </si>
  <si>
    <t>00412A</t>
  </si>
  <si>
    <t>主動安聯亞半導體</t>
  </si>
  <si>
    <t>元大科技市值</t>
  </si>
  <si>
    <t>508萬</t>
  </si>
  <si>
    <t>175萬</t>
  </si>
  <si>
    <t>52.0萬</t>
  </si>
  <si>
    <t>21.8萬</t>
  </si>
  <si>
    <t>240萬</t>
  </si>
  <si>
    <t>2.34億</t>
  </si>
  <si>
    <t>487萬</t>
  </si>
  <si>
    <t>587萬</t>
  </si>
  <si>
    <t>640萬</t>
  </si>
  <si>
    <t>281萬</t>
  </si>
  <si>
    <t>571萬</t>
  </si>
  <si>
    <t>1.42億</t>
  </si>
  <si>
    <t>1.98億</t>
  </si>
  <si>
    <t>3.34億</t>
  </si>
  <si>
    <t>1233萬</t>
  </si>
  <si>
    <t>600萬</t>
  </si>
  <si>
    <t>2.92億</t>
  </si>
  <si>
    <t>00992B</t>
  </si>
  <si>
    <t>街口優息非投債</t>
  </si>
  <si>
    <t>265萬</t>
  </si>
  <si>
    <t>199萬</t>
  </si>
  <si>
    <t>367萬</t>
  </si>
  <si>
    <t>189萬</t>
  </si>
  <si>
    <t>144萬</t>
  </si>
  <si>
    <t>70.5萬</t>
  </si>
  <si>
    <t>91.6萬</t>
  </si>
  <si>
    <t>4517萬</t>
  </si>
  <si>
    <t>389萬</t>
  </si>
  <si>
    <t>1.45億</t>
  </si>
  <si>
    <t>206萬</t>
  </si>
  <si>
    <t>433萬</t>
  </si>
  <si>
    <t>1.53億</t>
  </si>
  <si>
    <t>中環</t>
  </si>
  <si>
    <t>2.65億</t>
  </si>
  <si>
    <t>19.5億</t>
  </si>
  <si>
    <t>418萬</t>
  </si>
  <si>
    <t>11.7億</t>
  </si>
  <si>
    <t>1.78億</t>
  </si>
  <si>
    <t>728萬</t>
  </si>
  <si>
    <t>197萬</t>
  </si>
  <si>
    <t>1184萬</t>
  </si>
  <si>
    <t>10.3億</t>
  </si>
  <si>
    <t>12.1萬</t>
  </si>
  <si>
    <t>237萬</t>
  </si>
  <si>
    <t>335萬</t>
  </si>
  <si>
    <t>295萬</t>
  </si>
  <si>
    <t>14.0億</t>
  </si>
  <si>
    <t>259萬</t>
  </si>
  <si>
    <t>114億</t>
  </si>
  <si>
    <t>新零售</t>
  </si>
  <si>
    <t>台灣鋼鐵集團旗下電商公司</t>
  </si>
  <si>
    <t>146萬</t>
  </si>
  <si>
    <t>14.4億</t>
  </si>
  <si>
    <t>1.97億</t>
  </si>
  <si>
    <t>12.0億</t>
  </si>
  <si>
    <t>49.9億</t>
  </si>
  <si>
    <t>289萬</t>
  </si>
  <si>
    <t>188萬</t>
  </si>
  <si>
    <t>21.8億</t>
  </si>
  <si>
    <t>1.34億</t>
  </si>
  <si>
    <t>52.4萬</t>
  </si>
  <si>
    <t>3.37億</t>
  </si>
  <si>
    <t>511萬</t>
  </si>
  <si>
    <t>663萬</t>
  </si>
  <si>
    <t>方土霖</t>
  </si>
  <si>
    <t>台灣專業的中央空調系統冰水機組銷售商</t>
  </si>
  <si>
    <t>552萬</t>
  </si>
  <si>
    <t>26.7萬</t>
  </si>
  <si>
    <t>2.69億</t>
  </si>
  <si>
    <t>1.64億</t>
  </si>
  <si>
    <t>2.94億</t>
  </si>
  <si>
    <t>326萬</t>
  </si>
  <si>
    <t>20.4億</t>
  </si>
  <si>
    <t>寶得利</t>
  </si>
  <si>
    <t>主營珠寶精品銷售零售業務</t>
  </si>
  <si>
    <t>748萬</t>
  </si>
  <si>
    <t>10.9億</t>
  </si>
  <si>
    <t>208萬</t>
  </si>
  <si>
    <t>547萬</t>
  </si>
  <si>
    <t>53.3萬</t>
  </si>
  <si>
    <t>4.96億</t>
  </si>
  <si>
    <t>204萬</t>
  </si>
  <si>
    <t>19.7億</t>
  </si>
  <si>
    <t>310萬</t>
  </si>
  <si>
    <t>25.5萬</t>
  </si>
  <si>
    <t>3.06億</t>
  </si>
  <si>
    <t>17.7萬</t>
  </si>
  <si>
    <t>154億</t>
  </si>
  <si>
    <t>3.47億</t>
  </si>
  <si>
    <t>346萬</t>
  </si>
  <si>
    <t>19.3億</t>
  </si>
  <si>
    <t>226萬</t>
  </si>
  <si>
    <t>44.1萬</t>
  </si>
  <si>
    <t>306萬</t>
  </si>
  <si>
    <t>20.0萬</t>
  </si>
  <si>
    <t>482萬</t>
  </si>
  <si>
    <t>36.7萬</t>
  </si>
  <si>
    <t>22.2萬</t>
  </si>
  <si>
    <t>11.9萬</t>
  </si>
  <si>
    <t>2.72億</t>
  </si>
  <si>
    <t>2560萬</t>
  </si>
  <si>
    <t>270萬</t>
  </si>
  <si>
    <t>225萬</t>
  </si>
  <si>
    <t>47.0萬</t>
  </si>
  <si>
    <t>3.78億</t>
  </si>
  <si>
    <t>2.96億</t>
  </si>
  <si>
    <t>30.3億</t>
  </si>
  <si>
    <t>2.56億</t>
  </si>
  <si>
    <t>180萬</t>
  </si>
  <si>
    <t>123萬</t>
  </si>
  <si>
    <t>69.8萬</t>
  </si>
  <si>
    <t>64.1萬</t>
  </si>
  <si>
    <t>3.89億</t>
  </si>
  <si>
    <t>2723萬</t>
  </si>
  <si>
    <t>1192萬</t>
  </si>
  <si>
    <t>4.16億</t>
  </si>
  <si>
    <t>3.84億</t>
  </si>
  <si>
    <t>2.76億</t>
  </si>
  <si>
    <t>120萬</t>
  </si>
  <si>
    <t>4348萬</t>
  </si>
  <si>
    <t>344萬</t>
  </si>
  <si>
    <t>1.73億</t>
  </si>
  <si>
    <t>517萬</t>
  </si>
  <si>
    <t>514萬</t>
  </si>
  <si>
    <t>978萬</t>
  </si>
  <si>
    <t>1872萬</t>
  </si>
  <si>
    <t>26.8萬</t>
  </si>
  <si>
    <t>3327萬</t>
  </si>
  <si>
    <t>1.28億</t>
  </si>
  <si>
    <t>634萬</t>
  </si>
  <si>
    <t>391萬</t>
  </si>
  <si>
    <t>2672萬</t>
  </si>
  <si>
    <t>679萬</t>
  </si>
  <si>
    <t>1236萬</t>
  </si>
  <si>
    <t>1.54億</t>
  </si>
  <si>
    <t>307萬</t>
  </si>
  <si>
    <t>1170萬</t>
  </si>
  <si>
    <t>3321萬</t>
  </si>
  <si>
    <t>1634萬</t>
  </si>
  <si>
    <t>21.1億</t>
  </si>
  <si>
    <t>1.41億</t>
  </si>
  <si>
    <t>5.23億</t>
  </si>
  <si>
    <t>4.04億</t>
  </si>
  <si>
    <t>1.22億</t>
  </si>
  <si>
    <t>2453萬</t>
  </si>
  <si>
    <t>1481萬</t>
  </si>
  <si>
    <t>467萬</t>
  </si>
  <si>
    <t>1615萬</t>
  </si>
  <si>
    <t>371萬</t>
  </si>
  <si>
    <t>3829萬</t>
  </si>
  <si>
    <t>249萬</t>
  </si>
  <si>
    <t>746萬</t>
  </si>
  <si>
    <t>1.10億</t>
  </si>
  <si>
    <t>1339萬</t>
  </si>
  <si>
    <t>92.8萬</t>
  </si>
  <si>
    <t>11.8億</t>
  </si>
  <si>
    <t>25.2億</t>
  </si>
  <si>
    <t>9990萬</t>
  </si>
  <si>
    <t>554萬</t>
  </si>
  <si>
    <t>2205萬</t>
  </si>
  <si>
    <t>203萬</t>
  </si>
  <si>
    <t>23.3萬</t>
  </si>
  <si>
    <t>41.1萬</t>
  </si>
  <si>
    <t>2.62億</t>
  </si>
  <si>
    <t>358萬</t>
  </si>
  <si>
    <t>426萬</t>
  </si>
  <si>
    <t>19.3萬</t>
  </si>
  <si>
    <t>166億</t>
  </si>
  <si>
    <t>1.92億</t>
  </si>
  <si>
    <t>1.62億</t>
  </si>
  <si>
    <t>3.16億</t>
  </si>
  <si>
    <t>81.3萬</t>
  </si>
  <si>
    <t>57.7萬</t>
  </si>
  <si>
    <t>83.9萬</t>
  </si>
  <si>
    <t>332萬</t>
  </si>
  <si>
    <t>2.23億</t>
  </si>
  <si>
    <t>主要經營連鎖體育用品零售店及汽車鈑金業務</t>
  </si>
  <si>
    <t>5.28億</t>
  </si>
  <si>
    <t>248萬</t>
  </si>
  <si>
    <t>18.4億</t>
  </si>
  <si>
    <t>378萬</t>
  </si>
  <si>
    <t>436萬</t>
  </si>
  <si>
    <t>423萬</t>
  </si>
  <si>
    <t>816萬</t>
  </si>
  <si>
    <t>1448萬</t>
  </si>
  <si>
    <t>3.93億</t>
  </si>
  <si>
    <t>3877萬</t>
  </si>
  <si>
    <t>4.11億</t>
  </si>
  <si>
    <t>814萬</t>
  </si>
  <si>
    <t>442萬</t>
  </si>
  <si>
    <t>361萬</t>
  </si>
  <si>
    <t>15.3萬</t>
  </si>
  <si>
    <t>5027萬</t>
  </si>
  <si>
    <t>1003萬</t>
  </si>
  <si>
    <t>407萬</t>
  </si>
  <si>
    <t>3.85億</t>
  </si>
  <si>
    <t>23.4億</t>
  </si>
  <si>
    <t>19.8億</t>
  </si>
  <si>
    <t>3.05億</t>
  </si>
  <si>
    <t>370萬</t>
  </si>
  <si>
    <t>3.19億</t>
  </si>
  <si>
    <t>21.3億</t>
  </si>
  <si>
    <t>67.6萬</t>
  </si>
  <si>
    <t>119億</t>
  </si>
  <si>
    <t>331萬</t>
  </si>
  <si>
    <t>1217萬</t>
  </si>
  <si>
    <t>96.1萬</t>
  </si>
  <si>
    <t>455萬</t>
  </si>
  <si>
    <t>4.53億</t>
  </si>
  <si>
    <t>438萬</t>
  </si>
  <si>
    <t>1.88億</t>
  </si>
  <si>
    <t>1.55億</t>
  </si>
  <si>
    <t>18.6億</t>
  </si>
  <si>
    <t>3080萬</t>
  </si>
  <si>
    <t>4.41億</t>
  </si>
  <si>
    <t>7.16億</t>
  </si>
  <si>
    <t>964萬</t>
  </si>
  <si>
    <t>550萬</t>
  </si>
  <si>
    <t>52.3億</t>
  </si>
  <si>
    <t>1624萬</t>
  </si>
  <si>
    <t>13.5萬</t>
  </si>
  <si>
    <t>4568萬</t>
  </si>
  <si>
    <t>61.9萬</t>
  </si>
  <si>
    <t>236萬</t>
  </si>
  <si>
    <t>11.1億</t>
  </si>
  <si>
    <t>16.9億</t>
  </si>
  <si>
    <t>22.0億</t>
  </si>
  <si>
    <t>633萬</t>
  </si>
  <si>
    <t>4.80億</t>
  </si>
  <si>
    <t>12.9億</t>
  </si>
  <si>
    <t>980萬</t>
  </si>
  <si>
    <t>598萬</t>
  </si>
  <si>
    <t>149萬</t>
  </si>
  <si>
    <t>343萬</t>
  </si>
  <si>
    <t>5596萬</t>
  </si>
  <si>
    <t>34.0億</t>
  </si>
  <si>
    <t>322萬</t>
  </si>
  <si>
    <t>65.6億</t>
  </si>
  <si>
    <t>9072萬</t>
  </si>
  <si>
    <t>1151萬</t>
  </si>
  <si>
    <t>45.9萬</t>
  </si>
  <si>
    <t>2.71億</t>
  </si>
  <si>
    <t>4.63億</t>
  </si>
  <si>
    <t>235萬</t>
  </si>
  <si>
    <t>4.34億</t>
  </si>
  <si>
    <t>216萬</t>
  </si>
  <si>
    <t>11.2億</t>
  </si>
  <si>
    <t>13.7億</t>
  </si>
  <si>
    <t>143萬</t>
  </si>
  <si>
    <t>1053萬</t>
  </si>
  <si>
    <t>35.2萬</t>
  </si>
  <si>
    <t>15.8萬</t>
  </si>
  <si>
    <t>2.56萬</t>
  </si>
  <si>
    <t>50.2萬</t>
  </si>
  <si>
    <t>1463萬</t>
  </si>
  <si>
    <t>99.4萬</t>
  </si>
  <si>
    <t>3.62億</t>
  </si>
  <si>
    <t>1.95億</t>
  </si>
  <si>
    <t>452萬</t>
  </si>
  <si>
    <t>318萬</t>
  </si>
  <si>
    <t>2.09億</t>
  </si>
  <si>
    <t>10.4億</t>
  </si>
  <si>
    <t>53.5萬</t>
  </si>
  <si>
    <t>84.4萬</t>
  </si>
  <si>
    <t>193萬</t>
  </si>
  <si>
    <t>402萬</t>
  </si>
  <si>
    <t>680萬</t>
  </si>
  <si>
    <t>86.4萬</t>
  </si>
  <si>
    <t>39.1萬</t>
  </si>
  <si>
    <t>4.68萬</t>
  </si>
  <si>
    <t>42.9萬</t>
  </si>
  <si>
    <t>177萬</t>
  </si>
  <si>
    <t>43.7萬</t>
  </si>
  <si>
    <t>93.2萬</t>
  </si>
  <si>
    <t>1098萬</t>
  </si>
  <si>
    <t>20.8萬</t>
  </si>
  <si>
    <t>722萬</t>
  </si>
  <si>
    <t>416萬</t>
  </si>
  <si>
    <t>656萬</t>
  </si>
  <si>
    <t>147萬</t>
  </si>
  <si>
    <t>300萬</t>
  </si>
  <si>
    <t>3.87億</t>
  </si>
  <si>
    <t>24.1億</t>
  </si>
  <si>
    <t>53.1萬</t>
  </si>
  <si>
    <t>19.6億</t>
  </si>
  <si>
    <t>620萬</t>
  </si>
  <si>
    <t>80.3萬</t>
  </si>
  <si>
    <t>390萬</t>
  </si>
  <si>
    <t>90.5萬</t>
  </si>
  <si>
    <t>6208萬</t>
  </si>
  <si>
    <t>1.36億</t>
  </si>
  <si>
    <t>82.3萬</t>
  </si>
  <si>
    <t>10.5萬</t>
  </si>
  <si>
    <t>528萬</t>
  </si>
  <si>
    <t>1305萬</t>
  </si>
  <si>
    <t>659萬</t>
  </si>
  <si>
    <t>3.28億</t>
  </si>
  <si>
    <t>13.6億</t>
  </si>
  <si>
    <t>2.00億</t>
  </si>
  <si>
    <t>1.39億</t>
  </si>
  <si>
    <t>26.3萬</t>
  </si>
  <si>
    <t>1.85億</t>
  </si>
  <si>
    <t>22.6萬</t>
  </si>
  <si>
    <t>443萬</t>
  </si>
  <si>
    <t>62.8萬</t>
  </si>
  <si>
    <t>30.2萬</t>
  </si>
  <si>
    <t>26.9萬</t>
  </si>
  <si>
    <t>1.70億</t>
  </si>
  <si>
    <t>284萬</t>
  </si>
  <si>
    <t>785萬</t>
  </si>
  <si>
    <t>176萬</t>
  </si>
  <si>
    <t>2722萬</t>
  </si>
  <si>
    <t>2.63億</t>
  </si>
  <si>
    <t>353萬</t>
  </si>
  <si>
    <t>369萬</t>
  </si>
  <si>
    <t>1004萬</t>
  </si>
  <si>
    <t>1.56億</t>
  </si>
  <si>
    <t>9.52億</t>
  </si>
  <si>
    <t>38.5億</t>
  </si>
  <si>
    <t>5.99萬</t>
  </si>
  <si>
    <t>808萬</t>
  </si>
  <si>
    <t>52.8萬</t>
  </si>
  <si>
    <t>7.55萬</t>
  </si>
  <si>
    <t>1.06億</t>
  </si>
  <si>
    <t>267萬</t>
  </si>
  <si>
    <t>87.1萬</t>
  </si>
  <si>
    <t>20.9億</t>
  </si>
  <si>
    <t>12.1億</t>
  </si>
  <si>
    <t>25.3億</t>
  </si>
  <si>
    <t>25.4萬</t>
  </si>
  <si>
    <t>5.07億</t>
  </si>
  <si>
    <t>10.8億</t>
  </si>
  <si>
    <t>1468萬</t>
  </si>
  <si>
    <t>72.3萬</t>
  </si>
  <si>
    <t>32.4萬</t>
  </si>
  <si>
    <t>891萬</t>
  </si>
  <si>
    <t>1741萬</t>
  </si>
  <si>
    <t>87.9萬</t>
  </si>
  <si>
    <t>1047萬</t>
  </si>
  <si>
    <t>32.8萬</t>
  </si>
  <si>
    <t>1990萬</t>
  </si>
  <si>
    <t>5996萬</t>
  </si>
  <si>
    <t>2.08億</t>
  </si>
  <si>
    <t>72.7萬</t>
  </si>
  <si>
    <t>1.83億</t>
  </si>
  <si>
    <t>165萬</t>
  </si>
  <si>
    <t>2.87億</t>
  </si>
  <si>
    <t>2.40億</t>
  </si>
  <si>
    <t>44.8萬</t>
  </si>
  <si>
    <t>23.2萬</t>
  </si>
  <si>
    <t>18.4萬</t>
  </si>
  <si>
    <t>233萬</t>
  </si>
  <si>
    <t>70.7萬</t>
  </si>
  <si>
    <t>49.5萬</t>
  </si>
  <si>
    <t>969萬</t>
  </si>
  <si>
    <t>1920萬</t>
  </si>
  <si>
    <t>1328萬</t>
  </si>
  <si>
    <t>23.7萬</t>
  </si>
  <si>
    <t>397萬</t>
  </si>
  <si>
    <t>2427萬</t>
  </si>
  <si>
    <t>138萬</t>
  </si>
  <si>
    <t>626萬</t>
  </si>
  <si>
    <t>55.0萬</t>
  </si>
  <si>
    <t>2.50萬</t>
  </si>
  <si>
    <t>672萬</t>
  </si>
  <si>
    <t>50.9萬</t>
  </si>
  <si>
    <t>36.6萬</t>
  </si>
  <si>
    <t>2.02億</t>
  </si>
  <si>
    <t>223萬</t>
  </si>
  <si>
    <t>3.59億</t>
  </si>
  <si>
    <t>1473萬</t>
  </si>
  <si>
    <t>35.7萬</t>
  </si>
  <si>
    <t>2.98億</t>
  </si>
  <si>
    <t>315萬</t>
  </si>
  <si>
    <t>1011萬</t>
  </si>
  <si>
    <t>38.1萬</t>
  </si>
  <si>
    <t>50.7萬</t>
  </si>
  <si>
    <t>9040萬</t>
  </si>
  <si>
    <t>174萬</t>
  </si>
  <si>
    <t>29.9萬</t>
  </si>
  <si>
    <t>504萬</t>
  </si>
  <si>
    <t>539萬</t>
  </si>
  <si>
    <t>49.6萬</t>
  </si>
  <si>
    <t>646萬</t>
  </si>
  <si>
    <t>5717萬</t>
  </si>
  <si>
    <t>VWRA</t>
  </si>
  <si>
    <t>VWRA</t>
    <phoneticPr fontId="74" type="noConversion"/>
  </si>
  <si>
    <t>Vanguard FTSE All-World UCITS ETF USD Accumulation</t>
  </si>
  <si>
    <t>AEP</t>
  </si>
  <si>
    <t>SNPS</t>
  </si>
  <si>
    <t>6047萬</t>
  </si>
  <si>
    <t>7.59億</t>
  </si>
  <si>
    <t>4235萬</t>
  </si>
  <si>
    <t>5.59億</t>
  </si>
  <si>
    <t>2.67億</t>
  </si>
  <si>
    <t>5.57億</t>
  </si>
  <si>
    <t>426億</t>
  </si>
  <si>
    <t>1241萬</t>
  </si>
  <si>
    <t>34.9億</t>
  </si>
  <si>
    <t>3.38億</t>
  </si>
  <si>
    <t>8351萬</t>
  </si>
  <si>
    <t>95.1億</t>
  </si>
  <si>
    <t>2043萬</t>
  </si>
  <si>
    <t>79.0萬</t>
  </si>
  <si>
    <t>2417萬</t>
  </si>
  <si>
    <t>441萬</t>
  </si>
  <si>
    <t>1077萬</t>
  </si>
  <si>
    <t>240億</t>
  </si>
  <si>
    <t>22.8億</t>
  </si>
  <si>
    <t>217萬</t>
  </si>
  <si>
    <t>2457萬</t>
  </si>
  <si>
    <t>1.02萬</t>
  </si>
  <si>
    <t>6.56億</t>
  </si>
  <si>
    <t>2334萬</t>
  </si>
  <si>
    <t>3757萬</t>
  </si>
  <si>
    <t>701萬</t>
  </si>
  <si>
    <t>3150萬</t>
  </si>
  <si>
    <t>4169萬</t>
  </si>
  <si>
    <t>9.16萬</t>
  </si>
  <si>
    <t>648萬</t>
  </si>
  <si>
    <t>5.01億</t>
  </si>
  <si>
    <t>628萬</t>
  </si>
  <si>
    <t>398萬</t>
  </si>
  <si>
    <t>3990萬</t>
  </si>
  <si>
    <t>105萬</t>
  </si>
  <si>
    <t>9552萬</t>
  </si>
  <si>
    <t>958萬</t>
  </si>
  <si>
    <t>1912萬</t>
  </si>
  <si>
    <t>11.0億</t>
  </si>
  <si>
    <t>5805萬</t>
  </si>
  <si>
    <t>5876萬</t>
  </si>
  <si>
    <t>301萬</t>
  </si>
  <si>
    <t>3.03億</t>
  </si>
  <si>
    <t>1355萬</t>
  </si>
  <si>
    <t>2.44億</t>
  </si>
  <si>
    <t>317萬</t>
  </si>
  <si>
    <t>6716萬</t>
  </si>
  <si>
    <t>444萬</t>
  </si>
  <si>
    <t>17.2億</t>
  </si>
  <si>
    <t>342萬</t>
  </si>
  <si>
    <t>14.7萬</t>
  </si>
  <si>
    <t>154萬</t>
  </si>
  <si>
    <t>9.98億</t>
  </si>
  <si>
    <t>9672萬</t>
  </si>
  <si>
    <t>2124萬</t>
  </si>
  <si>
    <t>2018萬</t>
  </si>
  <si>
    <t>2403萬</t>
  </si>
  <si>
    <t>2206萬</t>
  </si>
  <si>
    <t>1992萬</t>
  </si>
  <si>
    <t>47.4萬</t>
  </si>
  <si>
    <t>802萬</t>
  </si>
  <si>
    <t>1605萬</t>
  </si>
  <si>
    <t>12.8億</t>
  </si>
  <si>
    <t>2131萬</t>
  </si>
  <si>
    <t>2440萬</t>
  </si>
  <si>
    <t>1.27億</t>
  </si>
  <si>
    <t>5.09億</t>
  </si>
  <si>
    <t>934萬</t>
  </si>
  <si>
    <t>3050萬</t>
  </si>
  <si>
    <t>5656萬</t>
  </si>
  <si>
    <t>4597萬</t>
  </si>
  <si>
    <t>42.7萬</t>
  </si>
  <si>
    <t>4.55億</t>
  </si>
  <si>
    <t>6.19億</t>
  </si>
  <si>
    <t>691萬</t>
  </si>
  <si>
    <t>8304萬</t>
  </si>
  <si>
    <t>4831萬</t>
  </si>
  <si>
    <t>340萬</t>
  </si>
  <si>
    <t>3.35億</t>
  </si>
  <si>
    <t>2629萬</t>
  </si>
  <si>
    <t>463萬</t>
  </si>
  <si>
    <t>649萬</t>
  </si>
  <si>
    <t>573萬</t>
  </si>
  <si>
    <t>709萬</t>
  </si>
  <si>
    <t>2005萬</t>
  </si>
  <si>
    <t>1498萬</t>
  </si>
  <si>
    <t>8242萬</t>
  </si>
  <si>
    <t>5930萬</t>
  </si>
  <si>
    <t>7069萬</t>
  </si>
  <si>
    <t>10.4萬</t>
  </si>
  <si>
    <t>3545萬</t>
  </si>
  <si>
    <t>366萬</t>
  </si>
  <si>
    <t>1167萬</t>
  </si>
  <si>
    <t>720萬</t>
  </si>
  <si>
    <t>2727萬</t>
  </si>
  <si>
    <t>173萬</t>
  </si>
  <si>
    <t>283萬</t>
  </si>
  <si>
    <t>404萬</t>
  </si>
  <si>
    <t>523萬</t>
  </si>
  <si>
    <t>63.0萬</t>
  </si>
  <si>
    <t>1147萬</t>
  </si>
  <si>
    <t>1086萬</t>
  </si>
  <si>
    <t>290萬</t>
  </si>
  <si>
    <t>1797萬</t>
  </si>
  <si>
    <t>330萬</t>
  </si>
  <si>
    <t>7.57萬</t>
  </si>
  <si>
    <t>8816萬</t>
  </si>
  <si>
    <t>860萬</t>
  </si>
  <si>
    <t>3079萬</t>
  </si>
  <si>
    <t>6318萬</t>
  </si>
  <si>
    <t>1464萬</t>
  </si>
  <si>
    <t>74.7萬</t>
  </si>
  <si>
    <t>16.1萬</t>
  </si>
  <si>
    <t>3020萬</t>
  </si>
  <si>
    <t>17.0億</t>
  </si>
  <si>
    <t>87.2萬</t>
  </si>
  <si>
    <t>3768萬</t>
  </si>
  <si>
    <t>17.1億</t>
  </si>
  <si>
    <t>3412萬</t>
  </si>
  <si>
    <t>1668萬</t>
  </si>
  <si>
    <t>1187萬</t>
  </si>
  <si>
    <t>8844萬</t>
  </si>
  <si>
    <t>2210萬</t>
  </si>
  <si>
    <t>2070萬</t>
  </si>
  <si>
    <t>6.46億</t>
  </si>
  <si>
    <t>7485萬</t>
  </si>
  <si>
    <t>2177萬</t>
  </si>
  <si>
    <t>18.9萬</t>
  </si>
  <si>
    <t>2.11億</t>
  </si>
  <si>
    <t>1.71億</t>
  </si>
  <si>
    <t>8063萬</t>
  </si>
  <si>
    <t>2127萬</t>
  </si>
  <si>
    <t>26.4億</t>
  </si>
  <si>
    <t>1224萬</t>
  </si>
  <si>
    <t>3.07億</t>
  </si>
  <si>
    <t>5191萬</t>
  </si>
  <si>
    <t>1265萬</t>
  </si>
  <si>
    <t>83.7億</t>
  </si>
  <si>
    <t>3264萬</t>
  </si>
  <si>
    <t>24.8億</t>
  </si>
  <si>
    <t>2838萬</t>
  </si>
  <si>
    <t>7551萬</t>
  </si>
  <si>
    <t>868萬</t>
  </si>
  <si>
    <t>1150萬</t>
  </si>
  <si>
    <t>19.1億</t>
  </si>
  <si>
    <t>1247萬</t>
  </si>
  <si>
    <t>3076萬</t>
  </si>
  <si>
    <t>3676萬</t>
  </si>
  <si>
    <t>7948萬</t>
  </si>
  <si>
    <t>1330萬</t>
  </si>
  <si>
    <t>9096萬</t>
  </si>
  <si>
    <t>5.76億</t>
  </si>
  <si>
    <t>178萬</t>
  </si>
  <si>
    <t>1079萬</t>
  </si>
  <si>
    <t>1722萬</t>
  </si>
  <si>
    <t>1257萬</t>
  </si>
  <si>
    <t>4.26億</t>
  </si>
  <si>
    <t>3.75億</t>
  </si>
  <si>
    <t>1988萬</t>
  </si>
  <si>
    <t>3929萬</t>
  </si>
  <si>
    <t>5154萬</t>
  </si>
  <si>
    <t>1033萬</t>
  </si>
  <si>
    <t>821萬</t>
  </si>
  <si>
    <t>3001萬</t>
  </si>
  <si>
    <t>3144萬</t>
  </si>
  <si>
    <t>210萬</t>
  </si>
  <si>
    <t>5036萬</t>
  </si>
  <si>
    <t>687萬</t>
  </si>
  <si>
    <t>7080萬</t>
  </si>
  <si>
    <t>4253萬</t>
  </si>
  <si>
    <t>352萬</t>
  </si>
  <si>
    <t>700萬</t>
  </si>
  <si>
    <t>912萬</t>
  </si>
  <si>
    <t>1153萬</t>
  </si>
  <si>
    <t>95.1萬</t>
  </si>
  <si>
    <t>134萬</t>
  </si>
  <si>
    <t>721萬</t>
  </si>
  <si>
    <t>629萬</t>
  </si>
  <si>
    <t>3279萬</t>
  </si>
  <si>
    <t>60.3億</t>
  </si>
  <si>
    <t>727萬</t>
  </si>
  <si>
    <t>804萬</t>
  </si>
  <si>
    <t>7050萬</t>
  </si>
  <si>
    <t>116億</t>
  </si>
  <si>
    <t>3568萬</t>
  </si>
  <si>
    <t>3342萬</t>
  </si>
  <si>
    <t>6470萬</t>
  </si>
  <si>
    <t>3832萬</t>
  </si>
  <si>
    <t>115萬</t>
  </si>
  <si>
    <t>6101萬</t>
  </si>
  <si>
    <t>10.0億</t>
  </si>
  <si>
    <t>32.6萬</t>
  </si>
  <si>
    <t>1564萬</t>
  </si>
  <si>
    <t>2621萬</t>
  </si>
  <si>
    <t>1746萬</t>
  </si>
  <si>
    <t>1800萬</t>
  </si>
  <si>
    <t>3.99億</t>
  </si>
  <si>
    <t>2148萬</t>
  </si>
  <si>
    <t>2.52億</t>
  </si>
  <si>
    <t>44.7億</t>
  </si>
  <si>
    <t>9829萬</t>
  </si>
  <si>
    <t>4571萬</t>
  </si>
  <si>
    <t>263萬</t>
  </si>
  <si>
    <t>96.5萬</t>
  </si>
  <si>
    <t>3305萬</t>
  </si>
  <si>
    <t>4981萬</t>
  </si>
  <si>
    <t>2451萬</t>
  </si>
  <si>
    <t>6392萬</t>
  </si>
  <si>
    <t>9.92億</t>
  </si>
  <si>
    <t>3951萬</t>
  </si>
  <si>
    <t>3885萬</t>
  </si>
  <si>
    <t>6983萬</t>
  </si>
  <si>
    <t>3.50億</t>
  </si>
  <si>
    <t>2155萬</t>
  </si>
  <si>
    <t>2374萬</t>
  </si>
  <si>
    <t>6.51億</t>
  </si>
  <si>
    <t>6286萬</t>
  </si>
  <si>
    <t>39.3萬</t>
  </si>
  <si>
    <t>12.0萬</t>
  </si>
  <si>
    <t>6.56萬</t>
  </si>
  <si>
    <t>85.3萬</t>
  </si>
  <si>
    <t>2.41萬</t>
  </si>
  <si>
    <t>41.8萬</t>
  </si>
  <si>
    <t>31.5萬</t>
  </si>
  <si>
    <t>5.04億</t>
  </si>
  <si>
    <t>500萬</t>
  </si>
  <si>
    <t>1798萬</t>
  </si>
  <si>
    <t>98.6萬</t>
  </si>
  <si>
    <t>1068萬</t>
  </si>
  <si>
    <t>2.15萬</t>
  </si>
  <si>
    <t>30.4億</t>
  </si>
  <si>
    <t>975萬</t>
  </si>
  <si>
    <t>46.8萬</t>
  </si>
  <si>
    <t>3537萬</t>
  </si>
  <si>
    <t>5518萬</t>
  </si>
  <si>
    <t>4629萬</t>
  </si>
  <si>
    <t>36.5萬</t>
  </si>
  <si>
    <t>73.8萬</t>
  </si>
  <si>
    <t>135萬</t>
  </si>
  <si>
    <t>1017萬</t>
  </si>
  <si>
    <t>1364萬</t>
  </si>
  <si>
    <t>69.1萬</t>
  </si>
  <si>
    <t>95.7萬</t>
  </si>
  <si>
    <t>126億</t>
  </si>
  <si>
    <t>323億</t>
  </si>
  <si>
    <t>7392萬</t>
  </si>
  <si>
    <t>2734萬</t>
  </si>
  <si>
    <t>4956萬</t>
  </si>
  <si>
    <t>17.5億</t>
  </si>
  <si>
    <t>5.00億</t>
  </si>
  <si>
    <t>1212萬</t>
  </si>
  <si>
    <t>2.46億</t>
  </si>
  <si>
    <t>142萬</t>
  </si>
  <si>
    <t>38.7萬</t>
  </si>
  <si>
    <t>9037萬</t>
  </si>
  <si>
    <t>67.9億</t>
  </si>
  <si>
    <t>3.67億</t>
  </si>
  <si>
    <t>6.85億</t>
  </si>
  <si>
    <t>24.4萬</t>
  </si>
  <si>
    <t>2170萬</t>
  </si>
  <si>
    <t>72.4萬</t>
  </si>
  <si>
    <t>428萬</t>
  </si>
  <si>
    <t>74.3萬</t>
  </si>
  <si>
    <t>62.6萬</t>
  </si>
  <si>
    <t>7996萬</t>
  </si>
  <si>
    <t>8.67萬</t>
  </si>
  <si>
    <t>33.9萬</t>
  </si>
  <si>
    <t>723萬</t>
  </si>
  <si>
    <t>16.4萬</t>
  </si>
  <si>
    <t>2671萬</t>
  </si>
  <si>
    <t>62.4萬</t>
  </si>
  <si>
    <t>78.2萬</t>
  </si>
  <si>
    <t>940萬</t>
  </si>
  <si>
    <t>74.6萬</t>
  </si>
  <si>
    <t>8.23億</t>
  </si>
  <si>
    <t>5.98億</t>
  </si>
  <si>
    <t>2.28億</t>
  </si>
  <si>
    <t>282萬</t>
  </si>
  <si>
    <t>65.8萬</t>
  </si>
  <si>
    <t>5.11億</t>
  </si>
  <si>
    <t>2027萬</t>
  </si>
  <si>
    <t>17.4億</t>
  </si>
  <si>
    <t>28.5萬</t>
  </si>
  <si>
    <t>1413萬</t>
  </si>
  <si>
    <t>1979萬</t>
  </si>
  <si>
    <t>422萬</t>
  </si>
  <si>
    <t>740萬</t>
  </si>
  <si>
    <t>159萬</t>
  </si>
  <si>
    <t>336萬</t>
  </si>
  <si>
    <t>257萬</t>
  </si>
  <si>
    <t>7195萬</t>
  </si>
  <si>
    <t>897萬</t>
  </si>
  <si>
    <t>3.70萬</t>
  </si>
  <si>
    <t>60.8萬</t>
  </si>
  <si>
    <t>1194萬</t>
  </si>
  <si>
    <t>7186萬</t>
  </si>
  <si>
    <t>1789萬</t>
  </si>
  <si>
    <t>1270萬</t>
  </si>
  <si>
    <t>4273萬</t>
  </si>
  <si>
    <t>675萬</t>
  </si>
  <si>
    <t>8.89億</t>
  </si>
  <si>
    <t>575萬</t>
  </si>
  <si>
    <t>4800萬</t>
  </si>
  <si>
    <t>8.79億</t>
  </si>
  <si>
    <t>699萬</t>
  </si>
  <si>
    <t>25.5億</t>
  </si>
  <si>
    <t>1.05億</t>
  </si>
  <si>
    <t>1092萬</t>
  </si>
  <si>
    <t>1511萬</t>
  </si>
  <si>
    <t>272萬</t>
  </si>
  <si>
    <t>8159萬</t>
  </si>
  <si>
    <t>459萬</t>
  </si>
  <si>
    <t>1143萬</t>
  </si>
  <si>
    <t>3167萬</t>
  </si>
  <si>
    <t>16.5萬</t>
  </si>
  <si>
    <t>1013萬</t>
  </si>
  <si>
    <t>3268萬</t>
  </si>
  <si>
    <t>6.09億</t>
  </si>
  <si>
    <t>2.90億</t>
  </si>
  <si>
    <t>3920萬</t>
  </si>
  <si>
    <t>953萬</t>
  </si>
  <si>
    <t>7.96億</t>
  </si>
  <si>
    <t>7.25億</t>
  </si>
  <si>
    <t>6.37億</t>
  </si>
  <si>
    <t>4171萬</t>
  </si>
  <si>
    <t>6229萬</t>
  </si>
  <si>
    <t>596萬</t>
  </si>
  <si>
    <t>562萬</t>
  </si>
  <si>
    <t>276萬</t>
  </si>
  <si>
    <t>1294萬</t>
  </si>
  <si>
    <t>611萬</t>
  </si>
  <si>
    <t>327萬</t>
  </si>
  <si>
    <t>7468萬</t>
  </si>
  <si>
    <t>753萬</t>
  </si>
  <si>
    <t>857萬</t>
  </si>
  <si>
    <t>963萬</t>
  </si>
  <si>
    <t>636萬</t>
  </si>
  <si>
    <t>8627萬</t>
  </si>
  <si>
    <t>186萬</t>
  </si>
  <si>
    <t>570萬</t>
  </si>
  <si>
    <t>7.89億</t>
  </si>
  <si>
    <t>1027萬</t>
  </si>
  <si>
    <t>1916萬</t>
  </si>
  <si>
    <t>52.5萬</t>
  </si>
  <si>
    <t>51.3億</t>
  </si>
  <si>
    <t>58.0萬</t>
  </si>
  <si>
    <t>4416萬</t>
  </si>
  <si>
    <t>8480萬</t>
  </si>
  <si>
    <t>3166萬</t>
  </si>
  <si>
    <t>75.8億</t>
  </si>
  <si>
    <t>5535萬</t>
  </si>
  <si>
    <t>75.8萬</t>
  </si>
  <si>
    <t>7895萬</t>
  </si>
  <si>
    <t>2515萬</t>
  </si>
  <si>
    <t>8.93億</t>
  </si>
  <si>
    <t>64.8萬</t>
  </si>
  <si>
    <t>7357萬</t>
  </si>
  <si>
    <t>2574萬</t>
  </si>
  <si>
    <t>92.2萬</t>
  </si>
  <si>
    <t>4684萬</t>
  </si>
  <si>
    <t>2100萬</t>
  </si>
  <si>
    <t>2511萬</t>
  </si>
  <si>
    <t>658萬</t>
  </si>
  <si>
    <t>4.83億</t>
  </si>
  <si>
    <t>2.89億</t>
  </si>
  <si>
    <t>3278萬</t>
  </si>
  <si>
    <t>4238萬</t>
  </si>
  <si>
    <t>424萬</t>
  </si>
  <si>
    <t>10.5億</t>
  </si>
  <si>
    <t>61.0億</t>
  </si>
  <si>
    <t>349萬</t>
  </si>
  <si>
    <t>8.16萬</t>
  </si>
  <si>
    <t>81.9萬</t>
  </si>
  <si>
    <t>1510萬</t>
  </si>
  <si>
    <t>4661萬</t>
  </si>
  <si>
    <t>10.2萬</t>
  </si>
  <si>
    <t>1.23億</t>
  </si>
  <si>
    <t>9502萬</t>
  </si>
  <si>
    <t>4.24億</t>
  </si>
  <si>
    <t>1643萬</t>
  </si>
  <si>
    <t>768萬</t>
  </si>
  <si>
    <t>2769萬</t>
  </si>
  <si>
    <t>7472萬</t>
  </si>
  <si>
    <t>5776萬</t>
  </si>
  <si>
    <t>7893萬</t>
  </si>
  <si>
    <t>5010萬</t>
  </si>
  <si>
    <t>3087萬</t>
  </si>
  <si>
    <t>264萬</t>
  </si>
  <si>
    <t>1059萬</t>
  </si>
  <si>
    <t>台灣知名汽車活塞環廠商並跨足白酒經銷業務</t>
  </si>
  <si>
    <t>1527萬</t>
  </si>
  <si>
    <t>7270萬</t>
  </si>
  <si>
    <t>3623萬</t>
  </si>
  <si>
    <t>1.46億</t>
  </si>
  <si>
    <t>1908萬</t>
  </si>
  <si>
    <t>903萬</t>
  </si>
  <si>
    <t>57.1億</t>
  </si>
  <si>
    <t>280億</t>
  </si>
  <si>
    <t>8.63億</t>
  </si>
  <si>
    <t>331億</t>
  </si>
  <si>
    <t>7.30億</t>
  </si>
  <si>
    <t>65.8億</t>
  </si>
  <si>
    <t>6.38億</t>
  </si>
  <si>
    <t>111億</t>
  </si>
  <si>
    <t>1.66億</t>
  </si>
  <si>
    <t>11.6億</t>
  </si>
  <si>
    <t>303億</t>
  </si>
  <si>
    <t>1166億</t>
  </si>
  <si>
    <t>2967萬</t>
  </si>
  <si>
    <t>47.4億</t>
  </si>
  <si>
    <t>9962萬</t>
  </si>
  <si>
    <t>9568萬</t>
  </si>
  <si>
    <t>83.6億</t>
  </si>
  <si>
    <t>5.42億</t>
  </si>
  <si>
    <t>2674萬</t>
  </si>
  <si>
    <t>3060萬</t>
  </si>
  <si>
    <t>8.14億</t>
  </si>
  <si>
    <t>21.2億</t>
  </si>
  <si>
    <t>8.87億</t>
  </si>
  <si>
    <t>24.6億</t>
  </si>
  <si>
    <t>2.04億</t>
  </si>
  <si>
    <t>74.6億</t>
  </si>
  <si>
    <t>3633萬</t>
  </si>
  <si>
    <t>2.58億</t>
  </si>
  <si>
    <t>3168萬</t>
  </si>
  <si>
    <t>155億</t>
  </si>
  <si>
    <t>1.68億</t>
  </si>
  <si>
    <t>21.6億</t>
  </si>
  <si>
    <t>18.5億</t>
  </si>
  <si>
    <t>14.9億</t>
  </si>
  <si>
    <t>23.1億</t>
  </si>
  <si>
    <t>47.1億</t>
  </si>
  <si>
    <t>279億</t>
  </si>
  <si>
    <t>3.74億</t>
  </si>
  <si>
    <t>1040萬</t>
  </si>
  <si>
    <t>8333萬</t>
  </si>
  <si>
    <t>1814萬</t>
  </si>
  <si>
    <t>6932萬</t>
  </si>
  <si>
    <t>4.77億</t>
  </si>
  <si>
    <t>2138萬</t>
  </si>
  <si>
    <t>6507萬</t>
  </si>
  <si>
    <t>321億</t>
  </si>
  <si>
    <t>120億</t>
  </si>
  <si>
    <t>36.8億</t>
  </si>
  <si>
    <t>7828萬</t>
  </si>
  <si>
    <t>413萬</t>
  </si>
  <si>
    <t>1919萬</t>
  </si>
  <si>
    <t>2390萬</t>
  </si>
  <si>
    <t>15.5億</t>
  </si>
  <si>
    <t>1063萬</t>
  </si>
  <si>
    <t>3.44億</t>
  </si>
  <si>
    <t>9938萬</t>
  </si>
  <si>
    <t>933萬</t>
  </si>
  <si>
    <t>8.86億</t>
  </si>
  <si>
    <t>2630萬</t>
  </si>
  <si>
    <t>118億</t>
  </si>
  <si>
    <t>356萬</t>
  </si>
  <si>
    <t>7.34億</t>
  </si>
  <si>
    <t>609億</t>
  </si>
  <si>
    <t>3456萬</t>
  </si>
  <si>
    <t>3.17億</t>
  </si>
  <si>
    <t>1100萬</t>
  </si>
  <si>
    <t>621萬</t>
  </si>
  <si>
    <t>14.8億</t>
  </si>
  <si>
    <t>5948萬</t>
  </si>
  <si>
    <t>8.99億</t>
  </si>
  <si>
    <t>60.6億</t>
  </si>
  <si>
    <t>23.7億</t>
  </si>
  <si>
    <t>3556萬</t>
  </si>
  <si>
    <t>6.97億</t>
  </si>
  <si>
    <t>3511萬</t>
  </si>
  <si>
    <t>38.4億</t>
  </si>
  <si>
    <t>4.89億</t>
  </si>
  <si>
    <t>5503萬</t>
  </si>
  <si>
    <t>846萬</t>
  </si>
  <si>
    <t>2.03億</t>
  </si>
  <si>
    <t>5408萬</t>
  </si>
  <si>
    <t>5594萬</t>
  </si>
  <si>
    <t>6371萬</t>
  </si>
  <si>
    <t>584萬</t>
  </si>
  <si>
    <t>7924萬</t>
  </si>
  <si>
    <t>3704萬</t>
  </si>
  <si>
    <t>1736萬</t>
  </si>
  <si>
    <t>1449萬</t>
  </si>
  <si>
    <t>2284萬</t>
  </si>
  <si>
    <t>766萬</t>
  </si>
  <si>
    <t>393萬</t>
  </si>
  <si>
    <t>4468萬</t>
  </si>
  <si>
    <t>3417萬</t>
  </si>
  <si>
    <t>4.07億</t>
  </si>
  <si>
    <t>4026萬</t>
  </si>
  <si>
    <t>2319萬</t>
  </si>
  <si>
    <t>763萬</t>
  </si>
  <si>
    <t>7837萬</t>
  </si>
  <si>
    <t>4436萬</t>
  </si>
  <si>
    <t>6996萬</t>
  </si>
  <si>
    <t>3.48億</t>
  </si>
  <si>
    <t>2185萬</t>
  </si>
  <si>
    <t>3171萬</t>
  </si>
  <si>
    <t>670萬</t>
  </si>
  <si>
    <t>1268萬</t>
  </si>
  <si>
    <t>89.2萬</t>
  </si>
  <si>
    <t>2479萬</t>
  </si>
  <si>
    <t>8.75億</t>
  </si>
  <si>
    <t>2475萬</t>
  </si>
  <si>
    <t>49.9萬</t>
  </si>
  <si>
    <t>9348萬</t>
  </si>
  <si>
    <t>48.5萬</t>
  </si>
  <si>
    <t>6064萬</t>
  </si>
  <si>
    <t>9.57萬</t>
  </si>
  <si>
    <t>98.5萬</t>
  </si>
  <si>
    <t>4070萬</t>
  </si>
  <si>
    <t>50.3萬</t>
  </si>
  <si>
    <t>540萬</t>
  </si>
  <si>
    <t>6973萬</t>
  </si>
  <si>
    <t>279萬</t>
  </si>
  <si>
    <t>59.7萬</t>
  </si>
  <si>
    <t>22.9萬</t>
  </si>
  <si>
    <t>341萬</t>
  </si>
  <si>
    <t>3063萬</t>
  </si>
  <si>
    <t>7.69億</t>
  </si>
  <si>
    <t>3.10億</t>
  </si>
  <si>
    <t>4918萬</t>
  </si>
  <si>
    <t>6802萬</t>
  </si>
  <si>
    <t>991萬</t>
  </si>
  <si>
    <t>5.19億</t>
  </si>
  <si>
    <t>1179萬</t>
  </si>
  <si>
    <t>6214萬</t>
  </si>
  <si>
    <t>464萬</t>
  </si>
  <si>
    <t>2.42億</t>
  </si>
  <si>
    <t>1069萬</t>
  </si>
  <si>
    <t>38.0億</t>
  </si>
  <si>
    <t>23.8億</t>
  </si>
  <si>
    <t>28.1億</t>
  </si>
  <si>
    <t>55.4億</t>
  </si>
  <si>
    <t>15.2億</t>
  </si>
  <si>
    <t>4425萬</t>
  </si>
  <si>
    <t>76.5萬</t>
  </si>
  <si>
    <t>6006萬</t>
  </si>
  <si>
    <t>12.6萬</t>
  </si>
  <si>
    <t>2524萬</t>
  </si>
  <si>
    <t>14.2萬</t>
  </si>
  <si>
    <t>9974萬</t>
  </si>
  <si>
    <t>494萬</t>
  </si>
  <si>
    <t>6.09萬</t>
  </si>
  <si>
    <t>85.7萬</t>
  </si>
  <si>
    <t>3.17萬</t>
  </si>
  <si>
    <t>31.7萬</t>
  </si>
  <si>
    <t>347萬</t>
  </si>
  <si>
    <t>7.26萬</t>
  </si>
  <si>
    <t>2570萬</t>
  </si>
  <si>
    <t>1786萬</t>
  </si>
  <si>
    <t>2166萬</t>
  </si>
  <si>
    <t>7.02億</t>
  </si>
  <si>
    <t>204億</t>
  </si>
  <si>
    <t>1.89億</t>
  </si>
  <si>
    <t>5.67億</t>
  </si>
  <si>
    <t>14.5億</t>
  </si>
  <si>
    <t>28.3萬</t>
  </si>
  <si>
    <t>1074萬</t>
  </si>
  <si>
    <t>6714萬</t>
  </si>
  <si>
    <t>714萬</t>
  </si>
  <si>
    <t>1340萬</t>
  </si>
  <si>
    <t>117億</t>
  </si>
  <si>
    <t>256萬</t>
  </si>
  <si>
    <t>6401萬</t>
  </si>
  <si>
    <t>2.05億</t>
  </si>
  <si>
    <t>5.66億</t>
  </si>
  <si>
    <t>5770萬</t>
  </si>
  <si>
    <t>3662萬</t>
  </si>
  <si>
    <t>1.93億</t>
  </si>
  <si>
    <t>29.8億</t>
  </si>
  <si>
    <t>18.9億</t>
  </si>
  <si>
    <t>294億</t>
  </si>
  <si>
    <t>2409萬</t>
  </si>
  <si>
    <t>3261萬</t>
  </si>
  <si>
    <t>22.5億</t>
  </si>
  <si>
    <t>1337萬</t>
  </si>
  <si>
    <t>932萬</t>
  </si>
  <si>
    <t>3308萬</t>
  </si>
  <si>
    <t>488萬</t>
  </si>
  <si>
    <t>1.14億</t>
  </si>
  <si>
    <t>996萬</t>
  </si>
  <si>
    <t>6068萬</t>
  </si>
  <si>
    <t>3227萬</t>
  </si>
  <si>
    <t>7368萬</t>
  </si>
  <si>
    <t>2040萬</t>
  </si>
  <si>
    <t>1.81萬</t>
  </si>
  <si>
    <t>806萬</t>
  </si>
  <si>
    <t>37.9萬</t>
  </si>
  <si>
    <t>2278萬</t>
  </si>
  <si>
    <t>81.2億</t>
  </si>
  <si>
    <t>45.8萬</t>
  </si>
  <si>
    <t>8674萬</t>
  </si>
  <si>
    <t>66.4億</t>
  </si>
  <si>
    <t>82.1億</t>
  </si>
  <si>
    <t>1.37億</t>
  </si>
  <si>
    <t>8.14萬</t>
  </si>
  <si>
    <t>9.61億</t>
  </si>
  <si>
    <t>4372萬</t>
  </si>
  <si>
    <t>7180萬</t>
  </si>
  <si>
    <t>7.00億</t>
  </si>
  <si>
    <t>2072萬</t>
  </si>
  <si>
    <t>1371萬</t>
  </si>
  <si>
    <t>29.0萬</t>
  </si>
  <si>
    <t>1647萬</t>
  </si>
  <si>
    <t>829萬</t>
  </si>
  <si>
    <t>121億</t>
  </si>
  <si>
    <t>20.1萬</t>
  </si>
  <si>
    <t>7901萬</t>
  </si>
  <si>
    <t>2049萬</t>
  </si>
  <si>
    <t>4897萬</t>
  </si>
  <si>
    <t>2668萬</t>
  </si>
  <si>
    <t>7281萬</t>
  </si>
  <si>
    <t>2.19億</t>
  </si>
  <si>
    <t>3536萬</t>
  </si>
  <si>
    <t>3758萬</t>
  </si>
  <si>
    <t>1560萬</t>
  </si>
  <si>
    <t>130億</t>
  </si>
  <si>
    <t>30.0萬</t>
  </si>
  <si>
    <t>2.83億</t>
  </si>
  <si>
    <t>706萬</t>
  </si>
  <si>
    <t>16.2億</t>
  </si>
  <si>
    <t>58.2億</t>
  </si>
  <si>
    <t>7.92億</t>
  </si>
  <si>
    <t>46.7萬</t>
  </si>
  <si>
    <t>6.16億</t>
  </si>
  <si>
    <t>7642萬</t>
  </si>
  <si>
    <t>4176萬</t>
  </si>
  <si>
    <t>1530萬</t>
  </si>
  <si>
    <t>993萬</t>
  </si>
  <si>
    <t>1570萬</t>
  </si>
  <si>
    <t>9186萬</t>
  </si>
  <si>
    <t>60.6萬</t>
  </si>
  <si>
    <t>4359萬</t>
  </si>
  <si>
    <t>6998萬</t>
  </si>
  <si>
    <t>1422萬</t>
  </si>
  <si>
    <t>29.4億</t>
  </si>
  <si>
    <t>4494萬</t>
  </si>
  <si>
    <t>4108萬</t>
  </si>
  <si>
    <t>693萬</t>
  </si>
  <si>
    <t>1.49億</t>
  </si>
  <si>
    <t>6017萬</t>
  </si>
  <si>
    <t>3.39億</t>
  </si>
  <si>
    <t>4.92億</t>
  </si>
  <si>
    <t>1089萬</t>
  </si>
  <si>
    <t>470萬</t>
  </si>
  <si>
    <t>56.3億</t>
  </si>
  <si>
    <t>3.68億</t>
  </si>
  <si>
    <t>2728萬</t>
  </si>
  <si>
    <t>4326萬</t>
  </si>
  <si>
    <t>140億</t>
  </si>
  <si>
    <t>7985萬</t>
  </si>
  <si>
    <t>2053萬</t>
  </si>
  <si>
    <t>908萬</t>
  </si>
  <si>
    <t>174億</t>
  </si>
  <si>
    <t>489萬</t>
  </si>
  <si>
    <t>36.9億</t>
  </si>
  <si>
    <t>67.3萬</t>
  </si>
  <si>
    <t>9114萬</t>
  </si>
  <si>
    <t>71.5億</t>
  </si>
  <si>
    <t>7648萬</t>
  </si>
  <si>
    <t>7058萬</t>
  </si>
  <si>
    <t>61.8萬</t>
  </si>
  <si>
    <t>18.8億</t>
  </si>
  <si>
    <t>461萬</t>
  </si>
  <si>
    <t>60.1萬</t>
  </si>
  <si>
    <t>8067萬</t>
  </si>
  <si>
    <t>9.41萬</t>
  </si>
  <si>
    <t>7498萬</t>
  </si>
  <si>
    <t>2742萬</t>
  </si>
  <si>
    <t>31.5億</t>
  </si>
  <si>
    <t>42.6萬</t>
  </si>
  <si>
    <t>46.4億</t>
  </si>
  <si>
    <t>3.24億</t>
  </si>
  <si>
    <t>1686萬</t>
  </si>
  <si>
    <t>93.8萬</t>
  </si>
  <si>
    <t>8376萬</t>
  </si>
  <si>
    <t>3705萬</t>
  </si>
  <si>
    <t>1253萬</t>
  </si>
  <si>
    <t>1173萬</t>
  </si>
  <si>
    <t>7487萬</t>
  </si>
  <si>
    <t>1349萬</t>
  </si>
  <si>
    <t>1910萬</t>
  </si>
  <si>
    <t>3111萬</t>
  </si>
  <si>
    <t>2.35億</t>
  </si>
  <si>
    <t>2767萬</t>
  </si>
  <si>
    <t>5103萬</t>
  </si>
  <si>
    <t>8.28億</t>
  </si>
  <si>
    <t>1833萬</t>
  </si>
  <si>
    <t>1997萬</t>
  </si>
  <si>
    <t>2.36億</t>
  </si>
  <si>
    <t>9.28萬</t>
  </si>
  <si>
    <t>7448萬</t>
  </si>
  <si>
    <t>751萬</t>
  </si>
  <si>
    <t>2442萬</t>
  </si>
  <si>
    <t>999萬</t>
  </si>
  <si>
    <t>26.1億</t>
  </si>
  <si>
    <t>96.0萬</t>
  </si>
  <si>
    <t>113億</t>
  </si>
  <si>
    <t>76.0億</t>
  </si>
  <si>
    <t>39.6萬</t>
  </si>
  <si>
    <t>57.7億</t>
  </si>
  <si>
    <t>4.15億</t>
  </si>
  <si>
    <t>379萬</t>
  </si>
  <si>
    <t>7.38億</t>
  </si>
  <si>
    <t>9957萬</t>
  </si>
  <si>
    <t>5648萬</t>
  </si>
  <si>
    <t>3678萬</t>
  </si>
  <si>
    <t>2459萬</t>
  </si>
  <si>
    <t>5389萬</t>
  </si>
  <si>
    <t>3881萬</t>
  </si>
  <si>
    <t>8.66億</t>
  </si>
  <si>
    <t>6.76億</t>
  </si>
  <si>
    <t>2429萬</t>
  </si>
  <si>
    <t>3779萬</t>
  </si>
  <si>
    <t>234億</t>
  </si>
  <si>
    <t>7.77億</t>
  </si>
  <si>
    <t>43.0萬</t>
  </si>
  <si>
    <t>2474萬</t>
  </si>
  <si>
    <t>475萬</t>
  </si>
  <si>
    <t>5721萬</t>
  </si>
  <si>
    <t>654萬</t>
  </si>
  <si>
    <t>4.50萬</t>
  </si>
  <si>
    <t>91.2萬</t>
  </si>
  <si>
    <t>4461萬</t>
  </si>
  <si>
    <t>565萬</t>
  </si>
  <si>
    <t>1245萬</t>
  </si>
  <si>
    <t>3099萬</t>
  </si>
  <si>
    <t>3.03萬</t>
  </si>
  <si>
    <t>403萬</t>
  </si>
  <si>
    <t>1693萬</t>
  </si>
  <si>
    <t>69.6萬</t>
  </si>
  <si>
    <t>2993萬</t>
  </si>
  <si>
    <t>6724萬</t>
  </si>
  <si>
    <t>1118萬</t>
  </si>
  <si>
    <t>80.8萬</t>
  </si>
  <si>
    <t>1228萬</t>
  </si>
  <si>
    <t>1660萬</t>
  </si>
  <si>
    <t>6077萬</t>
  </si>
  <si>
    <t>1129萬</t>
  </si>
  <si>
    <t>5127萬</t>
  </si>
  <si>
    <t>457萬</t>
  </si>
  <si>
    <t>1.42萬</t>
  </si>
  <si>
    <t>43.5萬</t>
  </si>
  <si>
    <t>8.98萬</t>
  </si>
  <si>
    <t>27.8萬</t>
  </si>
  <si>
    <t>2186萬</t>
  </si>
  <si>
    <t>12.3萬</t>
  </si>
  <si>
    <t>1390萬</t>
  </si>
  <si>
    <t>55.9萬</t>
  </si>
  <si>
    <t>9.73萬</t>
  </si>
  <si>
    <t>1172萬</t>
  </si>
  <si>
    <t>989萬</t>
  </si>
  <si>
    <t>32.1萬</t>
  </si>
  <si>
    <t>40.8萬</t>
  </si>
  <si>
    <t>742萬</t>
  </si>
  <si>
    <t>29.8萬</t>
  </si>
  <si>
    <t>2504萬</t>
  </si>
  <si>
    <t>45.4萬</t>
  </si>
  <si>
    <t>749萬</t>
  </si>
  <si>
    <t>2320萬</t>
  </si>
  <si>
    <t>5585萬</t>
  </si>
  <si>
    <t>20.5萬</t>
  </si>
  <si>
    <t>2215萬</t>
  </si>
  <si>
    <t>2103萬</t>
  </si>
  <si>
    <t>1579萬</t>
  </si>
  <si>
    <t>5.33萬</t>
  </si>
  <si>
    <t>2554萬</t>
  </si>
  <si>
    <t>31.2萬</t>
  </si>
  <si>
    <t>3935萬</t>
  </si>
  <si>
    <t>45.7萬</t>
  </si>
  <si>
    <t>2.31億</t>
  </si>
  <si>
    <t>81.2萬</t>
  </si>
  <si>
    <t>495萬</t>
  </si>
  <si>
    <t>2.38億</t>
  </si>
  <si>
    <t>522萬</t>
  </si>
  <si>
    <t>531萬</t>
  </si>
  <si>
    <t>1.00億</t>
  </si>
  <si>
    <t>537萬</t>
  </si>
  <si>
    <t>1144萬</t>
  </si>
  <si>
    <t>5553萬</t>
  </si>
  <si>
    <t>2677萬</t>
  </si>
  <si>
    <t>48.2萬</t>
  </si>
  <si>
    <t>6010萬</t>
  </si>
  <si>
    <t>5630萬</t>
  </si>
  <si>
    <t>1.47萬</t>
  </si>
  <si>
    <t>62.5萬</t>
  </si>
  <si>
    <t>238萬</t>
  </si>
  <si>
    <t>9305萬</t>
  </si>
  <si>
    <t>1572萬</t>
  </si>
  <si>
    <t>4663萬</t>
  </si>
  <si>
    <t>4308萬</t>
  </si>
  <si>
    <t>2.49億</t>
  </si>
  <si>
    <t>168萬</t>
  </si>
  <si>
    <t>3003萬</t>
  </si>
  <si>
    <t>376萬</t>
  </si>
  <si>
    <t>5376萬</t>
  </si>
  <si>
    <t>2896萬</t>
  </si>
  <si>
    <t>5.65億</t>
  </si>
  <si>
    <t>6474萬</t>
  </si>
  <si>
    <t>3.58億</t>
  </si>
  <si>
    <t>9926萬</t>
  </si>
  <si>
    <t>75.4萬</t>
  </si>
  <si>
    <t>4979萬</t>
  </si>
  <si>
    <t>478萬</t>
  </si>
  <si>
    <t>8.34億</t>
  </si>
  <si>
    <t>16.4億</t>
  </si>
  <si>
    <t>3.26億</t>
  </si>
  <si>
    <t>977萬</t>
  </si>
  <si>
    <t>91.3萬</t>
  </si>
  <si>
    <t>3612萬</t>
  </si>
  <si>
    <t>2552萬</t>
  </si>
  <si>
    <t>2294萬</t>
  </si>
  <si>
    <t>7.48億</t>
  </si>
  <si>
    <t>6.80億</t>
  </si>
  <si>
    <t>809萬</t>
  </si>
  <si>
    <t>2133萬</t>
  </si>
  <si>
    <t>41.6億</t>
  </si>
  <si>
    <t>1419萬</t>
  </si>
  <si>
    <t>5555萬</t>
  </si>
  <si>
    <t>6.21萬</t>
  </si>
  <si>
    <t>1001萬</t>
  </si>
  <si>
    <t>3470萬</t>
  </si>
  <si>
    <t>7606萬</t>
  </si>
  <si>
    <t>123億</t>
  </si>
  <si>
    <t>7838萬</t>
  </si>
  <si>
    <t>3.21億</t>
  </si>
  <si>
    <t>4.75億</t>
  </si>
  <si>
    <t>5.10億</t>
  </si>
  <si>
    <t>542萬</t>
  </si>
  <si>
    <t>30.1億</t>
  </si>
  <si>
    <t>13.8億</t>
  </si>
  <si>
    <t>42.0萬</t>
  </si>
  <si>
    <t>6548萬</t>
  </si>
  <si>
    <t>777萬</t>
  </si>
  <si>
    <t>2646萬</t>
  </si>
  <si>
    <t>79.5萬</t>
  </si>
  <si>
    <t>2874萬</t>
  </si>
  <si>
    <t>9.38萬</t>
  </si>
  <si>
    <t>655萬</t>
  </si>
  <si>
    <t>4322萬</t>
  </si>
  <si>
    <t>5655萬</t>
  </si>
  <si>
    <t>3912萬</t>
  </si>
  <si>
    <t>39.0萬</t>
  </si>
  <si>
    <t>1220萬</t>
  </si>
  <si>
    <t>950萬</t>
  </si>
  <si>
    <t>4912萬</t>
  </si>
  <si>
    <t>1.91億</t>
  </si>
  <si>
    <t>1271萬</t>
  </si>
  <si>
    <t>2.95億</t>
  </si>
  <si>
    <t>136萬</t>
  </si>
  <si>
    <t>618萬</t>
  </si>
  <si>
    <t>1879萬</t>
  </si>
  <si>
    <t>8878萬</t>
  </si>
  <si>
    <t>1795萬</t>
  </si>
  <si>
    <t>2856萬</t>
  </si>
  <si>
    <t>16.5億</t>
  </si>
  <si>
    <t>3004萬</t>
  </si>
  <si>
    <t>3103萬</t>
  </si>
  <si>
    <t>1.20萬</t>
  </si>
  <si>
    <t>1656萬</t>
  </si>
  <si>
    <t>5.37億</t>
  </si>
  <si>
    <t>6.25億</t>
  </si>
  <si>
    <t>411萬</t>
  </si>
  <si>
    <t>3467萬</t>
  </si>
  <si>
    <t>1.59億</t>
  </si>
  <si>
    <t>59.8萬</t>
  </si>
  <si>
    <t>6.03萬</t>
  </si>
  <si>
    <t>31.2億</t>
  </si>
  <si>
    <t>7.00萬</t>
  </si>
  <si>
    <t>1138萬</t>
  </si>
  <si>
    <t>94.7萬</t>
  </si>
  <si>
    <t>4.16萬</t>
  </si>
  <si>
    <t>1072萬</t>
  </si>
  <si>
    <t>4743萬</t>
  </si>
  <si>
    <t>486萬</t>
  </si>
  <si>
    <t>2264萬</t>
  </si>
  <si>
    <t>7114萬</t>
  </si>
  <si>
    <t>4.09億</t>
  </si>
  <si>
    <t>1756萬</t>
  </si>
  <si>
    <t>1250萬</t>
  </si>
  <si>
    <t>2952萬</t>
  </si>
  <si>
    <t>3755萬</t>
  </si>
  <si>
    <t>3654萬</t>
  </si>
  <si>
    <t>4943萬</t>
  </si>
  <si>
    <t>2435萬</t>
  </si>
  <si>
    <t>20.7億</t>
  </si>
  <si>
    <t>643萬</t>
  </si>
  <si>
    <t>546萬</t>
  </si>
  <si>
    <t>692萬</t>
  </si>
  <si>
    <t>1588萬</t>
  </si>
  <si>
    <t>1123萬</t>
  </si>
  <si>
    <t>4647萬</t>
  </si>
  <si>
    <t>3648萬</t>
  </si>
  <si>
    <t>3957萬</t>
  </si>
  <si>
    <t>1128萬</t>
  </si>
  <si>
    <t>380萬</t>
  </si>
  <si>
    <t>425萬</t>
  </si>
  <si>
    <t>5054萬</t>
  </si>
  <si>
    <t>66.1萬</t>
  </si>
  <si>
    <t>612萬</t>
  </si>
  <si>
    <t>71.8萬</t>
  </si>
  <si>
    <t>93.1萬</t>
  </si>
  <si>
    <t>56.6萬</t>
  </si>
  <si>
    <t>3589萬</t>
  </si>
  <si>
    <t>1329萬</t>
  </si>
  <si>
    <t>12.4萬</t>
  </si>
  <si>
    <t>667萬</t>
  </si>
  <si>
    <t>6.98億</t>
  </si>
  <si>
    <t>81.5萬</t>
  </si>
  <si>
    <t>502萬</t>
  </si>
  <si>
    <t>6.31億</t>
  </si>
  <si>
    <t>473萬</t>
  </si>
  <si>
    <t>96.7萬</t>
  </si>
  <si>
    <t>5303萬</t>
  </si>
  <si>
    <t>8721萬</t>
  </si>
  <si>
    <t>6135萬</t>
  </si>
  <si>
    <t>2208萬</t>
  </si>
  <si>
    <t>635萬</t>
  </si>
  <si>
    <t>5296萬</t>
  </si>
  <si>
    <t>4586萬</t>
  </si>
  <si>
    <t>707萬</t>
  </si>
  <si>
    <t>5.16億</t>
  </si>
  <si>
    <t>7466萬</t>
  </si>
  <si>
    <t>3005萬</t>
  </si>
  <si>
    <t>4.86億</t>
  </si>
  <si>
    <t>222萬</t>
  </si>
  <si>
    <t>3814萬</t>
  </si>
  <si>
    <t>2025萬</t>
  </si>
  <si>
    <t>3735萬</t>
  </si>
  <si>
    <t>1208萬</t>
  </si>
  <si>
    <t>585萬</t>
  </si>
  <si>
    <t>1742萬</t>
  </si>
  <si>
    <t>9.15萬</t>
  </si>
  <si>
    <t>80.6億</t>
  </si>
  <si>
    <t>2.33億</t>
  </si>
  <si>
    <t>6276萬</t>
  </si>
  <si>
    <t>538萬</t>
  </si>
  <si>
    <t>8301萬</t>
  </si>
  <si>
    <t>63.4萬</t>
  </si>
  <si>
    <t>3.00億</t>
  </si>
  <si>
    <t>50.0萬</t>
  </si>
  <si>
    <t>1475萬</t>
  </si>
  <si>
    <t>11.6萬</t>
  </si>
  <si>
    <t>70.4萬</t>
  </si>
  <si>
    <t>8229萬</t>
  </si>
  <si>
    <t>4472萬</t>
  </si>
  <si>
    <t>1607萬</t>
  </si>
  <si>
    <t>34.1億</t>
  </si>
  <si>
    <t>312萬</t>
  </si>
  <si>
    <t>497萬</t>
  </si>
  <si>
    <t>44.4億</t>
  </si>
  <si>
    <t>5823萬</t>
  </si>
  <si>
    <t>3719萬</t>
  </si>
  <si>
    <t>1506萬</t>
  </si>
  <si>
    <t>58.8萬</t>
  </si>
  <si>
    <t>7.04億</t>
  </si>
  <si>
    <t>5.85萬</t>
  </si>
  <si>
    <t>8143萬</t>
  </si>
  <si>
    <t>4272萬</t>
  </si>
  <si>
    <t>3889萬</t>
  </si>
  <si>
    <t>7387萬</t>
  </si>
  <si>
    <t>1286萬</t>
  </si>
  <si>
    <t>38.9億</t>
  </si>
  <si>
    <t>46.3萬</t>
  </si>
  <si>
    <t>6.42萬</t>
  </si>
  <si>
    <t>5338萬</t>
  </si>
  <si>
    <t>86.2億</t>
  </si>
  <si>
    <t>5.83萬</t>
  </si>
  <si>
    <t>52.7億</t>
  </si>
  <si>
    <t>4513萬</t>
  </si>
  <si>
    <t>5817萬</t>
  </si>
  <si>
    <t>2.43億</t>
  </si>
  <si>
    <t>1753萬</t>
  </si>
  <si>
    <t>3.20萬</t>
  </si>
  <si>
    <t>1435萬</t>
  </si>
  <si>
    <t>66.3億</t>
  </si>
  <si>
    <t>377萬</t>
  </si>
  <si>
    <t>1748萬</t>
  </si>
  <si>
    <t>6121萬</t>
  </si>
  <si>
    <t>6824萬</t>
  </si>
  <si>
    <t>36.2億</t>
  </si>
  <si>
    <t>622萬</t>
  </si>
  <si>
    <t>3646萬</t>
  </si>
  <si>
    <t>7463萬</t>
  </si>
  <si>
    <t>594萬</t>
  </si>
  <si>
    <t>22.2億</t>
  </si>
  <si>
    <t>5.46億</t>
  </si>
  <si>
    <t>226億</t>
  </si>
  <si>
    <t>604萬</t>
  </si>
  <si>
    <t>63.7萬</t>
  </si>
  <si>
    <t>4008萬</t>
  </si>
  <si>
    <t>168億</t>
  </si>
  <si>
    <t>4608萬</t>
  </si>
  <si>
    <t>4.23億</t>
  </si>
  <si>
    <t>5628萬</t>
  </si>
  <si>
    <t>15.6億</t>
  </si>
  <si>
    <t>1616萬</t>
  </si>
  <si>
    <t>24.7萬</t>
  </si>
  <si>
    <t>5.24億</t>
  </si>
  <si>
    <t>2617萬</t>
  </si>
  <si>
    <t>3906萬</t>
  </si>
  <si>
    <t>61.7億</t>
  </si>
  <si>
    <t>363萬</t>
  </si>
  <si>
    <t>3896萬</t>
  </si>
  <si>
    <t>3499萬</t>
  </si>
  <si>
    <t>3.66億</t>
  </si>
  <si>
    <t>2599萬</t>
  </si>
  <si>
    <t>1.11億</t>
  </si>
  <si>
    <t>37.6億</t>
  </si>
  <si>
    <t>8.04億</t>
  </si>
  <si>
    <t>6.55億</t>
  </si>
  <si>
    <t>27.6億</t>
  </si>
  <si>
    <t>4642萬</t>
  </si>
  <si>
    <t>1133萬</t>
  </si>
  <si>
    <t>7372萬</t>
  </si>
  <si>
    <t>3.98億</t>
  </si>
  <si>
    <t>2.31萬</t>
  </si>
  <si>
    <t>2664萬</t>
  </si>
  <si>
    <t>1248萬</t>
  </si>
  <si>
    <t>161億</t>
  </si>
  <si>
    <t>2.82億</t>
  </si>
  <si>
    <t>786萬</t>
  </si>
  <si>
    <t>1671萬</t>
  </si>
  <si>
    <t>1598萬</t>
  </si>
  <si>
    <t>37.2萬</t>
  </si>
  <si>
    <t>6199萬</t>
  </si>
  <si>
    <t>4.03萬</t>
  </si>
  <si>
    <t>32.2億</t>
  </si>
  <si>
    <t>1056萬</t>
  </si>
  <si>
    <t>7399萬</t>
  </si>
  <si>
    <t>60.7億</t>
  </si>
  <si>
    <t>11.4億</t>
  </si>
  <si>
    <t>5.62億</t>
  </si>
  <si>
    <t>956萬</t>
  </si>
  <si>
    <t>1214萬</t>
  </si>
  <si>
    <t>1485萬</t>
  </si>
  <si>
    <t>7.62億</t>
  </si>
  <si>
    <t>59.3萬</t>
  </si>
  <si>
    <t>98.4萬</t>
  </si>
  <si>
    <t>7056萬</t>
  </si>
  <si>
    <t>2703萬</t>
  </si>
  <si>
    <t>90.1萬</t>
  </si>
  <si>
    <t>501萬</t>
  </si>
  <si>
    <t>261萬</t>
  </si>
  <si>
    <t>616萬</t>
  </si>
  <si>
    <t>758萬</t>
  </si>
  <si>
    <t>97.4萬</t>
  </si>
  <si>
    <t>1.61億</t>
  </si>
  <si>
    <t>1612萬</t>
  </si>
  <si>
    <t>4582萬</t>
  </si>
  <si>
    <t>1711萬</t>
  </si>
  <si>
    <t>3674萬</t>
  </si>
  <si>
    <t>4059萬</t>
  </si>
  <si>
    <t>1210萬</t>
  </si>
  <si>
    <t>593萬</t>
  </si>
  <si>
    <t>3057萬</t>
  </si>
  <si>
    <t>8085萬</t>
  </si>
  <si>
    <t>95.5萬</t>
  </si>
  <si>
    <t>4937萬</t>
  </si>
  <si>
    <t>77.6萬</t>
  </si>
  <si>
    <t>6.69萬</t>
  </si>
  <si>
    <t>27.6萬</t>
  </si>
  <si>
    <t>7.73億</t>
  </si>
  <si>
    <t>291萬</t>
  </si>
  <si>
    <t>6.05億</t>
  </si>
  <si>
    <t>6.86萬</t>
  </si>
  <si>
    <t>1635萬</t>
  </si>
  <si>
    <t>1552萬</t>
  </si>
  <si>
    <t>624萬</t>
  </si>
  <si>
    <t>7104萬</t>
  </si>
  <si>
    <t>5.64萬</t>
  </si>
  <si>
    <t>3940萬</t>
  </si>
  <si>
    <t>40.0萬</t>
  </si>
  <si>
    <t>329萬</t>
  </si>
  <si>
    <t>1389萬</t>
  </si>
  <si>
    <t>3177萬</t>
  </si>
  <si>
    <t>42.5萬</t>
  </si>
  <si>
    <t>2794萬</t>
  </si>
  <si>
    <t>448萬</t>
  </si>
  <si>
    <t>967萬</t>
  </si>
  <si>
    <t>5685萬</t>
  </si>
  <si>
    <t>3290萬</t>
  </si>
  <si>
    <t>9.93億</t>
  </si>
  <si>
    <t>992萬</t>
  </si>
  <si>
    <t>298萬</t>
  </si>
  <si>
    <t>842萬</t>
  </si>
  <si>
    <t>1667萬</t>
  </si>
  <si>
    <t>172萬</t>
  </si>
  <si>
    <t>94.2萬</t>
  </si>
  <si>
    <t>3096萬</t>
  </si>
  <si>
    <t>4077萬</t>
  </si>
  <si>
    <t>3857萬</t>
  </si>
  <si>
    <t>9.53萬</t>
  </si>
  <si>
    <t>1559萬</t>
  </si>
  <si>
    <t>98.7億</t>
  </si>
  <si>
    <t>87.7萬</t>
  </si>
  <si>
    <t>16.6萬</t>
  </si>
  <si>
    <t>1025萬</t>
  </si>
  <si>
    <t>7.61億</t>
  </si>
  <si>
    <t>5.29億</t>
  </si>
  <si>
    <t>89.4萬</t>
  </si>
  <si>
    <t>1399萬</t>
  </si>
  <si>
    <t>1107萬</t>
  </si>
  <si>
    <t>66.8萬</t>
  </si>
  <si>
    <t>91.8萬</t>
  </si>
  <si>
    <t>11.0萬</t>
  </si>
  <si>
    <t>4.18萬</t>
  </si>
  <si>
    <t>385萬</t>
  </si>
  <si>
    <t>2762萬</t>
  </si>
  <si>
    <t>2.70萬</t>
  </si>
  <si>
    <t>4688萬</t>
  </si>
  <si>
    <t>1482萬</t>
  </si>
  <si>
    <t>4772萬</t>
  </si>
  <si>
    <t>280萬</t>
  </si>
  <si>
    <t>44.0萬</t>
  </si>
  <si>
    <t>60.4萬</t>
  </si>
  <si>
    <t>4296萬</t>
  </si>
  <si>
    <t>8680萬</t>
  </si>
  <si>
    <t>92.7萬</t>
  </si>
  <si>
    <t>2522萬</t>
  </si>
  <si>
    <t>2.54億</t>
  </si>
  <si>
    <t>3414萬</t>
  </si>
  <si>
    <t>6900萬</t>
  </si>
  <si>
    <t>1937萬</t>
  </si>
  <si>
    <t>36.3萬</t>
  </si>
  <si>
    <t>1973萬</t>
  </si>
  <si>
    <t>25.8萬</t>
  </si>
  <si>
    <t>41.7萬</t>
  </si>
  <si>
    <t>2.12億</t>
  </si>
  <si>
    <t>3.97億</t>
  </si>
  <si>
    <t>1771萬</t>
  </si>
  <si>
    <t>9442萬</t>
  </si>
  <si>
    <t>3916萬</t>
  </si>
  <si>
    <t>37.0萬</t>
  </si>
  <si>
    <t>1385萬</t>
  </si>
  <si>
    <t>1488萬</t>
  </si>
  <si>
    <t>1219萬</t>
  </si>
  <si>
    <t>6.63萬</t>
  </si>
  <si>
    <t>1781萬</t>
  </si>
  <si>
    <t>3141萬</t>
  </si>
  <si>
    <t>8.63萬</t>
  </si>
  <si>
    <t>1190萬</t>
  </si>
  <si>
    <t>334萬</t>
  </si>
  <si>
    <t>4.69億</t>
  </si>
  <si>
    <t>4166萬</t>
  </si>
  <si>
    <t>3047萬</t>
  </si>
  <si>
    <t>68.7萬</t>
  </si>
  <si>
    <t>1218萬</t>
  </si>
  <si>
    <t>1824萬</t>
  </si>
  <si>
    <t>9.56億</t>
  </si>
  <si>
    <t>1367萬</t>
  </si>
  <si>
    <t>2705萬</t>
  </si>
  <si>
    <t>22.0萬</t>
  </si>
  <si>
    <t>7442萬</t>
  </si>
  <si>
    <t>5.69億</t>
  </si>
  <si>
    <t>4151萬</t>
  </si>
  <si>
    <t>4195萬</t>
  </si>
  <si>
    <t>54.8億</t>
  </si>
  <si>
    <t>5042萬</t>
  </si>
  <si>
    <t>1586萬</t>
  </si>
  <si>
    <t>2399萬</t>
  </si>
  <si>
    <t>5.34億</t>
  </si>
  <si>
    <t>498萬</t>
  </si>
  <si>
    <t>2313萬</t>
  </si>
  <si>
    <t>精華生醫</t>
  </si>
  <si>
    <t>1927萬</t>
  </si>
  <si>
    <t>台灣保健品代工廠</t>
  </si>
  <si>
    <t>1796萬</t>
  </si>
  <si>
    <t>56.4萬</t>
  </si>
  <si>
    <t>1779萬</t>
  </si>
  <si>
    <t>5.35億</t>
  </si>
  <si>
    <t>89.6萬</t>
  </si>
  <si>
    <t>313億</t>
  </si>
  <si>
    <t>7260萬</t>
  </si>
  <si>
    <t>48.3億</t>
  </si>
  <si>
    <t>21.0億</t>
  </si>
  <si>
    <t>3677萬</t>
  </si>
  <si>
    <t>138億</t>
  </si>
  <si>
    <t>1.49萬</t>
  </si>
  <si>
    <t>15.5萬</t>
  </si>
  <si>
    <t>929萬</t>
  </si>
  <si>
    <t>20.3萬</t>
  </si>
  <si>
    <t>20.2億</t>
  </si>
  <si>
    <t>99.0萬</t>
  </si>
  <si>
    <t>1745萬</t>
  </si>
  <si>
    <t>2986萬</t>
  </si>
  <si>
    <t>1029萬</t>
  </si>
  <si>
    <t>2309萬</t>
  </si>
  <si>
    <t>2587萬</t>
  </si>
  <si>
    <t>6.23億</t>
  </si>
  <si>
    <t>5.89億</t>
  </si>
  <si>
    <t>5678萬</t>
  </si>
  <si>
    <t>2547萬</t>
  </si>
  <si>
    <t>6729萬</t>
  </si>
  <si>
    <t>31.4億</t>
  </si>
  <si>
    <t>2228萬</t>
  </si>
  <si>
    <t>3636萬</t>
  </si>
  <si>
    <t>13.3億</t>
  </si>
  <si>
    <t>2136萬</t>
  </si>
  <si>
    <t>961萬</t>
  </si>
  <si>
    <t>9.86億</t>
  </si>
  <si>
    <t>2090萬</t>
  </si>
  <si>
    <t>4191萬</t>
  </si>
  <si>
    <t>641萬</t>
  </si>
  <si>
    <t>4595萬</t>
  </si>
  <si>
    <t>6.81萬</t>
  </si>
  <si>
    <t>90.2億</t>
  </si>
  <si>
    <t>1571萬</t>
  </si>
  <si>
    <t>86.0萬</t>
  </si>
  <si>
    <t>567萬</t>
  </si>
  <si>
    <t>15.4億</t>
  </si>
  <si>
    <t>82.5萬</t>
  </si>
  <si>
    <t>1683萬</t>
  </si>
  <si>
    <t>5667萬</t>
  </si>
  <si>
    <t>2932萬</t>
  </si>
  <si>
    <t>435萬</t>
  </si>
  <si>
    <t>26.6萬</t>
  </si>
  <si>
    <t>2259萬</t>
  </si>
  <si>
    <t>85.0萬</t>
  </si>
  <si>
    <t>6763萬</t>
  </si>
  <si>
    <t>2159萬</t>
  </si>
  <si>
    <t>80.0萬</t>
  </si>
  <si>
    <t>3.15萬</t>
  </si>
  <si>
    <t>32.0萬</t>
  </si>
  <si>
    <t>87.3萬</t>
  </si>
  <si>
    <t>25.6萬</t>
  </si>
  <si>
    <t>45.6萬</t>
  </si>
  <si>
    <t>1623萬</t>
  </si>
  <si>
    <t>619萬</t>
  </si>
  <si>
    <t>31.1萬</t>
  </si>
  <si>
    <t>1677萬</t>
  </si>
  <si>
    <t>14.8萬</t>
  </si>
  <si>
    <t>14.3萬</t>
  </si>
  <si>
    <t>98.1萬</t>
  </si>
  <si>
    <t>88.4萬</t>
  </si>
  <si>
    <t>586萬</t>
  </si>
  <si>
    <t>41.9萬</t>
  </si>
  <si>
    <t>1.70萬</t>
  </si>
  <si>
    <t>48.8萬</t>
  </si>
  <si>
    <t>16.7萬</t>
  </si>
  <si>
    <t>14.0萬</t>
  </si>
  <si>
    <t>6489萬</t>
  </si>
  <si>
    <t>51.1萬</t>
  </si>
  <si>
    <t>17.3萬</t>
  </si>
  <si>
    <t>676萬</t>
  </si>
  <si>
    <t>68.1億</t>
  </si>
  <si>
    <t>4225萬</t>
  </si>
  <si>
    <t>94.6萬</t>
  </si>
  <si>
    <t>2541萬</t>
  </si>
  <si>
    <t>2470萬</t>
  </si>
  <si>
    <t>78.1萬</t>
  </si>
  <si>
    <t>4601萬</t>
  </si>
  <si>
    <t>1696萬</t>
  </si>
  <si>
    <t>2492萬</t>
  </si>
  <si>
    <t>2307萬</t>
  </si>
  <si>
    <t>2975萬</t>
  </si>
  <si>
    <t>9982萬</t>
  </si>
  <si>
    <t>3973萬</t>
  </si>
  <si>
    <t>1.86億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</si>
</sst>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&quot; ▲&quot;* 0.00;&quot; ▼&quot;* 0.00;&quot;－&quot;"/>
    <numFmt numFmtId="177" formatCode="0_);[Red]\(0\)"/>
    <numFmt numFmtId="178" formatCode="0_ ;[Red]\-0\ "/>
    <numFmt numFmtId="179" formatCode="0_ "/>
    <numFmt numFmtId="180" formatCode="#,##0.00%;[Red]\-#,##0.00%"/>
    <numFmt numFmtId="181" formatCode="0.00_ "/>
    <numFmt numFmtId="182" formatCode="yyyy"/>
    <numFmt numFmtId="183" formatCode="0.00%\ ;[Red]\-0.00%"/>
    <numFmt numFmtId="184" formatCode="&quot;-&quot;0_ "/>
    <numFmt numFmtId="185" formatCode="yyyy/mm/dd"/>
    <numFmt numFmtId="186" formatCode="0.00&quot;%&quot;"/>
    <numFmt numFmtId="187" formatCode="0.00_ ;[Red]\-0.00\ "/>
    <numFmt numFmtId="188" formatCode="0.00_);[Red]\(0.00\)"/>
    <numFmt numFmtId="189" formatCode="0\ &quot;總計&quot;"/>
    <numFmt numFmtId="190" formatCode="[$-F400]h:mm:ss\ AM/PM"/>
  </numFmts>
  <fonts count="107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theme="0" tint="-0.499984740745262"/>
      <name val="新細明體"/>
      <family val="1"/>
      <charset val="136"/>
    </font>
    <font>
      <sz val="12"/>
      <color theme="1"/>
      <name val="新細明體"/>
      <family val="2"/>
      <charset val="136"/>
    </font>
    <font>
      <sz val="12"/>
      <color rgb="FFFF0000"/>
      <name val="新細明體"/>
      <family val="1"/>
      <charset val="136"/>
    </font>
    <font>
      <sz val="12"/>
      <color rgb="FF00B050"/>
      <name val="新細明體"/>
      <family val="1"/>
      <charset val="136"/>
    </font>
    <font>
      <sz val="12"/>
      <color rgb="FFFF0000"/>
      <name val="新細明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9"/>
      <name val="新細明體"/>
      <family val="1"/>
      <charset val="136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sz val="9"/>
      <color indexed="81"/>
      <name val="細明體"/>
      <family val="3"/>
      <charset val="136"/>
    </font>
    <font>
      <sz val="9"/>
      <color indexed="81"/>
      <name val="新細明體"/>
      <family val="1"/>
      <charset val="136"/>
      <scheme val="minor"/>
    </font>
    <font>
      <sz val="12"/>
      <color rgb="FF00B050"/>
      <name val="新細明體"/>
      <family val="2"/>
      <charset val="136"/>
    </font>
    <font>
      <sz val="12"/>
      <color rgb="FFFF000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0"/>
      <color rgb="FF003F66"/>
      <name val="Verdana"/>
      <family val="2"/>
    </font>
    <font>
      <i/>
      <sz val="10"/>
      <color rgb="FF003F66"/>
      <name val="Verdana"/>
      <family val="2"/>
    </font>
    <font>
      <sz val="12"/>
      <name val="新細明體"/>
      <family val="2"/>
      <charset val="136"/>
      <scheme val="minor"/>
    </font>
    <font>
      <b/>
      <sz val="12"/>
      <color rgb="FF7030A0"/>
      <name val="新細明體"/>
      <family val="1"/>
      <charset val="136"/>
    </font>
    <font>
      <b/>
      <sz val="12"/>
      <name val="Microsoft JhengHei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</font>
    <font>
      <b/>
      <sz val="10"/>
      <color rgb="FF003F66"/>
      <name val="細明體"/>
      <family val="3"/>
      <charset val="136"/>
    </font>
    <font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lightTrellis">
        <bgColor theme="0" tint="-0.34998626667073579"/>
      </patternFill>
    </fill>
    <fill>
      <patternFill patternType="solid">
        <fgColor indexed="42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EBF1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double">
        <color indexed="9"/>
      </top>
      <bottom style="double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1">
    <xf numFmtId="0" fontId="0" fillId="0" borderId="0"/>
    <xf numFmtId="0" fontId="75" fillId="0" borderId="0"/>
    <xf numFmtId="0" fontId="73" fillId="0" borderId="0">
      <alignment vertical="center"/>
    </xf>
    <xf numFmtId="0" fontId="80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3" fillId="0" borderId="0">
      <alignment vertical="center"/>
    </xf>
    <xf numFmtId="0" fontId="75" fillId="0" borderId="0"/>
    <xf numFmtId="0" fontId="41" fillId="0" borderId="0">
      <alignment vertical="center"/>
    </xf>
    <xf numFmtId="0" fontId="40" fillId="0" borderId="0">
      <alignment vertical="center"/>
    </xf>
    <xf numFmtId="0" fontId="35" fillId="0" borderId="0">
      <alignment vertical="center"/>
    </xf>
    <xf numFmtId="0" fontId="95" fillId="0" borderId="0" applyNumberFormat="0" applyFill="0" applyBorder="0" applyAlignment="0" applyProtection="0"/>
    <xf numFmtId="0" fontId="25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</cellStyleXfs>
  <cellXfs count="448">
    <xf numFmtId="0" fontId="0" fillId="0" borderId="0" xfId="0"/>
    <xf numFmtId="0" fontId="75" fillId="0" borderId="1" xfId="1" applyBorder="1" applyAlignment="1">
      <alignment horizontal="left" vertical="center"/>
    </xf>
    <xf numFmtId="0" fontId="73" fillId="0" borderId="2" xfId="2" applyBorder="1" applyAlignment="1">
      <alignment horizontal="center" vertical="center"/>
    </xf>
    <xf numFmtId="0" fontId="73" fillId="0" borderId="2" xfId="2" applyBorder="1" applyAlignment="1">
      <alignment horizontal="left" vertical="center"/>
    </xf>
    <xf numFmtId="0" fontId="75" fillId="0" borderId="2" xfId="1" applyBorder="1" applyAlignment="1">
      <alignment horizontal="left" vertical="center"/>
    </xf>
    <xf numFmtId="177" fontId="75" fillId="0" borderId="2" xfId="1" applyNumberFormat="1" applyBorder="1" applyAlignment="1">
      <alignment horizontal="left" vertical="center"/>
    </xf>
    <xf numFmtId="178" fontId="75" fillId="0" borderId="2" xfId="1" applyNumberFormat="1" applyBorder="1" applyAlignment="1">
      <alignment horizontal="left" vertical="center"/>
    </xf>
    <xf numFmtId="0" fontId="75" fillId="0" borderId="3" xfId="1" applyBorder="1" applyAlignment="1">
      <alignment horizontal="center" vertical="center"/>
    </xf>
    <xf numFmtId="0" fontId="73" fillId="0" borderId="0" xfId="2" applyAlignment="1">
      <alignment horizontal="left" vertical="center"/>
    </xf>
    <xf numFmtId="0" fontId="73" fillId="0" borderId="0" xfId="2" applyAlignment="1">
      <alignment horizontal="center" vertical="center"/>
    </xf>
    <xf numFmtId="14" fontId="73" fillId="0" borderId="4" xfId="2" applyNumberFormat="1" applyBorder="1" applyAlignment="1">
      <alignment horizontal="center" vertical="center"/>
    </xf>
    <xf numFmtId="0" fontId="73" fillId="0" borderId="5" xfId="2" applyBorder="1" applyAlignment="1">
      <alignment horizontal="center" vertical="center"/>
    </xf>
    <xf numFmtId="14" fontId="73" fillId="0" borderId="5" xfId="2" applyNumberFormat="1" applyBorder="1" applyAlignment="1">
      <alignment horizontal="center" vertical="center"/>
    </xf>
    <xf numFmtId="179" fontId="75" fillId="0" borderId="5" xfId="1" applyNumberFormat="1" applyBorder="1" applyAlignment="1">
      <alignment horizontal="center" vertical="center" wrapText="1"/>
    </xf>
    <xf numFmtId="178" fontId="75" fillId="0" borderId="5" xfId="1" applyNumberFormat="1" applyBorder="1" applyAlignment="1">
      <alignment horizontal="center" vertical="center" wrapText="1"/>
    </xf>
    <xf numFmtId="180" fontId="75" fillId="0" borderId="5" xfId="1" applyNumberFormat="1" applyBorder="1" applyAlignment="1">
      <alignment horizontal="center" vertical="center"/>
    </xf>
    <xf numFmtId="0" fontId="75" fillId="0" borderId="5" xfId="1" applyBorder="1" applyAlignment="1">
      <alignment horizontal="center" vertical="center" wrapText="1"/>
    </xf>
    <xf numFmtId="0" fontId="75" fillId="0" borderId="5" xfId="1" applyBorder="1" applyAlignment="1">
      <alignment horizontal="center" vertical="center"/>
    </xf>
    <xf numFmtId="14" fontId="73" fillId="2" borderId="4" xfId="2" applyNumberFormat="1" applyFill="1" applyBorder="1" applyAlignment="1">
      <alignment horizontal="center" vertical="center"/>
    </xf>
    <xf numFmtId="0" fontId="73" fillId="2" borderId="5" xfId="2" applyFill="1" applyBorder="1" applyAlignment="1">
      <alignment horizontal="center" vertical="center"/>
    </xf>
    <xf numFmtId="49" fontId="73" fillId="2" borderId="5" xfId="2" applyNumberFormat="1" applyFill="1" applyBorder="1" applyAlignment="1">
      <alignment horizontal="center" vertical="center"/>
    </xf>
    <xf numFmtId="14" fontId="75" fillId="2" borderId="5" xfId="1" applyNumberFormat="1" applyFill="1" applyBorder="1" applyAlignment="1">
      <alignment horizontal="center" vertical="center" wrapText="1"/>
    </xf>
    <xf numFmtId="0" fontId="75" fillId="2" borderId="5" xfId="1" applyFill="1" applyBorder="1" applyAlignment="1">
      <alignment horizontal="center" vertical="center" wrapText="1"/>
    </xf>
    <xf numFmtId="177" fontId="75" fillId="2" borderId="5" xfId="1" applyNumberFormat="1" applyFill="1" applyBorder="1" applyAlignment="1">
      <alignment horizontal="center" vertical="center" wrapText="1"/>
    </xf>
    <xf numFmtId="179" fontId="75" fillId="2" borderId="5" xfId="1" applyNumberFormat="1" applyFill="1" applyBorder="1" applyAlignment="1">
      <alignment horizontal="center" vertical="center" wrapText="1"/>
    </xf>
    <xf numFmtId="178" fontId="75" fillId="2" borderId="5" xfId="1" applyNumberFormat="1" applyFill="1" applyBorder="1" applyAlignment="1">
      <alignment horizontal="center" vertical="center" wrapText="1"/>
    </xf>
    <xf numFmtId="180" fontId="75" fillId="2" borderId="5" xfId="1" applyNumberFormat="1" applyFill="1" applyBorder="1" applyAlignment="1">
      <alignment horizontal="center" vertical="center"/>
    </xf>
    <xf numFmtId="0" fontId="75" fillId="2" borderId="6" xfId="1" applyFill="1" applyBorder="1" applyAlignment="1">
      <alignment horizontal="center" vertical="center" wrapText="1"/>
    </xf>
    <xf numFmtId="0" fontId="73" fillId="0" borderId="0" xfId="2">
      <alignment vertical="center"/>
    </xf>
    <xf numFmtId="14" fontId="73" fillId="0" borderId="0" xfId="2" applyNumberFormat="1" applyAlignment="1">
      <alignment horizontal="center" vertical="center"/>
    </xf>
    <xf numFmtId="14" fontId="75" fillId="0" borderId="0" xfId="1" applyNumberFormat="1" applyAlignment="1">
      <alignment horizontal="center" vertical="center" wrapText="1"/>
    </xf>
    <xf numFmtId="0" fontId="75" fillId="0" borderId="0" xfId="1" applyAlignment="1">
      <alignment horizontal="center" vertical="center" wrapText="1"/>
    </xf>
    <xf numFmtId="177" fontId="75" fillId="0" borderId="0" xfId="1" applyNumberFormat="1" applyAlignment="1">
      <alignment horizontal="center" vertical="center" wrapText="1"/>
    </xf>
    <xf numFmtId="179" fontId="75" fillId="0" borderId="0" xfId="1" applyNumberFormat="1" applyAlignment="1">
      <alignment horizontal="center" vertical="center" wrapText="1"/>
    </xf>
    <xf numFmtId="178" fontId="75" fillId="0" borderId="0" xfId="1" applyNumberFormat="1" applyAlignment="1">
      <alignment horizontal="center" vertical="center" wrapText="1"/>
    </xf>
    <xf numFmtId="180" fontId="75" fillId="0" borderId="0" xfId="1" applyNumberFormat="1" applyAlignment="1">
      <alignment horizontal="center" vertical="center"/>
    </xf>
    <xf numFmtId="0" fontId="78" fillId="0" borderId="0" xfId="2" applyFont="1" applyAlignment="1">
      <alignment horizontal="center" vertical="center"/>
    </xf>
    <xf numFmtId="0" fontId="79" fillId="0" borderId="0" xfId="2" applyFont="1" applyAlignment="1">
      <alignment horizontal="center" vertical="center"/>
    </xf>
    <xf numFmtId="176" fontId="75" fillId="0" borderId="6" xfId="1" applyNumberFormat="1" applyBorder="1" applyAlignment="1">
      <alignment horizontal="center" vertical="center" wrapText="1"/>
    </xf>
    <xf numFmtId="14" fontId="73" fillId="4" borderId="4" xfId="2" applyNumberFormat="1" applyFill="1" applyBorder="1" applyAlignment="1">
      <alignment horizontal="center" vertical="center"/>
    </xf>
    <xf numFmtId="0" fontId="73" fillId="4" borderId="5" xfId="2" applyFill="1" applyBorder="1" applyAlignment="1">
      <alignment horizontal="center" vertical="center"/>
    </xf>
    <xf numFmtId="14" fontId="73" fillId="4" borderId="5" xfId="2" applyNumberFormat="1" applyFill="1" applyBorder="1" applyAlignment="1">
      <alignment horizontal="center" vertical="center"/>
    </xf>
    <xf numFmtId="0" fontId="75" fillId="4" borderId="5" xfId="1" applyFill="1" applyBorder="1" applyAlignment="1">
      <alignment horizontal="center" vertical="center" wrapText="1"/>
    </xf>
    <xf numFmtId="177" fontId="75" fillId="4" borderId="5" xfId="1" applyNumberFormat="1" applyFill="1" applyBorder="1" applyAlignment="1">
      <alignment horizontal="center" vertical="center" wrapText="1"/>
    </xf>
    <xf numFmtId="179" fontId="75" fillId="4" borderId="5" xfId="1" applyNumberFormat="1" applyFill="1" applyBorder="1" applyAlignment="1">
      <alignment horizontal="center" vertical="center" wrapText="1"/>
    </xf>
    <xf numFmtId="178" fontId="75" fillId="4" borderId="5" xfId="1" applyNumberFormat="1" applyFill="1" applyBorder="1" applyAlignment="1">
      <alignment horizontal="center" vertical="center" wrapText="1"/>
    </xf>
    <xf numFmtId="180" fontId="75" fillId="4" borderId="5" xfId="1" applyNumberFormat="1" applyFill="1" applyBorder="1" applyAlignment="1">
      <alignment horizontal="center" vertical="center"/>
    </xf>
    <xf numFmtId="0" fontId="75" fillId="4" borderId="6" xfId="1" applyFill="1" applyBorder="1" applyAlignment="1">
      <alignment horizontal="center" vertical="center" wrapText="1"/>
    </xf>
    <xf numFmtId="14" fontId="73" fillId="0" borderId="7" xfId="2" applyNumberFormat="1" applyBorder="1" applyAlignment="1">
      <alignment horizontal="center" vertical="center"/>
    </xf>
    <xf numFmtId="0" fontId="73" fillId="0" borderId="8" xfId="2" applyBorder="1" applyAlignment="1">
      <alignment horizontal="center" vertical="center"/>
    </xf>
    <xf numFmtId="14" fontId="73" fillId="0" borderId="8" xfId="2" applyNumberFormat="1" applyBorder="1" applyAlignment="1">
      <alignment horizontal="center" vertical="center"/>
    </xf>
    <xf numFmtId="0" fontId="75" fillId="0" borderId="8" xfId="1" applyBorder="1" applyAlignment="1">
      <alignment horizontal="center" vertical="center" wrapText="1"/>
    </xf>
    <xf numFmtId="177" fontId="75" fillId="0" borderId="8" xfId="1" applyNumberFormat="1" applyBorder="1" applyAlignment="1">
      <alignment horizontal="center" vertical="center" wrapText="1"/>
    </xf>
    <xf numFmtId="179" fontId="75" fillId="0" borderId="8" xfId="1" applyNumberFormat="1" applyBorder="1" applyAlignment="1">
      <alignment horizontal="center" vertical="center" wrapText="1"/>
    </xf>
    <xf numFmtId="178" fontId="75" fillId="0" borderId="8" xfId="1" applyNumberFormat="1" applyBorder="1" applyAlignment="1">
      <alignment horizontal="center" vertical="center" wrapText="1"/>
    </xf>
    <xf numFmtId="180" fontId="75" fillId="0" borderId="8" xfId="1" applyNumberFormat="1" applyBorder="1" applyAlignment="1">
      <alignment horizontal="center" vertical="center"/>
    </xf>
    <xf numFmtId="0" fontId="75" fillId="0" borderId="9" xfId="1" applyBorder="1" applyAlignment="1">
      <alignment horizontal="center" vertical="center" wrapText="1"/>
    </xf>
    <xf numFmtId="10" fontId="73" fillId="0" borderId="5" xfId="2" applyNumberFormat="1" applyBorder="1" applyAlignment="1">
      <alignment horizontal="center" vertical="center"/>
    </xf>
    <xf numFmtId="182" fontId="73" fillId="0" borderId="4" xfId="2" applyNumberFormat="1" applyBorder="1" applyAlignment="1">
      <alignment horizontal="center" vertical="center"/>
    </xf>
    <xf numFmtId="0" fontId="73" fillId="0" borderId="10" xfId="2" applyBorder="1" applyAlignment="1">
      <alignment horizontal="center" vertical="center"/>
    </xf>
    <xf numFmtId="178" fontId="75" fillId="0" borderId="10" xfId="1" applyNumberFormat="1" applyBorder="1" applyAlignment="1">
      <alignment horizontal="center" vertical="center" wrapText="1"/>
    </xf>
    <xf numFmtId="0" fontId="77" fillId="5" borderId="21" xfId="1" applyFont="1" applyFill="1" applyBorder="1" applyAlignment="1">
      <alignment horizontal="center" vertical="center"/>
    </xf>
    <xf numFmtId="3" fontId="77" fillId="5" borderId="20" xfId="1" applyNumberFormat="1" applyFont="1" applyFill="1" applyBorder="1" applyAlignment="1">
      <alignment horizontal="center" vertical="center"/>
    </xf>
    <xf numFmtId="3" fontId="77" fillId="5" borderId="20" xfId="1" applyNumberFormat="1" applyFont="1" applyFill="1" applyBorder="1" applyAlignment="1">
      <alignment horizontal="center" vertical="center" wrapText="1"/>
    </xf>
    <xf numFmtId="3" fontId="73" fillId="0" borderId="5" xfId="2" applyNumberForma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0" fontId="77" fillId="5" borderId="21" xfId="1" applyNumberFormat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left" vertical="center"/>
    </xf>
    <xf numFmtId="10" fontId="75" fillId="0" borderId="5" xfId="1" applyNumberFormat="1" applyBorder="1" applyAlignment="1">
      <alignment horizontal="center" vertical="center" wrapText="1"/>
    </xf>
    <xf numFmtId="9" fontId="75" fillId="0" borderId="5" xfId="1" applyNumberFormat="1" applyBorder="1" applyAlignment="1">
      <alignment horizontal="center" vertical="center" wrapText="1"/>
    </xf>
    <xf numFmtId="3" fontId="77" fillId="5" borderId="21" xfId="1" applyNumberFormat="1" applyFont="1" applyFill="1" applyBorder="1" applyAlignment="1">
      <alignment horizontal="center" vertical="center"/>
    </xf>
    <xf numFmtId="3" fontId="77" fillId="5" borderId="21" xfId="1" applyNumberFormat="1" applyFont="1" applyFill="1" applyBorder="1" applyAlignment="1">
      <alignment horizontal="center" vertical="center" wrapText="1"/>
    </xf>
    <xf numFmtId="10" fontId="75" fillId="4" borderId="5" xfId="1" applyNumberFormat="1" applyFill="1" applyBorder="1" applyAlignment="1">
      <alignment horizontal="center" vertical="center" wrapText="1"/>
    </xf>
    <xf numFmtId="10" fontId="75" fillId="2" borderId="5" xfId="1" applyNumberFormat="1" applyFill="1" applyBorder="1" applyAlignment="1">
      <alignment horizontal="center" vertical="center" wrapText="1"/>
    </xf>
    <xf numFmtId="9" fontId="73" fillId="0" borderId="5" xfId="2" applyNumberFormat="1" applyBorder="1" applyAlignment="1">
      <alignment horizontal="center" vertical="center"/>
    </xf>
    <xf numFmtId="9" fontId="75" fillId="4" borderId="5" xfId="1" applyNumberFormat="1" applyFill="1" applyBorder="1" applyAlignment="1">
      <alignment horizontal="center" vertical="center" wrapText="1"/>
    </xf>
    <xf numFmtId="9" fontId="75" fillId="2" borderId="5" xfId="1" applyNumberFormat="1" applyFill="1" applyBorder="1" applyAlignment="1">
      <alignment horizontal="center" vertical="center" wrapText="1"/>
    </xf>
    <xf numFmtId="9" fontId="75" fillId="0" borderId="8" xfId="1" applyNumberFormat="1" applyBorder="1" applyAlignment="1">
      <alignment horizontal="center" vertical="center" wrapText="1"/>
    </xf>
    <xf numFmtId="14" fontId="0" fillId="0" borderId="0" xfId="0" applyNumberFormat="1"/>
    <xf numFmtId="178" fontId="0" fillId="0" borderId="0" xfId="0" applyNumberFormat="1"/>
    <xf numFmtId="0" fontId="77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0" fontId="81" fillId="5" borderId="24" xfId="1" applyNumberFormat="1" applyFont="1" applyFill="1" applyBorder="1" applyAlignment="1">
      <alignment horizontal="center" vertical="center"/>
    </xf>
    <xf numFmtId="0" fontId="73" fillId="0" borderId="6" xfId="2" applyBorder="1" applyAlignment="1">
      <alignment horizontal="center" vertical="center"/>
    </xf>
    <xf numFmtId="0" fontId="70" fillId="0" borderId="0" xfId="2" applyFont="1" applyAlignment="1">
      <alignment horizontal="center" vertical="center"/>
    </xf>
    <xf numFmtId="0" fontId="78" fillId="0" borderId="0" xfId="2" applyFont="1">
      <alignment vertical="center"/>
    </xf>
    <xf numFmtId="14" fontId="78" fillId="0" borderId="0" xfId="2" applyNumberFormat="1" applyFont="1">
      <alignment vertical="center"/>
    </xf>
    <xf numFmtId="0" fontId="75" fillId="0" borderId="0" xfId="1" applyAlignment="1">
      <alignment horizontal="center" vertical="center"/>
    </xf>
    <xf numFmtId="181" fontId="75" fillId="0" borderId="0" xfId="1" applyNumberFormat="1" applyAlignment="1">
      <alignment horizontal="center" vertical="center" wrapText="1"/>
    </xf>
    <xf numFmtId="0" fontId="77" fillId="6" borderId="19" xfId="0" applyFont="1" applyFill="1" applyBorder="1"/>
    <xf numFmtId="178" fontId="77" fillId="6" borderId="19" xfId="0" applyNumberFormat="1" applyFont="1" applyFill="1" applyBorder="1"/>
    <xf numFmtId="183" fontId="77" fillId="6" borderId="19" xfId="0" applyNumberFormat="1" applyFont="1" applyFill="1" applyBorder="1"/>
    <xf numFmtId="0" fontId="77" fillId="7" borderId="19" xfId="1" applyFont="1" applyFill="1" applyBorder="1" applyAlignment="1">
      <alignment horizontal="center" vertical="center"/>
    </xf>
    <xf numFmtId="177" fontId="77" fillId="7" borderId="19" xfId="1" applyNumberFormat="1" applyFont="1" applyFill="1" applyBorder="1" applyAlignment="1">
      <alignment horizontal="center" vertical="center"/>
    </xf>
    <xf numFmtId="0" fontId="77" fillId="7" borderId="19" xfId="0" applyFont="1" applyFill="1" applyBorder="1"/>
    <xf numFmtId="178" fontId="77" fillId="7" borderId="19" xfId="0" applyNumberFormat="1" applyFont="1" applyFill="1" applyBorder="1"/>
    <xf numFmtId="183" fontId="77" fillId="7" borderId="19" xfId="0" applyNumberFormat="1" applyFont="1" applyFill="1" applyBorder="1"/>
    <xf numFmtId="14" fontId="53" fillId="0" borderId="4" xfId="2" applyNumberFormat="1" applyFont="1" applyBorder="1" applyAlignment="1">
      <alignment horizontal="center" vertical="center"/>
    </xf>
    <xf numFmtId="0" fontId="53" fillId="0" borderId="0" xfId="2" applyFont="1">
      <alignment vertical="center"/>
    </xf>
    <xf numFmtId="178" fontId="77" fillId="5" borderId="20" xfId="1" applyNumberFormat="1" applyFont="1" applyFill="1" applyBorder="1" applyAlignment="1">
      <alignment horizontal="center" vertical="center"/>
    </xf>
    <xf numFmtId="178" fontId="77" fillId="5" borderId="20" xfId="1" applyNumberFormat="1" applyFont="1" applyFill="1" applyBorder="1" applyAlignment="1">
      <alignment horizontal="center" vertical="center" wrapText="1"/>
    </xf>
    <xf numFmtId="0" fontId="82" fillId="0" borderId="0" xfId="2" applyFont="1">
      <alignment vertical="center"/>
    </xf>
    <xf numFmtId="14" fontId="53" fillId="0" borderId="28" xfId="2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73" fillId="0" borderId="3" xfId="2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49" fillId="0" borderId="5" xfId="2" applyFont="1" applyBorder="1" applyAlignment="1">
      <alignment horizontal="center" vertical="center"/>
    </xf>
    <xf numFmtId="0" fontId="79" fillId="0" borderId="5" xfId="2" applyFont="1" applyBorder="1" applyAlignment="1">
      <alignment horizontal="center" vertical="center"/>
    </xf>
    <xf numFmtId="14" fontId="79" fillId="0" borderId="5" xfId="2" applyNumberFormat="1" applyFont="1" applyBorder="1" applyAlignment="1">
      <alignment horizontal="center" vertical="center"/>
    </xf>
    <xf numFmtId="0" fontId="73" fillId="0" borderId="4" xfId="2" applyBorder="1" applyAlignment="1">
      <alignment horizontal="center" vertical="center"/>
    </xf>
    <xf numFmtId="0" fontId="73" fillId="0" borderId="18" xfId="2" applyBorder="1" applyAlignment="1">
      <alignment horizontal="center" vertical="center"/>
    </xf>
    <xf numFmtId="0" fontId="79" fillId="0" borderId="10" xfId="2" applyFont="1" applyBorder="1" applyAlignment="1">
      <alignment horizontal="center" vertical="center"/>
    </xf>
    <xf numFmtId="14" fontId="79" fillId="0" borderId="10" xfId="2" applyNumberFormat="1" applyFont="1" applyBorder="1" applyAlignment="1">
      <alignment horizontal="center" vertical="center"/>
    </xf>
    <xf numFmtId="0" fontId="78" fillId="0" borderId="10" xfId="2" applyFont="1" applyBorder="1" applyAlignment="1">
      <alignment horizontal="center" vertical="center"/>
    </xf>
    <xf numFmtId="0" fontId="73" fillId="0" borderId="17" xfId="2" applyBorder="1" applyAlignment="1">
      <alignment horizontal="center" vertical="center"/>
    </xf>
    <xf numFmtId="0" fontId="48" fillId="0" borderId="0" xfId="2" applyFont="1">
      <alignment vertical="center"/>
    </xf>
    <xf numFmtId="0" fontId="47" fillId="0" borderId="0" xfId="2" applyFont="1">
      <alignment vertical="center"/>
    </xf>
    <xf numFmtId="0" fontId="47" fillId="0" borderId="5" xfId="2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184" fontId="84" fillId="0" borderId="0" xfId="0" applyNumberFormat="1" applyFont="1"/>
    <xf numFmtId="0" fontId="46" fillId="0" borderId="0" xfId="2" applyFont="1">
      <alignment vertical="center"/>
    </xf>
    <xf numFmtId="0" fontId="45" fillId="0" borderId="0" xfId="2" applyFont="1">
      <alignment vertical="center"/>
    </xf>
    <xf numFmtId="0" fontId="44" fillId="0" borderId="0" xfId="2" applyFont="1">
      <alignment vertical="center"/>
    </xf>
    <xf numFmtId="178" fontId="73" fillId="0" borderId="0" xfId="2" applyNumberFormat="1" applyAlignment="1">
      <alignment horizontal="center" vertical="center"/>
    </xf>
    <xf numFmtId="0" fontId="43" fillId="0" borderId="0" xfId="32">
      <alignment vertical="center"/>
    </xf>
    <xf numFmtId="0" fontId="77" fillId="7" borderId="19" xfId="0" applyFont="1" applyFill="1" applyBorder="1" applyAlignment="1">
      <alignment horizontal="center" vertical="center"/>
    </xf>
    <xf numFmtId="0" fontId="77" fillId="7" borderId="19" xfId="0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42" fillId="0" borderId="5" xfId="2" applyFont="1" applyBorder="1" applyAlignment="1">
      <alignment horizontal="center" vertical="center"/>
    </xf>
    <xf numFmtId="178" fontId="83" fillId="0" borderId="0" xfId="0" applyNumberFormat="1" applyFont="1" applyAlignment="1">
      <alignment vertical="center"/>
    </xf>
    <xf numFmtId="0" fontId="85" fillId="0" borderId="0" xfId="2" applyFont="1">
      <alignment vertical="center"/>
    </xf>
    <xf numFmtId="3" fontId="77" fillId="5" borderId="24" xfId="1" applyNumberFormat="1" applyFont="1" applyFill="1" applyBorder="1" applyAlignment="1">
      <alignment horizontal="center" vertical="center" wrapText="1"/>
    </xf>
    <xf numFmtId="9" fontId="77" fillId="5" borderId="24" xfId="1" applyNumberFormat="1" applyFont="1" applyFill="1" applyBorder="1" applyAlignment="1">
      <alignment horizontal="center" vertical="center" wrapText="1"/>
    </xf>
    <xf numFmtId="21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75" fillId="0" borderId="33" xfId="1" applyBorder="1" applyAlignment="1">
      <alignment horizontal="left" vertical="center"/>
    </xf>
    <xf numFmtId="0" fontId="41" fillId="0" borderId="0" xfId="34">
      <alignment vertical="center"/>
    </xf>
    <xf numFmtId="0" fontId="82" fillId="0" borderId="0" xfId="2" applyFont="1" applyAlignment="1">
      <alignment vertical="center" wrapText="1"/>
    </xf>
    <xf numFmtId="0" fontId="83" fillId="0" borderId="0" xfId="2" applyFont="1">
      <alignment vertical="center"/>
    </xf>
    <xf numFmtId="14" fontId="77" fillId="0" borderId="0" xfId="0" applyNumberFormat="1" applyFont="1"/>
    <xf numFmtId="14" fontId="77" fillId="0" borderId="0" xfId="0" applyNumberFormat="1" applyFont="1" applyAlignment="1">
      <alignment horizontal="center" vertical="center"/>
    </xf>
    <xf numFmtId="178" fontId="77" fillId="0" borderId="0" xfId="0" applyNumberFormat="1" applyFont="1"/>
    <xf numFmtId="185" fontId="0" fillId="4" borderId="0" xfId="0" applyNumberFormat="1" applyFill="1" applyAlignment="1">
      <alignment vertical="center"/>
    </xf>
    <xf numFmtId="0" fontId="83" fillId="4" borderId="0" xfId="0" applyFont="1" applyFill="1" applyAlignment="1">
      <alignment vertical="center"/>
    </xf>
    <xf numFmtId="184" fontId="84" fillId="4" borderId="0" xfId="0" applyNumberFormat="1" applyFont="1" applyFill="1"/>
    <xf numFmtId="178" fontId="77" fillId="4" borderId="0" xfId="0" applyNumberFormat="1" applyFont="1" applyFill="1"/>
    <xf numFmtId="178" fontId="0" fillId="4" borderId="0" xfId="0" applyNumberFormat="1" applyFill="1"/>
    <xf numFmtId="0" fontId="0" fillId="4" borderId="0" xfId="0" applyFill="1"/>
    <xf numFmtId="185" fontId="0" fillId="8" borderId="0" xfId="0" applyNumberFormat="1" applyFill="1" applyAlignment="1">
      <alignment vertical="center"/>
    </xf>
    <xf numFmtId="0" fontId="83" fillId="8" borderId="0" xfId="0" applyFont="1" applyFill="1" applyAlignment="1">
      <alignment vertical="center"/>
    </xf>
    <xf numFmtId="184" fontId="84" fillId="8" borderId="0" xfId="0" applyNumberFormat="1" applyFont="1" applyFill="1"/>
    <xf numFmtId="178" fontId="77" fillId="8" borderId="0" xfId="0" applyNumberFormat="1" applyFont="1" applyFill="1"/>
    <xf numFmtId="178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vertical="center"/>
    </xf>
    <xf numFmtId="0" fontId="0" fillId="4" borderId="0" xfId="0" applyFill="1" applyAlignment="1">
      <alignment vertical="center"/>
    </xf>
    <xf numFmtId="185" fontId="0" fillId="9" borderId="0" xfId="0" applyNumberFormat="1" applyFill="1" applyAlignment="1">
      <alignment vertical="center"/>
    </xf>
    <xf numFmtId="21" fontId="0" fillId="9" borderId="0" xfId="0" applyNumberFormat="1" applyFill="1" applyAlignment="1">
      <alignment vertical="center"/>
    </xf>
    <xf numFmtId="0" fontId="77" fillId="9" borderId="0" xfId="0" applyFont="1" applyFill="1" applyAlignment="1">
      <alignment vertical="center"/>
    </xf>
    <xf numFmtId="184" fontId="84" fillId="9" borderId="0" xfId="0" applyNumberFormat="1" applyFont="1" applyFill="1"/>
    <xf numFmtId="178" fontId="77" fillId="9" borderId="0" xfId="0" applyNumberFormat="1" applyFont="1" applyFill="1"/>
    <xf numFmtId="178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vertical="center"/>
    </xf>
    <xf numFmtId="14" fontId="39" fillId="0" borderId="28" xfId="2" applyNumberFormat="1" applyFont="1" applyBorder="1" applyAlignment="1">
      <alignment horizontal="center" vertical="center"/>
    </xf>
    <xf numFmtId="184" fontId="0" fillId="9" borderId="0" xfId="0" applyNumberFormat="1" applyFill="1"/>
    <xf numFmtId="0" fontId="88" fillId="11" borderId="36" xfId="0" applyFont="1" applyFill="1" applyBorder="1" applyAlignment="1">
      <alignment horizontal="center" vertical="center" wrapText="1"/>
    </xf>
    <xf numFmtId="0" fontId="89" fillId="0" borderId="0" xfId="0" applyFont="1"/>
    <xf numFmtId="0" fontId="90" fillId="0" borderId="0" xfId="0" applyFont="1"/>
    <xf numFmtId="10" fontId="88" fillId="11" borderId="36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86" fontId="0" fillId="0" borderId="0" xfId="0" applyNumberFormat="1"/>
    <xf numFmtId="176" fontId="88" fillId="11" borderId="36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77" fillId="5" borderId="34" xfId="1" applyFont="1" applyFill="1" applyBorder="1" applyAlignment="1">
      <alignment horizontal="center" vertical="center"/>
    </xf>
    <xf numFmtId="180" fontId="77" fillId="5" borderId="35" xfId="1" applyNumberFormat="1" applyFont="1" applyFill="1" applyBorder="1" applyAlignment="1">
      <alignment horizontal="center" vertical="center"/>
    </xf>
    <xf numFmtId="0" fontId="37" fillId="0" borderId="5" xfId="2" quotePrefix="1" applyFont="1" applyBorder="1" applyAlignment="1">
      <alignment horizontal="center" vertical="center"/>
    </xf>
    <xf numFmtId="0" fontId="70" fillId="0" borderId="0" xfId="2" applyFont="1" applyAlignment="1">
      <alignment horizontal="left" vertical="center"/>
    </xf>
    <xf numFmtId="0" fontId="73" fillId="12" borderId="5" xfId="2" applyFill="1" applyBorder="1" applyAlignment="1">
      <alignment horizontal="center" vertical="center"/>
    </xf>
    <xf numFmtId="0" fontId="82" fillId="0" borderId="0" xfId="2" applyFont="1" applyAlignment="1">
      <alignment horizontal="left" vertical="center"/>
    </xf>
    <xf numFmtId="0" fontId="36" fillId="0" borderId="0" xfId="2" applyFont="1" applyAlignment="1">
      <alignment horizontal="left" vertical="center"/>
    </xf>
    <xf numFmtId="181" fontId="0" fillId="0" borderId="0" xfId="0" applyNumberFormat="1"/>
    <xf numFmtId="0" fontId="93" fillId="0" borderId="0" xfId="2" applyFont="1">
      <alignment vertical="center"/>
    </xf>
    <xf numFmtId="0" fontId="84" fillId="0" borderId="0" xfId="2" applyFont="1">
      <alignment vertical="center"/>
    </xf>
    <xf numFmtId="0" fontId="73" fillId="0" borderId="5" xfId="2" applyBorder="1">
      <alignment vertical="center"/>
    </xf>
    <xf numFmtId="0" fontId="75" fillId="0" borderId="2" xfId="1" applyBorder="1" applyAlignment="1">
      <alignment vertical="center"/>
    </xf>
    <xf numFmtId="0" fontId="73" fillId="4" borderId="5" xfId="2" applyFill="1" applyBorder="1">
      <alignment vertical="center"/>
    </xf>
    <xf numFmtId="0" fontId="73" fillId="2" borderId="5" xfId="2" applyFill="1" applyBorder="1">
      <alignment vertical="center"/>
    </xf>
    <xf numFmtId="0" fontId="73" fillId="0" borderId="8" xfId="2" applyBorder="1">
      <alignment vertical="center"/>
    </xf>
    <xf numFmtId="0" fontId="79" fillId="0" borderId="0" xfId="2" applyFont="1">
      <alignment vertical="center"/>
    </xf>
    <xf numFmtId="185" fontId="0" fillId="13" borderId="0" xfId="0" applyNumberFormat="1" applyFill="1" applyAlignment="1">
      <alignment vertical="center"/>
    </xf>
    <xf numFmtId="0" fontId="83" fillId="13" borderId="0" xfId="0" applyFont="1" applyFill="1" applyAlignment="1">
      <alignment vertical="center"/>
    </xf>
    <xf numFmtId="184" fontId="84" fillId="13" borderId="0" xfId="0" applyNumberFormat="1" applyFont="1" applyFill="1"/>
    <xf numFmtId="178" fontId="77" fillId="13" borderId="0" xfId="0" applyNumberFormat="1" applyFont="1" applyFill="1"/>
    <xf numFmtId="178" fontId="0" fillId="13" borderId="0" xfId="0" applyNumberFormat="1" applyFill="1"/>
    <xf numFmtId="0" fontId="0" fillId="13" borderId="0" xfId="0" applyFill="1"/>
    <xf numFmtId="0" fontId="34" fillId="0" borderId="0" xfId="32" applyFont="1">
      <alignment vertical="center"/>
    </xf>
    <xf numFmtId="14" fontId="53" fillId="0" borderId="5" xfId="2" applyNumberFormat="1" applyFont="1" applyBorder="1" applyAlignment="1">
      <alignment horizontal="center" vertical="center"/>
    </xf>
    <xf numFmtId="0" fontId="73" fillId="0" borderId="37" xfId="2" applyBorder="1" applyAlignment="1">
      <alignment horizontal="center" vertical="center"/>
    </xf>
    <xf numFmtId="14" fontId="33" fillId="0" borderId="28" xfId="2" applyNumberFormat="1" applyFont="1" applyBorder="1" applyAlignment="1">
      <alignment horizontal="center" vertical="center"/>
    </xf>
    <xf numFmtId="0" fontId="94" fillId="0" borderId="5" xfId="2" applyFont="1" applyBorder="1" applyAlignment="1">
      <alignment horizontal="center" vertical="center"/>
    </xf>
    <xf numFmtId="0" fontId="95" fillId="0" borderId="0" xfId="37" applyAlignment="1">
      <alignment vertical="center"/>
    </xf>
    <xf numFmtId="0" fontId="85" fillId="0" borderId="0" xfId="2" quotePrefix="1" applyFont="1">
      <alignment vertical="center"/>
    </xf>
    <xf numFmtId="0" fontId="32" fillId="0" borderId="5" xfId="2" applyFont="1" applyBorder="1" applyAlignment="1">
      <alignment horizontal="center" vertical="center"/>
    </xf>
    <xf numFmtId="0" fontId="31" fillId="0" borderId="0" xfId="2" applyFont="1" applyAlignment="1">
      <alignment horizontal="left" vertical="center"/>
    </xf>
    <xf numFmtId="0" fontId="75" fillId="0" borderId="28" xfId="1" applyBorder="1" applyAlignment="1">
      <alignment horizontal="left" vertical="center"/>
    </xf>
    <xf numFmtId="0" fontId="30" fillId="0" borderId="0" xfId="34" applyFont="1">
      <alignment vertical="center"/>
    </xf>
    <xf numFmtId="0" fontId="73" fillId="0" borderId="5" xfId="2" applyBorder="1" applyAlignment="1">
      <alignment horizontal="right" vertical="center"/>
    </xf>
    <xf numFmtId="3" fontId="73" fillId="0" borderId="5" xfId="2" applyNumberFormat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77" fillId="0" borderId="31" xfId="0" applyFont="1" applyBorder="1"/>
    <xf numFmtId="178" fontId="77" fillId="0" borderId="32" xfId="0" applyNumberFormat="1" applyFont="1" applyBorder="1"/>
    <xf numFmtId="0" fontId="77" fillId="0" borderId="29" xfId="0" applyFont="1" applyBorder="1"/>
    <xf numFmtId="178" fontId="77" fillId="0" borderId="30" xfId="0" applyNumberFormat="1" applyFont="1" applyBorder="1"/>
    <xf numFmtId="0" fontId="29" fillId="0" borderId="5" xfId="2" applyFont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9" fontId="73" fillId="0" borderId="5" xfId="2" applyNumberFormat="1" applyBorder="1" applyAlignment="1">
      <alignment horizontal="center" vertical="center"/>
    </xf>
    <xf numFmtId="184" fontId="0" fillId="0" borderId="0" xfId="0" applyNumberFormat="1"/>
    <xf numFmtId="3" fontId="0" fillId="0" borderId="0" xfId="0" applyNumberFormat="1"/>
    <xf numFmtId="14" fontId="28" fillId="0" borderId="4" xfId="2" applyNumberFormat="1" applyFont="1" applyBorder="1" applyAlignment="1">
      <alignment horizontal="center" vertical="center"/>
    </xf>
    <xf numFmtId="0" fontId="28" fillId="0" borderId="5" xfId="2" quotePrefix="1" applyFont="1" applyBorder="1" applyAlignment="1">
      <alignment horizontal="center" vertical="center"/>
    </xf>
    <xf numFmtId="0" fontId="95" fillId="0" borderId="0" xfId="37"/>
    <xf numFmtId="0" fontId="83" fillId="0" borderId="0" xfId="0" applyFont="1"/>
    <xf numFmtId="14" fontId="27" fillId="0" borderId="28" xfId="2" applyNumberFormat="1" applyFont="1" applyBorder="1" applyAlignment="1">
      <alignment horizontal="center" vertical="center"/>
    </xf>
    <xf numFmtId="14" fontId="97" fillId="0" borderId="38" xfId="0" applyNumberFormat="1" applyFont="1" applyBorder="1" applyAlignment="1">
      <alignment horizontal="left" vertical="center" wrapText="1" indent="1"/>
    </xf>
    <xf numFmtId="0" fontId="96" fillId="0" borderId="38" xfId="0" applyFont="1" applyBorder="1" applyAlignment="1">
      <alignment horizontal="left" vertical="center" wrapText="1" indent="1"/>
    </xf>
    <xf numFmtId="0" fontId="96" fillId="0" borderId="39" xfId="0" applyFont="1" applyBorder="1" applyAlignment="1">
      <alignment horizontal="left" vertical="center" wrapText="1" indent="1"/>
    </xf>
    <xf numFmtId="14" fontId="97" fillId="0" borderId="40" xfId="0" applyNumberFormat="1" applyFont="1" applyBorder="1" applyAlignment="1">
      <alignment horizontal="left" vertical="center" wrapText="1" indent="1"/>
    </xf>
    <xf numFmtId="0" fontId="96" fillId="0" borderId="40" xfId="0" applyFont="1" applyBorder="1" applyAlignment="1">
      <alignment horizontal="left" vertical="center" wrapText="1" indent="1"/>
    </xf>
    <xf numFmtId="0" fontId="96" fillId="0" borderId="41" xfId="0" applyFont="1" applyBorder="1" applyAlignment="1">
      <alignment horizontal="left" vertical="center" wrapText="1" indent="1"/>
    </xf>
    <xf numFmtId="14" fontId="97" fillId="15" borderId="38" xfId="0" applyNumberFormat="1" applyFont="1" applyFill="1" applyBorder="1" applyAlignment="1">
      <alignment horizontal="left" vertical="center" wrapText="1" indent="1"/>
    </xf>
    <xf numFmtId="0" fontId="96" fillId="15" borderId="38" xfId="0" applyFont="1" applyFill="1" applyBorder="1" applyAlignment="1">
      <alignment horizontal="left" vertical="center" wrapText="1" indent="1"/>
    </xf>
    <xf numFmtId="0" fontId="96" fillId="15" borderId="39" xfId="0" applyFont="1" applyFill="1" applyBorder="1" applyAlignment="1">
      <alignment horizontal="left" vertical="center" wrapText="1" indent="1"/>
    </xf>
    <xf numFmtId="0" fontId="77" fillId="5" borderId="24" xfId="1" applyFont="1" applyFill="1" applyBorder="1" applyAlignment="1">
      <alignment vertical="center"/>
    </xf>
    <xf numFmtId="179" fontId="75" fillId="0" borderId="5" xfId="1" applyNumberFormat="1" applyBorder="1" applyAlignment="1">
      <alignment horizontal="center" vertical="center"/>
    </xf>
    <xf numFmtId="0" fontId="75" fillId="0" borderId="0" xfId="0" applyFont="1"/>
    <xf numFmtId="0" fontId="95" fillId="0" borderId="0" xfId="37" applyAlignment="1"/>
    <xf numFmtId="0" fontId="98" fillId="0" borderId="5" xfId="2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7" fillId="5" borderId="24" xfId="1" applyFont="1" applyFill="1" applyBorder="1" applyAlignment="1">
      <alignment horizontal="center" vertical="center"/>
    </xf>
    <xf numFmtId="9" fontId="75" fillId="0" borderId="0" xfId="1" applyNumberFormat="1" applyAlignment="1">
      <alignment horizontal="center" vertical="center" wrapText="1"/>
    </xf>
    <xf numFmtId="3" fontId="77" fillId="4" borderId="42" xfId="1" applyNumberFormat="1" applyFont="1" applyFill="1" applyBorder="1" applyAlignment="1">
      <alignment horizontal="center" vertical="center" wrapText="1"/>
    </xf>
    <xf numFmtId="3" fontId="77" fillId="4" borderId="43" xfId="1" applyNumberFormat="1" applyFont="1" applyFill="1" applyBorder="1" applyAlignment="1">
      <alignment horizontal="center" vertical="center" wrapText="1"/>
    </xf>
    <xf numFmtId="3" fontId="77" fillId="4" borderId="44" xfId="1" applyNumberFormat="1" applyFont="1" applyFill="1" applyBorder="1" applyAlignment="1">
      <alignment horizontal="center" vertical="center" wrapText="1"/>
    </xf>
    <xf numFmtId="0" fontId="0" fillId="4" borderId="43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3" fontId="77" fillId="4" borderId="24" xfId="1" applyNumberFormat="1" applyFont="1" applyFill="1" applyBorder="1" applyAlignment="1">
      <alignment horizontal="center" vertical="center" wrapText="1"/>
    </xf>
    <xf numFmtId="3" fontId="77" fillId="4" borderId="25" xfId="1" applyNumberFormat="1" applyFont="1" applyFill="1" applyBorder="1" applyAlignment="1">
      <alignment horizontal="center" vertical="center"/>
    </xf>
    <xf numFmtId="178" fontId="77" fillId="4" borderId="25" xfId="1" applyNumberFormat="1" applyFont="1" applyFill="1" applyBorder="1" applyAlignment="1">
      <alignment horizontal="center" vertical="center"/>
    </xf>
    <xf numFmtId="180" fontId="77" fillId="4" borderId="25" xfId="1" applyNumberFormat="1" applyFont="1" applyFill="1" applyBorder="1" applyAlignment="1">
      <alignment horizontal="center" vertical="center"/>
    </xf>
    <xf numFmtId="9" fontId="77" fillId="4" borderId="25" xfId="1" applyNumberFormat="1" applyFont="1" applyFill="1" applyBorder="1" applyAlignment="1">
      <alignment horizontal="center" vertical="center" wrapText="1"/>
    </xf>
    <xf numFmtId="3" fontId="77" fillId="4" borderId="43" xfId="1" applyNumberFormat="1" applyFont="1" applyFill="1" applyBorder="1" applyAlignment="1">
      <alignment horizontal="center" vertical="center"/>
    </xf>
    <xf numFmtId="0" fontId="73" fillId="4" borderId="43" xfId="2" applyFill="1" applyBorder="1" applyAlignment="1">
      <alignment horizontal="center" vertical="center"/>
    </xf>
    <xf numFmtId="178" fontId="77" fillId="4" borderId="43" xfId="1" applyNumberFormat="1" applyFont="1" applyFill="1" applyBorder="1" applyAlignment="1">
      <alignment horizontal="center" vertical="center"/>
    </xf>
    <xf numFmtId="180" fontId="77" fillId="4" borderId="43" xfId="1" applyNumberFormat="1" applyFont="1" applyFill="1" applyBorder="1" applyAlignment="1">
      <alignment horizontal="center" vertical="center"/>
    </xf>
    <xf numFmtId="3" fontId="77" fillId="4" borderId="44" xfId="1" applyNumberFormat="1" applyFont="1" applyFill="1" applyBorder="1" applyAlignment="1">
      <alignment horizontal="center" vertical="center"/>
    </xf>
    <xf numFmtId="0" fontId="73" fillId="4" borderId="44" xfId="2" applyFill="1" applyBorder="1" applyAlignment="1">
      <alignment horizontal="center" vertical="center"/>
    </xf>
    <xf numFmtId="178" fontId="77" fillId="4" borderId="44" xfId="1" applyNumberFormat="1" applyFont="1" applyFill="1" applyBorder="1" applyAlignment="1">
      <alignment horizontal="center" vertical="center"/>
    </xf>
    <xf numFmtId="180" fontId="77" fillId="4" borderId="44" xfId="1" applyNumberFormat="1" applyFont="1" applyFill="1" applyBorder="1" applyAlignment="1">
      <alignment horizontal="center" vertical="center"/>
    </xf>
    <xf numFmtId="3" fontId="77" fillId="4" borderId="48" xfId="1" applyNumberFormat="1" applyFont="1" applyFill="1" applyBorder="1" applyAlignment="1">
      <alignment horizontal="center" vertical="center" wrapText="1"/>
    </xf>
    <xf numFmtId="3" fontId="77" fillId="4" borderId="48" xfId="1" applyNumberFormat="1" applyFont="1" applyFill="1" applyBorder="1" applyAlignment="1">
      <alignment horizontal="center" vertical="center"/>
    </xf>
    <xf numFmtId="178" fontId="77" fillId="4" borderId="48" xfId="1" applyNumberFormat="1" applyFont="1" applyFill="1" applyBorder="1" applyAlignment="1">
      <alignment horizontal="center" vertical="center"/>
    </xf>
    <xf numFmtId="180" fontId="77" fillId="4" borderId="48" xfId="1" applyNumberFormat="1" applyFont="1" applyFill="1" applyBorder="1" applyAlignment="1">
      <alignment horizontal="center" vertical="center"/>
    </xf>
    <xf numFmtId="9" fontId="77" fillId="4" borderId="48" xfId="1" applyNumberFormat="1" applyFont="1" applyFill="1" applyBorder="1" applyAlignment="1">
      <alignment horizontal="center" vertical="center" wrapText="1"/>
    </xf>
    <xf numFmtId="3" fontId="77" fillId="4" borderId="49" xfId="1" applyNumberFormat="1" applyFont="1" applyFill="1" applyBorder="1" applyAlignment="1">
      <alignment horizontal="center" vertical="center" wrapText="1"/>
    </xf>
    <xf numFmtId="0" fontId="23" fillId="0" borderId="0" xfId="2" applyFont="1">
      <alignment vertical="center"/>
    </xf>
    <xf numFmtId="0" fontId="22" fillId="0" borderId="0" xfId="2" applyFont="1">
      <alignment vertical="center"/>
    </xf>
    <xf numFmtId="0" fontId="22" fillId="0" borderId="5" xfId="2" applyFont="1" applyBorder="1" applyAlignment="1">
      <alignment horizontal="center" vertical="center"/>
    </xf>
    <xf numFmtId="0" fontId="38" fillId="0" borderId="5" xfId="2" applyFont="1" applyBorder="1">
      <alignment vertical="center"/>
    </xf>
    <xf numFmtId="0" fontId="0" fillId="0" borderId="0" xfId="0" quotePrefix="1"/>
    <xf numFmtId="14" fontId="53" fillId="8" borderId="4" xfId="2" applyNumberFormat="1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181" fontId="75" fillId="12" borderId="0" xfId="1" applyNumberFormat="1" applyFill="1" applyAlignment="1">
      <alignment horizontal="center" vertical="center" wrapText="1"/>
    </xf>
    <xf numFmtId="187" fontId="77" fillId="13" borderId="0" xfId="0" applyNumberFormat="1" applyFont="1" applyFill="1"/>
    <xf numFmtId="187" fontId="77" fillId="0" borderId="0" xfId="0" applyNumberFormat="1" applyFont="1"/>
    <xf numFmtId="187" fontId="77" fillId="8" borderId="0" xfId="0" applyNumberFormat="1" applyFont="1" applyFill="1"/>
    <xf numFmtId="187" fontId="77" fillId="4" borderId="0" xfId="0" applyNumberFormat="1" applyFont="1" applyFill="1"/>
    <xf numFmtId="185" fontId="0" fillId="16" borderId="0" xfId="0" applyNumberFormat="1" applyFill="1" applyAlignment="1">
      <alignment vertical="center"/>
    </xf>
    <xf numFmtId="184" fontId="84" fillId="16" borderId="0" xfId="0" applyNumberFormat="1" applyFont="1" applyFill="1"/>
    <xf numFmtId="0" fontId="83" fillId="16" borderId="0" xfId="0" applyFont="1" applyFill="1" applyAlignment="1">
      <alignment vertical="center"/>
    </xf>
    <xf numFmtId="178" fontId="77" fillId="16" borderId="0" xfId="0" applyNumberFormat="1" applyFont="1" applyFill="1"/>
    <xf numFmtId="187" fontId="77" fillId="16" borderId="0" xfId="0" applyNumberFormat="1" applyFont="1" applyFill="1"/>
    <xf numFmtId="0" fontId="0" fillId="16" borderId="0" xfId="0" applyFill="1"/>
    <xf numFmtId="0" fontId="0" fillId="16" borderId="0" xfId="0" applyFill="1" applyAlignment="1">
      <alignment vertical="center"/>
    </xf>
    <xf numFmtId="187" fontId="75" fillId="0" borderId="5" xfId="1" applyNumberFormat="1" applyBorder="1" applyAlignment="1">
      <alignment horizontal="center" vertical="center" wrapText="1"/>
    </xf>
    <xf numFmtId="0" fontId="99" fillId="0" borderId="19" xfId="0" applyFont="1" applyBorder="1"/>
    <xf numFmtId="178" fontId="99" fillId="0" borderId="19" xfId="0" applyNumberFormat="1" applyFont="1" applyBorder="1"/>
    <xf numFmtId="3" fontId="77" fillId="4" borderId="50" xfId="1" applyNumberFormat="1" applyFont="1" applyFill="1" applyBorder="1" applyAlignment="1">
      <alignment horizontal="center" vertical="center" wrapText="1"/>
    </xf>
    <xf numFmtId="3" fontId="77" fillId="4" borderId="30" xfId="1" applyNumberFormat="1" applyFont="1" applyFill="1" applyBorder="1" applyAlignment="1">
      <alignment horizontal="center" vertical="center" wrapText="1"/>
    </xf>
    <xf numFmtId="0" fontId="73" fillId="4" borderId="19" xfId="2" applyFill="1" applyBorder="1" applyAlignment="1">
      <alignment horizontal="center" vertical="center"/>
    </xf>
    <xf numFmtId="0" fontId="73" fillId="4" borderId="51" xfId="2" applyFill="1" applyBorder="1" applyAlignment="1">
      <alignment horizontal="center" vertical="center"/>
    </xf>
    <xf numFmtId="0" fontId="73" fillId="4" borderId="52" xfId="2" applyFill="1" applyBorder="1" applyAlignment="1">
      <alignment horizontal="center" vertical="center"/>
    </xf>
    <xf numFmtId="0" fontId="73" fillId="4" borderId="32" xfId="2" applyFill="1" applyBorder="1" applyAlignment="1">
      <alignment horizontal="center" vertical="center"/>
    </xf>
    <xf numFmtId="0" fontId="100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20" fillId="0" borderId="5" xfId="2" quotePrefix="1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73" fillId="4" borderId="8" xfId="2" applyFill="1" applyBorder="1" applyAlignment="1">
      <alignment horizontal="center" vertical="center"/>
    </xf>
    <xf numFmtId="0" fontId="73" fillId="4" borderId="49" xfId="2" applyFill="1" applyBorder="1" applyAlignment="1">
      <alignment horizontal="center" vertical="center"/>
    </xf>
    <xf numFmtId="0" fontId="73" fillId="4" borderId="48" xfId="2" applyFill="1" applyBorder="1" applyAlignment="1">
      <alignment horizontal="center" vertical="center"/>
    </xf>
    <xf numFmtId="3" fontId="77" fillId="4" borderId="55" xfId="1" applyNumberFormat="1" applyFont="1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4" fontId="53" fillId="8" borderId="28" xfId="2" applyNumberFormat="1" applyFont="1" applyFill="1" applyBorder="1" applyAlignment="1">
      <alignment horizontal="center" vertical="center"/>
    </xf>
    <xf numFmtId="0" fontId="101" fillId="0" borderId="0" xfId="2" applyFont="1" applyAlignment="1">
      <alignment horizontal="left" vertical="center"/>
    </xf>
    <xf numFmtId="0" fontId="102" fillId="0" borderId="0" xfId="2" applyFont="1">
      <alignment vertical="center"/>
    </xf>
    <xf numFmtId="0" fontId="101" fillId="0" borderId="0" xfId="2" applyFont="1">
      <alignment vertical="center"/>
    </xf>
    <xf numFmtId="0" fontId="101" fillId="0" borderId="0" xfId="2" applyFont="1" applyAlignment="1">
      <alignment horizontal="center" vertical="center"/>
    </xf>
    <xf numFmtId="0" fontId="19" fillId="0" borderId="5" xfId="2" quotePrefix="1" applyFont="1" applyBorder="1" applyAlignment="1">
      <alignment horizontal="center" vertical="center"/>
    </xf>
    <xf numFmtId="181" fontId="73" fillId="0" borderId="5" xfId="2" applyNumberFormat="1" applyBorder="1" applyAlignment="1">
      <alignment horizontal="center" vertical="center"/>
    </xf>
    <xf numFmtId="181" fontId="98" fillId="0" borderId="5" xfId="2" applyNumberFormat="1" applyFont="1" applyBorder="1" applyAlignment="1">
      <alignment horizontal="center" vertical="center"/>
    </xf>
    <xf numFmtId="0" fontId="18" fillId="0" borderId="5" xfId="2" quotePrefix="1" applyFont="1" applyBorder="1" applyAlignment="1">
      <alignment horizontal="center" vertical="center"/>
    </xf>
    <xf numFmtId="14" fontId="97" fillId="15" borderId="40" xfId="0" applyNumberFormat="1" applyFont="1" applyFill="1" applyBorder="1" applyAlignment="1">
      <alignment horizontal="left" vertical="center" wrapText="1" indent="1"/>
    </xf>
    <xf numFmtId="0" fontId="96" fillId="15" borderId="40" xfId="0" applyFont="1" applyFill="1" applyBorder="1" applyAlignment="1">
      <alignment horizontal="left" vertical="center" wrapText="1" indent="1"/>
    </xf>
    <xf numFmtId="0" fontId="96" fillId="15" borderId="41" xfId="0" applyFont="1" applyFill="1" applyBorder="1" applyAlignment="1">
      <alignment horizontal="left" vertical="center" wrapText="1" indent="1"/>
    </xf>
    <xf numFmtId="0" fontId="16" fillId="10" borderId="0" xfId="2" applyFont="1" applyFill="1" applyAlignment="1">
      <alignment horizontal="left" vertical="center"/>
    </xf>
    <xf numFmtId="0" fontId="79" fillId="0" borderId="0" xfId="2" applyFont="1" applyAlignment="1">
      <alignment horizontal="left" vertical="center"/>
    </xf>
    <xf numFmtId="0" fontId="75" fillId="0" borderId="0" xfId="2" applyFont="1">
      <alignment vertical="center"/>
    </xf>
    <xf numFmtId="0" fontId="79" fillId="0" borderId="0" xfId="2" applyFont="1" applyAlignment="1">
      <alignment vertical="center" wrapText="1"/>
    </xf>
    <xf numFmtId="0" fontId="103" fillId="0" borderId="0" xfId="2" applyFont="1">
      <alignment vertical="center"/>
    </xf>
    <xf numFmtId="14" fontId="103" fillId="0" borderId="0" xfId="2" applyNumberFormat="1" applyFont="1">
      <alignment vertical="center"/>
    </xf>
    <xf numFmtId="0" fontId="103" fillId="0" borderId="0" xfId="2" applyFont="1" applyAlignment="1">
      <alignment horizontal="center" vertical="center"/>
    </xf>
    <xf numFmtId="14" fontId="33" fillId="8" borderId="28" xfId="2" applyNumberFormat="1" applyFont="1" applyFill="1" applyBorder="1" applyAlignment="1">
      <alignment horizontal="center" vertical="center"/>
    </xf>
    <xf numFmtId="14" fontId="24" fillId="8" borderId="28" xfId="2" applyNumberFormat="1" applyFont="1" applyFill="1" applyBorder="1" applyAlignment="1">
      <alignment horizontal="center" vertical="center"/>
    </xf>
    <xf numFmtId="14" fontId="26" fillId="0" borderId="4" xfId="2" applyNumberFormat="1" applyFont="1" applyBorder="1" applyAlignment="1">
      <alignment horizontal="center" vertical="center"/>
    </xf>
    <xf numFmtId="188" fontId="77" fillId="0" borderId="0" xfId="0" applyNumberFormat="1" applyFont="1" applyAlignment="1">
      <alignment horizontal="center" vertical="center"/>
    </xf>
    <xf numFmtId="188" fontId="84" fillId="0" borderId="0" xfId="0" applyNumberFormat="1" applyFont="1"/>
    <xf numFmtId="188" fontId="84" fillId="8" borderId="0" xfId="0" applyNumberFormat="1" applyFont="1" applyFill="1"/>
    <xf numFmtId="188" fontId="84" fillId="4" borderId="0" xfId="0" applyNumberFormat="1" applyFont="1" applyFill="1"/>
    <xf numFmtId="188" fontId="84" fillId="13" borderId="0" xfId="0" applyNumberFormat="1" applyFont="1" applyFill="1"/>
    <xf numFmtId="188" fontId="84" fillId="16" borderId="0" xfId="0" applyNumberFormat="1" applyFont="1" applyFill="1"/>
    <xf numFmtId="188" fontId="99" fillId="0" borderId="19" xfId="0" applyNumberFormat="1" applyFont="1" applyBorder="1"/>
    <xf numFmtId="188" fontId="0" fillId="0" borderId="0" xfId="0" applyNumberFormat="1"/>
    <xf numFmtId="0" fontId="15" fillId="8" borderId="0" xfId="2" applyFont="1" applyFill="1" applyAlignment="1">
      <alignment horizontal="left" vertical="center"/>
    </xf>
    <xf numFmtId="0" fontId="15" fillId="10" borderId="0" xfId="2" applyFont="1" applyFill="1" applyAlignment="1">
      <alignment horizontal="left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189" fontId="77" fillId="5" borderId="24" xfId="1" applyNumberFormat="1" applyFont="1" applyFill="1" applyBorder="1" applyAlignment="1">
      <alignment horizontal="left" vertical="center"/>
    </xf>
    <xf numFmtId="0" fontId="12" fillId="0" borderId="5" xfId="2" quotePrefix="1" applyFont="1" applyBorder="1" applyAlignment="1">
      <alignment horizontal="center" vertical="center"/>
    </xf>
    <xf numFmtId="0" fontId="12" fillId="0" borderId="0" xfId="2" applyFont="1">
      <alignment vertical="center"/>
    </xf>
    <xf numFmtId="0" fontId="12" fillId="0" borderId="0" xfId="2" applyFont="1" applyAlignment="1">
      <alignment horizontal="left" vertical="center"/>
    </xf>
    <xf numFmtId="0" fontId="104" fillId="14" borderId="38" xfId="0" applyFont="1" applyFill="1" applyBorder="1" applyAlignment="1">
      <alignment horizontal="left" vertical="center" wrapText="1" indent="1"/>
    </xf>
    <xf numFmtId="31" fontId="0" fillId="0" borderId="0" xfId="0" applyNumberFormat="1"/>
    <xf numFmtId="0" fontId="11" fillId="0" borderId="5" xfId="2" applyFont="1" applyBorder="1" applyAlignment="1">
      <alignment horizontal="center" vertical="center"/>
    </xf>
    <xf numFmtId="0" fontId="21" fillId="0" borderId="0" xfId="2" applyFont="1">
      <alignment vertical="center"/>
    </xf>
    <xf numFmtId="0" fontId="105" fillId="0" borderId="0" xfId="2" applyFont="1">
      <alignment vertical="center"/>
    </xf>
    <xf numFmtId="0" fontId="0" fillId="4" borderId="49" xfId="0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94" fillId="0" borderId="0" xfId="2" applyFont="1" applyAlignment="1">
      <alignment horizontal="left" vertical="center"/>
    </xf>
    <xf numFmtId="0" fontId="102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7" fillId="0" borderId="5" xfId="2" quotePrefix="1" applyFont="1" applyBorder="1" applyAlignment="1">
      <alignment horizontal="center" vertical="center"/>
    </xf>
    <xf numFmtId="0" fontId="100" fillId="17" borderId="0" xfId="0" applyFont="1" applyFill="1" applyAlignment="1">
      <alignment horizontal="center"/>
    </xf>
    <xf numFmtId="14" fontId="77" fillId="17" borderId="0" xfId="0" applyNumberFormat="1" applyFont="1" applyFill="1" applyAlignment="1">
      <alignment horizontal="center" vertical="center"/>
    </xf>
    <xf numFmtId="0" fontId="77" fillId="17" borderId="0" xfId="0" applyFont="1" applyFill="1" applyAlignment="1">
      <alignment horizontal="center" vertical="center"/>
    </xf>
    <xf numFmtId="188" fontId="77" fillId="17" borderId="0" xfId="0" applyNumberFormat="1" applyFont="1" applyFill="1" applyAlignment="1">
      <alignment horizontal="center" vertical="center"/>
    </xf>
    <xf numFmtId="0" fontId="0" fillId="17" borderId="0" xfId="0" applyFill="1"/>
    <xf numFmtId="188" fontId="77" fillId="0" borderId="0" xfId="0" applyNumberFormat="1" applyFont="1" applyAlignment="1">
      <alignment vertical="center"/>
    </xf>
    <xf numFmtId="188" fontId="77" fillId="0" borderId="0" xfId="0" applyNumberFormat="1" applyFont="1"/>
    <xf numFmtId="188" fontId="83" fillId="8" borderId="0" xfId="0" applyNumberFormat="1" applyFont="1" applyFill="1" applyAlignment="1">
      <alignment vertical="center"/>
    </xf>
    <xf numFmtId="188" fontId="77" fillId="8" borderId="0" xfId="0" applyNumberFormat="1" applyFont="1" applyFill="1"/>
    <xf numFmtId="188" fontId="83" fillId="0" borderId="0" xfId="0" applyNumberFormat="1" applyFont="1" applyAlignment="1">
      <alignment vertical="center"/>
    </xf>
    <xf numFmtId="188" fontId="83" fillId="4" borderId="0" xfId="0" applyNumberFormat="1" applyFont="1" applyFill="1" applyAlignment="1">
      <alignment vertical="center"/>
    </xf>
    <xf numFmtId="188" fontId="77" fillId="4" borderId="0" xfId="0" applyNumberFormat="1" applyFont="1" applyFill="1"/>
    <xf numFmtId="188" fontId="83" fillId="13" borderId="0" xfId="0" applyNumberFormat="1" applyFont="1" applyFill="1" applyAlignment="1">
      <alignment vertical="center"/>
    </xf>
    <xf numFmtId="188" fontId="77" fillId="13" borderId="0" xfId="0" applyNumberFormat="1" applyFont="1" applyFill="1"/>
    <xf numFmtId="188" fontId="84" fillId="9" borderId="0" xfId="0" applyNumberFormat="1" applyFont="1" applyFill="1"/>
    <xf numFmtId="188" fontId="77" fillId="9" borderId="0" xfId="0" applyNumberFormat="1" applyFont="1" applyFill="1" applyAlignment="1">
      <alignment vertical="center"/>
    </xf>
    <xf numFmtId="188" fontId="77" fillId="9" borderId="0" xfId="0" applyNumberFormat="1" applyFont="1" applyFill="1"/>
    <xf numFmtId="188" fontId="0" fillId="9" borderId="0" xfId="0" applyNumberFormat="1" applyFill="1"/>
    <xf numFmtId="0" fontId="6" fillId="0" borderId="5" xfId="2" quotePrefix="1" applyFont="1" applyBorder="1" applyAlignment="1">
      <alignment horizontal="center" vertical="center"/>
    </xf>
    <xf numFmtId="187" fontId="99" fillId="0" borderId="19" xfId="0" applyNumberFormat="1" applyFont="1" applyBorder="1"/>
    <xf numFmtId="4" fontId="77" fillId="4" borderId="25" xfId="1" applyNumberFormat="1" applyFont="1" applyFill="1" applyBorder="1" applyAlignment="1">
      <alignment horizontal="center" vertical="center"/>
    </xf>
    <xf numFmtId="178" fontId="106" fillId="6" borderId="19" xfId="0" applyNumberFormat="1" applyFont="1" applyFill="1" applyBorder="1"/>
    <xf numFmtId="0" fontId="5" fillId="0" borderId="5" xfId="2" quotePrefix="1" applyFon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4" fillId="0" borderId="0" xfId="2" applyFont="1" applyAlignment="1">
      <alignment horizontal="left" vertical="center"/>
    </xf>
    <xf numFmtId="0" fontId="0" fillId="0" borderId="0" xfId="0" applyAlignment="1">
      <alignment vertical="center" wrapText="1"/>
    </xf>
    <xf numFmtId="0" fontId="77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184" fontId="84" fillId="0" borderId="0" xfId="0" applyNumberFormat="1" applyFont="1" applyAlignment="1">
      <alignment vertical="center"/>
    </xf>
    <xf numFmtId="178" fontId="77" fillId="0" borderId="0" xfId="0" applyNumberFormat="1" applyFont="1" applyAlignment="1">
      <alignment vertical="center"/>
    </xf>
    <xf numFmtId="188" fontId="84" fillId="0" borderId="0" xfId="0" applyNumberFormat="1" applyFont="1" applyAlignment="1">
      <alignment vertical="center"/>
    </xf>
    <xf numFmtId="187" fontId="77" fillId="0" borderId="0" xfId="0" applyNumberFormat="1" applyFont="1" applyAlignment="1">
      <alignment vertical="center"/>
    </xf>
    <xf numFmtId="185" fontId="0" fillId="18" borderId="0" xfId="0" applyNumberFormat="1" applyFill="1" applyAlignment="1">
      <alignment vertical="center"/>
    </xf>
    <xf numFmtId="184" fontId="84" fillId="18" borderId="0" xfId="0" applyNumberFormat="1" applyFont="1" applyFill="1"/>
    <xf numFmtId="0" fontId="83" fillId="18" borderId="0" xfId="0" applyFont="1" applyFill="1" applyAlignment="1">
      <alignment vertical="center"/>
    </xf>
    <xf numFmtId="178" fontId="77" fillId="18" borderId="0" xfId="0" applyNumberFormat="1" applyFont="1" applyFill="1"/>
    <xf numFmtId="188" fontId="84" fillId="18" borderId="0" xfId="0" applyNumberFormat="1" applyFont="1" applyFill="1"/>
    <xf numFmtId="187" fontId="77" fillId="18" borderId="0" xfId="0" applyNumberFormat="1" applyFont="1" applyFill="1"/>
    <xf numFmtId="0" fontId="0" fillId="18" borderId="0" xfId="0" applyFill="1"/>
    <xf numFmtId="0" fontId="0" fillId="18" borderId="0" xfId="0" applyFill="1" applyAlignment="1">
      <alignment vertical="center"/>
    </xf>
    <xf numFmtId="190" fontId="0" fillId="0" borderId="0" xfId="0" applyNumberFormat="1" applyAlignment="1">
      <alignment vertical="center"/>
    </xf>
    <xf numFmtId="0" fontId="3" fillId="0" borderId="5" xfId="2" quotePrefix="1" applyFont="1" applyBorder="1" applyAlignment="1">
      <alignment horizontal="center" vertical="center"/>
    </xf>
    <xf numFmtId="0" fontId="2" fillId="0" borderId="5" xfId="2" quotePrefix="1" applyFont="1" applyBorder="1" applyAlignment="1">
      <alignment horizontal="center" vertical="center"/>
    </xf>
    <xf numFmtId="0" fontId="1" fillId="0" borderId="5" xfId="2" quotePrefix="1" applyFont="1" applyBorder="1" applyAlignment="1">
      <alignment horizontal="center" vertical="center"/>
    </xf>
    <xf numFmtId="3" fontId="77" fillId="4" borderId="11" xfId="1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3" fontId="77" fillId="4" borderId="1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77" fillId="4" borderId="12" xfId="1" applyNumberFormat="1" applyFont="1" applyFill="1" applyBorder="1" applyAlignment="1">
      <alignment horizontal="center" vertical="center" wrapText="1"/>
    </xf>
    <xf numFmtId="3" fontId="77" fillId="4" borderId="0" xfId="1" applyNumberFormat="1" applyFont="1" applyFill="1" applyAlignment="1">
      <alignment horizontal="center" vertical="center" wrapText="1"/>
    </xf>
    <xf numFmtId="3" fontId="77" fillId="4" borderId="26" xfId="1" applyNumberFormat="1" applyFont="1" applyFill="1" applyBorder="1" applyAlignment="1">
      <alignment horizontal="center" vertical="center" wrapText="1"/>
    </xf>
    <xf numFmtId="3" fontId="77" fillId="4" borderId="27" xfId="1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1" fillId="5" borderId="24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77" fillId="4" borderId="42" xfId="1" applyNumberFormat="1" applyFont="1" applyFill="1" applyBorder="1" applyAlignment="1">
      <alignment horizontal="center" vertical="center" wrapText="1"/>
    </xf>
    <xf numFmtId="3" fontId="77" fillId="4" borderId="48" xfId="1" applyNumberFormat="1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7" fillId="5" borderId="11" xfId="1" applyFont="1" applyFill="1" applyBorder="1" applyAlignment="1">
      <alignment horizontal="center" vertical="center"/>
    </xf>
    <xf numFmtId="0" fontId="77" fillId="5" borderId="15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7" fillId="5" borderId="45" xfId="1" applyFont="1" applyFill="1" applyBorder="1" applyAlignment="1">
      <alignment horizontal="center" vertical="center"/>
    </xf>
    <xf numFmtId="0" fontId="77" fillId="5" borderId="46" xfId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3" fontId="77" fillId="5" borderId="21" xfId="1" applyNumberFormat="1" applyFont="1" applyFill="1" applyBorder="1" applyAlignment="1">
      <alignment horizontal="center" vertical="center"/>
    </xf>
    <xf numFmtId="3" fontId="77" fillId="5" borderId="23" xfId="1" applyNumberFormat="1" applyFont="1" applyFill="1" applyBorder="1" applyAlignment="1">
      <alignment horizontal="center" vertical="center"/>
    </xf>
    <xf numFmtId="3" fontId="77" fillId="5" borderId="22" xfId="1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81" fillId="5" borderId="26" xfId="1" applyFont="1" applyFill="1" applyBorder="1" applyAlignment="1">
      <alignment horizontal="center" vertical="center"/>
    </xf>
    <xf numFmtId="0" fontId="77" fillId="5" borderId="23" xfId="1" applyFont="1" applyFill="1" applyBorder="1" applyAlignment="1">
      <alignment horizontal="center" vertical="center"/>
    </xf>
    <xf numFmtId="0" fontId="77" fillId="5" borderId="21" xfId="1" applyFont="1" applyFill="1" applyBorder="1" applyAlignment="1">
      <alignment horizontal="center" vertical="center"/>
    </xf>
  </cellXfs>
  <cellStyles count="41">
    <cellStyle name="一般" xfId="0" builtinId="0"/>
    <cellStyle name="一般 10" xfId="19" xr:uid="{00000000-0005-0000-0000-000001000000}"/>
    <cellStyle name="一般 11" xfId="20" xr:uid="{00000000-0005-0000-0000-000002000000}"/>
    <cellStyle name="一般 12" xfId="21" xr:uid="{00000000-0005-0000-0000-000003000000}"/>
    <cellStyle name="一般 13" xfId="22" xr:uid="{00000000-0005-0000-0000-000004000000}"/>
    <cellStyle name="一般 14" xfId="23" xr:uid="{00000000-0005-0000-0000-000005000000}"/>
    <cellStyle name="一般 15" xfId="24" xr:uid="{00000000-0005-0000-0000-000006000000}"/>
    <cellStyle name="一般 16" xfId="25" xr:uid="{00000000-0005-0000-0000-000007000000}"/>
    <cellStyle name="一般 17" xfId="26" xr:uid="{00000000-0005-0000-0000-000008000000}"/>
    <cellStyle name="一般 18" xfId="27" xr:uid="{00000000-0005-0000-0000-000009000000}"/>
    <cellStyle name="一般 19" xfId="28" xr:uid="{00000000-0005-0000-0000-00000A000000}"/>
    <cellStyle name="一般 2" xfId="1" xr:uid="{00000000-0005-0000-0000-00000B000000}"/>
    <cellStyle name="一般 20" xfId="29" xr:uid="{00000000-0005-0000-0000-00004B000000}"/>
    <cellStyle name="一般 21" xfId="30" xr:uid="{00000000-0005-0000-0000-00004C000000}"/>
    <cellStyle name="一般 22" xfId="31" xr:uid="{91FA992A-BC10-4CC2-B5DA-9BFB56E92F54}"/>
    <cellStyle name="一般 23" xfId="32" xr:uid="{33944943-178E-4C2C-BC17-9BE61F895781}"/>
    <cellStyle name="一般 24" xfId="34" xr:uid="{996954C1-3250-4DF5-B84A-8130B757CBC1}"/>
    <cellStyle name="一般 25" xfId="36" xr:uid="{FDD94BE4-F2B3-43B9-AE88-89A3A8D5E306}"/>
    <cellStyle name="一般 26" xfId="38" xr:uid="{7EE93472-86E9-43CF-8ABF-2FABE759F44B}"/>
    <cellStyle name="一般 27" xfId="39" xr:uid="{796EF9EA-D042-45CB-B1D0-D2F2090F7D20}"/>
    <cellStyle name="一般 28" xfId="40" xr:uid="{6F1123D4-DBF8-4B0C-9916-6B96166BA56D}"/>
    <cellStyle name="一般 3" xfId="2" xr:uid="{00000000-0005-0000-0000-00000C000000}"/>
    <cellStyle name="一般 3 2" xfId="5" xr:uid="{00000000-0005-0000-0000-00000D000000}"/>
    <cellStyle name="一般 3 2 2" xfId="12" xr:uid="{00000000-0005-0000-0000-00000E000000}"/>
    <cellStyle name="一般 3 3" xfId="10" xr:uid="{00000000-0005-0000-0000-00000F000000}"/>
    <cellStyle name="一般 3 4" xfId="35" xr:uid="{653414CC-280E-48DF-AC9F-02E4F61DB777}"/>
    <cellStyle name="一般 4" xfId="4" xr:uid="{00000000-0005-0000-0000-000010000000}"/>
    <cellStyle name="一般 4 2" xfId="6" xr:uid="{00000000-0005-0000-0000-000011000000}"/>
    <cellStyle name="一般 4 2 2" xfId="13" xr:uid="{00000000-0005-0000-0000-000012000000}"/>
    <cellStyle name="一般 4 3" xfId="11" xr:uid="{00000000-0005-0000-0000-000013000000}"/>
    <cellStyle name="一般 4 4" xfId="33" xr:uid="{85432019-FB16-42F5-A8B8-EDA5F2BC508D}"/>
    <cellStyle name="一般 5" xfId="7" xr:uid="{00000000-0005-0000-0000-000014000000}"/>
    <cellStyle name="一般 5 2" xfId="14" xr:uid="{00000000-0005-0000-0000-000015000000}"/>
    <cellStyle name="一般 6" xfId="8" xr:uid="{00000000-0005-0000-0000-000016000000}"/>
    <cellStyle name="一般 6 2" xfId="15" xr:uid="{00000000-0005-0000-0000-000017000000}"/>
    <cellStyle name="一般 7" xfId="9" xr:uid="{00000000-0005-0000-0000-000018000000}"/>
    <cellStyle name="一般 7 2" xfId="16" xr:uid="{00000000-0005-0000-0000-000019000000}"/>
    <cellStyle name="一般 8" xfId="17" xr:uid="{00000000-0005-0000-0000-00001A000000}"/>
    <cellStyle name="一般 9" xfId="18" xr:uid="{00000000-0005-0000-0000-00001B000000}"/>
    <cellStyle name="好_運彩交易紀錄" xfId="3" xr:uid="{00000000-0005-0000-0000-00001C000000}"/>
    <cellStyle name="超連結" xfId="37" builtinId="8"/>
  </cellStyles>
  <dxfs count="2309"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border outline="0">
        <right style="thin">
          <color theme="4" tint="0.39997558519241921"/>
        </right>
      </border>
    </dxf>
    <dxf>
      <numFmt numFmtId="190" formatCode="[$-F400]h:mm:ss\ AM/PM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總投報率!$C$1</c:f>
              <c:strCache>
                <c:ptCount val="1"/>
                <c:pt idx="0">
                  <c:v>投資損益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總投報率!$A$2:$A$9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總投報率!$C$2:$C$9</c:f>
              <c:numCache>
                <c:formatCode>0_ ;[Red]\-0\ </c:formatCode>
                <c:ptCount val="8"/>
                <c:pt idx="0">
                  <c:v>33817.65</c:v>
                </c:pt>
                <c:pt idx="1">
                  <c:v>76267</c:v>
                </c:pt>
                <c:pt idx="2">
                  <c:v>71433.409999999989</c:v>
                </c:pt>
                <c:pt idx="3">
                  <c:v>272512.2</c:v>
                </c:pt>
                <c:pt idx="4">
                  <c:v>17288.599999999991</c:v>
                </c:pt>
                <c:pt idx="5">
                  <c:v>43577.760000000009</c:v>
                </c:pt>
                <c:pt idx="6">
                  <c:v>22040.010000000009</c:v>
                </c:pt>
                <c:pt idx="7">
                  <c:v>1257992.7956423252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D-4886-AF49-EB97BA94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219439"/>
        <c:axId val="1040217519"/>
      </c:barChart>
      <c:lineChart>
        <c:grouping val="standard"/>
        <c:varyColors val="0"/>
        <c:ser>
          <c:idx val="1"/>
          <c:order val="1"/>
          <c:tx>
            <c:strRef>
              <c:f>總投報率!$I$1</c:f>
              <c:strCache>
                <c:ptCount val="1"/>
                <c:pt idx="0">
                  <c:v>累積收益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總投報率!$A$1:$A$9</c:f>
              <c:strCache>
                <c:ptCount val="9"/>
                <c:pt idx="0">
                  <c:v>年度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總投報率!$I$2:$I$9</c:f>
              <c:numCache>
                <c:formatCode>0_ ;[Red]\-0\ </c:formatCode>
                <c:ptCount val="8"/>
                <c:pt idx="0">
                  <c:v>33817.65</c:v>
                </c:pt>
                <c:pt idx="1">
                  <c:v>110084.65</c:v>
                </c:pt>
                <c:pt idx="2">
                  <c:v>181518.06</c:v>
                </c:pt>
                <c:pt idx="3">
                  <c:v>454030.26</c:v>
                </c:pt>
                <c:pt idx="4">
                  <c:v>471318.86</c:v>
                </c:pt>
                <c:pt idx="5">
                  <c:v>514896.62</c:v>
                </c:pt>
                <c:pt idx="6">
                  <c:v>536936.63</c:v>
                </c:pt>
                <c:pt idx="7">
                  <c:v>1794929.4256423251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D-4886-AF49-EB97BA94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219439"/>
        <c:axId val="1040217519"/>
      </c:lineChart>
      <c:catAx>
        <c:axId val="104021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0217519"/>
        <c:crosses val="autoZero"/>
        <c:auto val="1"/>
        <c:lblAlgn val="ctr"/>
        <c:lblOffset val="100"/>
        <c:noMultiLvlLbl val="0"/>
      </c:catAx>
      <c:valAx>
        <c:axId val="104021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02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資產配置</a:t>
            </a:r>
            <a:endParaRPr lang="zh-TW"/>
          </a:p>
        </c:rich>
      </c:tx>
      <c:layout>
        <c:manualLayout>
          <c:xMode val="edge"/>
          <c:yMode val="edge"/>
          <c:x val="2.8083819924809673E-2"/>
          <c:y val="3.3978371076404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9A2-472D-8320-0576541D41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49A2-472D-8320-0576541D41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9A2-472D-8320-0576541D418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49A2-472D-8320-0576541D418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9A2-472D-8320-0576541D41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Family!$D$359:$D$363</c:f>
              <c:strCache>
                <c:ptCount val="5"/>
                <c:pt idx="0">
                  <c:v>台幣活儲</c:v>
                </c:pt>
                <c:pt idx="1">
                  <c:v>台股</c:v>
                </c:pt>
                <c:pt idx="2">
                  <c:v>台股 ETF</c:v>
                </c:pt>
                <c:pt idx="3">
                  <c:v>美股</c:v>
                </c:pt>
                <c:pt idx="4">
                  <c:v>美金儲蓄</c:v>
                </c:pt>
              </c:strCache>
            </c:strRef>
          </c:cat>
          <c:val>
            <c:numRef>
              <c:f>Family!$O$359:$O$363</c:f>
              <c:numCache>
                <c:formatCode>#,##0</c:formatCode>
                <c:ptCount val="5"/>
                <c:pt idx="0">
                  <c:v>882587</c:v>
                </c:pt>
                <c:pt idx="1">
                  <c:v>3195050</c:v>
                </c:pt>
                <c:pt idx="2">
                  <c:v>1201067.8900000001</c:v>
                </c:pt>
                <c:pt idx="3">
                  <c:v>572992.64</c:v>
                </c:pt>
                <c:pt idx="4" formatCode="#,##0.00">
                  <c:v>838.33999999999946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2-472D-8320-0576541D418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資產配置</a:t>
            </a:r>
          </a:p>
        </c:rich>
      </c:tx>
      <c:layout>
        <c:manualLayout>
          <c:xMode val="edge"/>
          <c:yMode val="edge"/>
          <c:x val="3.2383994542217118E-2"/>
          <c:y val="3.7067322917188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7F-468D-AF30-752043031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7F-468D-AF30-752043031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7F-468D-AF30-752043031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7F-468D-AF30-7520430317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7F-468D-AF30-7520430317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7F-468D-AF30-7520430317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Richard!$D$132:$D$136</c:f>
              <c:strCache>
                <c:ptCount val="5"/>
                <c:pt idx="0">
                  <c:v>台幣活儲</c:v>
                </c:pt>
                <c:pt idx="1">
                  <c:v>台股</c:v>
                </c:pt>
                <c:pt idx="2">
                  <c:v>台股 ETF</c:v>
                </c:pt>
                <c:pt idx="3">
                  <c:v>美股</c:v>
                </c:pt>
                <c:pt idx="4">
                  <c:v>美金儲蓄</c:v>
                </c:pt>
              </c:strCache>
            </c:strRef>
          </c:cat>
          <c:val>
            <c:numRef>
              <c:f>Richard!$O$132:$O$136</c:f>
              <c:numCache>
                <c:formatCode>#,##0</c:formatCode>
                <c:ptCount val="5"/>
                <c:pt idx="0">
                  <c:v>210275</c:v>
                </c:pt>
                <c:pt idx="1">
                  <c:v>482600</c:v>
                </c:pt>
                <c:pt idx="2">
                  <c:v>564145.39999999979</c:v>
                </c:pt>
                <c:pt idx="3">
                  <c:v>1167604.7708131354</c:v>
                </c:pt>
                <c:pt idx="4">
                  <c:v>834936.99563999986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2-4B6D-BF4D-BD9D302B051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台幣資金水位圖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'Richard-帳戶紀錄'!$D$1</c:f>
              <c:strCache>
                <c:ptCount val="1"/>
                <c:pt idx="0">
                  <c:v>結餘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'Richard-帳戶紀錄'!$A$1:$A$322</c:f>
              <c:strCache>
                <c:ptCount val="320"/>
                <c:pt idx="0">
                  <c:v>日期</c:v>
                </c:pt>
                <c:pt idx="1">
                  <c:v>2016/12/18</c:v>
                </c:pt>
                <c:pt idx="2">
                  <c:v>2016/12/31</c:v>
                </c:pt>
                <c:pt idx="3">
                  <c:v>2017/01/27</c:v>
                </c:pt>
                <c:pt idx="4">
                  <c:v>2017/12/21</c:v>
                </c:pt>
                <c:pt idx="5">
                  <c:v>2018/02/15</c:v>
                </c:pt>
                <c:pt idx="6">
                  <c:v>2018/06/21</c:v>
                </c:pt>
                <c:pt idx="7">
                  <c:v>2018/12/18</c:v>
                </c:pt>
                <c:pt idx="8">
                  <c:v>2018/12/21</c:v>
                </c:pt>
                <c:pt idx="9">
                  <c:v>2019/02/14</c:v>
                </c:pt>
                <c:pt idx="10">
                  <c:v>2019/06/21</c:v>
                </c:pt>
                <c:pt idx="11">
                  <c:v>2019/12/18</c:v>
                </c:pt>
                <c:pt idx="12">
                  <c:v>2019/12/21</c:v>
                </c:pt>
                <c:pt idx="13">
                  <c:v>2020/02/21</c:v>
                </c:pt>
                <c:pt idx="14">
                  <c:v>2020/06/21</c:v>
                </c:pt>
                <c:pt idx="15">
                  <c:v>2020/12/21</c:v>
                </c:pt>
                <c:pt idx="16">
                  <c:v>2021/02/20</c:v>
                </c:pt>
                <c:pt idx="17">
                  <c:v>2021/06/21</c:v>
                </c:pt>
                <c:pt idx="18">
                  <c:v>2021/07/10</c:v>
                </c:pt>
                <c:pt idx="19">
                  <c:v>2021/10/08</c:v>
                </c:pt>
                <c:pt idx="20">
                  <c:v>2021/12/21</c:v>
                </c:pt>
                <c:pt idx="21">
                  <c:v>2021/12/22</c:v>
                </c:pt>
                <c:pt idx="22">
                  <c:v>2021/12/23</c:v>
                </c:pt>
                <c:pt idx="23">
                  <c:v>2022/01/10</c:v>
                </c:pt>
                <c:pt idx="24">
                  <c:v>2022/02/07</c:v>
                </c:pt>
                <c:pt idx="25">
                  <c:v>2022/04/14</c:v>
                </c:pt>
                <c:pt idx="26">
                  <c:v>2022/06/21</c:v>
                </c:pt>
                <c:pt idx="27">
                  <c:v>2022/07/14</c:v>
                </c:pt>
                <c:pt idx="28">
                  <c:v>2022/08/18</c:v>
                </c:pt>
                <c:pt idx="29">
                  <c:v>2022/09/07</c:v>
                </c:pt>
                <c:pt idx="30">
                  <c:v>2022/10/13</c:v>
                </c:pt>
                <c:pt idx="31">
                  <c:v>2022/11/08</c:v>
                </c:pt>
                <c:pt idx="32">
                  <c:v>2022/11/21</c:v>
                </c:pt>
                <c:pt idx="33">
                  <c:v>2022/11/21</c:v>
                </c:pt>
                <c:pt idx="34">
                  <c:v>2022/12/19</c:v>
                </c:pt>
                <c:pt idx="35">
                  <c:v>2022/12/21</c:v>
                </c:pt>
                <c:pt idx="36">
                  <c:v>2022/12/27</c:v>
                </c:pt>
                <c:pt idx="37">
                  <c:v>2023/01/05</c:v>
                </c:pt>
                <c:pt idx="38">
                  <c:v>2023/01/06</c:v>
                </c:pt>
                <c:pt idx="39">
                  <c:v>2023/01/09</c:v>
                </c:pt>
                <c:pt idx="40">
                  <c:v>2023/01/12</c:v>
                </c:pt>
                <c:pt idx="41">
                  <c:v>2023/01/30</c:v>
                </c:pt>
                <c:pt idx="42">
                  <c:v>2023/02/10</c:v>
                </c:pt>
                <c:pt idx="43">
                  <c:v>2023/03/04</c:v>
                </c:pt>
                <c:pt idx="44">
                  <c:v>2023/03/18</c:v>
                </c:pt>
                <c:pt idx="45">
                  <c:v>2023/03/18</c:v>
                </c:pt>
                <c:pt idx="46">
                  <c:v>2023/03/18</c:v>
                </c:pt>
                <c:pt idx="47">
                  <c:v>2023/04/13</c:v>
                </c:pt>
                <c:pt idx="48">
                  <c:v>2023/05/12</c:v>
                </c:pt>
                <c:pt idx="49">
                  <c:v>2023/05/29</c:v>
                </c:pt>
                <c:pt idx="50">
                  <c:v>2023/06/04</c:v>
                </c:pt>
                <c:pt idx="51">
                  <c:v>2023/06/04</c:v>
                </c:pt>
                <c:pt idx="52">
                  <c:v>2023/06/21</c:v>
                </c:pt>
                <c:pt idx="53">
                  <c:v>2023/06/21</c:v>
                </c:pt>
                <c:pt idx="54">
                  <c:v>2023/07/13</c:v>
                </c:pt>
                <c:pt idx="55">
                  <c:v>2023/07/22</c:v>
                </c:pt>
                <c:pt idx="56">
                  <c:v>2023/07/22</c:v>
                </c:pt>
                <c:pt idx="57">
                  <c:v>2023/07/27</c:v>
                </c:pt>
                <c:pt idx="58">
                  <c:v>2023/08/07</c:v>
                </c:pt>
                <c:pt idx="59">
                  <c:v>2023/08/09</c:v>
                </c:pt>
                <c:pt idx="60">
                  <c:v>2023/08/11</c:v>
                </c:pt>
                <c:pt idx="61">
                  <c:v>2023/08/30</c:v>
                </c:pt>
                <c:pt idx="62">
                  <c:v>2023/08/30</c:v>
                </c:pt>
                <c:pt idx="63">
                  <c:v>2023/08/30</c:v>
                </c:pt>
                <c:pt idx="64">
                  <c:v>2023/09/05</c:v>
                </c:pt>
                <c:pt idx="65">
                  <c:v>2023/09/12</c:v>
                </c:pt>
                <c:pt idx="66">
                  <c:v>2023/10/03</c:v>
                </c:pt>
                <c:pt idx="67">
                  <c:v>2023/10/04</c:v>
                </c:pt>
                <c:pt idx="68">
                  <c:v>2023/10/06</c:v>
                </c:pt>
                <c:pt idx="69">
                  <c:v>2023/10/12</c:v>
                </c:pt>
                <c:pt idx="70">
                  <c:v>2023/10/18</c:v>
                </c:pt>
                <c:pt idx="71">
                  <c:v>2023/11/17</c:v>
                </c:pt>
                <c:pt idx="72">
                  <c:v>2023/12/12</c:v>
                </c:pt>
                <c:pt idx="73">
                  <c:v>2023/12/15</c:v>
                </c:pt>
                <c:pt idx="74">
                  <c:v>2023/12/19</c:v>
                </c:pt>
                <c:pt idx="75">
                  <c:v>2023/12/20</c:v>
                </c:pt>
                <c:pt idx="76">
                  <c:v>2023/12/21</c:v>
                </c:pt>
                <c:pt idx="77">
                  <c:v>2023/12/21</c:v>
                </c:pt>
                <c:pt idx="78">
                  <c:v>2023/12/21</c:v>
                </c:pt>
                <c:pt idx="79">
                  <c:v>2023/12/27</c:v>
                </c:pt>
                <c:pt idx="80">
                  <c:v>2023/12/31</c:v>
                </c:pt>
                <c:pt idx="81">
                  <c:v>2024/01/05</c:v>
                </c:pt>
                <c:pt idx="82">
                  <c:v>2024/01/11</c:v>
                </c:pt>
                <c:pt idx="83">
                  <c:v>2024/01/15</c:v>
                </c:pt>
                <c:pt idx="84">
                  <c:v>2024/01/19</c:v>
                </c:pt>
                <c:pt idx="85">
                  <c:v>2024/02/21</c:v>
                </c:pt>
                <c:pt idx="86">
                  <c:v>2024/02/23</c:v>
                </c:pt>
                <c:pt idx="87">
                  <c:v>2024/02/27</c:v>
                </c:pt>
                <c:pt idx="88">
                  <c:v>2024/03/05</c:v>
                </c:pt>
                <c:pt idx="89">
                  <c:v>2024/03/14</c:v>
                </c:pt>
                <c:pt idx="90">
                  <c:v>2024/03/26</c:v>
                </c:pt>
                <c:pt idx="91">
                  <c:v>2024/04/11</c:v>
                </c:pt>
                <c:pt idx="92">
                  <c:v>2024/04/15</c:v>
                </c:pt>
                <c:pt idx="93">
                  <c:v>2024/04/16</c:v>
                </c:pt>
                <c:pt idx="94">
                  <c:v>2024/05/05</c:v>
                </c:pt>
                <c:pt idx="95">
                  <c:v>2024/05/20</c:v>
                </c:pt>
                <c:pt idx="96">
                  <c:v>2024/05/27</c:v>
                </c:pt>
                <c:pt idx="97">
                  <c:v>2024/05/29</c:v>
                </c:pt>
                <c:pt idx="98">
                  <c:v>2024/05/27</c:v>
                </c:pt>
                <c:pt idx="99">
                  <c:v>2024/06/17</c:v>
                </c:pt>
                <c:pt idx="100">
                  <c:v>2024/06/21</c:v>
                </c:pt>
                <c:pt idx="101">
                  <c:v>2024/06/21</c:v>
                </c:pt>
                <c:pt idx="102">
                  <c:v>2024/07/04</c:v>
                </c:pt>
                <c:pt idx="103">
                  <c:v>2024/07/08</c:v>
                </c:pt>
                <c:pt idx="104">
                  <c:v>2024/07/11</c:v>
                </c:pt>
                <c:pt idx="105">
                  <c:v>2024/07/16</c:v>
                </c:pt>
                <c:pt idx="106">
                  <c:v>2024/08/09</c:v>
                </c:pt>
                <c:pt idx="107">
                  <c:v>2024/08/12</c:v>
                </c:pt>
                <c:pt idx="108">
                  <c:v>2024/09/13</c:v>
                </c:pt>
                <c:pt idx="109">
                  <c:v>2024/10/04</c:v>
                </c:pt>
                <c:pt idx="110">
                  <c:v>2024/10/09</c:v>
                </c:pt>
                <c:pt idx="111">
                  <c:v>2024/10/16</c:v>
                </c:pt>
                <c:pt idx="112">
                  <c:v>2024/11/07</c:v>
                </c:pt>
                <c:pt idx="113">
                  <c:v>2024/11/10</c:v>
                </c:pt>
                <c:pt idx="114">
                  <c:v>2024/11/15</c:v>
                </c:pt>
                <c:pt idx="115">
                  <c:v>2024/11/10</c:v>
                </c:pt>
                <c:pt idx="116">
                  <c:v>2024/11/26</c:v>
                </c:pt>
                <c:pt idx="117">
                  <c:v>2024/11/30</c:v>
                </c:pt>
                <c:pt idx="118">
                  <c:v>2024/12/05</c:v>
                </c:pt>
                <c:pt idx="119">
                  <c:v>2024/12/10</c:v>
                </c:pt>
                <c:pt idx="120">
                  <c:v>2024/12/12</c:v>
                </c:pt>
                <c:pt idx="121">
                  <c:v>2024/12/13</c:v>
                </c:pt>
                <c:pt idx="122">
                  <c:v>2024/12/16</c:v>
                </c:pt>
                <c:pt idx="123">
                  <c:v>2024/12/20</c:v>
                </c:pt>
                <c:pt idx="124">
                  <c:v>2024/12/21</c:v>
                </c:pt>
                <c:pt idx="125">
                  <c:v>2024/12/21</c:v>
                </c:pt>
                <c:pt idx="126">
                  <c:v>2024/12/23</c:v>
                </c:pt>
                <c:pt idx="127">
                  <c:v>2024/12/23</c:v>
                </c:pt>
                <c:pt idx="128">
                  <c:v>2024/12/27</c:v>
                </c:pt>
                <c:pt idx="129">
                  <c:v>2024/12/26</c:v>
                </c:pt>
                <c:pt idx="130">
                  <c:v>2024/12/26</c:v>
                </c:pt>
                <c:pt idx="131">
                  <c:v>2024/12/26</c:v>
                </c:pt>
                <c:pt idx="132">
                  <c:v>2024/12/30</c:v>
                </c:pt>
                <c:pt idx="133">
                  <c:v>2024/12/31</c:v>
                </c:pt>
                <c:pt idx="134">
                  <c:v>2024/12/31</c:v>
                </c:pt>
                <c:pt idx="135">
                  <c:v>2024/12/31</c:v>
                </c:pt>
                <c:pt idx="136">
                  <c:v>2025/01/03</c:v>
                </c:pt>
                <c:pt idx="137">
                  <c:v>2025/01/09</c:v>
                </c:pt>
                <c:pt idx="138">
                  <c:v>2025/01/10</c:v>
                </c:pt>
                <c:pt idx="139">
                  <c:v>2025/01/13</c:v>
                </c:pt>
                <c:pt idx="140">
                  <c:v>2025/01/14</c:v>
                </c:pt>
                <c:pt idx="141">
                  <c:v>2025/01/16</c:v>
                </c:pt>
                <c:pt idx="142">
                  <c:v>2025/01/16</c:v>
                </c:pt>
                <c:pt idx="143">
                  <c:v>2025/02/02</c:v>
                </c:pt>
                <c:pt idx="144">
                  <c:v>2025/02/02</c:v>
                </c:pt>
                <c:pt idx="145">
                  <c:v>2025/02/03</c:v>
                </c:pt>
                <c:pt idx="146">
                  <c:v>2025/02/05</c:v>
                </c:pt>
                <c:pt idx="147">
                  <c:v>2025/02/10</c:v>
                </c:pt>
                <c:pt idx="148">
                  <c:v>2025/02/17</c:v>
                </c:pt>
                <c:pt idx="149">
                  <c:v>2025/02/17</c:v>
                </c:pt>
                <c:pt idx="150">
                  <c:v>2025/02/20</c:v>
                </c:pt>
                <c:pt idx="151">
                  <c:v>2025/02/20</c:v>
                </c:pt>
                <c:pt idx="152">
                  <c:v>2025/02/26</c:v>
                </c:pt>
                <c:pt idx="153">
                  <c:v>2025/03/09</c:v>
                </c:pt>
                <c:pt idx="154">
                  <c:v>2025/03/10</c:v>
                </c:pt>
                <c:pt idx="155">
                  <c:v>2025/03/17</c:v>
                </c:pt>
                <c:pt idx="156">
                  <c:v>2025/03/17</c:v>
                </c:pt>
                <c:pt idx="157">
                  <c:v>2025/03/18</c:v>
                </c:pt>
                <c:pt idx="158">
                  <c:v>2025/03/26</c:v>
                </c:pt>
                <c:pt idx="159">
                  <c:v>2025/03/27</c:v>
                </c:pt>
                <c:pt idx="160">
                  <c:v>2025/04/07</c:v>
                </c:pt>
                <c:pt idx="161">
                  <c:v>2025/04/10</c:v>
                </c:pt>
                <c:pt idx="162">
                  <c:v>2025/04/15</c:v>
                </c:pt>
                <c:pt idx="163">
                  <c:v>2025/04/16</c:v>
                </c:pt>
                <c:pt idx="164">
                  <c:v>2025/04/16</c:v>
                </c:pt>
                <c:pt idx="165">
                  <c:v>2025/04/28</c:v>
                </c:pt>
                <c:pt idx="166">
                  <c:v>2025/05/10</c:v>
                </c:pt>
                <c:pt idx="167">
                  <c:v>2025/05/14</c:v>
                </c:pt>
                <c:pt idx="168">
                  <c:v>2025/05/16</c:v>
                </c:pt>
                <c:pt idx="169">
                  <c:v>2025/05/16</c:v>
                </c:pt>
                <c:pt idx="170">
                  <c:v>2025/05/26</c:v>
                </c:pt>
                <c:pt idx="171">
                  <c:v>2025/06/10</c:v>
                </c:pt>
                <c:pt idx="172">
                  <c:v>2025/06/10</c:v>
                </c:pt>
                <c:pt idx="173">
                  <c:v>2025/06/10</c:v>
                </c:pt>
                <c:pt idx="174">
                  <c:v>2025/06/13</c:v>
                </c:pt>
                <c:pt idx="175">
                  <c:v>2025/06/16</c:v>
                </c:pt>
                <c:pt idx="176">
                  <c:v>2025/06/21</c:v>
                </c:pt>
                <c:pt idx="177">
                  <c:v>2025/06/21</c:v>
                </c:pt>
                <c:pt idx="178">
                  <c:v>2025/06/26</c:v>
                </c:pt>
                <c:pt idx="179">
                  <c:v>2025/07/04</c:v>
                </c:pt>
                <c:pt idx="180">
                  <c:v>2025/07/04</c:v>
                </c:pt>
                <c:pt idx="181">
                  <c:v>2025/07/10</c:v>
                </c:pt>
                <c:pt idx="182">
                  <c:v>2025/07/11</c:v>
                </c:pt>
                <c:pt idx="183">
                  <c:v>2025/07/11</c:v>
                </c:pt>
                <c:pt idx="184">
                  <c:v>2025/07/11</c:v>
                </c:pt>
                <c:pt idx="185">
                  <c:v>2025/07/16</c:v>
                </c:pt>
                <c:pt idx="186">
                  <c:v>2025/07/16</c:v>
                </c:pt>
                <c:pt idx="187">
                  <c:v>2025/07/16</c:v>
                </c:pt>
                <c:pt idx="188">
                  <c:v>2025/07/28</c:v>
                </c:pt>
                <c:pt idx="189">
                  <c:v>2025/08/01</c:v>
                </c:pt>
                <c:pt idx="190">
                  <c:v>2025/08/08</c:v>
                </c:pt>
                <c:pt idx="191">
                  <c:v>2025/08/08</c:v>
                </c:pt>
                <c:pt idx="192">
                  <c:v>2025/08/08</c:v>
                </c:pt>
                <c:pt idx="193">
                  <c:v>2025/08/10</c:v>
                </c:pt>
                <c:pt idx="194">
                  <c:v>2025/08/18</c:v>
                </c:pt>
                <c:pt idx="195">
                  <c:v>2025/08/18</c:v>
                </c:pt>
                <c:pt idx="196">
                  <c:v>2025/08/26</c:v>
                </c:pt>
                <c:pt idx="197">
                  <c:v>2025/09/03</c:v>
                </c:pt>
                <c:pt idx="198">
                  <c:v>2025/09/08</c:v>
                </c:pt>
                <c:pt idx="199">
                  <c:v>2025/09/10</c:v>
                </c:pt>
                <c:pt idx="200">
                  <c:v>2025/09/11</c:v>
                </c:pt>
                <c:pt idx="201">
                  <c:v>2025/09/16</c:v>
                </c:pt>
                <c:pt idx="202">
                  <c:v>2025/09/16</c:v>
                </c:pt>
                <c:pt idx="203">
                  <c:v>2025/09/26</c:v>
                </c:pt>
                <c:pt idx="204">
                  <c:v>2025/10/02</c:v>
                </c:pt>
                <c:pt idx="205">
                  <c:v>2025/10/03</c:v>
                </c:pt>
                <c:pt idx="206">
                  <c:v>2025/10/10</c:v>
                </c:pt>
                <c:pt idx="207">
                  <c:v>2025/10/15</c:v>
                </c:pt>
                <c:pt idx="208">
                  <c:v>2025/10/15</c:v>
                </c:pt>
                <c:pt idx="209">
                  <c:v>2025/10/15</c:v>
                </c:pt>
                <c:pt idx="210">
                  <c:v>2025/10/16</c:v>
                </c:pt>
                <c:pt idx="211">
                  <c:v>2025/10/16</c:v>
                </c:pt>
                <c:pt idx="212">
                  <c:v>2025/10/27</c:v>
                </c:pt>
                <c:pt idx="213">
                  <c:v>2025/11/10</c:v>
                </c:pt>
                <c:pt idx="214">
                  <c:v>2025/11/14</c:v>
                </c:pt>
                <c:pt idx="215">
                  <c:v>2025/11/17</c:v>
                </c:pt>
                <c:pt idx="216">
                  <c:v>2025/11/17</c:v>
                </c:pt>
                <c:pt idx="217">
                  <c:v>2025/11/26</c:v>
                </c:pt>
                <c:pt idx="218">
                  <c:v>2025/12/10</c:v>
                </c:pt>
                <c:pt idx="219">
                  <c:v>2025/12/11</c:v>
                </c:pt>
                <c:pt idx="220">
                  <c:v>2025/12/11</c:v>
                </c:pt>
                <c:pt idx="221">
                  <c:v>2025/12/12</c:v>
                </c:pt>
                <c:pt idx="222">
                  <c:v>2025/12/15</c:v>
                </c:pt>
                <c:pt idx="223">
                  <c:v>2025/12/16</c:v>
                </c:pt>
                <c:pt idx="224">
                  <c:v>2025/12/16</c:v>
                </c:pt>
                <c:pt idx="225">
                  <c:v>2025/12/18</c:v>
                </c:pt>
                <c:pt idx="226">
                  <c:v>2025/12/18</c:v>
                </c:pt>
                <c:pt idx="227">
                  <c:v>2025/12/19</c:v>
                </c:pt>
                <c:pt idx="228">
                  <c:v>2025/12/21</c:v>
                </c:pt>
                <c:pt idx="229">
                  <c:v>2025/12/21</c:v>
                </c:pt>
                <c:pt idx="230">
                  <c:v>2025/12/26</c:v>
                </c:pt>
                <c:pt idx="231">
                  <c:v>2025/12/26</c:v>
                </c:pt>
                <c:pt idx="232">
                  <c:v>2025/12/30</c:v>
                </c:pt>
                <c:pt idx="233">
                  <c:v>2025/12/31</c:v>
                </c:pt>
                <c:pt idx="234">
                  <c:v>2026/01/04</c:v>
                </c:pt>
                <c:pt idx="235">
                  <c:v>2026/01/10</c:v>
                </c:pt>
                <c:pt idx="236">
                  <c:v>2026/01/12</c:v>
                </c:pt>
                <c:pt idx="237">
                  <c:v>2026/01/13</c:v>
                </c:pt>
                <c:pt idx="238">
                  <c:v>2026/01/13</c:v>
                </c:pt>
                <c:pt idx="239">
                  <c:v>2026/01/16</c:v>
                </c:pt>
                <c:pt idx="240">
                  <c:v>2026/01/16</c:v>
                </c:pt>
                <c:pt idx="241">
                  <c:v>2026/01/18</c:v>
                </c:pt>
                <c:pt idx="242">
                  <c:v>2026/01/20</c:v>
                </c:pt>
                <c:pt idx="243">
                  <c:v>2026/01/21</c:v>
                </c:pt>
                <c:pt idx="244">
                  <c:v>2026/01/22</c:v>
                </c:pt>
                <c:pt idx="245">
                  <c:v>2026/01/26</c:v>
                </c:pt>
                <c:pt idx="246">
                  <c:v>2026/01/27</c:v>
                </c:pt>
                <c:pt idx="247">
                  <c:v>2026/01/30</c:v>
                </c:pt>
                <c:pt idx="248">
                  <c:v>2026/02/02</c:v>
                </c:pt>
                <c:pt idx="249">
                  <c:v>2026/02/05</c:v>
                </c:pt>
                <c:pt idx="250">
                  <c:v>2026/02/05</c:v>
                </c:pt>
                <c:pt idx="251">
                  <c:v>2026/02/06</c:v>
                </c:pt>
                <c:pt idx="252">
                  <c:v>2026/02/10</c:v>
                </c:pt>
                <c:pt idx="253">
                  <c:v>2026/02/11</c:v>
                </c:pt>
                <c:pt idx="254">
                  <c:v>2026/02/11</c:v>
                </c:pt>
                <c:pt idx="255">
                  <c:v>2026/02/23</c:v>
                </c:pt>
                <c:pt idx="256">
                  <c:v>2026/02/26</c:v>
                </c:pt>
                <c:pt idx="257">
                  <c:v>2026/03/05</c:v>
                </c:pt>
                <c:pt idx="258">
                  <c:v>2026/03/10</c:v>
                </c:pt>
                <c:pt idx="259">
                  <c:v>2026/03/10</c:v>
                </c:pt>
                <c:pt idx="260">
                  <c:v>2026/03/11</c:v>
                </c:pt>
                <c:pt idx="261">
                  <c:v>2026/03/12</c:v>
                </c:pt>
                <c:pt idx="262">
                  <c:v>2026/03/12</c:v>
                </c:pt>
                <c:pt idx="263">
                  <c:v>2026/03/15</c:v>
                </c:pt>
                <c:pt idx="264">
                  <c:v>2026/03/16</c:v>
                </c:pt>
                <c:pt idx="265">
                  <c:v>2026/03/23</c:v>
                </c:pt>
                <c:pt idx="266">
                  <c:v>2026/04/02</c:v>
                </c:pt>
                <c:pt idx="267">
                  <c:v>2026/04/02</c:v>
                </c:pt>
                <c:pt idx="268">
                  <c:v>2026/04/07</c:v>
                </c:pt>
                <c:pt idx="269">
                  <c:v>2026/04/10</c:v>
                </c:pt>
                <c:pt idx="270">
                  <c:v>2026/04/10</c:v>
                </c:pt>
                <c:pt idx="271">
                  <c:v>2026/04/16</c:v>
                </c:pt>
                <c:pt idx="272">
                  <c:v>2026/04/20</c:v>
                </c:pt>
                <c:pt idx="273">
                  <c:v>2026/04/24</c:v>
                </c:pt>
                <c:pt idx="274">
                  <c:v>2026/04/28</c:v>
                </c:pt>
                <c:pt idx="275">
                  <c:v>2026/05/05</c:v>
                </c:pt>
                <c:pt idx="276">
                  <c:v>2026/05/05</c:v>
                </c:pt>
                <c:pt idx="277">
                  <c:v>2026/05/07</c:v>
                </c:pt>
                <c:pt idx="278">
                  <c:v>2026/05/10</c:v>
                </c:pt>
                <c:pt idx="279">
                  <c:v>2026/05/18</c:v>
                </c:pt>
                <c:pt idx="280">
                  <c:v>2026/05/27</c:v>
                </c:pt>
                <c:pt idx="281">
                  <c:v>2026/06/01</c:v>
                </c:pt>
                <c:pt idx="282">
                  <c:v>2026/06/05</c:v>
                </c:pt>
                <c:pt idx="283">
                  <c:v>2026/06/05</c:v>
                </c:pt>
                <c:pt idx="284">
                  <c:v>2026/06/10</c:v>
                </c:pt>
                <c:pt idx="285">
                  <c:v>2026/06/10</c:v>
                </c:pt>
                <c:pt idx="286">
                  <c:v>2026/06/12</c:v>
                </c:pt>
                <c:pt idx="287">
                  <c:v>2026/06/12</c:v>
                </c:pt>
                <c:pt idx="288">
                  <c:v>2026/06/16</c:v>
                </c:pt>
                <c:pt idx="289">
                  <c:v>2026/06/21</c:v>
                </c:pt>
                <c:pt idx="290">
                  <c:v>2026/06/21</c:v>
                </c:pt>
                <c:pt idx="291">
                  <c:v>2026/06/22</c:v>
                </c:pt>
                <c:pt idx="292">
                  <c:v>2026/06/24</c:v>
                </c:pt>
                <c:pt idx="293">
                  <c:v>2026/06/01</c:v>
                </c:pt>
                <c:pt idx="294">
                  <c:v>2026/06/30</c:v>
                </c:pt>
                <c:pt idx="295">
                  <c:v>2026/07/03</c:v>
                </c:pt>
                <c:pt idx="296">
                  <c:v>2026/07/06</c:v>
                </c:pt>
                <c:pt idx="297">
                  <c:v>2026/07/09</c:v>
                </c:pt>
                <c:pt idx="298">
                  <c:v>2026/07/09</c:v>
                </c:pt>
                <c:pt idx="299">
                  <c:v>2026/07/10</c:v>
                </c:pt>
                <c:pt idx="300">
                  <c:v>2026/07/13</c:v>
                </c:pt>
                <c:pt idx="301">
                  <c:v>2026/06/30</c:v>
                </c:pt>
                <c:pt idx="302">
                  <c:v>2026/07/14</c:v>
                </c:pt>
                <c:pt idx="303">
                  <c:v>2026/07/16</c:v>
                </c:pt>
                <c:pt idx="304">
                  <c:v>2026/07/16</c:v>
                </c:pt>
                <c:pt idx="305">
                  <c:v>2026/07/20</c:v>
                </c:pt>
                <c:pt idx="306">
                  <c:v>2026/07/21</c:v>
                </c:pt>
                <c:pt idx="307">
                  <c:v>2026/07/22</c:v>
                </c:pt>
                <c:pt idx="308">
                  <c:v>2026/07/28</c:v>
                </c:pt>
                <c:pt idx="309">
                  <c:v>2026/07/31</c:v>
                </c:pt>
                <c:pt idx="310">
                  <c:v>2026/08/04</c:v>
                </c:pt>
                <c:pt idx="311">
                  <c:v>2026/08/05</c:v>
                </c:pt>
                <c:pt idx="312">
                  <c:v>2026/08/05</c:v>
                </c:pt>
                <c:pt idx="313">
                  <c:v>2026/08/07</c:v>
                </c:pt>
                <c:pt idx="314">
                  <c:v>2026/08/10</c:v>
                </c:pt>
                <c:pt idx="315">
                  <c:v>2026/08/10</c:v>
                </c:pt>
                <c:pt idx="316">
                  <c:v>2026/08/10</c:v>
                </c:pt>
                <c:pt idx="317">
                  <c:v>2026/08/10</c:v>
                </c:pt>
                <c:pt idx="318">
                  <c:v>2026/08/25</c:v>
                </c:pt>
                <c:pt idx="319">
                  <c:v>2026/08/25</c:v>
                </c:pt>
              </c:strCache>
            </c:strRef>
          </c:cat>
          <c:val>
            <c:numRef>
              <c:f>'Richard-帳戶紀錄'!$D$2:$D$322</c:f>
              <c:numCache>
                <c:formatCode>0_ ;[Red]\-0\ </c:formatCode>
                <c:ptCount val="321"/>
                <c:pt idx="0">
                  <c:v>8888</c:v>
                </c:pt>
                <c:pt idx="1">
                  <c:v>67088</c:v>
                </c:pt>
                <c:pt idx="2">
                  <c:v>74288</c:v>
                </c:pt>
                <c:pt idx="3">
                  <c:v>74324</c:v>
                </c:pt>
                <c:pt idx="4">
                  <c:v>85824</c:v>
                </c:pt>
                <c:pt idx="5">
                  <c:v>85864</c:v>
                </c:pt>
                <c:pt idx="6">
                  <c:v>95864</c:v>
                </c:pt>
                <c:pt idx="7">
                  <c:v>95906</c:v>
                </c:pt>
                <c:pt idx="8">
                  <c:v>111906</c:v>
                </c:pt>
                <c:pt idx="9">
                  <c:v>111959</c:v>
                </c:pt>
                <c:pt idx="10">
                  <c:v>123959</c:v>
                </c:pt>
                <c:pt idx="11">
                  <c:v>124015</c:v>
                </c:pt>
                <c:pt idx="12">
                  <c:v>135815</c:v>
                </c:pt>
                <c:pt idx="13">
                  <c:v>135864</c:v>
                </c:pt>
                <c:pt idx="14">
                  <c:v>135898</c:v>
                </c:pt>
                <c:pt idx="15">
                  <c:v>146098</c:v>
                </c:pt>
                <c:pt idx="16">
                  <c:v>146134</c:v>
                </c:pt>
                <c:pt idx="17">
                  <c:v>161794</c:v>
                </c:pt>
                <c:pt idx="18">
                  <c:v>171794</c:v>
                </c:pt>
                <c:pt idx="19">
                  <c:v>171835</c:v>
                </c:pt>
                <c:pt idx="20">
                  <c:v>267110</c:v>
                </c:pt>
                <c:pt idx="21">
                  <c:v>171835</c:v>
                </c:pt>
                <c:pt idx="22">
                  <c:v>171889</c:v>
                </c:pt>
                <c:pt idx="23">
                  <c:v>184889</c:v>
                </c:pt>
                <c:pt idx="24">
                  <c:v>185159</c:v>
                </c:pt>
                <c:pt idx="25">
                  <c:v>185214</c:v>
                </c:pt>
                <c:pt idx="26">
                  <c:v>185484</c:v>
                </c:pt>
                <c:pt idx="27">
                  <c:v>186957</c:v>
                </c:pt>
                <c:pt idx="28">
                  <c:v>237204</c:v>
                </c:pt>
                <c:pt idx="29">
                  <c:v>237474</c:v>
                </c:pt>
                <c:pt idx="30">
                  <c:v>259634</c:v>
                </c:pt>
                <c:pt idx="31">
                  <c:v>286194</c:v>
                </c:pt>
                <c:pt idx="32">
                  <c:v>313254</c:v>
                </c:pt>
                <c:pt idx="33">
                  <c:v>313794</c:v>
                </c:pt>
                <c:pt idx="34">
                  <c:v>314097</c:v>
                </c:pt>
                <c:pt idx="35">
                  <c:v>314097</c:v>
                </c:pt>
                <c:pt idx="36">
                  <c:v>386419</c:v>
                </c:pt>
                <c:pt idx="37">
                  <c:v>341205</c:v>
                </c:pt>
                <c:pt idx="38">
                  <c:v>314097</c:v>
                </c:pt>
                <c:pt idx="39">
                  <c:v>314367</c:v>
                </c:pt>
                <c:pt idx="40">
                  <c:v>328777</c:v>
                </c:pt>
                <c:pt idx="41">
                  <c:v>328817</c:v>
                </c:pt>
                <c:pt idx="42">
                  <c:v>329705</c:v>
                </c:pt>
                <c:pt idx="43">
                  <c:v>330593</c:v>
                </c:pt>
                <c:pt idx="44">
                  <c:v>331481</c:v>
                </c:pt>
                <c:pt idx="45">
                  <c:v>332369</c:v>
                </c:pt>
                <c:pt idx="46">
                  <c:v>332913</c:v>
                </c:pt>
                <c:pt idx="47">
                  <c:v>338913</c:v>
                </c:pt>
                <c:pt idx="48">
                  <c:v>339413</c:v>
                </c:pt>
                <c:pt idx="49">
                  <c:v>340301</c:v>
                </c:pt>
                <c:pt idx="50">
                  <c:v>341189</c:v>
                </c:pt>
                <c:pt idx="51">
                  <c:v>341996</c:v>
                </c:pt>
                <c:pt idx="52">
                  <c:v>341996</c:v>
                </c:pt>
                <c:pt idx="53">
                  <c:v>342540</c:v>
                </c:pt>
                <c:pt idx="54">
                  <c:v>343428</c:v>
                </c:pt>
                <c:pt idx="55">
                  <c:v>344316</c:v>
                </c:pt>
                <c:pt idx="56">
                  <c:v>317146</c:v>
                </c:pt>
                <c:pt idx="57">
                  <c:v>300623</c:v>
                </c:pt>
                <c:pt idx="58">
                  <c:v>331089</c:v>
                </c:pt>
                <c:pt idx="59">
                  <c:v>332543</c:v>
                </c:pt>
                <c:pt idx="60">
                  <c:v>333431</c:v>
                </c:pt>
                <c:pt idx="61">
                  <c:v>334319</c:v>
                </c:pt>
                <c:pt idx="62">
                  <c:v>335207</c:v>
                </c:pt>
                <c:pt idx="63">
                  <c:v>335233</c:v>
                </c:pt>
                <c:pt idx="64">
                  <c:v>335343</c:v>
                </c:pt>
                <c:pt idx="65">
                  <c:v>356593</c:v>
                </c:pt>
                <c:pt idx="66">
                  <c:v>359496</c:v>
                </c:pt>
                <c:pt idx="67">
                  <c:v>385256</c:v>
                </c:pt>
                <c:pt idx="68">
                  <c:v>385851</c:v>
                </c:pt>
                <c:pt idx="69">
                  <c:v>385961</c:v>
                </c:pt>
                <c:pt idx="70">
                  <c:v>386071</c:v>
                </c:pt>
                <c:pt idx="71">
                  <c:v>388185</c:v>
                </c:pt>
                <c:pt idx="72">
                  <c:v>388295</c:v>
                </c:pt>
                <c:pt idx="73">
                  <c:v>478763</c:v>
                </c:pt>
                <c:pt idx="74">
                  <c:v>446678</c:v>
                </c:pt>
                <c:pt idx="75">
                  <c:v>388295</c:v>
                </c:pt>
                <c:pt idx="76">
                  <c:v>389197</c:v>
                </c:pt>
                <c:pt idx="77">
                  <c:v>389197</c:v>
                </c:pt>
                <c:pt idx="78">
                  <c:v>389197</c:v>
                </c:pt>
                <c:pt idx="79">
                  <c:v>388277</c:v>
                </c:pt>
                <c:pt idx="80">
                  <c:v>388328</c:v>
                </c:pt>
                <c:pt idx="81">
                  <c:v>388923</c:v>
                </c:pt>
                <c:pt idx="82">
                  <c:v>389033</c:v>
                </c:pt>
                <c:pt idx="83">
                  <c:v>389921</c:v>
                </c:pt>
                <c:pt idx="84">
                  <c:v>370834</c:v>
                </c:pt>
                <c:pt idx="85">
                  <c:v>370964</c:v>
                </c:pt>
                <c:pt idx="86">
                  <c:v>382164</c:v>
                </c:pt>
                <c:pt idx="87">
                  <c:v>382174</c:v>
                </c:pt>
                <c:pt idx="88">
                  <c:v>383062</c:v>
                </c:pt>
                <c:pt idx="89">
                  <c:v>383322</c:v>
                </c:pt>
                <c:pt idx="90">
                  <c:v>384366</c:v>
                </c:pt>
                <c:pt idx="91">
                  <c:v>546645</c:v>
                </c:pt>
                <c:pt idx="92">
                  <c:v>546905</c:v>
                </c:pt>
                <c:pt idx="93">
                  <c:v>546997</c:v>
                </c:pt>
                <c:pt idx="94">
                  <c:v>547397</c:v>
                </c:pt>
                <c:pt idx="95">
                  <c:v>547397</c:v>
                </c:pt>
                <c:pt idx="96">
                  <c:v>401813</c:v>
                </c:pt>
                <c:pt idx="97">
                  <c:v>401813</c:v>
                </c:pt>
                <c:pt idx="98">
                  <c:v>402213</c:v>
                </c:pt>
                <c:pt idx="99">
                  <c:v>403504</c:v>
                </c:pt>
                <c:pt idx="100">
                  <c:v>403504</c:v>
                </c:pt>
                <c:pt idx="101">
                  <c:v>403504</c:v>
                </c:pt>
                <c:pt idx="102">
                  <c:v>404392</c:v>
                </c:pt>
                <c:pt idx="103">
                  <c:v>404736</c:v>
                </c:pt>
                <c:pt idx="104">
                  <c:v>405136</c:v>
                </c:pt>
                <c:pt idx="105">
                  <c:v>406371</c:v>
                </c:pt>
                <c:pt idx="106">
                  <c:v>406731</c:v>
                </c:pt>
                <c:pt idx="107">
                  <c:v>407091</c:v>
                </c:pt>
                <c:pt idx="108">
                  <c:v>407091</c:v>
                </c:pt>
                <c:pt idx="109">
                  <c:v>407486</c:v>
                </c:pt>
                <c:pt idx="110">
                  <c:v>407806</c:v>
                </c:pt>
                <c:pt idx="111">
                  <c:v>512342</c:v>
                </c:pt>
                <c:pt idx="112">
                  <c:v>517342</c:v>
                </c:pt>
                <c:pt idx="113">
                  <c:v>517622</c:v>
                </c:pt>
                <c:pt idx="114">
                  <c:v>512642</c:v>
                </c:pt>
                <c:pt idx="115">
                  <c:v>506713</c:v>
                </c:pt>
                <c:pt idx="116">
                  <c:v>508713</c:v>
                </c:pt>
                <c:pt idx="117">
                  <c:v>508772</c:v>
                </c:pt>
                <c:pt idx="118">
                  <c:v>513772</c:v>
                </c:pt>
                <c:pt idx="119">
                  <c:v>515562</c:v>
                </c:pt>
                <c:pt idx="120">
                  <c:v>515782</c:v>
                </c:pt>
                <c:pt idx="121">
                  <c:v>510797</c:v>
                </c:pt>
                <c:pt idx="122">
                  <c:v>591160</c:v>
                </c:pt>
                <c:pt idx="123">
                  <c:v>592457</c:v>
                </c:pt>
                <c:pt idx="124">
                  <c:v>592457</c:v>
                </c:pt>
                <c:pt idx="125">
                  <c:v>556687</c:v>
                </c:pt>
                <c:pt idx="126">
                  <c:v>512094</c:v>
                </c:pt>
                <c:pt idx="127">
                  <c:v>512094</c:v>
                </c:pt>
                <c:pt idx="128">
                  <c:v>510128</c:v>
                </c:pt>
                <c:pt idx="129">
                  <c:v>508132</c:v>
                </c:pt>
                <c:pt idx="130">
                  <c:v>506139</c:v>
                </c:pt>
                <c:pt idx="131">
                  <c:v>507027</c:v>
                </c:pt>
                <c:pt idx="132">
                  <c:v>507027</c:v>
                </c:pt>
                <c:pt idx="133">
                  <c:v>507915</c:v>
                </c:pt>
                <c:pt idx="134">
                  <c:v>506475</c:v>
                </c:pt>
                <c:pt idx="135">
                  <c:v>506520</c:v>
                </c:pt>
                <c:pt idx="136">
                  <c:v>579623</c:v>
                </c:pt>
                <c:pt idx="137">
                  <c:v>584623</c:v>
                </c:pt>
                <c:pt idx="138">
                  <c:v>584661</c:v>
                </c:pt>
                <c:pt idx="139">
                  <c:v>584761</c:v>
                </c:pt>
                <c:pt idx="140">
                  <c:v>579799</c:v>
                </c:pt>
                <c:pt idx="141">
                  <c:v>574807</c:v>
                </c:pt>
                <c:pt idx="142">
                  <c:v>575407</c:v>
                </c:pt>
                <c:pt idx="143">
                  <c:v>583207</c:v>
                </c:pt>
                <c:pt idx="144">
                  <c:v>578232</c:v>
                </c:pt>
                <c:pt idx="145">
                  <c:v>578273</c:v>
                </c:pt>
                <c:pt idx="146">
                  <c:v>583273</c:v>
                </c:pt>
                <c:pt idx="147">
                  <c:v>578364</c:v>
                </c:pt>
                <c:pt idx="148">
                  <c:v>573390</c:v>
                </c:pt>
                <c:pt idx="149">
                  <c:v>573494</c:v>
                </c:pt>
                <c:pt idx="150">
                  <c:v>573551</c:v>
                </c:pt>
                <c:pt idx="151">
                  <c:v>568595</c:v>
                </c:pt>
                <c:pt idx="152">
                  <c:v>570615</c:v>
                </c:pt>
                <c:pt idx="153">
                  <c:v>575615</c:v>
                </c:pt>
                <c:pt idx="154">
                  <c:v>570683</c:v>
                </c:pt>
                <c:pt idx="155">
                  <c:v>565702</c:v>
                </c:pt>
                <c:pt idx="156">
                  <c:v>565782</c:v>
                </c:pt>
                <c:pt idx="157">
                  <c:v>560784</c:v>
                </c:pt>
                <c:pt idx="158">
                  <c:v>560784</c:v>
                </c:pt>
                <c:pt idx="159">
                  <c:v>560784</c:v>
                </c:pt>
                <c:pt idx="160">
                  <c:v>565784</c:v>
                </c:pt>
                <c:pt idx="161">
                  <c:v>566132</c:v>
                </c:pt>
                <c:pt idx="162">
                  <c:v>561260</c:v>
                </c:pt>
                <c:pt idx="163">
                  <c:v>556272</c:v>
                </c:pt>
                <c:pt idx="164">
                  <c:v>551271</c:v>
                </c:pt>
                <c:pt idx="165">
                  <c:v>556271</c:v>
                </c:pt>
                <c:pt idx="166">
                  <c:v>556374</c:v>
                </c:pt>
                <c:pt idx="167">
                  <c:v>551440</c:v>
                </c:pt>
                <c:pt idx="168">
                  <c:v>546460</c:v>
                </c:pt>
                <c:pt idx="169">
                  <c:v>541510</c:v>
                </c:pt>
                <c:pt idx="170">
                  <c:v>431454</c:v>
                </c:pt>
                <c:pt idx="171">
                  <c:v>321398</c:v>
                </c:pt>
                <c:pt idx="172">
                  <c:v>326398</c:v>
                </c:pt>
                <c:pt idx="173">
                  <c:v>326472</c:v>
                </c:pt>
                <c:pt idx="174">
                  <c:v>321483</c:v>
                </c:pt>
                <c:pt idx="175">
                  <c:v>323266</c:v>
                </c:pt>
                <c:pt idx="176">
                  <c:v>323266</c:v>
                </c:pt>
                <c:pt idx="177">
                  <c:v>318285</c:v>
                </c:pt>
                <c:pt idx="178">
                  <c:v>318409</c:v>
                </c:pt>
                <c:pt idx="179">
                  <c:v>318409</c:v>
                </c:pt>
                <c:pt idx="180">
                  <c:v>323409</c:v>
                </c:pt>
                <c:pt idx="181">
                  <c:v>326899</c:v>
                </c:pt>
                <c:pt idx="182">
                  <c:v>327486</c:v>
                </c:pt>
                <c:pt idx="183">
                  <c:v>331076</c:v>
                </c:pt>
                <c:pt idx="184">
                  <c:v>326119</c:v>
                </c:pt>
                <c:pt idx="185">
                  <c:v>321136</c:v>
                </c:pt>
                <c:pt idx="186">
                  <c:v>321736</c:v>
                </c:pt>
                <c:pt idx="187">
                  <c:v>316779</c:v>
                </c:pt>
                <c:pt idx="188">
                  <c:v>317667</c:v>
                </c:pt>
                <c:pt idx="189">
                  <c:v>320169</c:v>
                </c:pt>
                <c:pt idx="190">
                  <c:v>320387</c:v>
                </c:pt>
                <c:pt idx="191">
                  <c:v>320469</c:v>
                </c:pt>
                <c:pt idx="192">
                  <c:v>325469</c:v>
                </c:pt>
                <c:pt idx="193">
                  <c:v>320469</c:v>
                </c:pt>
                <c:pt idx="194">
                  <c:v>315496</c:v>
                </c:pt>
                <c:pt idx="195">
                  <c:v>310543</c:v>
                </c:pt>
                <c:pt idx="196">
                  <c:v>310543</c:v>
                </c:pt>
                <c:pt idx="197">
                  <c:v>315543</c:v>
                </c:pt>
                <c:pt idx="198">
                  <c:v>320543</c:v>
                </c:pt>
                <c:pt idx="199">
                  <c:v>320605</c:v>
                </c:pt>
                <c:pt idx="200">
                  <c:v>315615</c:v>
                </c:pt>
                <c:pt idx="201">
                  <c:v>310626</c:v>
                </c:pt>
                <c:pt idx="202">
                  <c:v>305665</c:v>
                </c:pt>
                <c:pt idx="203">
                  <c:v>305665</c:v>
                </c:pt>
                <c:pt idx="204">
                  <c:v>305665</c:v>
                </c:pt>
                <c:pt idx="205">
                  <c:v>310665</c:v>
                </c:pt>
                <c:pt idx="206">
                  <c:v>311308</c:v>
                </c:pt>
                <c:pt idx="207">
                  <c:v>313998</c:v>
                </c:pt>
                <c:pt idx="208">
                  <c:v>316588</c:v>
                </c:pt>
                <c:pt idx="209">
                  <c:v>311643</c:v>
                </c:pt>
                <c:pt idx="210">
                  <c:v>306664</c:v>
                </c:pt>
                <c:pt idx="211">
                  <c:v>301695</c:v>
                </c:pt>
                <c:pt idx="212">
                  <c:v>306695</c:v>
                </c:pt>
                <c:pt idx="213">
                  <c:v>306777</c:v>
                </c:pt>
                <c:pt idx="214">
                  <c:v>301816</c:v>
                </c:pt>
                <c:pt idx="215">
                  <c:v>296832</c:v>
                </c:pt>
                <c:pt idx="216">
                  <c:v>291847</c:v>
                </c:pt>
                <c:pt idx="217">
                  <c:v>296847</c:v>
                </c:pt>
                <c:pt idx="218">
                  <c:v>301845</c:v>
                </c:pt>
                <c:pt idx="219">
                  <c:v>301845</c:v>
                </c:pt>
                <c:pt idx="220">
                  <c:v>301907</c:v>
                </c:pt>
                <c:pt idx="221">
                  <c:v>303907</c:v>
                </c:pt>
                <c:pt idx="222">
                  <c:v>298951</c:v>
                </c:pt>
                <c:pt idx="223">
                  <c:v>293969</c:v>
                </c:pt>
                <c:pt idx="224">
                  <c:v>293969</c:v>
                </c:pt>
                <c:pt idx="225">
                  <c:v>294969</c:v>
                </c:pt>
                <c:pt idx="226">
                  <c:v>214899</c:v>
                </c:pt>
                <c:pt idx="227">
                  <c:v>215840</c:v>
                </c:pt>
                <c:pt idx="228">
                  <c:v>215840</c:v>
                </c:pt>
                <c:pt idx="229">
                  <c:v>210857</c:v>
                </c:pt>
                <c:pt idx="230">
                  <c:v>210857</c:v>
                </c:pt>
                <c:pt idx="231">
                  <c:v>210857</c:v>
                </c:pt>
                <c:pt idx="232">
                  <c:v>209637</c:v>
                </c:pt>
                <c:pt idx="233">
                  <c:v>210525</c:v>
                </c:pt>
                <c:pt idx="234">
                  <c:v>215525</c:v>
                </c:pt>
                <c:pt idx="235">
                  <c:v>216395</c:v>
                </c:pt>
                <c:pt idx="236">
                  <c:v>219210</c:v>
                </c:pt>
                <c:pt idx="237">
                  <c:v>221900</c:v>
                </c:pt>
                <c:pt idx="238">
                  <c:v>216953</c:v>
                </c:pt>
                <c:pt idx="239">
                  <c:v>211968</c:v>
                </c:pt>
                <c:pt idx="240">
                  <c:v>215568</c:v>
                </c:pt>
                <c:pt idx="241">
                  <c:v>265568</c:v>
                </c:pt>
                <c:pt idx="242">
                  <c:v>415568</c:v>
                </c:pt>
                <c:pt idx="243">
                  <c:v>270663</c:v>
                </c:pt>
                <c:pt idx="244">
                  <c:v>265675</c:v>
                </c:pt>
                <c:pt idx="245">
                  <c:v>265675</c:v>
                </c:pt>
                <c:pt idx="246">
                  <c:v>487137</c:v>
                </c:pt>
                <c:pt idx="247">
                  <c:v>591042</c:v>
                </c:pt>
                <c:pt idx="248">
                  <c:v>591328</c:v>
                </c:pt>
                <c:pt idx="249">
                  <c:v>586328</c:v>
                </c:pt>
                <c:pt idx="250">
                  <c:v>596328</c:v>
                </c:pt>
                <c:pt idx="251">
                  <c:v>601328</c:v>
                </c:pt>
                <c:pt idx="252">
                  <c:v>604442</c:v>
                </c:pt>
                <c:pt idx="253">
                  <c:v>604524</c:v>
                </c:pt>
                <c:pt idx="254">
                  <c:v>599556</c:v>
                </c:pt>
                <c:pt idx="255">
                  <c:v>594589</c:v>
                </c:pt>
                <c:pt idx="256">
                  <c:v>589599</c:v>
                </c:pt>
                <c:pt idx="257">
                  <c:v>594599</c:v>
                </c:pt>
                <c:pt idx="258">
                  <c:v>594599</c:v>
                </c:pt>
                <c:pt idx="259">
                  <c:v>1039074</c:v>
                </c:pt>
                <c:pt idx="260">
                  <c:v>1068325</c:v>
                </c:pt>
                <c:pt idx="261">
                  <c:v>1068325</c:v>
                </c:pt>
                <c:pt idx="262">
                  <c:v>1081425</c:v>
                </c:pt>
                <c:pt idx="263">
                  <c:v>1076424</c:v>
                </c:pt>
                <c:pt idx="264">
                  <c:v>1076489</c:v>
                </c:pt>
                <c:pt idx="265">
                  <c:v>1076756</c:v>
                </c:pt>
                <c:pt idx="266">
                  <c:v>1076756</c:v>
                </c:pt>
                <c:pt idx="267">
                  <c:v>1071760</c:v>
                </c:pt>
                <c:pt idx="268">
                  <c:v>1072376</c:v>
                </c:pt>
                <c:pt idx="269">
                  <c:v>1077376</c:v>
                </c:pt>
                <c:pt idx="270">
                  <c:v>1072418</c:v>
                </c:pt>
                <c:pt idx="271">
                  <c:v>867126</c:v>
                </c:pt>
                <c:pt idx="272">
                  <c:v>867126</c:v>
                </c:pt>
                <c:pt idx="273">
                  <c:v>411129</c:v>
                </c:pt>
                <c:pt idx="274">
                  <c:v>411503</c:v>
                </c:pt>
                <c:pt idx="275">
                  <c:v>406525</c:v>
                </c:pt>
                <c:pt idx="276">
                  <c:v>406525</c:v>
                </c:pt>
                <c:pt idx="277">
                  <c:v>411525</c:v>
                </c:pt>
                <c:pt idx="278">
                  <c:v>406556</c:v>
                </c:pt>
                <c:pt idx="279">
                  <c:v>406556</c:v>
                </c:pt>
                <c:pt idx="280">
                  <c:v>319232</c:v>
                </c:pt>
                <c:pt idx="281">
                  <c:v>319281</c:v>
                </c:pt>
                <c:pt idx="282">
                  <c:v>314302</c:v>
                </c:pt>
                <c:pt idx="283">
                  <c:v>291220</c:v>
                </c:pt>
                <c:pt idx="284">
                  <c:v>296220</c:v>
                </c:pt>
                <c:pt idx="285">
                  <c:v>296220</c:v>
                </c:pt>
                <c:pt idx="286">
                  <c:v>296220</c:v>
                </c:pt>
                <c:pt idx="287">
                  <c:v>291229</c:v>
                </c:pt>
                <c:pt idx="288">
                  <c:v>292950</c:v>
                </c:pt>
                <c:pt idx="289">
                  <c:v>292950</c:v>
                </c:pt>
                <c:pt idx="290">
                  <c:v>292950</c:v>
                </c:pt>
                <c:pt idx="291">
                  <c:v>292950</c:v>
                </c:pt>
                <c:pt idx="292">
                  <c:v>239142</c:v>
                </c:pt>
                <c:pt idx="293">
                  <c:v>239142</c:v>
                </c:pt>
                <c:pt idx="294">
                  <c:v>239289</c:v>
                </c:pt>
                <c:pt idx="295">
                  <c:v>234304</c:v>
                </c:pt>
                <c:pt idx="296">
                  <c:v>235617</c:v>
                </c:pt>
                <c:pt idx="297">
                  <c:v>236272</c:v>
                </c:pt>
                <c:pt idx="298">
                  <c:v>241272</c:v>
                </c:pt>
                <c:pt idx="299">
                  <c:v>236280</c:v>
                </c:pt>
                <c:pt idx="300">
                  <c:v>236280</c:v>
                </c:pt>
                <c:pt idx="301">
                  <c:v>234986</c:v>
                </c:pt>
                <c:pt idx="302">
                  <c:v>230022</c:v>
                </c:pt>
                <c:pt idx="303">
                  <c:v>230210</c:v>
                </c:pt>
                <c:pt idx="304">
                  <c:v>229190</c:v>
                </c:pt>
                <c:pt idx="305">
                  <c:v>205857</c:v>
                </c:pt>
                <c:pt idx="306">
                  <c:v>207007</c:v>
                </c:pt>
                <c:pt idx="307">
                  <c:v>207007</c:v>
                </c:pt>
                <c:pt idx="308">
                  <c:v>185076</c:v>
                </c:pt>
                <c:pt idx="309">
                  <c:v>208871</c:v>
                </c:pt>
                <c:pt idx="310">
                  <c:v>208909</c:v>
                </c:pt>
                <c:pt idx="311">
                  <c:v>203921</c:v>
                </c:pt>
                <c:pt idx="312">
                  <c:v>203921</c:v>
                </c:pt>
                <c:pt idx="313">
                  <c:v>204511</c:v>
                </c:pt>
                <c:pt idx="314">
                  <c:v>210261</c:v>
                </c:pt>
                <c:pt idx="315">
                  <c:v>215261</c:v>
                </c:pt>
                <c:pt idx="316">
                  <c:v>210275</c:v>
                </c:pt>
                <c:pt idx="317">
                  <c:v>210275</c:v>
                </c:pt>
                <c:pt idx="318">
                  <c:v>210275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E-4D81-8EB7-F407FF4EE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catAx>
        <c:axId val="3737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Algn val="ctr"/>
        <c:lblOffset val="100"/>
        <c:noMultiLvlLbl val="1"/>
      </c:cat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匯率!$J$2</c:f>
              <c:strCache>
                <c:ptCount val="1"/>
                <c:pt idx="0">
                  <c:v>現鈔買入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匯率!$J$3:$J$610</c:f>
              <c:numCache>
                <c:formatCode>General</c:formatCode>
                <c:ptCount val="608"/>
                <c:pt idx="0">
                  <c:v>31.164999999999999</c:v>
                </c:pt>
                <c:pt idx="1">
                  <c:v>31.155000000000001</c:v>
                </c:pt>
                <c:pt idx="2">
                  <c:v>31.2</c:v>
                </c:pt>
                <c:pt idx="3">
                  <c:v>31.065000000000001</c:v>
                </c:pt>
                <c:pt idx="4">
                  <c:v>30.9</c:v>
                </c:pt>
                <c:pt idx="5">
                  <c:v>30.89</c:v>
                </c:pt>
                <c:pt idx="6">
                  <c:v>31.03</c:v>
                </c:pt>
                <c:pt idx="7">
                  <c:v>31.094999999999999</c:v>
                </c:pt>
                <c:pt idx="8">
                  <c:v>31.15</c:v>
                </c:pt>
                <c:pt idx="9">
                  <c:v>31.2</c:v>
                </c:pt>
                <c:pt idx="10">
                  <c:v>31.24</c:v>
                </c:pt>
                <c:pt idx="11">
                  <c:v>31.204999999999998</c:v>
                </c:pt>
                <c:pt idx="12">
                  <c:v>31.195</c:v>
                </c:pt>
                <c:pt idx="13">
                  <c:v>31.16</c:v>
                </c:pt>
                <c:pt idx="14">
                  <c:v>31.175000000000001</c:v>
                </c:pt>
                <c:pt idx="15">
                  <c:v>31.23</c:v>
                </c:pt>
                <c:pt idx="16">
                  <c:v>31.25</c:v>
                </c:pt>
                <c:pt idx="17">
                  <c:v>31.24</c:v>
                </c:pt>
                <c:pt idx="18">
                  <c:v>31.2</c:v>
                </c:pt>
                <c:pt idx="19">
                  <c:v>31.175000000000001</c:v>
                </c:pt>
                <c:pt idx="20">
                  <c:v>31.11</c:v>
                </c:pt>
                <c:pt idx="21">
                  <c:v>31.12</c:v>
                </c:pt>
                <c:pt idx="22">
                  <c:v>31.14</c:v>
                </c:pt>
                <c:pt idx="23">
                  <c:v>31.02</c:v>
                </c:pt>
                <c:pt idx="24">
                  <c:v>31.03</c:v>
                </c:pt>
                <c:pt idx="25">
                  <c:v>30.975000000000001</c:v>
                </c:pt>
                <c:pt idx="26">
                  <c:v>31.04</c:v>
                </c:pt>
                <c:pt idx="27">
                  <c:v>31.045000000000002</c:v>
                </c:pt>
                <c:pt idx="28">
                  <c:v>31.074999999999999</c:v>
                </c:pt>
                <c:pt idx="29">
                  <c:v>31.12</c:v>
                </c:pt>
                <c:pt idx="30">
                  <c:v>31.13</c:v>
                </c:pt>
                <c:pt idx="31">
                  <c:v>31.135000000000002</c:v>
                </c:pt>
                <c:pt idx="32">
                  <c:v>31.12</c:v>
                </c:pt>
                <c:pt idx="33">
                  <c:v>31.135000000000002</c:v>
                </c:pt>
                <c:pt idx="34">
                  <c:v>31.07</c:v>
                </c:pt>
                <c:pt idx="35">
                  <c:v>30.98</c:v>
                </c:pt>
                <c:pt idx="36">
                  <c:v>30.76</c:v>
                </c:pt>
                <c:pt idx="37">
                  <c:v>30.855</c:v>
                </c:pt>
                <c:pt idx="38">
                  <c:v>30.79</c:v>
                </c:pt>
                <c:pt idx="39">
                  <c:v>30.795000000000002</c:v>
                </c:pt>
                <c:pt idx="40">
                  <c:v>30.79</c:v>
                </c:pt>
                <c:pt idx="41">
                  <c:v>30.84</c:v>
                </c:pt>
                <c:pt idx="42">
                  <c:v>30.925000000000001</c:v>
                </c:pt>
                <c:pt idx="43">
                  <c:v>30.92</c:v>
                </c:pt>
                <c:pt idx="44">
                  <c:v>31.01</c:v>
                </c:pt>
                <c:pt idx="45">
                  <c:v>31.03</c:v>
                </c:pt>
                <c:pt idx="46">
                  <c:v>31</c:v>
                </c:pt>
                <c:pt idx="47">
                  <c:v>30.925000000000001</c:v>
                </c:pt>
                <c:pt idx="48">
                  <c:v>30.94</c:v>
                </c:pt>
                <c:pt idx="49">
                  <c:v>31.04</c:v>
                </c:pt>
                <c:pt idx="50">
                  <c:v>31.035</c:v>
                </c:pt>
                <c:pt idx="51">
                  <c:v>31.02</c:v>
                </c:pt>
                <c:pt idx="52">
                  <c:v>30.89</c:v>
                </c:pt>
                <c:pt idx="53">
                  <c:v>30.84</c:v>
                </c:pt>
                <c:pt idx="54">
                  <c:v>30.79</c:v>
                </c:pt>
                <c:pt idx="55">
                  <c:v>30.76</c:v>
                </c:pt>
                <c:pt idx="56">
                  <c:v>30.74</c:v>
                </c:pt>
                <c:pt idx="57">
                  <c:v>30.66</c:v>
                </c:pt>
                <c:pt idx="58">
                  <c:v>30.655000000000001</c:v>
                </c:pt>
                <c:pt idx="59">
                  <c:v>30.64</c:v>
                </c:pt>
                <c:pt idx="60">
                  <c:v>30.6</c:v>
                </c:pt>
                <c:pt idx="61">
                  <c:v>30.63</c:v>
                </c:pt>
                <c:pt idx="62">
                  <c:v>30.545000000000002</c:v>
                </c:pt>
                <c:pt idx="63">
                  <c:v>30.535</c:v>
                </c:pt>
                <c:pt idx="64">
                  <c:v>30.495000000000001</c:v>
                </c:pt>
                <c:pt idx="65">
                  <c:v>30.43</c:v>
                </c:pt>
                <c:pt idx="66">
                  <c:v>30.33</c:v>
                </c:pt>
                <c:pt idx="67">
                  <c:v>30.29</c:v>
                </c:pt>
                <c:pt idx="68">
                  <c:v>30.215</c:v>
                </c:pt>
                <c:pt idx="69">
                  <c:v>30.22</c:v>
                </c:pt>
                <c:pt idx="70">
                  <c:v>30.3</c:v>
                </c:pt>
                <c:pt idx="71">
                  <c:v>30.405000000000001</c:v>
                </c:pt>
                <c:pt idx="72">
                  <c:v>30.32</c:v>
                </c:pt>
                <c:pt idx="73">
                  <c:v>30.274999999999999</c:v>
                </c:pt>
                <c:pt idx="74">
                  <c:v>30.225000000000001</c:v>
                </c:pt>
                <c:pt idx="75">
                  <c:v>30.26</c:v>
                </c:pt>
                <c:pt idx="76">
                  <c:v>30.234999999999999</c:v>
                </c:pt>
                <c:pt idx="77">
                  <c:v>30.225000000000001</c:v>
                </c:pt>
                <c:pt idx="78">
                  <c:v>30.355</c:v>
                </c:pt>
                <c:pt idx="79">
                  <c:v>30.295000000000002</c:v>
                </c:pt>
                <c:pt idx="80">
                  <c:v>30.13</c:v>
                </c:pt>
                <c:pt idx="81">
                  <c:v>30.13</c:v>
                </c:pt>
                <c:pt idx="82">
                  <c:v>30.114999999999998</c:v>
                </c:pt>
                <c:pt idx="83">
                  <c:v>29.96</c:v>
                </c:pt>
                <c:pt idx="84">
                  <c:v>30.01</c:v>
                </c:pt>
                <c:pt idx="85">
                  <c:v>30.04</c:v>
                </c:pt>
                <c:pt idx="86">
                  <c:v>30.045000000000002</c:v>
                </c:pt>
                <c:pt idx="87">
                  <c:v>30.114999999999998</c:v>
                </c:pt>
                <c:pt idx="88">
                  <c:v>30.03</c:v>
                </c:pt>
                <c:pt idx="89">
                  <c:v>29.91</c:v>
                </c:pt>
                <c:pt idx="90">
                  <c:v>29.88</c:v>
                </c:pt>
                <c:pt idx="91">
                  <c:v>29.844999999999999</c:v>
                </c:pt>
                <c:pt idx="92">
                  <c:v>29.81</c:v>
                </c:pt>
                <c:pt idx="93">
                  <c:v>29.675000000000001</c:v>
                </c:pt>
                <c:pt idx="94">
                  <c:v>29.64</c:v>
                </c:pt>
                <c:pt idx="95">
                  <c:v>29.664999999999999</c:v>
                </c:pt>
                <c:pt idx="96">
                  <c:v>29.805</c:v>
                </c:pt>
                <c:pt idx="97">
                  <c:v>29.815000000000001</c:v>
                </c:pt>
                <c:pt idx="98">
                  <c:v>29.905000000000001</c:v>
                </c:pt>
                <c:pt idx="99">
                  <c:v>29.87</c:v>
                </c:pt>
                <c:pt idx="100">
                  <c:v>29.95</c:v>
                </c:pt>
                <c:pt idx="101">
                  <c:v>30.094999999999999</c:v>
                </c:pt>
                <c:pt idx="102">
                  <c:v>30.164999999999999</c:v>
                </c:pt>
                <c:pt idx="103">
                  <c:v>30.295000000000002</c:v>
                </c:pt>
                <c:pt idx="104">
                  <c:v>30.315000000000001</c:v>
                </c:pt>
                <c:pt idx="105">
                  <c:v>30.274999999999999</c:v>
                </c:pt>
                <c:pt idx="106">
                  <c:v>30.215</c:v>
                </c:pt>
                <c:pt idx="107">
                  <c:v>30.19</c:v>
                </c:pt>
                <c:pt idx="108">
                  <c:v>30.18</c:v>
                </c:pt>
                <c:pt idx="109">
                  <c:v>30.17</c:v>
                </c:pt>
                <c:pt idx="110">
                  <c:v>30.14</c:v>
                </c:pt>
                <c:pt idx="111">
                  <c:v>30.035</c:v>
                </c:pt>
                <c:pt idx="112">
                  <c:v>30.184999999999999</c:v>
                </c:pt>
                <c:pt idx="113">
                  <c:v>30.1</c:v>
                </c:pt>
                <c:pt idx="114">
                  <c:v>29.9</c:v>
                </c:pt>
                <c:pt idx="115">
                  <c:v>29.71</c:v>
                </c:pt>
                <c:pt idx="116">
                  <c:v>29.645</c:v>
                </c:pt>
                <c:pt idx="117">
                  <c:v>29.59</c:v>
                </c:pt>
                <c:pt idx="118">
                  <c:v>29.574999999999999</c:v>
                </c:pt>
                <c:pt idx="119">
                  <c:v>29.545000000000002</c:v>
                </c:pt>
                <c:pt idx="120">
                  <c:v>32.11</c:v>
                </c:pt>
                <c:pt idx="121">
                  <c:v>32.1</c:v>
                </c:pt>
                <c:pt idx="122">
                  <c:v>32.085000000000001</c:v>
                </c:pt>
                <c:pt idx="123">
                  <c:v>32.270000000000003</c:v>
                </c:pt>
                <c:pt idx="124">
                  <c:v>32.465000000000003</c:v>
                </c:pt>
                <c:pt idx="125">
                  <c:v>32.61</c:v>
                </c:pt>
                <c:pt idx="126">
                  <c:v>32.604999999999997</c:v>
                </c:pt>
                <c:pt idx="127">
                  <c:v>32.65</c:v>
                </c:pt>
                <c:pt idx="128">
                  <c:v>32.69</c:v>
                </c:pt>
                <c:pt idx="129">
                  <c:v>32.799999999999997</c:v>
                </c:pt>
                <c:pt idx="130">
                  <c:v>32.805</c:v>
                </c:pt>
                <c:pt idx="131">
                  <c:v>32.700000000000003</c:v>
                </c:pt>
                <c:pt idx="132">
                  <c:v>32.71</c:v>
                </c:pt>
                <c:pt idx="133">
                  <c:v>32.695</c:v>
                </c:pt>
                <c:pt idx="134">
                  <c:v>32.68</c:v>
                </c:pt>
                <c:pt idx="135">
                  <c:v>32.634999999999998</c:v>
                </c:pt>
                <c:pt idx="136">
                  <c:v>32.6</c:v>
                </c:pt>
                <c:pt idx="137">
                  <c:v>32.61</c:v>
                </c:pt>
                <c:pt idx="138">
                  <c:v>32.645000000000003</c:v>
                </c:pt>
                <c:pt idx="139">
                  <c:v>32.6</c:v>
                </c:pt>
                <c:pt idx="140">
                  <c:v>32.615000000000002</c:v>
                </c:pt>
                <c:pt idx="141">
                  <c:v>32.56</c:v>
                </c:pt>
                <c:pt idx="142">
                  <c:v>32.57</c:v>
                </c:pt>
                <c:pt idx="143">
                  <c:v>32.56</c:v>
                </c:pt>
                <c:pt idx="144">
                  <c:v>32.49</c:v>
                </c:pt>
                <c:pt idx="145">
                  <c:v>32.520000000000003</c:v>
                </c:pt>
                <c:pt idx="146">
                  <c:v>32.44</c:v>
                </c:pt>
                <c:pt idx="147">
                  <c:v>32.454999999999998</c:v>
                </c:pt>
                <c:pt idx="148">
                  <c:v>32.424999999999997</c:v>
                </c:pt>
                <c:pt idx="149">
                  <c:v>32.515000000000001</c:v>
                </c:pt>
                <c:pt idx="150">
                  <c:v>32.524999999999999</c:v>
                </c:pt>
                <c:pt idx="151">
                  <c:v>32.42</c:v>
                </c:pt>
                <c:pt idx="152">
                  <c:v>32.395000000000003</c:v>
                </c:pt>
                <c:pt idx="153">
                  <c:v>32.405000000000001</c:v>
                </c:pt>
                <c:pt idx="154">
                  <c:v>32.314999999999998</c:v>
                </c:pt>
                <c:pt idx="155">
                  <c:v>32.35</c:v>
                </c:pt>
                <c:pt idx="156">
                  <c:v>32.395000000000003</c:v>
                </c:pt>
                <c:pt idx="157">
                  <c:v>32.35</c:v>
                </c:pt>
                <c:pt idx="158">
                  <c:v>32.369999999999997</c:v>
                </c:pt>
                <c:pt idx="159">
                  <c:v>32.305</c:v>
                </c:pt>
                <c:pt idx="160">
                  <c:v>32.384999999999998</c:v>
                </c:pt>
                <c:pt idx="161">
                  <c:v>32.409999999999997</c:v>
                </c:pt>
                <c:pt idx="162">
                  <c:v>32.46</c:v>
                </c:pt>
                <c:pt idx="163">
                  <c:v>32.445</c:v>
                </c:pt>
                <c:pt idx="164">
                  <c:v>32.445</c:v>
                </c:pt>
                <c:pt idx="165">
                  <c:v>32.39</c:v>
                </c:pt>
                <c:pt idx="166">
                  <c:v>32.354999999999997</c:v>
                </c:pt>
                <c:pt idx="167">
                  <c:v>32.43</c:v>
                </c:pt>
                <c:pt idx="168">
                  <c:v>32.450000000000003</c:v>
                </c:pt>
                <c:pt idx="169">
                  <c:v>32.585000000000001</c:v>
                </c:pt>
                <c:pt idx="170">
                  <c:v>32.57</c:v>
                </c:pt>
                <c:pt idx="171">
                  <c:v>32.284999999999997</c:v>
                </c:pt>
                <c:pt idx="172">
                  <c:v>32.369999999999997</c:v>
                </c:pt>
                <c:pt idx="173">
                  <c:v>32.375</c:v>
                </c:pt>
                <c:pt idx="174">
                  <c:v>32.380000000000003</c:v>
                </c:pt>
                <c:pt idx="175">
                  <c:v>32.405000000000001</c:v>
                </c:pt>
                <c:pt idx="176">
                  <c:v>32.53</c:v>
                </c:pt>
                <c:pt idx="177">
                  <c:v>32.53</c:v>
                </c:pt>
                <c:pt idx="178">
                  <c:v>32.664999999999999</c:v>
                </c:pt>
                <c:pt idx="179">
                  <c:v>32.57</c:v>
                </c:pt>
                <c:pt idx="180">
                  <c:v>32.72</c:v>
                </c:pt>
                <c:pt idx="181">
                  <c:v>32.564999999999998</c:v>
                </c:pt>
                <c:pt idx="182">
                  <c:v>32.549999999999997</c:v>
                </c:pt>
                <c:pt idx="183">
                  <c:v>32.49</c:v>
                </c:pt>
                <c:pt idx="184">
                  <c:v>32.335000000000001</c:v>
                </c:pt>
                <c:pt idx="185">
                  <c:v>32.465000000000003</c:v>
                </c:pt>
                <c:pt idx="186">
                  <c:v>32.515000000000001</c:v>
                </c:pt>
                <c:pt idx="187">
                  <c:v>32.479999999999997</c:v>
                </c:pt>
                <c:pt idx="188">
                  <c:v>32.384999999999998</c:v>
                </c:pt>
                <c:pt idx="189">
                  <c:v>32.325000000000003</c:v>
                </c:pt>
                <c:pt idx="190">
                  <c:v>32.32</c:v>
                </c:pt>
                <c:pt idx="191">
                  <c:v>32.299999999999997</c:v>
                </c:pt>
                <c:pt idx="192">
                  <c:v>32.274999999999999</c:v>
                </c:pt>
                <c:pt idx="193">
                  <c:v>32.28</c:v>
                </c:pt>
                <c:pt idx="194">
                  <c:v>32.29</c:v>
                </c:pt>
                <c:pt idx="195">
                  <c:v>32.295000000000002</c:v>
                </c:pt>
                <c:pt idx="196">
                  <c:v>32.270000000000003</c:v>
                </c:pt>
                <c:pt idx="197">
                  <c:v>32.090000000000003</c:v>
                </c:pt>
                <c:pt idx="198">
                  <c:v>32.115000000000002</c:v>
                </c:pt>
                <c:pt idx="199">
                  <c:v>32.085000000000001</c:v>
                </c:pt>
                <c:pt idx="200">
                  <c:v>32.104999999999997</c:v>
                </c:pt>
                <c:pt idx="201">
                  <c:v>32.090000000000003</c:v>
                </c:pt>
                <c:pt idx="202">
                  <c:v>32.11</c:v>
                </c:pt>
                <c:pt idx="203">
                  <c:v>32.045000000000002</c:v>
                </c:pt>
                <c:pt idx="204">
                  <c:v>32.075000000000003</c:v>
                </c:pt>
                <c:pt idx="205">
                  <c:v>32.005000000000003</c:v>
                </c:pt>
                <c:pt idx="206">
                  <c:v>32.04</c:v>
                </c:pt>
                <c:pt idx="207">
                  <c:v>32.034999999999997</c:v>
                </c:pt>
                <c:pt idx="208">
                  <c:v>32.14</c:v>
                </c:pt>
                <c:pt idx="209">
                  <c:v>32.200000000000003</c:v>
                </c:pt>
                <c:pt idx="210">
                  <c:v>32.07</c:v>
                </c:pt>
                <c:pt idx="211">
                  <c:v>32.130000000000003</c:v>
                </c:pt>
                <c:pt idx="212">
                  <c:v>32.134999999999998</c:v>
                </c:pt>
                <c:pt idx="213">
                  <c:v>32.11</c:v>
                </c:pt>
                <c:pt idx="214">
                  <c:v>32.08</c:v>
                </c:pt>
                <c:pt idx="215">
                  <c:v>32.19</c:v>
                </c:pt>
                <c:pt idx="216">
                  <c:v>32.145000000000003</c:v>
                </c:pt>
                <c:pt idx="217">
                  <c:v>32.094999999999999</c:v>
                </c:pt>
                <c:pt idx="218">
                  <c:v>32.01</c:v>
                </c:pt>
                <c:pt idx="219">
                  <c:v>32.134999999999998</c:v>
                </c:pt>
                <c:pt idx="220">
                  <c:v>32.07</c:v>
                </c:pt>
                <c:pt idx="221">
                  <c:v>32.164999999999999</c:v>
                </c:pt>
                <c:pt idx="222">
                  <c:v>32.049999999999997</c:v>
                </c:pt>
                <c:pt idx="223">
                  <c:v>32.034999999999997</c:v>
                </c:pt>
                <c:pt idx="224">
                  <c:v>31.85</c:v>
                </c:pt>
                <c:pt idx="225">
                  <c:v>31.715</c:v>
                </c:pt>
                <c:pt idx="226">
                  <c:v>31.84</c:v>
                </c:pt>
                <c:pt idx="227">
                  <c:v>31.774999999999999</c:v>
                </c:pt>
                <c:pt idx="228">
                  <c:v>31.57</c:v>
                </c:pt>
                <c:pt idx="229">
                  <c:v>31.57</c:v>
                </c:pt>
                <c:pt idx="230">
                  <c:v>31.565000000000001</c:v>
                </c:pt>
                <c:pt idx="231">
                  <c:v>31.64</c:v>
                </c:pt>
                <c:pt idx="232">
                  <c:v>31.64</c:v>
                </c:pt>
                <c:pt idx="233">
                  <c:v>31.7</c:v>
                </c:pt>
                <c:pt idx="234">
                  <c:v>31.695</c:v>
                </c:pt>
                <c:pt idx="235">
                  <c:v>31.67</c:v>
                </c:pt>
                <c:pt idx="236">
                  <c:v>31.69</c:v>
                </c:pt>
                <c:pt idx="237">
                  <c:v>31.68</c:v>
                </c:pt>
                <c:pt idx="238">
                  <c:v>31.66</c:v>
                </c:pt>
                <c:pt idx="239">
                  <c:v>31.57</c:v>
                </c:pt>
                <c:pt idx="240">
                  <c:v>31.67</c:v>
                </c:pt>
                <c:pt idx="241">
                  <c:v>31.765000000000001</c:v>
                </c:pt>
                <c:pt idx="242">
                  <c:v>31.785</c:v>
                </c:pt>
                <c:pt idx="243">
                  <c:v>31.78</c:v>
                </c:pt>
                <c:pt idx="244">
                  <c:v>31.77</c:v>
                </c:pt>
                <c:pt idx="245">
                  <c:v>31.785</c:v>
                </c:pt>
                <c:pt idx="246">
                  <c:v>31.78</c:v>
                </c:pt>
                <c:pt idx="247">
                  <c:v>31.82</c:v>
                </c:pt>
                <c:pt idx="248">
                  <c:v>31.73</c:v>
                </c:pt>
                <c:pt idx="249">
                  <c:v>31.56</c:v>
                </c:pt>
                <c:pt idx="250">
                  <c:v>31.44</c:v>
                </c:pt>
                <c:pt idx="251">
                  <c:v>31.25</c:v>
                </c:pt>
                <c:pt idx="252">
                  <c:v>31.29</c:v>
                </c:pt>
                <c:pt idx="253">
                  <c:v>31.465</c:v>
                </c:pt>
                <c:pt idx="254">
                  <c:v>31.44</c:v>
                </c:pt>
                <c:pt idx="255">
                  <c:v>31.57</c:v>
                </c:pt>
                <c:pt idx="256">
                  <c:v>31.635000000000002</c:v>
                </c:pt>
                <c:pt idx="257">
                  <c:v>31.565000000000001</c:v>
                </c:pt>
                <c:pt idx="258">
                  <c:v>31.535</c:v>
                </c:pt>
                <c:pt idx="259">
                  <c:v>31.54</c:v>
                </c:pt>
                <c:pt idx="260">
                  <c:v>31.51</c:v>
                </c:pt>
                <c:pt idx="261">
                  <c:v>31.594999999999999</c:v>
                </c:pt>
                <c:pt idx="262">
                  <c:v>31.73</c:v>
                </c:pt>
                <c:pt idx="263">
                  <c:v>31.725000000000001</c:v>
                </c:pt>
                <c:pt idx="264">
                  <c:v>31.78</c:v>
                </c:pt>
                <c:pt idx="265">
                  <c:v>31.69</c:v>
                </c:pt>
                <c:pt idx="266">
                  <c:v>31.53</c:v>
                </c:pt>
                <c:pt idx="267">
                  <c:v>31.67</c:v>
                </c:pt>
                <c:pt idx="268">
                  <c:v>31.79</c:v>
                </c:pt>
                <c:pt idx="269">
                  <c:v>31.66</c:v>
                </c:pt>
                <c:pt idx="270">
                  <c:v>31.62</c:v>
                </c:pt>
                <c:pt idx="271">
                  <c:v>31.54</c:v>
                </c:pt>
                <c:pt idx="272">
                  <c:v>31.51</c:v>
                </c:pt>
                <c:pt idx="273">
                  <c:v>31.55</c:v>
                </c:pt>
                <c:pt idx="274">
                  <c:v>31.53</c:v>
                </c:pt>
                <c:pt idx="275">
                  <c:v>31.41</c:v>
                </c:pt>
                <c:pt idx="276">
                  <c:v>31.56</c:v>
                </c:pt>
                <c:pt idx="277">
                  <c:v>31.565000000000001</c:v>
                </c:pt>
                <c:pt idx="278">
                  <c:v>31.535</c:v>
                </c:pt>
                <c:pt idx="279">
                  <c:v>31.58</c:v>
                </c:pt>
                <c:pt idx="280">
                  <c:v>31.625</c:v>
                </c:pt>
                <c:pt idx="281">
                  <c:v>31.88</c:v>
                </c:pt>
                <c:pt idx="282">
                  <c:v>31.88</c:v>
                </c:pt>
                <c:pt idx="283">
                  <c:v>31.9</c:v>
                </c:pt>
                <c:pt idx="284">
                  <c:v>32.075000000000003</c:v>
                </c:pt>
                <c:pt idx="285">
                  <c:v>32.06</c:v>
                </c:pt>
                <c:pt idx="286">
                  <c:v>32.03</c:v>
                </c:pt>
                <c:pt idx="287">
                  <c:v>32.17</c:v>
                </c:pt>
                <c:pt idx="288">
                  <c:v>32.284999999999997</c:v>
                </c:pt>
                <c:pt idx="289">
                  <c:v>32.29</c:v>
                </c:pt>
                <c:pt idx="290">
                  <c:v>32.244999999999997</c:v>
                </c:pt>
                <c:pt idx="291">
                  <c:v>32.414999999999999</c:v>
                </c:pt>
                <c:pt idx="292">
                  <c:v>32.375</c:v>
                </c:pt>
                <c:pt idx="293">
                  <c:v>32.435000000000002</c:v>
                </c:pt>
                <c:pt idx="294">
                  <c:v>32.450000000000003</c:v>
                </c:pt>
                <c:pt idx="295">
                  <c:v>32.47</c:v>
                </c:pt>
                <c:pt idx="296">
                  <c:v>32.43</c:v>
                </c:pt>
                <c:pt idx="297">
                  <c:v>32.43</c:v>
                </c:pt>
                <c:pt idx="298">
                  <c:v>32.44</c:v>
                </c:pt>
                <c:pt idx="299">
                  <c:v>32.450000000000003</c:v>
                </c:pt>
                <c:pt idx="300">
                  <c:v>32.33</c:v>
                </c:pt>
                <c:pt idx="301">
                  <c:v>32.204999999999998</c:v>
                </c:pt>
                <c:pt idx="302">
                  <c:v>32.215000000000003</c:v>
                </c:pt>
                <c:pt idx="303">
                  <c:v>32.225000000000001</c:v>
                </c:pt>
                <c:pt idx="304">
                  <c:v>32.174999999999997</c:v>
                </c:pt>
                <c:pt idx="305">
                  <c:v>32.159999999999997</c:v>
                </c:pt>
                <c:pt idx="306">
                  <c:v>32.11</c:v>
                </c:pt>
                <c:pt idx="307">
                  <c:v>32.185000000000002</c:v>
                </c:pt>
                <c:pt idx="308">
                  <c:v>32.15</c:v>
                </c:pt>
                <c:pt idx="309">
                  <c:v>32.094999999999999</c:v>
                </c:pt>
                <c:pt idx="310">
                  <c:v>32.075000000000003</c:v>
                </c:pt>
                <c:pt idx="311">
                  <c:v>32.075000000000003</c:v>
                </c:pt>
                <c:pt idx="312">
                  <c:v>32.229999999999997</c:v>
                </c:pt>
                <c:pt idx="313">
                  <c:v>32.22</c:v>
                </c:pt>
                <c:pt idx="314">
                  <c:v>32.145000000000003</c:v>
                </c:pt>
                <c:pt idx="315">
                  <c:v>32.049999999999997</c:v>
                </c:pt>
                <c:pt idx="316">
                  <c:v>32.130000000000003</c:v>
                </c:pt>
                <c:pt idx="317">
                  <c:v>32.15</c:v>
                </c:pt>
                <c:pt idx="318">
                  <c:v>32.045000000000002</c:v>
                </c:pt>
                <c:pt idx="319">
                  <c:v>31.99</c:v>
                </c:pt>
                <c:pt idx="320">
                  <c:v>31.97</c:v>
                </c:pt>
                <c:pt idx="321">
                  <c:v>31.925000000000001</c:v>
                </c:pt>
                <c:pt idx="322">
                  <c:v>31.954999999999998</c:v>
                </c:pt>
                <c:pt idx="323">
                  <c:v>31.995000000000001</c:v>
                </c:pt>
                <c:pt idx="324">
                  <c:v>31.984999999999999</c:v>
                </c:pt>
                <c:pt idx="325">
                  <c:v>31.945</c:v>
                </c:pt>
                <c:pt idx="326">
                  <c:v>31.93</c:v>
                </c:pt>
                <c:pt idx="327">
                  <c:v>31.984999999999999</c:v>
                </c:pt>
                <c:pt idx="328">
                  <c:v>31.995000000000001</c:v>
                </c:pt>
                <c:pt idx="329">
                  <c:v>31.85</c:v>
                </c:pt>
                <c:pt idx="330">
                  <c:v>31.87</c:v>
                </c:pt>
                <c:pt idx="331">
                  <c:v>31.94</c:v>
                </c:pt>
                <c:pt idx="332">
                  <c:v>31.995000000000001</c:v>
                </c:pt>
                <c:pt idx="333">
                  <c:v>31.995000000000001</c:v>
                </c:pt>
                <c:pt idx="334">
                  <c:v>32</c:v>
                </c:pt>
                <c:pt idx="335">
                  <c:v>32.04</c:v>
                </c:pt>
                <c:pt idx="336">
                  <c:v>31.895</c:v>
                </c:pt>
                <c:pt idx="337">
                  <c:v>31.77</c:v>
                </c:pt>
                <c:pt idx="338">
                  <c:v>31.78</c:v>
                </c:pt>
                <c:pt idx="339">
                  <c:v>31.864999999999998</c:v>
                </c:pt>
                <c:pt idx="340">
                  <c:v>31.84</c:v>
                </c:pt>
                <c:pt idx="341">
                  <c:v>31.875</c:v>
                </c:pt>
                <c:pt idx="342">
                  <c:v>31.89</c:v>
                </c:pt>
                <c:pt idx="343">
                  <c:v>31.835000000000001</c:v>
                </c:pt>
                <c:pt idx="344">
                  <c:v>31.81</c:v>
                </c:pt>
                <c:pt idx="345">
                  <c:v>31.704999999999998</c:v>
                </c:pt>
                <c:pt idx="346">
                  <c:v>31.905000000000001</c:v>
                </c:pt>
                <c:pt idx="347">
                  <c:v>32.015000000000001</c:v>
                </c:pt>
                <c:pt idx="348">
                  <c:v>32.015000000000001</c:v>
                </c:pt>
                <c:pt idx="349">
                  <c:v>32.015000000000001</c:v>
                </c:pt>
                <c:pt idx="350">
                  <c:v>32.055</c:v>
                </c:pt>
                <c:pt idx="351">
                  <c:v>32.01</c:v>
                </c:pt>
                <c:pt idx="352">
                  <c:v>31.97</c:v>
                </c:pt>
                <c:pt idx="353">
                  <c:v>31.95</c:v>
                </c:pt>
                <c:pt idx="354">
                  <c:v>31.975000000000001</c:v>
                </c:pt>
                <c:pt idx="355">
                  <c:v>32.1</c:v>
                </c:pt>
                <c:pt idx="356">
                  <c:v>32.145000000000003</c:v>
                </c:pt>
                <c:pt idx="357">
                  <c:v>32.159999999999997</c:v>
                </c:pt>
                <c:pt idx="358">
                  <c:v>32.17</c:v>
                </c:pt>
                <c:pt idx="359">
                  <c:v>32.18</c:v>
                </c:pt>
                <c:pt idx="360">
                  <c:v>32.134999999999998</c:v>
                </c:pt>
                <c:pt idx="361">
                  <c:v>32.195</c:v>
                </c:pt>
                <c:pt idx="362">
                  <c:v>32.24</c:v>
                </c:pt>
                <c:pt idx="363">
                  <c:v>32.115000000000002</c:v>
                </c:pt>
                <c:pt idx="364">
                  <c:v>31.975000000000001</c:v>
                </c:pt>
                <c:pt idx="365">
                  <c:v>32.090000000000003</c:v>
                </c:pt>
                <c:pt idx="366">
                  <c:v>32.094999999999999</c:v>
                </c:pt>
                <c:pt idx="367">
                  <c:v>31.98</c:v>
                </c:pt>
                <c:pt idx="368">
                  <c:v>31.895</c:v>
                </c:pt>
                <c:pt idx="369">
                  <c:v>31.83</c:v>
                </c:pt>
                <c:pt idx="370">
                  <c:v>31.61</c:v>
                </c:pt>
                <c:pt idx="371">
                  <c:v>31.704999999999998</c:v>
                </c:pt>
                <c:pt idx="372">
                  <c:v>31.7</c:v>
                </c:pt>
                <c:pt idx="373">
                  <c:v>31.66</c:v>
                </c:pt>
                <c:pt idx="374">
                  <c:v>31.675000000000001</c:v>
                </c:pt>
                <c:pt idx="375">
                  <c:v>31.58</c:v>
                </c:pt>
                <c:pt idx="376">
                  <c:v>31.6</c:v>
                </c:pt>
                <c:pt idx="377">
                  <c:v>31.59</c:v>
                </c:pt>
                <c:pt idx="378">
                  <c:v>31.6</c:v>
                </c:pt>
                <c:pt idx="379">
                  <c:v>31.504999999999999</c:v>
                </c:pt>
                <c:pt idx="380">
                  <c:v>31.465</c:v>
                </c:pt>
                <c:pt idx="381">
                  <c:v>31.56</c:v>
                </c:pt>
                <c:pt idx="382">
                  <c:v>31.434999999999999</c:v>
                </c:pt>
                <c:pt idx="383">
                  <c:v>31.47</c:v>
                </c:pt>
                <c:pt idx="384">
                  <c:v>31.38</c:v>
                </c:pt>
                <c:pt idx="385">
                  <c:v>31.26</c:v>
                </c:pt>
                <c:pt idx="386">
                  <c:v>31.2</c:v>
                </c:pt>
                <c:pt idx="387">
                  <c:v>31.1</c:v>
                </c:pt>
                <c:pt idx="388">
                  <c:v>31.065000000000001</c:v>
                </c:pt>
                <c:pt idx="389">
                  <c:v>31.02</c:v>
                </c:pt>
                <c:pt idx="390">
                  <c:v>31.02</c:v>
                </c:pt>
                <c:pt idx="391">
                  <c:v>31.03</c:v>
                </c:pt>
                <c:pt idx="392">
                  <c:v>31.14</c:v>
                </c:pt>
                <c:pt idx="393">
                  <c:v>31.175000000000001</c:v>
                </c:pt>
                <c:pt idx="394">
                  <c:v>31.164999999999999</c:v>
                </c:pt>
                <c:pt idx="395">
                  <c:v>31.125</c:v>
                </c:pt>
                <c:pt idx="396">
                  <c:v>31.21</c:v>
                </c:pt>
                <c:pt idx="397">
                  <c:v>31.18</c:v>
                </c:pt>
                <c:pt idx="398">
                  <c:v>31.17</c:v>
                </c:pt>
                <c:pt idx="399">
                  <c:v>31.15</c:v>
                </c:pt>
                <c:pt idx="400">
                  <c:v>31.155000000000001</c:v>
                </c:pt>
                <c:pt idx="401">
                  <c:v>31.11</c:v>
                </c:pt>
                <c:pt idx="402">
                  <c:v>31.13</c:v>
                </c:pt>
                <c:pt idx="403">
                  <c:v>31.1</c:v>
                </c:pt>
                <c:pt idx="404">
                  <c:v>31</c:v>
                </c:pt>
                <c:pt idx="405">
                  <c:v>30.984999999999999</c:v>
                </c:pt>
                <c:pt idx="406">
                  <c:v>30.96</c:v>
                </c:pt>
                <c:pt idx="407">
                  <c:v>31.03</c:v>
                </c:pt>
                <c:pt idx="408">
                  <c:v>30.95</c:v>
                </c:pt>
                <c:pt idx="409">
                  <c:v>30.93</c:v>
                </c:pt>
                <c:pt idx="410">
                  <c:v>30.97</c:v>
                </c:pt>
                <c:pt idx="411">
                  <c:v>30.835000000000001</c:v>
                </c:pt>
                <c:pt idx="412">
                  <c:v>30.93</c:v>
                </c:pt>
                <c:pt idx="413">
                  <c:v>30.89</c:v>
                </c:pt>
                <c:pt idx="414">
                  <c:v>30.74</c:v>
                </c:pt>
                <c:pt idx="415">
                  <c:v>30.85</c:v>
                </c:pt>
                <c:pt idx="416">
                  <c:v>30.89</c:v>
                </c:pt>
                <c:pt idx="417">
                  <c:v>30.91</c:v>
                </c:pt>
                <c:pt idx="418">
                  <c:v>30.94</c:v>
                </c:pt>
                <c:pt idx="419">
                  <c:v>30.925000000000001</c:v>
                </c:pt>
                <c:pt idx="420">
                  <c:v>30.94</c:v>
                </c:pt>
                <c:pt idx="421">
                  <c:v>31.035</c:v>
                </c:pt>
                <c:pt idx="422">
                  <c:v>31.175000000000001</c:v>
                </c:pt>
                <c:pt idx="423">
                  <c:v>31.19</c:v>
                </c:pt>
                <c:pt idx="424">
                  <c:v>30.995000000000001</c:v>
                </c:pt>
                <c:pt idx="425">
                  <c:v>30.82</c:v>
                </c:pt>
                <c:pt idx="426">
                  <c:v>30.725000000000001</c:v>
                </c:pt>
                <c:pt idx="427">
                  <c:v>30.695</c:v>
                </c:pt>
                <c:pt idx="428">
                  <c:v>30.72</c:v>
                </c:pt>
                <c:pt idx="429">
                  <c:v>30.62</c:v>
                </c:pt>
                <c:pt idx="430">
                  <c:v>30.594999999999999</c:v>
                </c:pt>
                <c:pt idx="431">
                  <c:v>30.61</c:v>
                </c:pt>
                <c:pt idx="432">
                  <c:v>30.594999999999999</c:v>
                </c:pt>
                <c:pt idx="433">
                  <c:v>30.61</c:v>
                </c:pt>
                <c:pt idx="434">
                  <c:v>30.465</c:v>
                </c:pt>
                <c:pt idx="435">
                  <c:v>30.305</c:v>
                </c:pt>
                <c:pt idx="436">
                  <c:v>30.305</c:v>
                </c:pt>
                <c:pt idx="437">
                  <c:v>30.465</c:v>
                </c:pt>
                <c:pt idx="438">
                  <c:v>30.655000000000001</c:v>
                </c:pt>
                <c:pt idx="439">
                  <c:v>30.73</c:v>
                </c:pt>
                <c:pt idx="440">
                  <c:v>30.795000000000002</c:v>
                </c:pt>
                <c:pt idx="441">
                  <c:v>30.87</c:v>
                </c:pt>
                <c:pt idx="442">
                  <c:v>30.9</c:v>
                </c:pt>
                <c:pt idx="443">
                  <c:v>30.95</c:v>
                </c:pt>
                <c:pt idx="444">
                  <c:v>30.91</c:v>
                </c:pt>
                <c:pt idx="445">
                  <c:v>30.835000000000001</c:v>
                </c:pt>
                <c:pt idx="446">
                  <c:v>30.925000000000001</c:v>
                </c:pt>
                <c:pt idx="447">
                  <c:v>31.114999999999998</c:v>
                </c:pt>
                <c:pt idx="448">
                  <c:v>31.1</c:v>
                </c:pt>
                <c:pt idx="449">
                  <c:v>31.1</c:v>
                </c:pt>
                <c:pt idx="450">
                  <c:v>30.97</c:v>
                </c:pt>
                <c:pt idx="451">
                  <c:v>31.12</c:v>
                </c:pt>
                <c:pt idx="452">
                  <c:v>31.094999999999999</c:v>
                </c:pt>
                <c:pt idx="453">
                  <c:v>31.08</c:v>
                </c:pt>
                <c:pt idx="454">
                  <c:v>31.004999999999999</c:v>
                </c:pt>
                <c:pt idx="455">
                  <c:v>31.07</c:v>
                </c:pt>
                <c:pt idx="456">
                  <c:v>30.855</c:v>
                </c:pt>
                <c:pt idx="457">
                  <c:v>30.844999999999999</c:v>
                </c:pt>
                <c:pt idx="458">
                  <c:v>31.06</c:v>
                </c:pt>
                <c:pt idx="459">
                  <c:v>31.16</c:v>
                </c:pt>
                <c:pt idx="460">
                  <c:v>31.225000000000001</c:v>
                </c:pt>
                <c:pt idx="461">
                  <c:v>31.13</c:v>
                </c:pt>
                <c:pt idx="462">
                  <c:v>31.195</c:v>
                </c:pt>
                <c:pt idx="463">
                  <c:v>31.024999999999999</c:v>
                </c:pt>
                <c:pt idx="464">
                  <c:v>31.24</c:v>
                </c:pt>
                <c:pt idx="465">
                  <c:v>31.45</c:v>
                </c:pt>
                <c:pt idx="466">
                  <c:v>31.61</c:v>
                </c:pt>
                <c:pt idx="467">
                  <c:v>31.695</c:v>
                </c:pt>
                <c:pt idx="468">
                  <c:v>31.94</c:v>
                </c:pt>
                <c:pt idx="469">
                  <c:v>31.934999999999999</c:v>
                </c:pt>
                <c:pt idx="470">
                  <c:v>31.96</c:v>
                </c:pt>
                <c:pt idx="471">
                  <c:v>31.864999999999998</c:v>
                </c:pt>
                <c:pt idx="472">
                  <c:v>31.85</c:v>
                </c:pt>
                <c:pt idx="473">
                  <c:v>31.805</c:v>
                </c:pt>
                <c:pt idx="474">
                  <c:v>31.75</c:v>
                </c:pt>
                <c:pt idx="475">
                  <c:v>31.895</c:v>
                </c:pt>
                <c:pt idx="476">
                  <c:v>31.965</c:v>
                </c:pt>
                <c:pt idx="477">
                  <c:v>32.085000000000001</c:v>
                </c:pt>
                <c:pt idx="478">
                  <c:v>32.024999999999999</c:v>
                </c:pt>
                <c:pt idx="479">
                  <c:v>32.034999999999997</c:v>
                </c:pt>
                <c:pt idx="480">
                  <c:v>32.03</c:v>
                </c:pt>
                <c:pt idx="481">
                  <c:v>32.049999999999997</c:v>
                </c:pt>
                <c:pt idx="482">
                  <c:v>31.96</c:v>
                </c:pt>
                <c:pt idx="483">
                  <c:v>31.92</c:v>
                </c:pt>
                <c:pt idx="484">
                  <c:v>31.954999999999998</c:v>
                </c:pt>
                <c:pt idx="485">
                  <c:v>31.93</c:v>
                </c:pt>
                <c:pt idx="486">
                  <c:v>31.925000000000001</c:v>
                </c:pt>
                <c:pt idx="487">
                  <c:v>31.9</c:v>
                </c:pt>
                <c:pt idx="488">
                  <c:v>31.9</c:v>
                </c:pt>
                <c:pt idx="489">
                  <c:v>31.88</c:v>
                </c:pt>
                <c:pt idx="490">
                  <c:v>31.824999999999999</c:v>
                </c:pt>
                <c:pt idx="491">
                  <c:v>31.725000000000001</c:v>
                </c:pt>
                <c:pt idx="492">
                  <c:v>31.71</c:v>
                </c:pt>
                <c:pt idx="493">
                  <c:v>31.815000000000001</c:v>
                </c:pt>
                <c:pt idx="494">
                  <c:v>31.875</c:v>
                </c:pt>
                <c:pt idx="495">
                  <c:v>31.93</c:v>
                </c:pt>
                <c:pt idx="496">
                  <c:v>31.934999999999999</c:v>
                </c:pt>
                <c:pt idx="497">
                  <c:v>31.85</c:v>
                </c:pt>
                <c:pt idx="498">
                  <c:v>31.87</c:v>
                </c:pt>
                <c:pt idx="499">
                  <c:v>31.844999999999999</c:v>
                </c:pt>
                <c:pt idx="500">
                  <c:v>31.83</c:v>
                </c:pt>
                <c:pt idx="501">
                  <c:v>31.76</c:v>
                </c:pt>
                <c:pt idx="502">
                  <c:v>31.715</c:v>
                </c:pt>
                <c:pt idx="503">
                  <c:v>31.73</c:v>
                </c:pt>
                <c:pt idx="504">
                  <c:v>31.71</c:v>
                </c:pt>
                <c:pt idx="505">
                  <c:v>31.62</c:v>
                </c:pt>
                <c:pt idx="506">
                  <c:v>31.594999999999999</c:v>
                </c:pt>
                <c:pt idx="507">
                  <c:v>31.58</c:v>
                </c:pt>
                <c:pt idx="508">
                  <c:v>31.524999999999999</c:v>
                </c:pt>
                <c:pt idx="509">
                  <c:v>31.504999999999999</c:v>
                </c:pt>
                <c:pt idx="510">
                  <c:v>31.58</c:v>
                </c:pt>
                <c:pt idx="511">
                  <c:v>31.63</c:v>
                </c:pt>
                <c:pt idx="512">
                  <c:v>31.594999999999999</c:v>
                </c:pt>
                <c:pt idx="513">
                  <c:v>31.605</c:v>
                </c:pt>
                <c:pt idx="514">
                  <c:v>31.594999999999999</c:v>
                </c:pt>
                <c:pt idx="515">
                  <c:v>31.565000000000001</c:v>
                </c:pt>
                <c:pt idx="516">
                  <c:v>31.495000000000001</c:v>
                </c:pt>
                <c:pt idx="517">
                  <c:v>31.48</c:v>
                </c:pt>
                <c:pt idx="518">
                  <c:v>31.46</c:v>
                </c:pt>
                <c:pt idx="519">
                  <c:v>31.46</c:v>
                </c:pt>
                <c:pt idx="520">
                  <c:v>31.46</c:v>
                </c:pt>
                <c:pt idx="521">
                  <c:v>31.484999999999999</c:v>
                </c:pt>
                <c:pt idx="522">
                  <c:v>31.48</c:v>
                </c:pt>
                <c:pt idx="523">
                  <c:v>31.45</c:v>
                </c:pt>
                <c:pt idx="524">
                  <c:v>31.385000000000002</c:v>
                </c:pt>
                <c:pt idx="525">
                  <c:v>31.53</c:v>
                </c:pt>
                <c:pt idx="526">
                  <c:v>31.54</c:v>
                </c:pt>
                <c:pt idx="527">
                  <c:v>31.57</c:v>
                </c:pt>
                <c:pt idx="528">
                  <c:v>31.55</c:v>
                </c:pt>
                <c:pt idx="529">
                  <c:v>31.574999999999999</c:v>
                </c:pt>
                <c:pt idx="530">
                  <c:v>31.495000000000001</c:v>
                </c:pt>
                <c:pt idx="531">
                  <c:v>31.524999999999999</c:v>
                </c:pt>
                <c:pt idx="532">
                  <c:v>31.53</c:v>
                </c:pt>
                <c:pt idx="533">
                  <c:v>31.4</c:v>
                </c:pt>
                <c:pt idx="534">
                  <c:v>31.364999999999998</c:v>
                </c:pt>
                <c:pt idx="535">
                  <c:v>31.34</c:v>
                </c:pt>
                <c:pt idx="536">
                  <c:v>31.41</c:v>
                </c:pt>
                <c:pt idx="537">
                  <c:v>31.27</c:v>
                </c:pt>
                <c:pt idx="538">
                  <c:v>31.29</c:v>
                </c:pt>
                <c:pt idx="539">
                  <c:v>31.234999999999999</c:v>
                </c:pt>
                <c:pt idx="540">
                  <c:v>31.225000000000001</c:v>
                </c:pt>
                <c:pt idx="541">
                  <c:v>31.11</c:v>
                </c:pt>
                <c:pt idx="542">
                  <c:v>31.02</c:v>
                </c:pt>
                <c:pt idx="543">
                  <c:v>30.995000000000001</c:v>
                </c:pt>
                <c:pt idx="544">
                  <c:v>30.824999999999999</c:v>
                </c:pt>
                <c:pt idx="545">
                  <c:v>30.835000000000001</c:v>
                </c:pt>
                <c:pt idx="546">
                  <c:v>30.905000000000001</c:v>
                </c:pt>
                <c:pt idx="547">
                  <c:v>30.96</c:v>
                </c:pt>
                <c:pt idx="548">
                  <c:v>30.835000000000001</c:v>
                </c:pt>
                <c:pt idx="549">
                  <c:v>30.67</c:v>
                </c:pt>
                <c:pt idx="550">
                  <c:v>30.66</c:v>
                </c:pt>
                <c:pt idx="551">
                  <c:v>30.585000000000001</c:v>
                </c:pt>
                <c:pt idx="552">
                  <c:v>30.645</c:v>
                </c:pt>
                <c:pt idx="553">
                  <c:v>30.484999999999999</c:v>
                </c:pt>
                <c:pt idx="554">
                  <c:v>30.67</c:v>
                </c:pt>
                <c:pt idx="555">
                  <c:v>30.83</c:v>
                </c:pt>
                <c:pt idx="556">
                  <c:v>30.914999999999999</c:v>
                </c:pt>
                <c:pt idx="557">
                  <c:v>30.984999999999999</c:v>
                </c:pt>
                <c:pt idx="558">
                  <c:v>30.934999999999999</c:v>
                </c:pt>
                <c:pt idx="559">
                  <c:v>30.83</c:v>
                </c:pt>
                <c:pt idx="560">
                  <c:v>30.75</c:v>
                </c:pt>
                <c:pt idx="561">
                  <c:v>30.715</c:v>
                </c:pt>
                <c:pt idx="562">
                  <c:v>30.734999999999999</c:v>
                </c:pt>
                <c:pt idx="563">
                  <c:v>30.74</c:v>
                </c:pt>
                <c:pt idx="564">
                  <c:v>30.67</c:v>
                </c:pt>
                <c:pt idx="565">
                  <c:v>30.67</c:v>
                </c:pt>
                <c:pt idx="566">
                  <c:v>30.625</c:v>
                </c:pt>
                <c:pt idx="567">
                  <c:v>30.61</c:v>
                </c:pt>
                <c:pt idx="568">
                  <c:v>30.51</c:v>
                </c:pt>
                <c:pt idx="569">
                  <c:v>30.495000000000001</c:v>
                </c:pt>
                <c:pt idx="570">
                  <c:v>30.395</c:v>
                </c:pt>
                <c:pt idx="571">
                  <c:v>30.335000000000001</c:v>
                </c:pt>
                <c:pt idx="572">
                  <c:v>30.3</c:v>
                </c:pt>
                <c:pt idx="573">
                  <c:v>30.315000000000001</c:v>
                </c:pt>
                <c:pt idx="574">
                  <c:v>30.31</c:v>
                </c:pt>
                <c:pt idx="575">
                  <c:v>30.3</c:v>
                </c:pt>
                <c:pt idx="576">
                  <c:v>30.344999999999999</c:v>
                </c:pt>
                <c:pt idx="577">
                  <c:v>30.32</c:v>
                </c:pt>
                <c:pt idx="578">
                  <c:v>30.355</c:v>
                </c:pt>
                <c:pt idx="579">
                  <c:v>30.305</c:v>
                </c:pt>
                <c:pt idx="580">
                  <c:v>30.324999999999999</c:v>
                </c:pt>
                <c:pt idx="581">
                  <c:v>30.29</c:v>
                </c:pt>
                <c:pt idx="582">
                  <c:v>30.26</c:v>
                </c:pt>
                <c:pt idx="583">
                  <c:v>30.335000000000001</c:v>
                </c:pt>
                <c:pt idx="584">
                  <c:v>30.35</c:v>
                </c:pt>
                <c:pt idx="585">
                  <c:v>30.245000000000001</c:v>
                </c:pt>
                <c:pt idx="586">
                  <c:v>30.245000000000001</c:v>
                </c:pt>
                <c:pt idx="587">
                  <c:v>30.344999999999999</c:v>
                </c:pt>
                <c:pt idx="588">
                  <c:v>30.385000000000002</c:v>
                </c:pt>
                <c:pt idx="589">
                  <c:v>30.395</c:v>
                </c:pt>
                <c:pt idx="590">
                  <c:v>30.35</c:v>
                </c:pt>
                <c:pt idx="591">
                  <c:v>30.28</c:v>
                </c:pt>
                <c:pt idx="592">
                  <c:v>30.274999999999999</c:v>
                </c:pt>
                <c:pt idx="593">
                  <c:v>30.364999999999998</c:v>
                </c:pt>
                <c:pt idx="594">
                  <c:v>30.414999999999999</c:v>
                </c:pt>
                <c:pt idx="595">
                  <c:v>30.405000000000001</c:v>
                </c:pt>
                <c:pt idx="596">
                  <c:v>30.405000000000001</c:v>
                </c:pt>
                <c:pt idx="597">
                  <c:v>30.35</c:v>
                </c:pt>
                <c:pt idx="598">
                  <c:v>30.33</c:v>
                </c:pt>
                <c:pt idx="599">
                  <c:v>30.324999999999999</c:v>
                </c:pt>
                <c:pt idx="600">
                  <c:v>30.295000000000002</c:v>
                </c:pt>
                <c:pt idx="601">
                  <c:v>30.274999999999999</c:v>
                </c:pt>
                <c:pt idx="602">
                  <c:v>30.234999999999999</c:v>
                </c:pt>
                <c:pt idx="603">
                  <c:v>30.27</c:v>
                </c:pt>
                <c:pt idx="604">
                  <c:v>30.344999999999999</c:v>
                </c:pt>
                <c:pt idx="605">
                  <c:v>30.375</c:v>
                </c:pt>
                <c:pt idx="606">
                  <c:v>30.34</c:v>
                </c:pt>
                <c:pt idx="607">
                  <c:v>30.305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E-454B-B799-B999671F9FD1}"/>
            </c:ext>
          </c:extLst>
        </c:ser>
        <c:ser>
          <c:idx val="1"/>
          <c:order val="1"/>
          <c:tx>
            <c:strRef>
              <c:f>匯率!$K$2</c:f>
              <c:strCache>
                <c:ptCount val="1"/>
                <c:pt idx="0">
                  <c:v>現鈔賣出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匯率!$K$3:$K$610</c:f>
              <c:numCache>
                <c:formatCode>General</c:formatCode>
                <c:ptCount val="608"/>
                <c:pt idx="0">
                  <c:v>31.835000000000001</c:v>
                </c:pt>
                <c:pt idx="1">
                  <c:v>31.824999999999999</c:v>
                </c:pt>
                <c:pt idx="2">
                  <c:v>31.87</c:v>
                </c:pt>
                <c:pt idx="3">
                  <c:v>31.734999999999999</c:v>
                </c:pt>
                <c:pt idx="4">
                  <c:v>31.57</c:v>
                </c:pt>
                <c:pt idx="5">
                  <c:v>31.56</c:v>
                </c:pt>
                <c:pt idx="6">
                  <c:v>31.7</c:v>
                </c:pt>
                <c:pt idx="7">
                  <c:v>31.765000000000001</c:v>
                </c:pt>
                <c:pt idx="8">
                  <c:v>31.82</c:v>
                </c:pt>
                <c:pt idx="9">
                  <c:v>31.87</c:v>
                </c:pt>
                <c:pt idx="10">
                  <c:v>31.91</c:v>
                </c:pt>
                <c:pt idx="11">
                  <c:v>31.875</c:v>
                </c:pt>
                <c:pt idx="12">
                  <c:v>31.864999999999998</c:v>
                </c:pt>
                <c:pt idx="13">
                  <c:v>31.83</c:v>
                </c:pt>
                <c:pt idx="14">
                  <c:v>31.844999999999999</c:v>
                </c:pt>
                <c:pt idx="15">
                  <c:v>31.9</c:v>
                </c:pt>
                <c:pt idx="16">
                  <c:v>31.92</c:v>
                </c:pt>
                <c:pt idx="17">
                  <c:v>31.91</c:v>
                </c:pt>
                <c:pt idx="18">
                  <c:v>31.87</c:v>
                </c:pt>
                <c:pt idx="19">
                  <c:v>31.844999999999999</c:v>
                </c:pt>
                <c:pt idx="20">
                  <c:v>31.78</c:v>
                </c:pt>
                <c:pt idx="21">
                  <c:v>31.79</c:v>
                </c:pt>
                <c:pt idx="22">
                  <c:v>31.81</c:v>
                </c:pt>
                <c:pt idx="23">
                  <c:v>31.69</c:v>
                </c:pt>
                <c:pt idx="24">
                  <c:v>31.7</c:v>
                </c:pt>
                <c:pt idx="25">
                  <c:v>31.645</c:v>
                </c:pt>
                <c:pt idx="26">
                  <c:v>31.71</c:v>
                </c:pt>
                <c:pt idx="27">
                  <c:v>31.715</c:v>
                </c:pt>
                <c:pt idx="28">
                  <c:v>31.745000000000001</c:v>
                </c:pt>
                <c:pt idx="29">
                  <c:v>31.79</c:v>
                </c:pt>
                <c:pt idx="30">
                  <c:v>31.8</c:v>
                </c:pt>
                <c:pt idx="31">
                  <c:v>31.805</c:v>
                </c:pt>
                <c:pt idx="32">
                  <c:v>31.79</c:v>
                </c:pt>
                <c:pt idx="33">
                  <c:v>31.805</c:v>
                </c:pt>
                <c:pt idx="34">
                  <c:v>31.74</c:v>
                </c:pt>
                <c:pt idx="35">
                  <c:v>31.65</c:v>
                </c:pt>
                <c:pt idx="36">
                  <c:v>31.43</c:v>
                </c:pt>
                <c:pt idx="37">
                  <c:v>31.524999999999999</c:v>
                </c:pt>
                <c:pt idx="38">
                  <c:v>31.46</c:v>
                </c:pt>
                <c:pt idx="39">
                  <c:v>31.465</c:v>
                </c:pt>
                <c:pt idx="40">
                  <c:v>31.46</c:v>
                </c:pt>
                <c:pt idx="41">
                  <c:v>31.51</c:v>
                </c:pt>
                <c:pt idx="42">
                  <c:v>31.594999999999999</c:v>
                </c:pt>
                <c:pt idx="43">
                  <c:v>31.59</c:v>
                </c:pt>
                <c:pt idx="44">
                  <c:v>31.68</c:v>
                </c:pt>
                <c:pt idx="45">
                  <c:v>31.7</c:v>
                </c:pt>
                <c:pt idx="46">
                  <c:v>31.67</c:v>
                </c:pt>
                <c:pt idx="47">
                  <c:v>31.594999999999999</c:v>
                </c:pt>
                <c:pt idx="48">
                  <c:v>31.61</c:v>
                </c:pt>
                <c:pt idx="49">
                  <c:v>31.71</c:v>
                </c:pt>
                <c:pt idx="50">
                  <c:v>31.704999999999998</c:v>
                </c:pt>
                <c:pt idx="51">
                  <c:v>31.69</c:v>
                </c:pt>
                <c:pt idx="52">
                  <c:v>31.56</c:v>
                </c:pt>
                <c:pt idx="53">
                  <c:v>31.51</c:v>
                </c:pt>
                <c:pt idx="54">
                  <c:v>31.46</c:v>
                </c:pt>
                <c:pt idx="55">
                  <c:v>31.43</c:v>
                </c:pt>
                <c:pt idx="56">
                  <c:v>31.41</c:v>
                </c:pt>
                <c:pt idx="57">
                  <c:v>31.33</c:v>
                </c:pt>
                <c:pt idx="58">
                  <c:v>31.324999999999999</c:v>
                </c:pt>
                <c:pt idx="59">
                  <c:v>31.31</c:v>
                </c:pt>
                <c:pt idx="60">
                  <c:v>31.27</c:v>
                </c:pt>
                <c:pt idx="61">
                  <c:v>31.3</c:v>
                </c:pt>
                <c:pt idx="62">
                  <c:v>31.215</c:v>
                </c:pt>
                <c:pt idx="63">
                  <c:v>31.204999999999998</c:v>
                </c:pt>
                <c:pt idx="64">
                  <c:v>31.164999999999999</c:v>
                </c:pt>
                <c:pt idx="65">
                  <c:v>31.1</c:v>
                </c:pt>
                <c:pt idx="66">
                  <c:v>31</c:v>
                </c:pt>
                <c:pt idx="67">
                  <c:v>30.96</c:v>
                </c:pt>
                <c:pt idx="68">
                  <c:v>30.885000000000002</c:v>
                </c:pt>
                <c:pt idx="69">
                  <c:v>30.89</c:v>
                </c:pt>
                <c:pt idx="70">
                  <c:v>30.97</c:v>
                </c:pt>
                <c:pt idx="71">
                  <c:v>31.074999999999999</c:v>
                </c:pt>
                <c:pt idx="72">
                  <c:v>30.99</c:v>
                </c:pt>
                <c:pt idx="73">
                  <c:v>30.945</c:v>
                </c:pt>
                <c:pt idx="74">
                  <c:v>30.895</c:v>
                </c:pt>
                <c:pt idx="75">
                  <c:v>30.93</c:v>
                </c:pt>
                <c:pt idx="76">
                  <c:v>30.905000000000001</c:v>
                </c:pt>
                <c:pt idx="77">
                  <c:v>30.895</c:v>
                </c:pt>
                <c:pt idx="78">
                  <c:v>31.024999999999999</c:v>
                </c:pt>
                <c:pt idx="79">
                  <c:v>30.965</c:v>
                </c:pt>
                <c:pt idx="80">
                  <c:v>30.8</c:v>
                </c:pt>
                <c:pt idx="81">
                  <c:v>30.8</c:v>
                </c:pt>
                <c:pt idx="82">
                  <c:v>30.785</c:v>
                </c:pt>
                <c:pt idx="83">
                  <c:v>30.63</c:v>
                </c:pt>
                <c:pt idx="84">
                  <c:v>30.68</c:v>
                </c:pt>
                <c:pt idx="85">
                  <c:v>30.71</c:v>
                </c:pt>
                <c:pt idx="86">
                  <c:v>30.715</c:v>
                </c:pt>
                <c:pt idx="87">
                  <c:v>30.785</c:v>
                </c:pt>
                <c:pt idx="88">
                  <c:v>30.7</c:v>
                </c:pt>
                <c:pt idx="89">
                  <c:v>30.58</c:v>
                </c:pt>
                <c:pt idx="90">
                  <c:v>30.55</c:v>
                </c:pt>
                <c:pt idx="91">
                  <c:v>30.515000000000001</c:v>
                </c:pt>
                <c:pt idx="92">
                  <c:v>30.48</c:v>
                </c:pt>
                <c:pt idx="93">
                  <c:v>30.344999999999999</c:v>
                </c:pt>
                <c:pt idx="94">
                  <c:v>30.31</c:v>
                </c:pt>
                <c:pt idx="95">
                  <c:v>30.335000000000001</c:v>
                </c:pt>
                <c:pt idx="96">
                  <c:v>30.475000000000001</c:v>
                </c:pt>
                <c:pt idx="97">
                  <c:v>30.484999999999999</c:v>
                </c:pt>
                <c:pt idx="98">
                  <c:v>30.574999999999999</c:v>
                </c:pt>
                <c:pt idx="99">
                  <c:v>30.54</c:v>
                </c:pt>
                <c:pt idx="100">
                  <c:v>30.62</c:v>
                </c:pt>
                <c:pt idx="101">
                  <c:v>30.765000000000001</c:v>
                </c:pt>
                <c:pt idx="102">
                  <c:v>30.835000000000001</c:v>
                </c:pt>
                <c:pt idx="103">
                  <c:v>30.965</c:v>
                </c:pt>
                <c:pt idx="104">
                  <c:v>30.984999999999999</c:v>
                </c:pt>
                <c:pt idx="105">
                  <c:v>30.945</c:v>
                </c:pt>
                <c:pt idx="106">
                  <c:v>30.885000000000002</c:v>
                </c:pt>
                <c:pt idx="107">
                  <c:v>30.86</c:v>
                </c:pt>
                <c:pt idx="108">
                  <c:v>30.85</c:v>
                </c:pt>
                <c:pt idx="109">
                  <c:v>30.84</c:v>
                </c:pt>
                <c:pt idx="110">
                  <c:v>30.81</c:v>
                </c:pt>
                <c:pt idx="111">
                  <c:v>30.704999999999998</c:v>
                </c:pt>
                <c:pt idx="112">
                  <c:v>30.855</c:v>
                </c:pt>
                <c:pt idx="113">
                  <c:v>30.77</c:v>
                </c:pt>
                <c:pt idx="114">
                  <c:v>30.57</c:v>
                </c:pt>
                <c:pt idx="115">
                  <c:v>30.38</c:v>
                </c:pt>
                <c:pt idx="116">
                  <c:v>30.315000000000001</c:v>
                </c:pt>
                <c:pt idx="117">
                  <c:v>30.26</c:v>
                </c:pt>
                <c:pt idx="118">
                  <c:v>30.245000000000001</c:v>
                </c:pt>
                <c:pt idx="119">
                  <c:v>30.215</c:v>
                </c:pt>
                <c:pt idx="120">
                  <c:v>32.78</c:v>
                </c:pt>
                <c:pt idx="121">
                  <c:v>32.770000000000003</c:v>
                </c:pt>
                <c:pt idx="122">
                  <c:v>32.755000000000003</c:v>
                </c:pt>
                <c:pt idx="123">
                  <c:v>32.94</c:v>
                </c:pt>
                <c:pt idx="124">
                  <c:v>33.134999999999998</c:v>
                </c:pt>
                <c:pt idx="125">
                  <c:v>33.28</c:v>
                </c:pt>
                <c:pt idx="126">
                  <c:v>33.274999999999999</c:v>
                </c:pt>
                <c:pt idx="127">
                  <c:v>33.32</c:v>
                </c:pt>
                <c:pt idx="128">
                  <c:v>33.36</c:v>
                </c:pt>
                <c:pt idx="129">
                  <c:v>33.47</c:v>
                </c:pt>
                <c:pt idx="130">
                  <c:v>33.475000000000001</c:v>
                </c:pt>
                <c:pt idx="131">
                  <c:v>33.369999999999997</c:v>
                </c:pt>
                <c:pt idx="132">
                  <c:v>33.380000000000003</c:v>
                </c:pt>
                <c:pt idx="133">
                  <c:v>33.365000000000002</c:v>
                </c:pt>
                <c:pt idx="134">
                  <c:v>33.35</c:v>
                </c:pt>
                <c:pt idx="135">
                  <c:v>33.305</c:v>
                </c:pt>
                <c:pt idx="136">
                  <c:v>33.270000000000003</c:v>
                </c:pt>
                <c:pt idx="137">
                  <c:v>33.28</c:v>
                </c:pt>
                <c:pt idx="138">
                  <c:v>33.314999999999998</c:v>
                </c:pt>
                <c:pt idx="139">
                  <c:v>33.270000000000003</c:v>
                </c:pt>
                <c:pt idx="140">
                  <c:v>33.284999999999997</c:v>
                </c:pt>
                <c:pt idx="141">
                  <c:v>33.229999999999997</c:v>
                </c:pt>
                <c:pt idx="142">
                  <c:v>33.24</c:v>
                </c:pt>
                <c:pt idx="143">
                  <c:v>33.229999999999997</c:v>
                </c:pt>
                <c:pt idx="144">
                  <c:v>33.159999999999997</c:v>
                </c:pt>
                <c:pt idx="145">
                  <c:v>33.19</c:v>
                </c:pt>
                <c:pt idx="146">
                  <c:v>33.11</c:v>
                </c:pt>
                <c:pt idx="147">
                  <c:v>33.125</c:v>
                </c:pt>
                <c:pt idx="148">
                  <c:v>33.094999999999999</c:v>
                </c:pt>
                <c:pt idx="149">
                  <c:v>33.185000000000002</c:v>
                </c:pt>
                <c:pt idx="150">
                  <c:v>33.195</c:v>
                </c:pt>
                <c:pt idx="151">
                  <c:v>33.090000000000003</c:v>
                </c:pt>
                <c:pt idx="152">
                  <c:v>33.064999999999998</c:v>
                </c:pt>
                <c:pt idx="153">
                  <c:v>33.075000000000003</c:v>
                </c:pt>
                <c:pt idx="154">
                  <c:v>32.984999999999999</c:v>
                </c:pt>
                <c:pt idx="155">
                  <c:v>33.020000000000003</c:v>
                </c:pt>
                <c:pt idx="156">
                  <c:v>33.064999999999998</c:v>
                </c:pt>
                <c:pt idx="157">
                  <c:v>33.020000000000003</c:v>
                </c:pt>
                <c:pt idx="158">
                  <c:v>33.04</c:v>
                </c:pt>
                <c:pt idx="159">
                  <c:v>32.975000000000001</c:v>
                </c:pt>
                <c:pt idx="160">
                  <c:v>33.055</c:v>
                </c:pt>
                <c:pt idx="161">
                  <c:v>33.08</c:v>
                </c:pt>
                <c:pt idx="162">
                  <c:v>33.130000000000003</c:v>
                </c:pt>
                <c:pt idx="163">
                  <c:v>33.115000000000002</c:v>
                </c:pt>
                <c:pt idx="164">
                  <c:v>33.115000000000002</c:v>
                </c:pt>
                <c:pt idx="165">
                  <c:v>33.06</c:v>
                </c:pt>
                <c:pt idx="166">
                  <c:v>33.024999999999999</c:v>
                </c:pt>
                <c:pt idx="167">
                  <c:v>33.1</c:v>
                </c:pt>
                <c:pt idx="168">
                  <c:v>33.119999999999997</c:v>
                </c:pt>
                <c:pt idx="169">
                  <c:v>33.255000000000003</c:v>
                </c:pt>
                <c:pt idx="170">
                  <c:v>33.24</c:v>
                </c:pt>
                <c:pt idx="171">
                  <c:v>32.954999999999998</c:v>
                </c:pt>
                <c:pt idx="172">
                  <c:v>33.04</c:v>
                </c:pt>
                <c:pt idx="173">
                  <c:v>33.045000000000002</c:v>
                </c:pt>
                <c:pt idx="174">
                  <c:v>33.049999999999997</c:v>
                </c:pt>
                <c:pt idx="175">
                  <c:v>33.075000000000003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33.335000000000001</c:v>
                </c:pt>
                <c:pt idx="179">
                  <c:v>33.24</c:v>
                </c:pt>
                <c:pt idx="180">
                  <c:v>33.39</c:v>
                </c:pt>
                <c:pt idx="181">
                  <c:v>33.234999999999999</c:v>
                </c:pt>
                <c:pt idx="182">
                  <c:v>33.22</c:v>
                </c:pt>
                <c:pt idx="183">
                  <c:v>33.159999999999997</c:v>
                </c:pt>
                <c:pt idx="184">
                  <c:v>33.005000000000003</c:v>
                </c:pt>
                <c:pt idx="185">
                  <c:v>33.134999999999998</c:v>
                </c:pt>
                <c:pt idx="186">
                  <c:v>33.185000000000002</c:v>
                </c:pt>
                <c:pt idx="187">
                  <c:v>33.15</c:v>
                </c:pt>
                <c:pt idx="188">
                  <c:v>33.055</c:v>
                </c:pt>
                <c:pt idx="189">
                  <c:v>32.994999999999997</c:v>
                </c:pt>
                <c:pt idx="190">
                  <c:v>32.99</c:v>
                </c:pt>
                <c:pt idx="191">
                  <c:v>32.97</c:v>
                </c:pt>
                <c:pt idx="192">
                  <c:v>32.945</c:v>
                </c:pt>
                <c:pt idx="193">
                  <c:v>32.950000000000003</c:v>
                </c:pt>
                <c:pt idx="194">
                  <c:v>32.96</c:v>
                </c:pt>
                <c:pt idx="195">
                  <c:v>32.965000000000003</c:v>
                </c:pt>
                <c:pt idx="196">
                  <c:v>32.94</c:v>
                </c:pt>
                <c:pt idx="197">
                  <c:v>32.76</c:v>
                </c:pt>
                <c:pt idx="198">
                  <c:v>32.784999999999997</c:v>
                </c:pt>
                <c:pt idx="199">
                  <c:v>32.755000000000003</c:v>
                </c:pt>
                <c:pt idx="200">
                  <c:v>32.774999999999999</c:v>
                </c:pt>
                <c:pt idx="201">
                  <c:v>32.76</c:v>
                </c:pt>
                <c:pt idx="202">
                  <c:v>32.78</c:v>
                </c:pt>
                <c:pt idx="203">
                  <c:v>32.715000000000003</c:v>
                </c:pt>
                <c:pt idx="204">
                  <c:v>32.744999999999997</c:v>
                </c:pt>
                <c:pt idx="205">
                  <c:v>32.674999999999997</c:v>
                </c:pt>
                <c:pt idx="206">
                  <c:v>32.71</c:v>
                </c:pt>
                <c:pt idx="207">
                  <c:v>32.704999999999998</c:v>
                </c:pt>
                <c:pt idx="208">
                  <c:v>32.81</c:v>
                </c:pt>
                <c:pt idx="209">
                  <c:v>32.869999999999997</c:v>
                </c:pt>
                <c:pt idx="210">
                  <c:v>32.74</c:v>
                </c:pt>
                <c:pt idx="211">
                  <c:v>32.799999999999997</c:v>
                </c:pt>
                <c:pt idx="212">
                  <c:v>32.805</c:v>
                </c:pt>
                <c:pt idx="213">
                  <c:v>32.78</c:v>
                </c:pt>
                <c:pt idx="214">
                  <c:v>32.75</c:v>
                </c:pt>
                <c:pt idx="215">
                  <c:v>32.86</c:v>
                </c:pt>
                <c:pt idx="216">
                  <c:v>32.814999999999998</c:v>
                </c:pt>
                <c:pt idx="217">
                  <c:v>32.765000000000001</c:v>
                </c:pt>
                <c:pt idx="218">
                  <c:v>32.68</c:v>
                </c:pt>
                <c:pt idx="219">
                  <c:v>32.805</c:v>
                </c:pt>
                <c:pt idx="220">
                  <c:v>32.74</c:v>
                </c:pt>
                <c:pt idx="221">
                  <c:v>32.835000000000001</c:v>
                </c:pt>
                <c:pt idx="222">
                  <c:v>32.72</c:v>
                </c:pt>
                <c:pt idx="223">
                  <c:v>32.704999999999998</c:v>
                </c:pt>
                <c:pt idx="224">
                  <c:v>32.520000000000003</c:v>
                </c:pt>
                <c:pt idx="225">
                  <c:v>32.384999999999998</c:v>
                </c:pt>
                <c:pt idx="226">
                  <c:v>32.51</c:v>
                </c:pt>
                <c:pt idx="227">
                  <c:v>32.445</c:v>
                </c:pt>
                <c:pt idx="228">
                  <c:v>32.24</c:v>
                </c:pt>
                <c:pt idx="229">
                  <c:v>32.24</c:v>
                </c:pt>
                <c:pt idx="230">
                  <c:v>32.234999999999999</c:v>
                </c:pt>
                <c:pt idx="231">
                  <c:v>32.31</c:v>
                </c:pt>
                <c:pt idx="232">
                  <c:v>32.31</c:v>
                </c:pt>
                <c:pt idx="233">
                  <c:v>32.369999999999997</c:v>
                </c:pt>
                <c:pt idx="234">
                  <c:v>32.365000000000002</c:v>
                </c:pt>
                <c:pt idx="235">
                  <c:v>32.340000000000003</c:v>
                </c:pt>
                <c:pt idx="236">
                  <c:v>32.36</c:v>
                </c:pt>
                <c:pt idx="237">
                  <c:v>32.35</c:v>
                </c:pt>
                <c:pt idx="238">
                  <c:v>32.33</c:v>
                </c:pt>
                <c:pt idx="239">
                  <c:v>32.24</c:v>
                </c:pt>
                <c:pt idx="240">
                  <c:v>32.340000000000003</c:v>
                </c:pt>
                <c:pt idx="241">
                  <c:v>32.435000000000002</c:v>
                </c:pt>
                <c:pt idx="242">
                  <c:v>32.454999999999998</c:v>
                </c:pt>
                <c:pt idx="243">
                  <c:v>32.450000000000003</c:v>
                </c:pt>
                <c:pt idx="244">
                  <c:v>32.44</c:v>
                </c:pt>
                <c:pt idx="245">
                  <c:v>32.454999999999998</c:v>
                </c:pt>
                <c:pt idx="246">
                  <c:v>32.450000000000003</c:v>
                </c:pt>
                <c:pt idx="247">
                  <c:v>32.49</c:v>
                </c:pt>
                <c:pt idx="248">
                  <c:v>32.4</c:v>
                </c:pt>
                <c:pt idx="249">
                  <c:v>32.229999999999997</c:v>
                </c:pt>
                <c:pt idx="250">
                  <c:v>32.11</c:v>
                </c:pt>
                <c:pt idx="251">
                  <c:v>31.92</c:v>
                </c:pt>
                <c:pt idx="252">
                  <c:v>31.96</c:v>
                </c:pt>
                <c:pt idx="253">
                  <c:v>32.134999999999998</c:v>
                </c:pt>
                <c:pt idx="254">
                  <c:v>32.11</c:v>
                </c:pt>
                <c:pt idx="255">
                  <c:v>32.24</c:v>
                </c:pt>
                <c:pt idx="256">
                  <c:v>32.305</c:v>
                </c:pt>
                <c:pt idx="257">
                  <c:v>32.234999999999999</c:v>
                </c:pt>
                <c:pt idx="258">
                  <c:v>32.204999999999998</c:v>
                </c:pt>
                <c:pt idx="259">
                  <c:v>32.21</c:v>
                </c:pt>
                <c:pt idx="260">
                  <c:v>32.18</c:v>
                </c:pt>
                <c:pt idx="261">
                  <c:v>32.265000000000001</c:v>
                </c:pt>
                <c:pt idx="262">
                  <c:v>32.4</c:v>
                </c:pt>
                <c:pt idx="263">
                  <c:v>32.395000000000003</c:v>
                </c:pt>
                <c:pt idx="264">
                  <c:v>32.450000000000003</c:v>
                </c:pt>
                <c:pt idx="265">
                  <c:v>32.36</c:v>
                </c:pt>
                <c:pt idx="266">
                  <c:v>32.200000000000003</c:v>
                </c:pt>
                <c:pt idx="267">
                  <c:v>32.340000000000003</c:v>
                </c:pt>
                <c:pt idx="268">
                  <c:v>32.46</c:v>
                </c:pt>
                <c:pt idx="269">
                  <c:v>32.33</c:v>
                </c:pt>
                <c:pt idx="270">
                  <c:v>32.29</c:v>
                </c:pt>
                <c:pt idx="271">
                  <c:v>32.21</c:v>
                </c:pt>
                <c:pt idx="272">
                  <c:v>32.18</c:v>
                </c:pt>
                <c:pt idx="273">
                  <c:v>32.22</c:v>
                </c:pt>
                <c:pt idx="274">
                  <c:v>32.200000000000003</c:v>
                </c:pt>
                <c:pt idx="275">
                  <c:v>32.08</c:v>
                </c:pt>
                <c:pt idx="276">
                  <c:v>32.229999999999997</c:v>
                </c:pt>
                <c:pt idx="277">
                  <c:v>32.234999999999999</c:v>
                </c:pt>
                <c:pt idx="278">
                  <c:v>32.204999999999998</c:v>
                </c:pt>
                <c:pt idx="279">
                  <c:v>32.25</c:v>
                </c:pt>
                <c:pt idx="280">
                  <c:v>32.295000000000002</c:v>
                </c:pt>
                <c:pt idx="281">
                  <c:v>32.549999999999997</c:v>
                </c:pt>
                <c:pt idx="282">
                  <c:v>32.549999999999997</c:v>
                </c:pt>
                <c:pt idx="283">
                  <c:v>32.57</c:v>
                </c:pt>
                <c:pt idx="284">
                  <c:v>32.744999999999997</c:v>
                </c:pt>
                <c:pt idx="285">
                  <c:v>32.729999999999997</c:v>
                </c:pt>
                <c:pt idx="286">
                  <c:v>32.700000000000003</c:v>
                </c:pt>
                <c:pt idx="287">
                  <c:v>32.840000000000003</c:v>
                </c:pt>
                <c:pt idx="288">
                  <c:v>32.954999999999998</c:v>
                </c:pt>
                <c:pt idx="289">
                  <c:v>32.96</c:v>
                </c:pt>
                <c:pt idx="290">
                  <c:v>32.914999999999999</c:v>
                </c:pt>
                <c:pt idx="291">
                  <c:v>33.085000000000001</c:v>
                </c:pt>
                <c:pt idx="292">
                  <c:v>33.045000000000002</c:v>
                </c:pt>
                <c:pt idx="293">
                  <c:v>33.104999999999997</c:v>
                </c:pt>
                <c:pt idx="294">
                  <c:v>33.119999999999997</c:v>
                </c:pt>
                <c:pt idx="295">
                  <c:v>33.14</c:v>
                </c:pt>
                <c:pt idx="296">
                  <c:v>33.1</c:v>
                </c:pt>
                <c:pt idx="297">
                  <c:v>33.1</c:v>
                </c:pt>
                <c:pt idx="298">
                  <c:v>33.11</c:v>
                </c:pt>
                <c:pt idx="299">
                  <c:v>33.119999999999997</c:v>
                </c:pt>
                <c:pt idx="300">
                  <c:v>33</c:v>
                </c:pt>
                <c:pt idx="301">
                  <c:v>32.875</c:v>
                </c:pt>
                <c:pt idx="302">
                  <c:v>32.884999999999998</c:v>
                </c:pt>
                <c:pt idx="303">
                  <c:v>32.895000000000003</c:v>
                </c:pt>
                <c:pt idx="304">
                  <c:v>32.844999999999999</c:v>
                </c:pt>
                <c:pt idx="305">
                  <c:v>32.83</c:v>
                </c:pt>
                <c:pt idx="306">
                  <c:v>32.78</c:v>
                </c:pt>
                <c:pt idx="307">
                  <c:v>32.854999999999997</c:v>
                </c:pt>
                <c:pt idx="308">
                  <c:v>32.82</c:v>
                </c:pt>
                <c:pt idx="309">
                  <c:v>32.765000000000001</c:v>
                </c:pt>
                <c:pt idx="310">
                  <c:v>32.744999999999997</c:v>
                </c:pt>
                <c:pt idx="311">
                  <c:v>32.744999999999997</c:v>
                </c:pt>
                <c:pt idx="312">
                  <c:v>32.9</c:v>
                </c:pt>
                <c:pt idx="313">
                  <c:v>32.89</c:v>
                </c:pt>
                <c:pt idx="314">
                  <c:v>32.814999999999998</c:v>
                </c:pt>
                <c:pt idx="315">
                  <c:v>32.72</c:v>
                </c:pt>
                <c:pt idx="316">
                  <c:v>32.799999999999997</c:v>
                </c:pt>
                <c:pt idx="317">
                  <c:v>32.82</c:v>
                </c:pt>
                <c:pt idx="318">
                  <c:v>32.715000000000003</c:v>
                </c:pt>
                <c:pt idx="319">
                  <c:v>32.659999999999997</c:v>
                </c:pt>
                <c:pt idx="320">
                  <c:v>32.64</c:v>
                </c:pt>
                <c:pt idx="321">
                  <c:v>32.594999999999999</c:v>
                </c:pt>
                <c:pt idx="322">
                  <c:v>32.625</c:v>
                </c:pt>
                <c:pt idx="323">
                  <c:v>32.664999999999999</c:v>
                </c:pt>
                <c:pt idx="324">
                  <c:v>32.655000000000001</c:v>
                </c:pt>
                <c:pt idx="325">
                  <c:v>32.615000000000002</c:v>
                </c:pt>
                <c:pt idx="326">
                  <c:v>32.6</c:v>
                </c:pt>
                <c:pt idx="327">
                  <c:v>32.655000000000001</c:v>
                </c:pt>
                <c:pt idx="328">
                  <c:v>32.664999999999999</c:v>
                </c:pt>
                <c:pt idx="329">
                  <c:v>32.520000000000003</c:v>
                </c:pt>
                <c:pt idx="330">
                  <c:v>32.54</c:v>
                </c:pt>
                <c:pt idx="331">
                  <c:v>32.61</c:v>
                </c:pt>
                <c:pt idx="332">
                  <c:v>32.664999999999999</c:v>
                </c:pt>
                <c:pt idx="333">
                  <c:v>32.664999999999999</c:v>
                </c:pt>
                <c:pt idx="334">
                  <c:v>32.67</c:v>
                </c:pt>
                <c:pt idx="335">
                  <c:v>32.71</c:v>
                </c:pt>
                <c:pt idx="336">
                  <c:v>32.564999999999998</c:v>
                </c:pt>
                <c:pt idx="337">
                  <c:v>32.44</c:v>
                </c:pt>
                <c:pt idx="338">
                  <c:v>32.450000000000003</c:v>
                </c:pt>
                <c:pt idx="339">
                  <c:v>32.534999999999997</c:v>
                </c:pt>
                <c:pt idx="340">
                  <c:v>32.51</c:v>
                </c:pt>
                <c:pt idx="341">
                  <c:v>32.545000000000002</c:v>
                </c:pt>
                <c:pt idx="342">
                  <c:v>32.56</c:v>
                </c:pt>
                <c:pt idx="343">
                  <c:v>32.505000000000003</c:v>
                </c:pt>
                <c:pt idx="344">
                  <c:v>32.479999999999997</c:v>
                </c:pt>
                <c:pt idx="345">
                  <c:v>32.375</c:v>
                </c:pt>
                <c:pt idx="346">
                  <c:v>32.575000000000003</c:v>
                </c:pt>
                <c:pt idx="347">
                  <c:v>32.685000000000002</c:v>
                </c:pt>
                <c:pt idx="348">
                  <c:v>32.685000000000002</c:v>
                </c:pt>
                <c:pt idx="349">
                  <c:v>32.685000000000002</c:v>
                </c:pt>
                <c:pt idx="350">
                  <c:v>32.725000000000001</c:v>
                </c:pt>
                <c:pt idx="351">
                  <c:v>32.68</c:v>
                </c:pt>
                <c:pt idx="352">
                  <c:v>32.64</c:v>
                </c:pt>
                <c:pt idx="353">
                  <c:v>32.619999999999997</c:v>
                </c:pt>
                <c:pt idx="354">
                  <c:v>32.645000000000003</c:v>
                </c:pt>
                <c:pt idx="355">
                  <c:v>32.770000000000003</c:v>
                </c:pt>
                <c:pt idx="356">
                  <c:v>32.814999999999998</c:v>
                </c:pt>
                <c:pt idx="357">
                  <c:v>32.83</c:v>
                </c:pt>
                <c:pt idx="358">
                  <c:v>32.840000000000003</c:v>
                </c:pt>
                <c:pt idx="359">
                  <c:v>32.85</c:v>
                </c:pt>
                <c:pt idx="360">
                  <c:v>32.805</c:v>
                </c:pt>
                <c:pt idx="361">
                  <c:v>32.865000000000002</c:v>
                </c:pt>
                <c:pt idx="362">
                  <c:v>32.909999999999997</c:v>
                </c:pt>
                <c:pt idx="363">
                  <c:v>32.784999999999997</c:v>
                </c:pt>
                <c:pt idx="364">
                  <c:v>32.645000000000003</c:v>
                </c:pt>
                <c:pt idx="365">
                  <c:v>32.76</c:v>
                </c:pt>
                <c:pt idx="366">
                  <c:v>32.765000000000001</c:v>
                </c:pt>
                <c:pt idx="367">
                  <c:v>32.65</c:v>
                </c:pt>
                <c:pt idx="368">
                  <c:v>32.564999999999998</c:v>
                </c:pt>
                <c:pt idx="369">
                  <c:v>32.5</c:v>
                </c:pt>
                <c:pt idx="370">
                  <c:v>32.28</c:v>
                </c:pt>
                <c:pt idx="371">
                  <c:v>32.375</c:v>
                </c:pt>
                <c:pt idx="372">
                  <c:v>32.369999999999997</c:v>
                </c:pt>
                <c:pt idx="373">
                  <c:v>32.33</c:v>
                </c:pt>
                <c:pt idx="374">
                  <c:v>32.344999999999999</c:v>
                </c:pt>
                <c:pt idx="375">
                  <c:v>32.25</c:v>
                </c:pt>
                <c:pt idx="376">
                  <c:v>32.270000000000003</c:v>
                </c:pt>
                <c:pt idx="377">
                  <c:v>32.26</c:v>
                </c:pt>
                <c:pt idx="378">
                  <c:v>32.270000000000003</c:v>
                </c:pt>
                <c:pt idx="379">
                  <c:v>32.174999999999997</c:v>
                </c:pt>
                <c:pt idx="380">
                  <c:v>32.134999999999998</c:v>
                </c:pt>
                <c:pt idx="381">
                  <c:v>32.229999999999997</c:v>
                </c:pt>
                <c:pt idx="382">
                  <c:v>32.104999999999997</c:v>
                </c:pt>
                <c:pt idx="383">
                  <c:v>32.14</c:v>
                </c:pt>
                <c:pt idx="384">
                  <c:v>32.049999999999997</c:v>
                </c:pt>
                <c:pt idx="385">
                  <c:v>31.93</c:v>
                </c:pt>
                <c:pt idx="386">
                  <c:v>31.87</c:v>
                </c:pt>
                <c:pt idx="387">
                  <c:v>31.77</c:v>
                </c:pt>
                <c:pt idx="388">
                  <c:v>31.734999999999999</c:v>
                </c:pt>
                <c:pt idx="389">
                  <c:v>31.69</c:v>
                </c:pt>
                <c:pt idx="390">
                  <c:v>31.69</c:v>
                </c:pt>
                <c:pt idx="391">
                  <c:v>31.7</c:v>
                </c:pt>
                <c:pt idx="392">
                  <c:v>31.81</c:v>
                </c:pt>
                <c:pt idx="393">
                  <c:v>31.844999999999999</c:v>
                </c:pt>
                <c:pt idx="394">
                  <c:v>31.835000000000001</c:v>
                </c:pt>
                <c:pt idx="395">
                  <c:v>31.795000000000002</c:v>
                </c:pt>
                <c:pt idx="396">
                  <c:v>31.88</c:v>
                </c:pt>
                <c:pt idx="397">
                  <c:v>31.85</c:v>
                </c:pt>
                <c:pt idx="398">
                  <c:v>31.84</c:v>
                </c:pt>
                <c:pt idx="399">
                  <c:v>31.82</c:v>
                </c:pt>
                <c:pt idx="400">
                  <c:v>31.824999999999999</c:v>
                </c:pt>
                <c:pt idx="401">
                  <c:v>31.78</c:v>
                </c:pt>
                <c:pt idx="402">
                  <c:v>31.8</c:v>
                </c:pt>
                <c:pt idx="403">
                  <c:v>31.77</c:v>
                </c:pt>
                <c:pt idx="404">
                  <c:v>31.67</c:v>
                </c:pt>
                <c:pt idx="405">
                  <c:v>31.655000000000001</c:v>
                </c:pt>
                <c:pt idx="406">
                  <c:v>31.63</c:v>
                </c:pt>
                <c:pt idx="407">
                  <c:v>31.7</c:v>
                </c:pt>
                <c:pt idx="408">
                  <c:v>31.62</c:v>
                </c:pt>
                <c:pt idx="409">
                  <c:v>31.6</c:v>
                </c:pt>
                <c:pt idx="410">
                  <c:v>31.64</c:v>
                </c:pt>
                <c:pt idx="411">
                  <c:v>31.504999999999999</c:v>
                </c:pt>
                <c:pt idx="412">
                  <c:v>31.6</c:v>
                </c:pt>
                <c:pt idx="413">
                  <c:v>31.56</c:v>
                </c:pt>
                <c:pt idx="414">
                  <c:v>31.41</c:v>
                </c:pt>
                <c:pt idx="415">
                  <c:v>31.52</c:v>
                </c:pt>
                <c:pt idx="416">
                  <c:v>31.56</c:v>
                </c:pt>
                <c:pt idx="417">
                  <c:v>31.58</c:v>
                </c:pt>
                <c:pt idx="418">
                  <c:v>31.61</c:v>
                </c:pt>
                <c:pt idx="419">
                  <c:v>31.594999999999999</c:v>
                </c:pt>
                <c:pt idx="420">
                  <c:v>31.61</c:v>
                </c:pt>
                <c:pt idx="421">
                  <c:v>31.704999999999998</c:v>
                </c:pt>
                <c:pt idx="422">
                  <c:v>31.844999999999999</c:v>
                </c:pt>
                <c:pt idx="423">
                  <c:v>31.86</c:v>
                </c:pt>
                <c:pt idx="424">
                  <c:v>31.664999999999999</c:v>
                </c:pt>
                <c:pt idx="425">
                  <c:v>31.49</c:v>
                </c:pt>
                <c:pt idx="426">
                  <c:v>31.395</c:v>
                </c:pt>
                <c:pt idx="427">
                  <c:v>31.364999999999998</c:v>
                </c:pt>
                <c:pt idx="428">
                  <c:v>31.39</c:v>
                </c:pt>
                <c:pt idx="429">
                  <c:v>31.29</c:v>
                </c:pt>
                <c:pt idx="430">
                  <c:v>31.265000000000001</c:v>
                </c:pt>
                <c:pt idx="431">
                  <c:v>31.28</c:v>
                </c:pt>
                <c:pt idx="432">
                  <c:v>31.265000000000001</c:v>
                </c:pt>
                <c:pt idx="433">
                  <c:v>31.28</c:v>
                </c:pt>
                <c:pt idx="434">
                  <c:v>31.135000000000002</c:v>
                </c:pt>
                <c:pt idx="435">
                  <c:v>30.975000000000001</c:v>
                </c:pt>
                <c:pt idx="436">
                  <c:v>30.975000000000001</c:v>
                </c:pt>
                <c:pt idx="437">
                  <c:v>31.135000000000002</c:v>
                </c:pt>
                <c:pt idx="438">
                  <c:v>31.324999999999999</c:v>
                </c:pt>
                <c:pt idx="439">
                  <c:v>31.4</c:v>
                </c:pt>
                <c:pt idx="440">
                  <c:v>31.465</c:v>
                </c:pt>
                <c:pt idx="441">
                  <c:v>31.54</c:v>
                </c:pt>
                <c:pt idx="442">
                  <c:v>31.57</c:v>
                </c:pt>
                <c:pt idx="443">
                  <c:v>31.62</c:v>
                </c:pt>
                <c:pt idx="444">
                  <c:v>31.58</c:v>
                </c:pt>
                <c:pt idx="445">
                  <c:v>31.504999999999999</c:v>
                </c:pt>
                <c:pt idx="446">
                  <c:v>31.594999999999999</c:v>
                </c:pt>
                <c:pt idx="447">
                  <c:v>31.785</c:v>
                </c:pt>
                <c:pt idx="448">
                  <c:v>31.77</c:v>
                </c:pt>
                <c:pt idx="449">
                  <c:v>31.77</c:v>
                </c:pt>
                <c:pt idx="450">
                  <c:v>31.64</c:v>
                </c:pt>
                <c:pt idx="451">
                  <c:v>31.79</c:v>
                </c:pt>
                <c:pt idx="452">
                  <c:v>31.765000000000001</c:v>
                </c:pt>
                <c:pt idx="453">
                  <c:v>31.75</c:v>
                </c:pt>
                <c:pt idx="454">
                  <c:v>31.675000000000001</c:v>
                </c:pt>
                <c:pt idx="455">
                  <c:v>31.74</c:v>
                </c:pt>
                <c:pt idx="456">
                  <c:v>31.524999999999999</c:v>
                </c:pt>
                <c:pt idx="457">
                  <c:v>31.515000000000001</c:v>
                </c:pt>
                <c:pt idx="458">
                  <c:v>31.73</c:v>
                </c:pt>
                <c:pt idx="459">
                  <c:v>31.83</c:v>
                </c:pt>
                <c:pt idx="460">
                  <c:v>31.895</c:v>
                </c:pt>
                <c:pt idx="461">
                  <c:v>31.8</c:v>
                </c:pt>
                <c:pt idx="462">
                  <c:v>31.864999999999998</c:v>
                </c:pt>
                <c:pt idx="463">
                  <c:v>31.695</c:v>
                </c:pt>
                <c:pt idx="464">
                  <c:v>31.91</c:v>
                </c:pt>
                <c:pt idx="465">
                  <c:v>32.119999999999997</c:v>
                </c:pt>
                <c:pt idx="466">
                  <c:v>32.28</c:v>
                </c:pt>
                <c:pt idx="467">
                  <c:v>32.365000000000002</c:v>
                </c:pt>
                <c:pt idx="468">
                  <c:v>32.61</c:v>
                </c:pt>
                <c:pt idx="469">
                  <c:v>32.604999999999997</c:v>
                </c:pt>
                <c:pt idx="470">
                  <c:v>32.630000000000003</c:v>
                </c:pt>
                <c:pt idx="471">
                  <c:v>32.534999999999997</c:v>
                </c:pt>
                <c:pt idx="472">
                  <c:v>32.520000000000003</c:v>
                </c:pt>
                <c:pt idx="473">
                  <c:v>32.475000000000001</c:v>
                </c:pt>
                <c:pt idx="474">
                  <c:v>32.42</c:v>
                </c:pt>
                <c:pt idx="475">
                  <c:v>32.564999999999998</c:v>
                </c:pt>
                <c:pt idx="476">
                  <c:v>32.634999999999998</c:v>
                </c:pt>
                <c:pt idx="477">
                  <c:v>32.755000000000003</c:v>
                </c:pt>
                <c:pt idx="478">
                  <c:v>32.695</c:v>
                </c:pt>
                <c:pt idx="479">
                  <c:v>32.704999999999998</c:v>
                </c:pt>
                <c:pt idx="480">
                  <c:v>32.700000000000003</c:v>
                </c:pt>
                <c:pt idx="481">
                  <c:v>32.72</c:v>
                </c:pt>
                <c:pt idx="482">
                  <c:v>32.630000000000003</c:v>
                </c:pt>
                <c:pt idx="483">
                  <c:v>32.590000000000003</c:v>
                </c:pt>
                <c:pt idx="484">
                  <c:v>32.625</c:v>
                </c:pt>
                <c:pt idx="485">
                  <c:v>32.6</c:v>
                </c:pt>
                <c:pt idx="486">
                  <c:v>32.594999999999999</c:v>
                </c:pt>
                <c:pt idx="487">
                  <c:v>32.57</c:v>
                </c:pt>
                <c:pt idx="488">
                  <c:v>32.57</c:v>
                </c:pt>
                <c:pt idx="489">
                  <c:v>32.549999999999997</c:v>
                </c:pt>
                <c:pt idx="490">
                  <c:v>32.494999999999997</c:v>
                </c:pt>
                <c:pt idx="491">
                  <c:v>32.395000000000003</c:v>
                </c:pt>
                <c:pt idx="492">
                  <c:v>32.380000000000003</c:v>
                </c:pt>
                <c:pt idx="493">
                  <c:v>32.484999999999999</c:v>
                </c:pt>
                <c:pt idx="494">
                  <c:v>32.545000000000002</c:v>
                </c:pt>
                <c:pt idx="495">
                  <c:v>32.6</c:v>
                </c:pt>
                <c:pt idx="496">
                  <c:v>32.604999999999997</c:v>
                </c:pt>
                <c:pt idx="497">
                  <c:v>32.520000000000003</c:v>
                </c:pt>
                <c:pt idx="498">
                  <c:v>32.54</c:v>
                </c:pt>
                <c:pt idx="499">
                  <c:v>32.515000000000001</c:v>
                </c:pt>
                <c:pt idx="500">
                  <c:v>32.5</c:v>
                </c:pt>
                <c:pt idx="501">
                  <c:v>32.43</c:v>
                </c:pt>
                <c:pt idx="502">
                  <c:v>32.384999999999998</c:v>
                </c:pt>
                <c:pt idx="503">
                  <c:v>32.4</c:v>
                </c:pt>
                <c:pt idx="504">
                  <c:v>32.380000000000003</c:v>
                </c:pt>
                <c:pt idx="505">
                  <c:v>32.29</c:v>
                </c:pt>
                <c:pt idx="506">
                  <c:v>32.265000000000001</c:v>
                </c:pt>
                <c:pt idx="507">
                  <c:v>32.25</c:v>
                </c:pt>
                <c:pt idx="508">
                  <c:v>32.195</c:v>
                </c:pt>
                <c:pt idx="509">
                  <c:v>32.174999999999997</c:v>
                </c:pt>
                <c:pt idx="510">
                  <c:v>32.25</c:v>
                </c:pt>
                <c:pt idx="511">
                  <c:v>32.299999999999997</c:v>
                </c:pt>
                <c:pt idx="512">
                  <c:v>32.265000000000001</c:v>
                </c:pt>
                <c:pt idx="513">
                  <c:v>32.274999999999999</c:v>
                </c:pt>
                <c:pt idx="514">
                  <c:v>32.265000000000001</c:v>
                </c:pt>
                <c:pt idx="515">
                  <c:v>32.234999999999999</c:v>
                </c:pt>
                <c:pt idx="516">
                  <c:v>32.164999999999999</c:v>
                </c:pt>
                <c:pt idx="517">
                  <c:v>32.15</c:v>
                </c:pt>
                <c:pt idx="518">
                  <c:v>32.130000000000003</c:v>
                </c:pt>
                <c:pt idx="519">
                  <c:v>32.130000000000003</c:v>
                </c:pt>
                <c:pt idx="520">
                  <c:v>32.130000000000003</c:v>
                </c:pt>
                <c:pt idx="521">
                  <c:v>32.155000000000001</c:v>
                </c:pt>
                <c:pt idx="522">
                  <c:v>32.15</c:v>
                </c:pt>
                <c:pt idx="523">
                  <c:v>32.119999999999997</c:v>
                </c:pt>
                <c:pt idx="524">
                  <c:v>32.055</c:v>
                </c:pt>
                <c:pt idx="525">
                  <c:v>32.200000000000003</c:v>
                </c:pt>
                <c:pt idx="526">
                  <c:v>32.21</c:v>
                </c:pt>
                <c:pt idx="527">
                  <c:v>32.24</c:v>
                </c:pt>
                <c:pt idx="528">
                  <c:v>32.22</c:v>
                </c:pt>
                <c:pt idx="529">
                  <c:v>32.244999999999997</c:v>
                </c:pt>
                <c:pt idx="530">
                  <c:v>32.164999999999999</c:v>
                </c:pt>
                <c:pt idx="531">
                  <c:v>32.195</c:v>
                </c:pt>
                <c:pt idx="532">
                  <c:v>32.200000000000003</c:v>
                </c:pt>
                <c:pt idx="533">
                  <c:v>32.07</c:v>
                </c:pt>
                <c:pt idx="534">
                  <c:v>32.034999999999997</c:v>
                </c:pt>
                <c:pt idx="535">
                  <c:v>32.01</c:v>
                </c:pt>
                <c:pt idx="536">
                  <c:v>32.08</c:v>
                </c:pt>
                <c:pt idx="537">
                  <c:v>31.94</c:v>
                </c:pt>
                <c:pt idx="538">
                  <c:v>31.96</c:v>
                </c:pt>
                <c:pt idx="539">
                  <c:v>31.905000000000001</c:v>
                </c:pt>
                <c:pt idx="540">
                  <c:v>31.895</c:v>
                </c:pt>
                <c:pt idx="541">
                  <c:v>31.78</c:v>
                </c:pt>
                <c:pt idx="542">
                  <c:v>31.69</c:v>
                </c:pt>
                <c:pt idx="543">
                  <c:v>31.664999999999999</c:v>
                </c:pt>
                <c:pt idx="544">
                  <c:v>31.495000000000001</c:v>
                </c:pt>
                <c:pt idx="545">
                  <c:v>31.504999999999999</c:v>
                </c:pt>
                <c:pt idx="546">
                  <c:v>31.574999999999999</c:v>
                </c:pt>
                <c:pt idx="547">
                  <c:v>31.63</c:v>
                </c:pt>
                <c:pt idx="548">
                  <c:v>31.504999999999999</c:v>
                </c:pt>
                <c:pt idx="549">
                  <c:v>31.34</c:v>
                </c:pt>
                <c:pt idx="550">
                  <c:v>31.33</c:v>
                </c:pt>
                <c:pt idx="551">
                  <c:v>31.254999999999999</c:v>
                </c:pt>
                <c:pt idx="552">
                  <c:v>31.315000000000001</c:v>
                </c:pt>
                <c:pt idx="553">
                  <c:v>31.155000000000001</c:v>
                </c:pt>
                <c:pt idx="554">
                  <c:v>31.34</c:v>
                </c:pt>
                <c:pt idx="555">
                  <c:v>31.5</c:v>
                </c:pt>
                <c:pt idx="556">
                  <c:v>31.585000000000001</c:v>
                </c:pt>
                <c:pt idx="557">
                  <c:v>31.655000000000001</c:v>
                </c:pt>
                <c:pt idx="558">
                  <c:v>31.605</c:v>
                </c:pt>
                <c:pt idx="559">
                  <c:v>31.5</c:v>
                </c:pt>
                <c:pt idx="560">
                  <c:v>31.42</c:v>
                </c:pt>
                <c:pt idx="561">
                  <c:v>31.385000000000002</c:v>
                </c:pt>
                <c:pt idx="562">
                  <c:v>31.405000000000001</c:v>
                </c:pt>
                <c:pt idx="563">
                  <c:v>31.41</c:v>
                </c:pt>
                <c:pt idx="564">
                  <c:v>31.34</c:v>
                </c:pt>
                <c:pt idx="565">
                  <c:v>31.34</c:v>
                </c:pt>
                <c:pt idx="566">
                  <c:v>31.295000000000002</c:v>
                </c:pt>
                <c:pt idx="567">
                  <c:v>31.28</c:v>
                </c:pt>
                <c:pt idx="568">
                  <c:v>31.18</c:v>
                </c:pt>
                <c:pt idx="569">
                  <c:v>31.164999999999999</c:v>
                </c:pt>
                <c:pt idx="570">
                  <c:v>31.065000000000001</c:v>
                </c:pt>
                <c:pt idx="571">
                  <c:v>31.004999999999999</c:v>
                </c:pt>
                <c:pt idx="572">
                  <c:v>30.97</c:v>
                </c:pt>
                <c:pt idx="573">
                  <c:v>30.984999999999999</c:v>
                </c:pt>
                <c:pt idx="574">
                  <c:v>30.98</c:v>
                </c:pt>
                <c:pt idx="575">
                  <c:v>30.97</c:v>
                </c:pt>
                <c:pt idx="576">
                  <c:v>31.015000000000001</c:v>
                </c:pt>
                <c:pt idx="577">
                  <c:v>30.99</c:v>
                </c:pt>
                <c:pt idx="578">
                  <c:v>31.024999999999999</c:v>
                </c:pt>
                <c:pt idx="579">
                  <c:v>30.975000000000001</c:v>
                </c:pt>
                <c:pt idx="580">
                  <c:v>30.995000000000001</c:v>
                </c:pt>
                <c:pt idx="581">
                  <c:v>30.96</c:v>
                </c:pt>
                <c:pt idx="582">
                  <c:v>30.93</c:v>
                </c:pt>
                <c:pt idx="583">
                  <c:v>31.004999999999999</c:v>
                </c:pt>
                <c:pt idx="584">
                  <c:v>31.02</c:v>
                </c:pt>
                <c:pt idx="585">
                  <c:v>30.914999999999999</c:v>
                </c:pt>
                <c:pt idx="586">
                  <c:v>30.914999999999999</c:v>
                </c:pt>
                <c:pt idx="587">
                  <c:v>31.015000000000001</c:v>
                </c:pt>
                <c:pt idx="588">
                  <c:v>31.055</c:v>
                </c:pt>
                <c:pt idx="589">
                  <c:v>31.065000000000001</c:v>
                </c:pt>
                <c:pt idx="590">
                  <c:v>31.02</c:v>
                </c:pt>
                <c:pt idx="591">
                  <c:v>30.95</c:v>
                </c:pt>
                <c:pt idx="592">
                  <c:v>30.945</c:v>
                </c:pt>
                <c:pt idx="593">
                  <c:v>31.035</c:v>
                </c:pt>
                <c:pt idx="594">
                  <c:v>31.085000000000001</c:v>
                </c:pt>
                <c:pt idx="595">
                  <c:v>31.074999999999999</c:v>
                </c:pt>
                <c:pt idx="596">
                  <c:v>31.074999999999999</c:v>
                </c:pt>
                <c:pt idx="597">
                  <c:v>31.02</c:v>
                </c:pt>
                <c:pt idx="598">
                  <c:v>31</c:v>
                </c:pt>
                <c:pt idx="599">
                  <c:v>30.995000000000001</c:v>
                </c:pt>
                <c:pt idx="600">
                  <c:v>30.965</c:v>
                </c:pt>
                <c:pt idx="601">
                  <c:v>30.945</c:v>
                </c:pt>
                <c:pt idx="602">
                  <c:v>30.905000000000001</c:v>
                </c:pt>
                <c:pt idx="603">
                  <c:v>30.94</c:v>
                </c:pt>
                <c:pt idx="604">
                  <c:v>31.015000000000001</c:v>
                </c:pt>
                <c:pt idx="605">
                  <c:v>31.045000000000002</c:v>
                </c:pt>
                <c:pt idx="606">
                  <c:v>31.01</c:v>
                </c:pt>
                <c:pt idx="607">
                  <c:v>30.975000000000001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E-454B-B799-B999671F9FD1}"/>
            </c:ext>
          </c:extLst>
        </c:ser>
        <c:ser>
          <c:idx val="2"/>
          <c:order val="2"/>
          <c:tx>
            <c:strRef>
              <c:f>匯率!$L$2</c:f>
              <c:strCache>
                <c:ptCount val="1"/>
                <c:pt idx="0">
                  <c:v>即期買入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匯率!$L$3:$L$610</c:f>
              <c:numCache>
                <c:formatCode>General</c:formatCode>
                <c:ptCount val="608"/>
                <c:pt idx="0">
                  <c:v>31.515000000000001</c:v>
                </c:pt>
                <c:pt idx="1">
                  <c:v>31.504999999999999</c:v>
                </c:pt>
                <c:pt idx="2">
                  <c:v>31.55</c:v>
                </c:pt>
                <c:pt idx="3">
                  <c:v>31.414999999999999</c:v>
                </c:pt>
                <c:pt idx="4">
                  <c:v>31.25</c:v>
                </c:pt>
                <c:pt idx="5">
                  <c:v>31.24</c:v>
                </c:pt>
                <c:pt idx="6">
                  <c:v>31.38</c:v>
                </c:pt>
                <c:pt idx="7">
                  <c:v>31.445</c:v>
                </c:pt>
                <c:pt idx="8">
                  <c:v>31.5</c:v>
                </c:pt>
                <c:pt idx="9">
                  <c:v>31.55</c:v>
                </c:pt>
                <c:pt idx="10">
                  <c:v>31.59</c:v>
                </c:pt>
                <c:pt idx="11">
                  <c:v>31.555</c:v>
                </c:pt>
                <c:pt idx="12">
                  <c:v>31.545000000000002</c:v>
                </c:pt>
                <c:pt idx="13">
                  <c:v>31.51</c:v>
                </c:pt>
                <c:pt idx="14">
                  <c:v>31.524999999999999</c:v>
                </c:pt>
                <c:pt idx="15">
                  <c:v>31.58</c:v>
                </c:pt>
                <c:pt idx="16">
                  <c:v>31.6</c:v>
                </c:pt>
                <c:pt idx="17">
                  <c:v>31.59</c:v>
                </c:pt>
                <c:pt idx="18">
                  <c:v>31.55</c:v>
                </c:pt>
                <c:pt idx="19">
                  <c:v>31.524999999999999</c:v>
                </c:pt>
                <c:pt idx="20">
                  <c:v>31.46</c:v>
                </c:pt>
                <c:pt idx="21">
                  <c:v>31.47</c:v>
                </c:pt>
                <c:pt idx="22">
                  <c:v>31.49</c:v>
                </c:pt>
                <c:pt idx="23">
                  <c:v>31.37</c:v>
                </c:pt>
                <c:pt idx="24">
                  <c:v>31.38</c:v>
                </c:pt>
                <c:pt idx="25">
                  <c:v>31.324999999999999</c:v>
                </c:pt>
                <c:pt idx="26">
                  <c:v>31.39</c:v>
                </c:pt>
                <c:pt idx="27">
                  <c:v>31.395</c:v>
                </c:pt>
                <c:pt idx="28">
                  <c:v>31.425000000000001</c:v>
                </c:pt>
                <c:pt idx="29">
                  <c:v>31.47</c:v>
                </c:pt>
                <c:pt idx="30">
                  <c:v>31.48</c:v>
                </c:pt>
                <c:pt idx="31">
                  <c:v>31.484999999999999</c:v>
                </c:pt>
                <c:pt idx="32">
                  <c:v>31.47</c:v>
                </c:pt>
                <c:pt idx="33">
                  <c:v>31.484999999999999</c:v>
                </c:pt>
                <c:pt idx="34">
                  <c:v>31.42</c:v>
                </c:pt>
                <c:pt idx="35">
                  <c:v>31.33</c:v>
                </c:pt>
                <c:pt idx="36">
                  <c:v>31.11</c:v>
                </c:pt>
                <c:pt idx="37">
                  <c:v>31.204999999999998</c:v>
                </c:pt>
                <c:pt idx="38">
                  <c:v>31.14</c:v>
                </c:pt>
                <c:pt idx="39">
                  <c:v>31.145</c:v>
                </c:pt>
                <c:pt idx="40">
                  <c:v>31.14</c:v>
                </c:pt>
                <c:pt idx="41">
                  <c:v>31.19</c:v>
                </c:pt>
                <c:pt idx="42">
                  <c:v>31.274999999999999</c:v>
                </c:pt>
                <c:pt idx="43">
                  <c:v>31.27</c:v>
                </c:pt>
                <c:pt idx="44">
                  <c:v>31.36</c:v>
                </c:pt>
                <c:pt idx="45">
                  <c:v>31.38</c:v>
                </c:pt>
                <c:pt idx="46">
                  <c:v>31.35</c:v>
                </c:pt>
                <c:pt idx="47">
                  <c:v>31.274999999999999</c:v>
                </c:pt>
                <c:pt idx="48">
                  <c:v>31.29</c:v>
                </c:pt>
                <c:pt idx="49">
                  <c:v>31.39</c:v>
                </c:pt>
                <c:pt idx="50">
                  <c:v>31.385000000000002</c:v>
                </c:pt>
                <c:pt idx="51">
                  <c:v>31.37</c:v>
                </c:pt>
                <c:pt idx="52">
                  <c:v>31.24</c:v>
                </c:pt>
                <c:pt idx="53">
                  <c:v>31.19</c:v>
                </c:pt>
                <c:pt idx="54">
                  <c:v>31.14</c:v>
                </c:pt>
                <c:pt idx="55">
                  <c:v>31.11</c:v>
                </c:pt>
                <c:pt idx="56">
                  <c:v>31.09</c:v>
                </c:pt>
                <c:pt idx="57">
                  <c:v>31.01</c:v>
                </c:pt>
                <c:pt idx="58">
                  <c:v>31.004999999999999</c:v>
                </c:pt>
                <c:pt idx="59">
                  <c:v>30.99</c:v>
                </c:pt>
                <c:pt idx="60">
                  <c:v>30.95</c:v>
                </c:pt>
                <c:pt idx="61">
                  <c:v>30.98</c:v>
                </c:pt>
                <c:pt idx="62">
                  <c:v>30.895</c:v>
                </c:pt>
                <c:pt idx="63">
                  <c:v>30.885000000000002</c:v>
                </c:pt>
                <c:pt idx="64">
                  <c:v>30.844999999999999</c:v>
                </c:pt>
                <c:pt idx="65">
                  <c:v>30.78</c:v>
                </c:pt>
                <c:pt idx="66">
                  <c:v>30.68</c:v>
                </c:pt>
                <c:pt idx="67">
                  <c:v>30.64</c:v>
                </c:pt>
                <c:pt idx="68">
                  <c:v>30.565000000000001</c:v>
                </c:pt>
                <c:pt idx="69">
                  <c:v>30.57</c:v>
                </c:pt>
                <c:pt idx="70">
                  <c:v>30.65</c:v>
                </c:pt>
                <c:pt idx="71">
                  <c:v>30.754999999999999</c:v>
                </c:pt>
                <c:pt idx="72">
                  <c:v>30.67</c:v>
                </c:pt>
                <c:pt idx="73">
                  <c:v>30.625</c:v>
                </c:pt>
                <c:pt idx="74">
                  <c:v>30.574999999999999</c:v>
                </c:pt>
                <c:pt idx="75">
                  <c:v>30.61</c:v>
                </c:pt>
                <c:pt idx="76">
                  <c:v>30.585000000000001</c:v>
                </c:pt>
                <c:pt idx="77">
                  <c:v>30.574999999999999</c:v>
                </c:pt>
                <c:pt idx="78">
                  <c:v>30.704999999999998</c:v>
                </c:pt>
                <c:pt idx="79">
                  <c:v>30.645</c:v>
                </c:pt>
                <c:pt idx="80">
                  <c:v>30.48</c:v>
                </c:pt>
                <c:pt idx="81">
                  <c:v>30.48</c:v>
                </c:pt>
                <c:pt idx="82">
                  <c:v>30.465</c:v>
                </c:pt>
                <c:pt idx="83">
                  <c:v>30.31</c:v>
                </c:pt>
                <c:pt idx="84">
                  <c:v>30.36</c:v>
                </c:pt>
                <c:pt idx="85">
                  <c:v>30.39</c:v>
                </c:pt>
                <c:pt idx="86">
                  <c:v>30.395</c:v>
                </c:pt>
                <c:pt idx="87">
                  <c:v>30.465</c:v>
                </c:pt>
                <c:pt idx="88">
                  <c:v>30.38</c:v>
                </c:pt>
                <c:pt idx="89">
                  <c:v>30.26</c:v>
                </c:pt>
                <c:pt idx="90">
                  <c:v>30.23</c:v>
                </c:pt>
                <c:pt idx="91">
                  <c:v>30.195</c:v>
                </c:pt>
                <c:pt idx="92">
                  <c:v>30.16</c:v>
                </c:pt>
                <c:pt idx="93">
                  <c:v>30.024999999999999</c:v>
                </c:pt>
                <c:pt idx="94">
                  <c:v>29.99</c:v>
                </c:pt>
                <c:pt idx="95">
                  <c:v>30.015000000000001</c:v>
                </c:pt>
                <c:pt idx="96">
                  <c:v>30.155000000000001</c:v>
                </c:pt>
                <c:pt idx="97">
                  <c:v>30.164999999999999</c:v>
                </c:pt>
                <c:pt idx="98">
                  <c:v>30.254999999999999</c:v>
                </c:pt>
                <c:pt idx="99">
                  <c:v>30.22</c:v>
                </c:pt>
                <c:pt idx="100">
                  <c:v>30.3</c:v>
                </c:pt>
                <c:pt idx="101">
                  <c:v>30.445</c:v>
                </c:pt>
                <c:pt idx="102">
                  <c:v>30.515000000000001</c:v>
                </c:pt>
                <c:pt idx="103">
                  <c:v>30.645</c:v>
                </c:pt>
                <c:pt idx="104">
                  <c:v>30.664999999999999</c:v>
                </c:pt>
                <c:pt idx="105">
                  <c:v>30.625</c:v>
                </c:pt>
                <c:pt idx="106">
                  <c:v>30.565000000000001</c:v>
                </c:pt>
                <c:pt idx="107">
                  <c:v>30.54</c:v>
                </c:pt>
                <c:pt idx="108">
                  <c:v>30.53</c:v>
                </c:pt>
                <c:pt idx="109">
                  <c:v>30.52</c:v>
                </c:pt>
                <c:pt idx="110">
                  <c:v>30.49</c:v>
                </c:pt>
                <c:pt idx="111">
                  <c:v>30.385000000000002</c:v>
                </c:pt>
                <c:pt idx="112">
                  <c:v>30.535</c:v>
                </c:pt>
                <c:pt idx="113">
                  <c:v>30.45</c:v>
                </c:pt>
                <c:pt idx="114">
                  <c:v>30.25</c:v>
                </c:pt>
                <c:pt idx="115">
                  <c:v>30.06</c:v>
                </c:pt>
                <c:pt idx="116">
                  <c:v>29.995000000000001</c:v>
                </c:pt>
                <c:pt idx="117">
                  <c:v>29.94</c:v>
                </c:pt>
                <c:pt idx="118">
                  <c:v>29.925000000000001</c:v>
                </c:pt>
                <c:pt idx="119">
                  <c:v>29.895</c:v>
                </c:pt>
                <c:pt idx="120">
                  <c:v>32.46</c:v>
                </c:pt>
                <c:pt idx="121">
                  <c:v>32.450000000000003</c:v>
                </c:pt>
                <c:pt idx="122">
                  <c:v>32.435000000000002</c:v>
                </c:pt>
                <c:pt idx="123">
                  <c:v>32.619999999999997</c:v>
                </c:pt>
                <c:pt idx="124">
                  <c:v>32.814999999999998</c:v>
                </c:pt>
                <c:pt idx="125">
                  <c:v>32.96</c:v>
                </c:pt>
                <c:pt idx="126">
                  <c:v>32.954999999999998</c:v>
                </c:pt>
                <c:pt idx="127">
                  <c:v>33</c:v>
                </c:pt>
                <c:pt idx="128">
                  <c:v>33.04</c:v>
                </c:pt>
                <c:pt idx="129">
                  <c:v>33.15</c:v>
                </c:pt>
                <c:pt idx="130">
                  <c:v>33.155000000000001</c:v>
                </c:pt>
                <c:pt idx="131">
                  <c:v>33.049999999999997</c:v>
                </c:pt>
                <c:pt idx="132">
                  <c:v>33.06</c:v>
                </c:pt>
                <c:pt idx="133">
                  <c:v>33.045000000000002</c:v>
                </c:pt>
                <c:pt idx="134">
                  <c:v>33.03</c:v>
                </c:pt>
                <c:pt idx="135">
                  <c:v>32.984999999999999</c:v>
                </c:pt>
                <c:pt idx="136">
                  <c:v>32.950000000000003</c:v>
                </c:pt>
                <c:pt idx="137">
                  <c:v>32.96</c:v>
                </c:pt>
                <c:pt idx="138">
                  <c:v>32.994999999999997</c:v>
                </c:pt>
                <c:pt idx="139">
                  <c:v>32.950000000000003</c:v>
                </c:pt>
                <c:pt idx="140">
                  <c:v>32.965000000000003</c:v>
                </c:pt>
                <c:pt idx="141">
                  <c:v>32.909999999999997</c:v>
                </c:pt>
                <c:pt idx="142">
                  <c:v>32.92</c:v>
                </c:pt>
                <c:pt idx="143">
                  <c:v>32.909999999999997</c:v>
                </c:pt>
                <c:pt idx="144">
                  <c:v>32.840000000000003</c:v>
                </c:pt>
                <c:pt idx="145">
                  <c:v>32.869999999999997</c:v>
                </c:pt>
                <c:pt idx="146">
                  <c:v>32.79</c:v>
                </c:pt>
                <c:pt idx="147">
                  <c:v>32.805</c:v>
                </c:pt>
                <c:pt idx="148">
                  <c:v>32.774999999999999</c:v>
                </c:pt>
                <c:pt idx="149">
                  <c:v>32.865000000000002</c:v>
                </c:pt>
                <c:pt idx="150">
                  <c:v>32.875</c:v>
                </c:pt>
                <c:pt idx="151">
                  <c:v>32.770000000000003</c:v>
                </c:pt>
                <c:pt idx="152">
                  <c:v>32.744999999999997</c:v>
                </c:pt>
                <c:pt idx="153">
                  <c:v>32.755000000000003</c:v>
                </c:pt>
                <c:pt idx="154">
                  <c:v>32.664999999999999</c:v>
                </c:pt>
                <c:pt idx="155">
                  <c:v>32.700000000000003</c:v>
                </c:pt>
                <c:pt idx="156">
                  <c:v>32.744999999999997</c:v>
                </c:pt>
                <c:pt idx="157">
                  <c:v>32.700000000000003</c:v>
                </c:pt>
                <c:pt idx="158">
                  <c:v>32.72</c:v>
                </c:pt>
                <c:pt idx="159">
                  <c:v>32.655000000000001</c:v>
                </c:pt>
                <c:pt idx="160">
                  <c:v>32.734999999999999</c:v>
                </c:pt>
                <c:pt idx="161">
                  <c:v>32.76</c:v>
                </c:pt>
                <c:pt idx="162">
                  <c:v>32.81</c:v>
                </c:pt>
                <c:pt idx="163">
                  <c:v>32.795000000000002</c:v>
                </c:pt>
                <c:pt idx="164">
                  <c:v>32.795000000000002</c:v>
                </c:pt>
                <c:pt idx="165">
                  <c:v>32.74</c:v>
                </c:pt>
                <c:pt idx="166">
                  <c:v>32.704999999999998</c:v>
                </c:pt>
                <c:pt idx="167">
                  <c:v>32.78</c:v>
                </c:pt>
                <c:pt idx="168">
                  <c:v>32.799999999999997</c:v>
                </c:pt>
                <c:pt idx="169">
                  <c:v>32.935000000000002</c:v>
                </c:pt>
                <c:pt idx="170">
                  <c:v>32.92</c:v>
                </c:pt>
                <c:pt idx="171">
                  <c:v>32.634999999999998</c:v>
                </c:pt>
                <c:pt idx="172">
                  <c:v>32.72</c:v>
                </c:pt>
                <c:pt idx="173">
                  <c:v>32.725000000000001</c:v>
                </c:pt>
                <c:pt idx="174">
                  <c:v>32.729999999999997</c:v>
                </c:pt>
                <c:pt idx="175">
                  <c:v>32.755000000000003</c:v>
                </c:pt>
                <c:pt idx="176">
                  <c:v>32.880000000000003</c:v>
                </c:pt>
                <c:pt idx="177">
                  <c:v>32.880000000000003</c:v>
                </c:pt>
                <c:pt idx="178">
                  <c:v>33.015000000000001</c:v>
                </c:pt>
                <c:pt idx="179">
                  <c:v>32.92</c:v>
                </c:pt>
                <c:pt idx="180">
                  <c:v>33.07</c:v>
                </c:pt>
                <c:pt idx="181">
                  <c:v>32.914999999999999</c:v>
                </c:pt>
                <c:pt idx="182">
                  <c:v>32.9</c:v>
                </c:pt>
                <c:pt idx="183">
                  <c:v>32.840000000000003</c:v>
                </c:pt>
                <c:pt idx="184">
                  <c:v>32.685000000000002</c:v>
                </c:pt>
                <c:pt idx="185">
                  <c:v>32.814999999999998</c:v>
                </c:pt>
                <c:pt idx="186">
                  <c:v>32.865000000000002</c:v>
                </c:pt>
                <c:pt idx="187">
                  <c:v>32.83</c:v>
                </c:pt>
                <c:pt idx="188">
                  <c:v>32.734999999999999</c:v>
                </c:pt>
                <c:pt idx="189">
                  <c:v>32.674999999999997</c:v>
                </c:pt>
                <c:pt idx="190">
                  <c:v>32.67</c:v>
                </c:pt>
                <c:pt idx="191">
                  <c:v>32.65</c:v>
                </c:pt>
                <c:pt idx="192">
                  <c:v>32.625</c:v>
                </c:pt>
                <c:pt idx="193">
                  <c:v>32.630000000000003</c:v>
                </c:pt>
                <c:pt idx="194">
                  <c:v>32.64</c:v>
                </c:pt>
                <c:pt idx="195">
                  <c:v>32.645000000000003</c:v>
                </c:pt>
                <c:pt idx="196">
                  <c:v>32.619999999999997</c:v>
                </c:pt>
                <c:pt idx="197">
                  <c:v>32.44</c:v>
                </c:pt>
                <c:pt idx="198">
                  <c:v>32.465000000000003</c:v>
                </c:pt>
                <c:pt idx="199">
                  <c:v>32.435000000000002</c:v>
                </c:pt>
                <c:pt idx="200">
                  <c:v>32.454999999999998</c:v>
                </c:pt>
                <c:pt idx="201">
                  <c:v>32.44</c:v>
                </c:pt>
                <c:pt idx="202">
                  <c:v>32.46</c:v>
                </c:pt>
                <c:pt idx="203">
                  <c:v>32.395000000000003</c:v>
                </c:pt>
                <c:pt idx="204">
                  <c:v>32.424999999999997</c:v>
                </c:pt>
                <c:pt idx="205">
                  <c:v>32.354999999999997</c:v>
                </c:pt>
                <c:pt idx="206">
                  <c:v>32.39</c:v>
                </c:pt>
                <c:pt idx="207">
                  <c:v>32.384999999999998</c:v>
                </c:pt>
                <c:pt idx="208">
                  <c:v>32.49</c:v>
                </c:pt>
                <c:pt idx="209">
                  <c:v>32.549999999999997</c:v>
                </c:pt>
                <c:pt idx="210">
                  <c:v>32.42</c:v>
                </c:pt>
                <c:pt idx="211">
                  <c:v>32.479999999999997</c:v>
                </c:pt>
                <c:pt idx="212">
                  <c:v>32.484999999999999</c:v>
                </c:pt>
                <c:pt idx="213">
                  <c:v>32.46</c:v>
                </c:pt>
                <c:pt idx="214">
                  <c:v>32.43</c:v>
                </c:pt>
                <c:pt idx="215">
                  <c:v>32.54</c:v>
                </c:pt>
                <c:pt idx="216">
                  <c:v>32.494999999999997</c:v>
                </c:pt>
                <c:pt idx="217">
                  <c:v>32.445</c:v>
                </c:pt>
                <c:pt idx="218">
                  <c:v>32.36</c:v>
                </c:pt>
                <c:pt idx="219">
                  <c:v>32.484999999999999</c:v>
                </c:pt>
                <c:pt idx="220">
                  <c:v>32.42</c:v>
                </c:pt>
                <c:pt idx="221">
                  <c:v>32.515000000000001</c:v>
                </c:pt>
                <c:pt idx="222">
                  <c:v>32.4</c:v>
                </c:pt>
                <c:pt idx="223">
                  <c:v>32.384999999999998</c:v>
                </c:pt>
                <c:pt idx="224">
                  <c:v>32.200000000000003</c:v>
                </c:pt>
                <c:pt idx="225">
                  <c:v>32.064999999999998</c:v>
                </c:pt>
                <c:pt idx="226">
                  <c:v>32.19</c:v>
                </c:pt>
                <c:pt idx="227">
                  <c:v>32.125</c:v>
                </c:pt>
                <c:pt idx="228">
                  <c:v>31.92</c:v>
                </c:pt>
                <c:pt idx="229">
                  <c:v>31.92</c:v>
                </c:pt>
                <c:pt idx="230">
                  <c:v>31.914999999999999</c:v>
                </c:pt>
                <c:pt idx="231">
                  <c:v>31.99</c:v>
                </c:pt>
                <c:pt idx="232">
                  <c:v>31.99</c:v>
                </c:pt>
                <c:pt idx="233">
                  <c:v>32.049999999999997</c:v>
                </c:pt>
                <c:pt idx="234">
                  <c:v>32.045000000000002</c:v>
                </c:pt>
                <c:pt idx="235">
                  <c:v>32.020000000000003</c:v>
                </c:pt>
                <c:pt idx="236">
                  <c:v>32.04</c:v>
                </c:pt>
                <c:pt idx="237">
                  <c:v>32.03</c:v>
                </c:pt>
                <c:pt idx="238">
                  <c:v>32.01</c:v>
                </c:pt>
                <c:pt idx="239">
                  <c:v>31.92</c:v>
                </c:pt>
                <c:pt idx="240">
                  <c:v>32.020000000000003</c:v>
                </c:pt>
                <c:pt idx="241">
                  <c:v>32.115000000000002</c:v>
                </c:pt>
                <c:pt idx="242">
                  <c:v>32.134999999999998</c:v>
                </c:pt>
                <c:pt idx="243">
                  <c:v>32.130000000000003</c:v>
                </c:pt>
                <c:pt idx="244">
                  <c:v>32.119999999999997</c:v>
                </c:pt>
                <c:pt idx="245">
                  <c:v>32.134999999999998</c:v>
                </c:pt>
                <c:pt idx="246">
                  <c:v>32.130000000000003</c:v>
                </c:pt>
                <c:pt idx="247">
                  <c:v>32.17</c:v>
                </c:pt>
                <c:pt idx="248">
                  <c:v>32.08</c:v>
                </c:pt>
                <c:pt idx="249">
                  <c:v>31.91</c:v>
                </c:pt>
                <c:pt idx="250">
                  <c:v>31.79</c:v>
                </c:pt>
                <c:pt idx="251">
                  <c:v>31.6</c:v>
                </c:pt>
                <c:pt idx="252">
                  <c:v>31.64</c:v>
                </c:pt>
                <c:pt idx="253">
                  <c:v>31.815000000000001</c:v>
                </c:pt>
                <c:pt idx="254">
                  <c:v>31.79</c:v>
                </c:pt>
                <c:pt idx="255">
                  <c:v>31.92</c:v>
                </c:pt>
                <c:pt idx="256">
                  <c:v>31.984999999999999</c:v>
                </c:pt>
                <c:pt idx="257">
                  <c:v>31.914999999999999</c:v>
                </c:pt>
                <c:pt idx="258">
                  <c:v>31.885000000000002</c:v>
                </c:pt>
                <c:pt idx="259">
                  <c:v>31.89</c:v>
                </c:pt>
                <c:pt idx="260">
                  <c:v>31.86</c:v>
                </c:pt>
                <c:pt idx="261">
                  <c:v>31.945</c:v>
                </c:pt>
                <c:pt idx="262">
                  <c:v>32.08</c:v>
                </c:pt>
                <c:pt idx="263">
                  <c:v>32.075000000000003</c:v>
                </c:pt>
                <c:pt idx="264">
                  <c:v>32.130000000000003</c:v>
                </c:pt>
                <c:pt idx="265">
                  <c:v>32.04</c:v>
                </c:pt>
                <c:pt idx="266">
                  <c:v>31.88</c:v>
                </c:pt>
                <c:pt idx="267">
                  <c:v>32.020000000000003</c:v>
                </c:pt>
                <c:pt idx="268">
                  <c:v>32.14</c:v>
                </c:pt>
                <c:pt idx="269">
                  <c:v>32.01</c:v>
                </c:pt>
                <c:pt idx="270">
                  <c:v>31.97</c:v>
                </c:pt>
                <c:pt idx="271">
                  <c:v>31.89</c:v>
                </c:pt>
                <c:pt idx="272">
                  <c:v>31.86</c:v>
                </c:pt>
                <c:pt idx="273">
                  <c:v>31.9</c:v>
                </c:pt>
                <c:pt idx="274">
                  <c:v>31.88</c:v>
                </c:pt>
                <c:pt idx="275">
                  <c:v>31.76</c:v>
                </c:pt>
                <c:pt idx="276">
                  <c:v>31.91</c:v>
                </c:pt>
                <c:pt idx="277">
                  <c:v>31.914999999999999</c:v>
                </c:pt>
                <c:pt idx="278">
                  <c:v>31.885000000000002</c:v>
                </c:pt>
                <c:pt idx="279">
                  <c:v>31.93</c:v>
                </c:pt>
                <c:pt idx="280">
                  <c:v>31.975000000000001</c:v>
                </c:pt>
                <c:pt idx="281">
                  <c:v>32.229999999999997</c:v>
                </c:pt>
                <c:pt idx="282">
                  <c:v>32.229999999999997</c:v>
                </c:pt>
                <c:pt idx="283">
                  <c:v>32.25</c:v>
                </c:pt>
                <c:pt idx="284">
                  <c:v>32.424999999999997</c:v>
                </c:pt>
                <c:pt idx="285">
                  <c:v>32.409999999999997</c:v>
                </c:pt>
                <c:pt idx="286">
                  <c:v>32.380000000000003</c:v>
                </c:pt>
                <c:pt idx="287">
                  <c:v>32.520000000000003</c:v>
                </c:pt>
                <c:pt idx="288">
                  <c:v>32.634999999999998</c:v>
                </c:pt>
                <c:pt idx="289">
                  <c:v>32.64</c:v>
                </c:pt>
                <c:pt idx="290">
                  <c:v>32.594999999999999</c:v>
                </c:pt>
                <c:pt idx="291">
                  <c:v>32.765000000000001</c:v>
                </c:pt>
                <c:pt idx="292">
                  <c:v>32.725000000000001</c:v>
                </c:pt>
                <c:pt idx="293">
                  <c:v>32.784999999999997</c:v>
                </c:pt>
                <c:pt idx="294">
                  <c:v>32.799999999999997</c:v>
                </c:pt>
                <c:pt idx="295">
                  <c:v>32.82</c:v>
                </c:pt>
                <c:pt idx="296">
                  <c:v>32.78</c:v>
                </c:pt>
                <c:pt idx="297">
                  <c:v>32.78</c:v>
                </c:pt>
                <c:pt idx="298">
                  <c:v>32.79</c:v>
                </c:pt>
                <c:pt idx="299">
                  <c:v>32.799999999999997</c:v>
                </c:pt>
                <c:pt idx="300">
                  <c:v>32.68</c:v>
                </c:pt>
                <c:pt idx="301">
                  <c:v>32.555</c:v>
                </c:pt>
                <c:pt idx="302">
                  <c:v>32.564999999999998</c:v>
                </c:pt>
                <c:pt idx="303">
                  <c:v>32.575000000000003</c:v>
                </c:pt>
                <c:pt idx="304">
                  <c:v>32.524999999999999</c:v>
                </c:pt>
                <c:pt idx="305">
                  <c:v>32.51</c:v>
                </c:pt>
                <c:pt idx="306">
                  <c:v>32.46</c:v>
                </c:pt>
                <c:pt idx="307">
                  <c:v>32.534999999999997</c:v>
                </c:pt>
                <c:pt idx="308">
                  <c:v>32.5</c:v>
                </c:pt>
                <c:pt idx="309">
                  <c:v>32.445</c:v>
                </c:pt>
                <c:pt idx="310">
                  <c:v>32.424999999999997</c:v>
                </c:pt>
                <c:pt idx="311">
                  <c:v>32.424999999999997</c:v>
                </c:pt>
                <c:pt idx="312">
                  <c:v>32.58</c:v>
                </c:pt>
                <c:pt idx="313">
                  <c:v>32.57</c:v>
                </c:pt>
                <c:pt idx="314">
                  <c:v>32.494999999999997</c:v>
                </c:pt>
                <c:pt idx="315">
                  <c:v>32.4</c:v>
                </c:pt>
                <c:pt idx="316">
                  <c:v>32.479999999999997</c:v>
                </c:pt>
                <c:pt idx="317">
                  <c:v>32.5</c:v>
                </c:pt>
                <c:pt idx="318">
                  <c:v>32.395000000000003</c:v>
                </c:pt>
                <c:pt idx="319">
                  <c:v>32.340000000000003</c:v>
                </c:pt>
                <c:pt idx="320">
                  <c:v>32.32</c:v>
                </c:pt>
                <c:pt idx="321">
                  <c:v>32.274999999999999</c:v>
                </c:pt>
                <c:pt idx="322">
                  <c:v>32.305</c:v>
                </c:pt>
                <c:pt idx="323">
                  <c:v>32.344999999999999</c:v>
                </c:pt>
                <c:pt idx="324">
                  <c:v>32.335000000000001</c:v>
                </c:pt>
                <c:pt idx="325">
                  <c:v>32.295000000000002</c:v>
                </c:pt>
                <c:pt idx="326">
                  <c:v>32.28</c:v>
                </c:pt>
                <c:pt idx="327">
                  <c:v>32.335000000000001</c:v>
                </c:pt>
                <c:pt idx="328">
                  <c:v>32.344999999999999</c:v>
                </c:pt>
                <c:pt idx="329">
                  <c:v>32.200000000000003</c:v>
                </c:pt>
                <c:pt idx="330">
                  <c:v>32.22</c:v>
                </c:pt>
                <c:pt idx="331">
                  <c:v>32.29</c:v>
                </c:pt>
                <c:pt idx="332">
                  <c:v>32.344999999999999</c:v>
                </c:pt>
                <c:pt idx="333">
                  <c:v>32.344999999999999</c:v>
                </c:pt>
                <c:pt idx="334">
                  <c:v>32.35</c:v>
                </c:pt>
                <c:pt idx="335">
                  <c:v>32.39</c:v>
                </c:pt>
                <c:pt idx="336">
                  <c:v>32.244999999999997</c:v>
                </c:pt>
                <c:pt idx="337">
                  <c:v>32.119999999999997</c:v>
                </c:pt>
                <c:pt idx="338">
                  <c:v>32.130000000000003</c:v>
                </c:pt>
                <c:pt idx="339">
                  <c:v>32.215000000000003</c:v>
                </c:pt>
                <c:pt idx="340">
                  <c:v>32.19</c:v>
                </c:pt>
                <c:pt idx="341">
                  <c:v>32.225000000000001</c:v>
                </c:pt>
                <c:pt idx="342">
                  <c:v>32.24</c:v>
                </c:pt>
                <c:pt idx="343">
                  <c:v>32.185000000000002</c:v>
                </c:pt>
                <c:pt idx="344">
                  <c:v>32.159999999999997</c:v>
                </c:pt>
                <c:pt idx="345">
                  <c:v>32.055</c:v>
                </c:pt>
                <c:pt idx="346">
                  <c:v>32.255000000000003</c:v>
                </c:pt>
                <c:pt idx="347">
                  <c:v>32.365000000000002</c:v>
                </c:pt>
                <c:pt idx="348">
                  <c:v>32.365000000000002</c:v>
                </c:pt>
                <c:pt idx="349">
                  <c:v>32.365000000000002</c:v>
                </c:pt>
                <c:pt idx="350">
                  <c:v>32.405000000000001</c:v>
                </c:pt>
                <c:pt idx="351">
                  <c:v>32.36</c:v>
                </c:pt>
                <c:pt idx="352">
                  <c:v>32.32</c:v>
                </c:pt>
                <c:pt idx="353">
                  <c:v>32.299999999999997</c:v>
                </c:pt>
                <c:pt idx="354">
                  <c:v>32.325000000000003</c:v>
                </c:pt>
                <c:pt idx="355">
                  <c:v>32.450000000000003</c:v>
                </c:pt>
                <c:pt idx="356">
                  <c:v>32.494999999999997</c:v>
                </c:pt>
                <c:pt idx="357">
                  <c:v>32.51</c:v>
                </c:pt>
                <c:pt idx="358">
                  <c:v>32.520000000000003</c:v>
                </c:pt>
                <c:pt idx="359">
                  <c:v>32.53</c:v>
                </c:pt>
                <c:pt idx="360">
                  <c:v>32.484999999999999</c:v>
                </c:pt>
                <c:pt idx="361">
                  <c:v>32.545000000000002</c:v>
                </c:pt>
                <c:pt idx="362">
                  <c:v>32.590000000000003</c:v>
                </c:pt>
                <c:pt idx="363">
                  <c:v>32.465000000000003</c:v>
                </c:pt>
                <c:pt idx="364">
                  <c:v>32.325000000000003</c:v>
                </c:pt>
                <c:pt idx="365">
                  <c:v>32.44</c:v>
                </c:pt>
                <c:pt idx="366">
                  <c:v>32.445</c:v>
                </c:pt>
                <c:pt idx="367">
                  <c:v>32.33</c:v>
                </c:pt>
                <c:pt idx="368">
                  <c:v>32.244999999999997</c:v>
                </c:pt>
                <c:pt idx="369">
                  <c:v>32.18</c:v>
                </c:pt>
                <c:pt idx="370">
                  <c:v>31.96</c:v>
                </c:pt>
                <c:pt idx="371">
                  <c:v>32.055</c:v>
                </c:pt>
                <c:pt idx="372">
                  <c:v>32.049999999999997</c:v>
                </c:pt>
                <c:pt idx="373">
                  <c:v>32.01</c:v>
                </c:pt>
                <c:pt idx="374">
                  <c:v>32.024999999999999</c:v>
                </c:pt>
                <c:pt idx="375">
                  <c:v>31.93</c:v>
                </c:pt>
                <c:pt idx="376">
                  <c:v>31.95</c:v>
                </c:pt>
                <c:pt idx="377">
                  <c:v>31.94</c:v>
                </c:pt>
                <c:pt idx="378">
                  <c:v>31.95</c:v>
                </c:pt>
                <c:pt idx="379">
                  <c:v>31.855</c:v>
                </c:pt>
                <c:pt idx="380">
                  <c:v>31.815000000000001</c:v>
                </c:pt>
                <c:pt idx="381">
                  <c:v>31.91</c:v>
                </c:pt>
                <c:pt idx="382">
                  <c:v>31.785</c:v>
                </c:pt>
                <c:pt idx="383">
                  <c:v>31.82</c:v>
                </c:pt>
                <c:pt idx="384">
                  <c:v>31.73</c:v>
                </c:pt>
                <c:pt idx="385">
                  <c:v>31.61</c:v>
                </c:pt>
                <c:pt idx="386">
                  <c:v>31.55</c:v>
                </c:pt>
                <c:pt idx="387">
                  <c:v>31.45</c:v>
                </c:pt>
                <c:pt idx="388">
                  <c:v>31.414999999999999</c:v>
                </c:pt>
                <c:pt idx="389">
                  <c:v>31.37</c:v>
                </c:pt>
                <c:pt idx="390">
                  <c:v>31.37</c:v>
                </c:pt>
                <c:pt idx="391">
                  <c:v>31.38</c:v>
                </c:pt>
                <c:pt idx="392">
                  <c:v>31.49</c:v>
                </c:pt>
                <c:pt idx="393">
                  <c:v>31.524999999999999</c:v>
                </c:pt>
                <c:pt idx="394">
                  <c:v>31.515000000000001</c:v>
                </c:pt>
                <c:pt idx="395">
                  <c:v>31.475000000000001</c:v>
                </c:pt>
                <c:pt idx="396">
                  <c:v>31.56</c:v>
                </c:pt>
                <c:pt idx="397">
                  <c:v>31.53</c:v>
                </c:pt>
                <c:pt idx="398">
                  <c:v>31.52</c:v>
                </c:pt>
                <c:pt idx="399">
                  <c:v>31.5</c:v>
                </c:pt>
                <c:pt idx="400">
                  <c:v>31.504999999999999</c:v>
                </c:pt>
                <c:pt idx="401">
                  <c:v>31.46</c:v>
                </c:pt>
                <c:pt idx="402">
                  <c:v>31.48</c:v>
                </c:pt>
                <c:pt idx="403">
                  <c:v>31.45</c:v>
                </c:pt>
                <c:pt idx="404">
                  <c:v>31.35</c:v>
                </c:pt>
                <c:pt idx="405">
                  <c:v>31.335000000000001</c:v>
                </c:pt>
                <c:pt idx="406">
                  <c:v>31.31</c:v>
                </c:pt>
                <c:pt idx="407">
                  <c:v>31.38</c:v>
                </c:pt>
                <c:pt idx="408">
                  <c:v>31.3</c:v>
                </c:pt>
                <c:pt idx="409">
                  <c:v>31.28</c:v>
                </c:pt>
                <c:pt idx="410">
                  <c:v>31.32</c:v>
                </c:pt>
                <c:pt idx="411">
                  <c:v>31.184999999999999</c:v>
                </c:pt>
                <c:pt idx="412">
                  <c:v>31.28</c:v>
                </c:pt>
                <c:pt idx="413">
                  <c:v>31.24</c:v>
                </c:pt>
                <c:pt idx="414">
                  <c:v>31.09</c:v>
                </c:pt>
                <c:pt idx="415">
                  <c:v>31.2</c:v>
                </c:pt>
                <c:pt idx="416">
                  <c:v>31.24</c:v>
                </c:pt>
                <c:pt idx="417">
                  <c:v>31.26</c:v>
                </c:pt>
                <c:pt idx="418">
                  <c:v>31.29</c:v>
                </c:pt>
                <c:pt idx="419">
                  <c:v>31.274999999999999</c:v>
                </c:pt>
                <c:pt idx="420">
                  <c:v>31.29</c:v>
                </c:pt>
                <c:pt idx="421">
                  <c:v>31.385000000000002</c:v>
                </c:pt>
                <c:pt idx="422">
                  <c:v>31.524999999999999</c:v>
                </c:pt>
                <c:pt idx="423">
                  <c:v>31.54</c:v>
                </c:pt>
                <c:pt idx="424">
                  <c:v>31.344999999999999</c:v>
                </c:pt>
                <c:pt idx="425">
                  <c:v>31.17</c:v>
                </c:pt>
                <c:pt idx="426">
                  <c:v>31.074999999999999</c:v>
                </c:pt>
                <c:pt idx="427">
                  <c:v>31.045000000000002</c:v>
                </c:pt>
                <c:pt idx="428">
                  <c:v>31.07</c:v>
                </c:pt>
                <c:pt idx="429">
                  <c:v>30.97</c:v>
                </c:pt>
                <c:pt idx="430">
                  <c:v>30.945</c:v>
                </c:pt>
                <c:pt idx="431">
                  <c:v>30.96</c:v>
                </c:pt>
                <c:pt idx="432">
                  <c:v>30.945</c:v>
                </c:pt>
                <c:pt idx="433">
                  <c:v>30.96</c:v>
                </c:pt>
                <c:pt idx="434">
                  <c:v>30.815000000000001</c:v>
                </c:pt>
                <c:pt idx="435">
                  <c:v>30.655000000000001</c:v>
                </c:pt>
                <c:pt idx="436">
                  <c:v>30.655000000000001</c:v>
                </c:pt>
                <c:pt idx="437">
                  <c:v>30.815000000000001</c:v>
                </c:pt>
                <c:pt idx="438">
                  <c:v>31.004999999999999</c:v>
                </c:pt>
                <c:pt idx="439">
                  <c:v>31.08</c:v>
                </c:pt>
                <c:pt idx="440">
                  <c:v>31.145</c:v>
                </c:pt>
                <c:pt idx="441">
                  <c:v>31.22</c:v>
                </c:pt>
                <c:pt idx="442">
                  <c:v>31.25</c:v>
                </c:pt>
                <c:pt idx="443">
                  <c:v>31.3</c:v>
                </c:pt>
                <c:pt idx="444">
                  <c:v>31.26</c:v>
                </c:pt>
                <c:pt idx="445">
                  <c:v>31.184999999999999</c:v>
                </c:pt>
                <c:pt idx="446">
                  <c:v>31.274999999999999</c:v>
                </c:pt>
                <c:pt idx="447">
                  <c:v>31.465</c:v>
                </c:pt>
                <c:pt idx="448">
                  <c:v>31.45</c:v>
                </c:pt>
                <c:pt idx="449">
                  <c:v>31.45</c:v>
                </c:pt>
                <c:pt idx="450">
                  <c:v>31.32</c:v>
                </c:pt>
                <c:pt idx="451">
                  <c:v>31.47</c:v>
                </c:pt>
                <c:pt idx="452">
                  <c:v>31.445</c:v>
                </c:pt>
                <c:pt idx="453">
                  <c:v>31.43</c:v>
                </c:pt>
                <c:pt idx="454">
                  <c:v>31.355</c:v>
                </c:pt>
                <c:pt idx="455">
                  <c:v>31.42</c:v>
                </c:pt>
                <c:pt idx="456">
                  <c:v>31.204999999999998</c:v>
                </c:pt>
                <c:pt idx="457">
                  <c:v>31.195</c:v>
                </c:pt>
                <c:pt idx="458">
                  <c:v>31.41</c:v>
                </c:pt>
                <c:pt idx="459">
                  <c:v>31.51</c:v>
                </c:pt>
                <c:pt idx="460">
                  <c:v>31.574999999999999</c:v>
                </c:pt>
                <c:pt idx="461">
                  <c:v>31.48</c:v>
                </c:pt>
                <c:pt idx="462">
                  <c:v>31.545000000000002</c:v>
                </c:pt>
                <c:pt idx="463">
                  <c:v>31.375</c:v>
                </c:pt>
                <c:pt idx="464">
                  <c:v>31.59</c:v>
                </c:pt>
                <c:pt idx="465">
                  <c:v>31.8</c:v>
                </c:pt>
                <c:pt idx="466">
                  <c:v>31.96</c:v>
                </c:pt>
                <c:pt idx="467">
                  <c:v>32.045000000000002</c:v>
                </c:pt>
                <c:pt idx="468">
                  <c:v>32.29</c:v>
                </c:pt>
                <c:pt idx="469">
                  <c:v>32.284999999999997</c:v>
                </c:pt>
                <c:pt idx="470">
                  <c:v>32.31</c:v>
                </c:pt>
                <c:pt idx="471">
                  <c:v>32.215000000000003</c:v>
                </c:pt>
                <c:pt idx="472">
                  <c:v>32.200000000000003</c:v>
                </c:pt>
                <c:pt idx="473">
                  <c:v>32.155000000000001</c:v>
                </c:pt>
                <c:pt idx="474">
                  <c:v>32.1</c:v>
                </c:pt>
                <c:pt idx="475">
                  <c:v>32.244999999999997</c:v>
                </c:pt>
                <c:pt idx="476">
                  <c:v>32.314999999999998</c:v>
                </c:pt>
                <c:pt idx="477">
                  <c:v>32.435000000000002</c:v>
                </c:pt>
                <c:pt idx="478">
                  <c:v>32.375</c:v>
                </c:pt>
                <c:pt idx="479">
                  <c:v>32.384999999999998</c:v>
                </c:pt>
                <c:pt idx="480">
                  <c:v>32.380000000000003</c:v>
                </c:pt>
                <c:pt idx="481">
                  <c:v>32.4</c:v>
                </c:pt>
                <c:pt idx="482">
                  <c:v>32.31</c:v>
                </c:pt>
                <c:pt idx="483">
                  <c:v>32.270000000000003</c:v>
                </c:pt>
                <c:pt idx="484">
                  <c:v>32.305</c:v>
                </c:pt>
                <c:pt idx="485">
                  <c:v>32.28</c:v>
                </c:pt>
                <c:pt idx="486">
                  <c:v>32.274999999999999</c:v>
                </c:pt>
                <c:pt idx="487">
                  <c:v>32.25</c:v>
                </c:pt>
                <c:pt idx="488">
                  <c:v>32.25</c:v>
                </c:pt>
                <c:pt idx="489">
                  <c:v>32.229999999999997</c:v>
                </c:pt>
                <c:pt idx="490">
                  <c:v>32.174999999999997</c:v>
                </c:pt>
                <c:pt idx="491">
                  <c:v>32.075000000000003</c:v>
                </c:pt>
                <c:pt idx="492">
                  <c:v>32.06</c:v>
                </c:pt>
                <c:pt idx="493">
                  <c:v>32.164999999999999</c:v>
                </c:pt>
                <c:pt idx="494">
                  <c:v>32.225000000000001</c:v>
                </c:pt>
                <c:pt idx="495">
                  <c:v>32.28</c:v>
                </c:pt>
                <c:pt idx="496">
                  <c:v>32.284999999999997</c:v>
                </c:pt>
                <c:pt idx="497">
                  <c:v>32.200000000000003</c:v>
                </c:pt>
                <c:pt idx="498">
                  <c:v>32.22</c:v>
                </c:pt>
                <c:pt idx="499">
                  <c:v>32.195</c:v>
                </c:pt>
                <c:pt idx="500">
                  <c:v>32.18</c:v>
                </c:pt>
                <c:pt idx="501">
                  <c:v>32.11</c:v>
                </c:pt>
                <c:pt idx="502">
                  <c:v>32.064999999999998</c:v>
                </c:pt>
                <c:pt idx="503">
                  <c:v>32.08</c:v>
                </c:pt>
                <c:pt idx="504">
                  <c:v>32.06</c:v>
                </c:pt>
                <c:pt idx="505">
                  <c:v>31.97</c:v>
                </c:pt>
                <c:pt idx="506">
                  <c:v>31.945</c:v>
                </c:pt>
                <c:pt idx="507">
                  <c:v>31.93</c:v>
                </c:pt>
                <c:pt idx="508">
                  <c:v>31.875</c:v>
                </c:pt>
                <c:pt idx="509">
                  <c:v>31.855</c:v>
                </c:pt>
                <c:pt idx="510">
                  <c:v>31.93</c:v>
                </c:pt>
                <c:pt idx="511">
                  <c:v>31.98</c:v>
                </c:pt>
                <c:pt idx="512">
                  <c:v>31.945</c:v>
                </c:pt>
                <c:pt idx="513">
                  <c:v>31.954999999999998</c:v>
                </c:pt>
                <c:pt idx="514">
                  <c:v>31.945</c:v>
                </c:pt>
                <c:pt idx="515">
                  <c:v>31.914999999999999</c:v>
                </c:pt>
                <c:pt idx="516">
                  <c:v>31.844999999999999</c:v>
                </c:pt>
                <c:pt idx="517">
                  <c:v>31.83</c:v>
                </c:pt>
                <c:pt idx="518">
                  <c:v>31.81</c:v>
                </c:pt>
                <c:pt idx="519">
                  <c:v>31.81</c:v>
                </c:pt>
                <c:pt idx="520">
                  <c:v>31.81</c:v>
                </c:pt>
                <c:pt idx="521">
                  <c:v>31.835000000000001</c:v>
                </c:pt>
                <c:pt idx="522">
                  <c:v>31.83</c:v>
                </c:pt>
                <c:pt idx="523">
                  <c:v>31.8</c:v>
                </c:pt>
                <c:pt idx="524">
                  <c:v>31.734999999999999</c:v>
                </c:pt>
                <c:pt idx="525">
                  <c:v>31.88</c:v>
                </c:pt>
                <c:pt idx="526">
                  <c:v>31.89</c:v>
                </c:pt>
                <c:pt idx="527">
                  <c:v>31.92</c:v>
                </c:pt>
                <c:pt idx="528">
                  <c:v>31.9</c:v>
                </c:pt>
                <c:pt idx="529">
                  <c:v>31.925000000000001</c:v>
                </c:pt>
                <c:pt idx="530">
                  <c:v>31.844999999999999</c:v>
                </c:pt>
                <c:pt idx="531">
                  <c:v>31.875</c:v>
                </c:pt>
                <c:pt idx="532">
                  <c:v>31.88</c:v>
                </c:pt>
                <c:pt idx="533">
                  <c:v>31.75</c:v>
                </c:pt>
                <c:pt idx="534">
                  <c:v>31.715</c:v>
                </c:pt>
                <c:pt idx="535">
                  <c:v>31.69</c:v>
                </c:pt>
                <c:pt idx="536">
                  <c:v>31.76</c:v>
                </c:pt>
                <c:pt idx="537">
                  <c:v>31.62</c:v>
                </c:pt>
                <c:pt idx="538">
                  <c:v>31.64</c:v>
                </c:pt>
                <c:pt idx="539">
                  <c:v>31.585000000000001</c:v>
                </c:pt>
                <c:pt idx="540">
                  <c:v>31.574999999999999</c:v>
                </c:pt>
                <c:pt idx="541">
                  <c:v>31.46</c:v>
                </c:pt>
                <c:pt idx="542">
                  <c:v>31.37</c:v>
                </c:pt>
                <c:pt idx="543">
                  <c:v>31.344999999999999</c:v>
                </c:pt>
                <c:pt idx="544">
                  <c:v>31.175000000000001</c:v>
                </c:pt>
                <c:pt idx="545">
                  <c:v>31.184999999999999</c:v>
                </c:pt>
                <c:pt idx="546">
                  <c:v>31.254999999999999</c:v>
                </c:pt>
                <c:pt idx="547">
                  <c:v>31.31</c:v>
                </c:pt>
                <c:pt idx="548">
                  <c:v>31.184999999999999</c:v>
                </c:pt>
                <c:pt idx="549">
                  <c:v>31.02</c:v>
                </c:pt>
                <c:pt idx="550">
                  <c:v>31.01</c:v>
                </c:pt>
                <c:pt idx="551">
                  <c:v>30.934999999999999</c:v>
                </c:pt>
                <c:pt idx="552">
                  <c:v>30.995000000000001</c:v>
                </c:pt>
                <c:pt idx="553">
                  <c:v>30.835000000000001</c:v>
                </c:pt>
                <c:pt idx="554">
                  <c:v>31.02</c:v>
                </c:pt>
                <c:pt idx="555">
                  <c:v>31.18</c:v>
                </c:pt>
                <c:pt idx="556">
                  <c:v>31.265000000000001</c:v>
                </c:pt>
                <c:pt idx="557">
                  <c:v>31.335000000000001</c:v>
                </c:pt>
                <c:pt idx="558">
                  <c:v>31.285</c:v>
                </c:pt>
                <c:pt idx="559">
                  <c:v>31.18</c:v>
                </c:pt>
                <c:pt idx="560">
                  <c:v>31.1</c:v>
                </c:pt>
                <c:pt idx="561">
                  <c:v>31.065000000000001</c:v>
                </c:pt>
                <c:pt idx="562">
                  <c:v>31.085000000000001</c:v>
                </c:pt>
                <c:pt idx="563">
                  <c:v>31.09</c:v>
                </c:pt>
                <c:pt idx="564">
                  <c:v>31.02</c:v>
                </c:pt>
                <c:pt idx="565">
                  <c:v>31.02</c:v>
                </c:pt>
                <c:pt idx="566">
                  <c:v>30.975000000000001</c:v>
                </c:pt>
                <c:pt idx="567">
                  <c:v>30.96</c:v>
                </c:pt>
                <c:pt idx="568">
                  <c:v>30.86</c:v>
                </c:pt>
                <c:pt idx="569">
                  <c:v>30.844999999999999</c:v>
                </c:pt>
                <c:pt idx="570">
                  <c:v>30.745000000000001</c:v>
                </c:pt>
                <c:pt idx="571">
                  <c:v>30.684999999999999</c:v>
                </c:pt>
                <c:pt idx="572">
                  <c:v>30.65</c:v>
                </c:pt>
                <c:pt idx="573">
                  <c:v>30.664999999999999</c:v>
                </c:pt>
                <c:pt idx="574">
                  <c:v>30.66</c:v>
                </c:pt>
                <c:pt idx="575">
                  <c:v>30.65</c:v>
                </c:pt>
                <c:pt idx="576">
                  <c:v>30.695</c:v>
                </c:pt>
                <c:pt idx="577">
                  <c:v>30.67</c:v>
                </c:pt>
                <c:pt idx="578">
                  <c:v>30.704999999999998</c:v>
                </c:pt>
                <c:pt idx="579">
                  <c:v>30.655000000000001</c:v>
                </c:pt>
                <c:pt idx="580">
                  <c:v>30.675000000000001</c:v>
                </c:pt>
                <c:pt idx="581">
                  <c:v>30.64</c:v>
                </c:pt>
                <c:pt idx="582">
                  <c:v>30.61</c:v>
                </c:pt>
                <c:pt idx="583">
                  <c:v>30.684999999999999</c:v>
                </c:pt>
                <c:pt idx="584">
                  <c:v>30.7</c:v>
                </c:pt>
                <c:pt idx="585">
                  <c:v>30.594999999999999</c:v>
                </c:pt>
                <c:pt idx="586">
                  <c:v>30.594999999999999</c:v>
                </c:pt>
                <c:pt idx="587">
                  <c:v>30.695</c:v>
                </c:pt>
                <c:pt idx="588">
                  <c:v>30.734999999999999</c:v>
                </c:pt>
                <c:pt idx="589">
                  <c:v>30.745000000000001</c:v>
                </c:pt>
                <c:pt idx="590">
                  <c:v>30.7</c:v>
                </c:pt>
                <c:pt idx="591">
                  <c:v>30.63</c:v>
                </c:pt>
                <c:pt idx="592">
                  <c:v>30.625</c:v>
                </c:pt>
                <c:pt idx="593">
                  <c:v>30.715</c:v>
                </c:pt>
                <c:pt idx="594">
                  <c:v>30.765000000000001</c:v>
                </c:pt>
                <c:pt idx="595">
                  <c:v>30.754999999999999</c:v>
                </c:pt>
                <c:pt idx="596">
                  <c:v>30.754999999999999</c:v>
                </c:pt>
                <c:pt idx="597">
                  <c:v>30.7</c:v>
                </c:pt>
                <c:pt idx="598">
                  <c:v>30.68</c:v>
                </c:pt>
                <c:pt idx="599">
                  <c:v>30.675000000000001</c:v>
                </c:pt>
                <c:pt idx="600">
                  <c:v>30.645</c:v>
                </c:pt>
                <c:pt idx="601">
                  <c:v>30.625</c:v>
                </c:pt>
                <c:pt idx="602">
                  <c:v>30.585000000000001</c:v>
                </c:pt>
                <c:pt idx="603">
                  <c:v>30.62</c:v>
                </c:pt>
                <c:pt idx="604">
                  <c:v>30.695</c:v>
                </c:pt>
                <c:pt idx="605">
                  <c:v>30.725000000000001</c:v>
                </c:pt>
                <c:pt idx="606">
                  <c:v>30.69</c:v>
                </c:pt>
                <c:pt idx="607">
                  <c:v>30.655000000000001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E-454B-B799-B999671F9FD1}"/>
            </c:ext>
          </c:extLst>
        </c:ser>
        <c:ser>
          <c:idx val="3"/>
          <c:order val="3"/>
          <c:tx>
            <c:strRef>
              <c:f>匯率!$M$2</c:f>
              <c:strCache>
                <c:ptCount val="1"/>
                <c:pt idx="0">
                  <c:v>即期賣出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匯率!$M$3:$M$610</c:f>
              <c:numCache>
                <c:formatCode>General</c:formatCode>
                <c:ptCount val="608"/>
                <c:pt idx="0">
                  <c:v>31.614999999999998</c:v>
                </c:pt>
                <c:pt idx="1">
                  <c:v>31.605</c:v>
                </c:pt>
                <c:pt idx="2">
                  <c:v>31.65</c:v>
                </c:pt>
                <c:pt idx="3">
                  <c:v>31.515000000000001</c:v>
                </c:pt>
                <c:pt idx="4">
                  <c:v>31.35</c:v>
                </c:pt>
                <c:pt idx="5">
                  <c:v>31.34</c:v>
                </c:pt>
                <c:pt idx="6">
                  <c:v>31.48</c:v>
                </c:pt>
                <c:pt idx="7">
                  <c:v>31.545000000000002</c:v>
                </c:pt>
                <c:pt idx="8">
                  <c:v>31.6</c:v>
                </c:pt>
                <c:pt idx="9">
                  <c:v>31.65</c:v>
                </c:pt>
                <c:pt idx="10">
                  <c:v>31.69</c:v>
                </c:pt>
                <c:pt idx="11">
                  <c:v>31.655000000000001</c:v>
                </c:pt>
                <c:pt idx="12">
                  <c:v>31.645</c:v>
                </c:pt>
                <c:pt idx="13">
                  <c:v>31.61</c:v>
                </c:pt>
                <c:pt idx="14">
                  <c:v>31.625</c:v>
                </c:pt>
                <c:pt idx="15">
                  <c:v>31.68</c:v>
                </c:pt>
                <c:pt idx="16">
                  <c:v>31.7</c:v>
                </c:pt>
                <c:pt idx="17">
                  <c:v>31.69</c:v>
                </c:pt>
                <c:pt idx="18">
                  <c:v>31.65</c:v>
                </c:pt>
                <c:pt idx="19">
                  <c:v>31.625</c:v>
                </c:pt>
                <c:pt idx="20">
                  <c:v>31.56</c:v>
                </c:pt>
                <c:pt idx="21">
                  <c:v>31.57</c:v>
                </c:pt>
                <c:pt idx="22">
                  <c:v>31.59</c:v>
                </c:pt>
                <c:pt idx="23">
                  <c:v>31.47</c:v>
                </c:pt>
                <c:pt idx="24">
                  <c:v>31.48</c:v>
                </c:pt>
                <c:pt idx="25">
                  <c:v>31.425000000000001</c:v>
                </c:pt>
                <c:pt idx="26">
                  <c:v>31.49</c:v>
                </c:pt>
                <c:pt idx="27">
                  <c:v>31.495000000000001</c:v>
                </c:pt>
                <c:pt idx="28">
                  <c:v>31.524999999999999</c:v>
                </c:pt>
                <c:pt idx="29">
                  <c:v>31.57</c:v>
                </c:pt>
                <c:pt idx="30">
                  <c:v>31.58</c:v>
                </c:pt>
                <c:pt idx="31">
                  <c:v>31.585000000000001</c:v>
                </c:pt>
                <c:pt idx="32">
                  <c:v>31.57</c:v>
                </c:pt>
                <c:pt idx="33">
                  <c:v>31.585000000000001</c:v>
                </c:pt>
                <c:pt idx="34">
                  <c:v>31.52</c:v>
                </c:pt>
                <c:pt idx="35">
                  <c:v>31.43</c:v>
                </c:pt>
                <c:pt idx="36">
                  <c:v>31.21</c:v>
                </c:pt>
                <c:pt idx="37">
                  <c:v>31.305</c:v>
                </c:pt>
                <c:pt idx="38">
                  <c:v>31.24</c:v>
                </c:pt>
                <c:pt idx="39">
                  <c:v>31.245000000000001</c:v>
                </c:pt>
                <c:pt idx="40">
                  <c:v>31.24</c:v>
                </c:pt>
                <c:pt idx="41">
                  <c:v>31.29</c:v>
                </c:pt>
                <c:pt idx="42">
                  <c:v>31.375</c:v>
                </c:pt>
                <c:pt idx="43">
                  <c:v>31.37</c:v>
                </c:pt>
                <c:pt idx="44">
                  <c:v>31.46</c:v>
                </c:pt>
                <c:pt idx="45">
                  <c:v>31.48</c:v>
                </c:pt>
                <c:pt idx="46">
                  <c:v>31.45</c:v>
                </c:pt>
                <c:pt idx="47">
                  <c:v>31.375</c:v>
                </c:pt>
                <c:pt idx="48">
                  <c:v>31.39</c:v>
                </c:pt>
                <c:pt idx="49">
                  <c:v>31.49</c:v>
                </c:pt>
                <c:pt idx="50">
                  <c:v>31.484999999999999</c:v>
                </c:pt>
                <c:pt idx="51">
                  <c:v>31.47</c:v>
                </c:pt>
                <c:pt idx="52">
                  <c:v>31.34</c:v>
                </c:pt>
                <c:pt idx="53">
                  <c:v>31.29</c:v>
                </c:pt>
                <c:pt idx="54">
                  <c:v>31.24</c:v>
                </c:pt>
                <c:pt idx="55">
                  <c:v>31.21</c:v>
                </c:pt>
                <c:pt idx="56">
                  <c:v>31.19</c:v>
                </c:pt>
                <c:pt idx="57">
                  <c:v>31.11</c:v>
                </c:pt>
                <c:pt idx="58">
                  <c:v>31.105</c:v>
                </c:pt>
                <c:pt idx="59">
                  <c:v>31.09</c:v>
                </c:pt>
                <c:pt idx="60">
                  <c:v>31.05</c:v>
                </c:pt>
                <c:pt idx="61">
                  <c:v>31.08</c:v>
                </c:pt>
                <c:pt idx="62">
                  <c:v>30.995000000000001</c:v>
                </c:pt>
                <c:pt idx="63">
                  <c:v>30.984999999999999</c:v>
                </c:pt>
                <c:pt idx="64">
                  <c:v>30.945</c:v>
                </c:pt>
                <c:pt idx="65">
                  <c:v>30.88</c:v>
                </c:pt>
                <c:pt idx="66">
                  <c:v>30.78</c:v>
                </c:pt>
                <c:pt idx="67">
                  <c:v>30.74</c:v>
                </c:pt>
                <c:pt idx="68">
                  <c:v>30.664999999999999</c:v>
                </c:pt>
                <c:pt idx="69">
                  <c:v>30.67</c:v>
                </c:pt>
                <c:pt idx="70">
                  <c:v>30.75</c:v>
                </c:pt>
                <c:pt idx="71">
                  <c:v>30.855</c:v>
                </c:pt>
                <c:pt idx="72">
                  <c:v>30.77</c:v>
                </c:pt>
                <c:pt idx="73">
                  <c:v>30.725000000000001</c:v>
                </c:pt>
                <c:pt idx="74">
                  <c:v>30.675000000000001</c:v>
                </c:pt>
                <c:pt idx="75">
                  <c:v>30.71</c:v>
                </c:pt>
                <c:pt idx="76">
                  <c:v>30.684999999999999</c:v>
                </c:pt>
                <c:pt idx="77">
                  <c:v>30.675000000000001</c:v>
                </c:pt>
                <c:pt idx="78">
                  <c:v>30.805</c:v>
                </c:pt>
                <c:pt idx="79">
                  <c:v>30.745000000000001</c:v>
                </c:pt>
                <c:pt idx="80">
                  <c:v>30.58</c:v>
                </c:pt>
                <c:pt idx="81">
                  <c:v>30.58</c:v>
                </c:pt>
                <c:pt idx="82">
                  <c:v>30.565000000000001</c:v>
                </c:pt>
                <c:pt idx="83">
                  <c:v>30.41</c:v>
                </c:pt>
                <c:pt idx="84">
                  <c:v>30.46</c:v>
                </c:pt>
                <c:pt idx="85">
                  <c:v>30.49</c:v>
                </c:pt>
                <c:pt idx="86">
                  <c:v>30.495000000000001</c:v>
                </c:pt>
                <c:pt idx="87">
                  <c:v>30.565000000000001</c:v>
                </c:pt>
                <c:pt idx="88">
                  <c:v>30.48</c:v>
                </c:pt>
                <c:pt idx="89">
                  <c:v>30.36</c:v>
                </c:pt>
                <c:pt idx="90">
                  <c:v>30.33</c:v>
                </c:pt>
                <c:pt idx="91">
                  <c:v>30.295000000000002</c:v>
                </c:pt>
                <c:pt idx="92">
                  <c:v>30.26</c:v>
                </c:pt>
                <c:pt idx="93">
                  <c:v>30.125</c:v>
                </c:pt>
                <c:pt idx="94">
                  <c:v>30.09</c:v>
                </c:pt>
                <c:pt idx="95">
                  <c:v>30.114999999999998</c:v>
                </c:pt>
                <c:pt idx="96">
                  <c:v>30.254999999999999</c:v>
                </c:pt>
                <c:pt idx="97">
                  <c:v>30.265000000000001</c:v>
                </c:pt>
                <c:pt idx="98">
                  <c:v>30.355</c:v>
                </c:pt>
                <c:pt idx="99">
                  <c:v>30.32</c:v>
                </c:pt>
                <c:pt idx="100">
                  <c:v>30.4</c:v>
                </c:pt>
                <c:pt idx="101">
                  <c:v>30.545000000000002</c:v>
                </c:pt>
                <c:pt idx="102">
                  <c:v>30.614999999999998</c:v>
                </c:pt>
                <c:pt idx="103">
                  <c:v>30.745000000000001</c:v>
                </c:pt>
                <c:pt idx="104">
                  <c:v>30.765000000000001</c:v>
                </c:pt>
                <c:pt idx="105">
                  <c:v>30.725000000000001</c:v>
                </c:pt>
                <c:pt idx="106">
                  <c:v>30.664999999999999</c:v>
                </c:pt>
                <c:pt idx="107">
                  <c:v>30.64</c:v>
                </c:pt>
                <c:pt idx="108">
                  <c:v>30.63</c:v>
                </c:pt>
                <c:pt idx="109">
                  <c:v>30.62</c:v>
                </c:pt>
                <c:pt idx="110">
                  <c:v>30.59</c:v>
                </c:pt>
                <c:pt idx="111">
                  <c:v>30.484999999999999</c:v>
                </c:pt>
                <c:pt idx="112">
                  <c:v>30.635000000000002</c:v>
                </c:pt>
                <c:pt idx="113">
                  <c:v>30.55</c:v>
                </c:pt>
                <c:pt idx="114">
                  <c:v>30.35</c:v>
                </c:pt>
                <c:pt idx="115">
                  <c:v>30.16</c:v>
                </c:pt>
                <c:pt idx="116">
                  <c:v>30.094999999999999</c:v>
                </c:pt>
                <c:pt idx="117">
                  <c:v>30.04</c:v>
                </c:pt>
                <c:pt idx="118">
                  <c:v>30.024999999999999</c:v>
                </c:pt>
                <c:pt idx="119">
                  <c:v>29.995000000000001</c:v>
                </c:pt>
                <c:pt idx="120">
                  <c:v>32.56</c:v>
                </c:pt>
                <c:pt idx="121">
                  <c:v>32.549999999999997</c:v>
                </c:pt>
                <c:pt idx="122">
                  <c:v>32.534999999999997</c:v>
                </c:pt>
                <c:pt idx="123">
                  <c:v>32.72</c:v>
                </c:pt>
                <c:pt idx="124">
                  <c:v>32.914999999999999</c:v>
                </c:pt>
                <c:pt idx="125">
                  <c:v>33.06</c:v>
                </c:pt>
                <c:pt idx="126">
                  <c:v>33.055</c:v>
                </c:pt>
                <c:pt idx="127">
                  <c:v>33.1</c:v>
                </c:pt>
                <c:pt idx="128">
                  <c:v>33.14</c:v>
                </c:pt>
                <c:pt idx="129">
                  <c:v>33.25</c:v>
                </c:pt>
                <c:pt idx="130">
                  <c:v>33.255000000000003</c:v>
                </c:pt>
                <c:pt idx="131">
                  <c:v>33.15</c:v>
                </c:pt>
                <c:pt idx="132">
                  <c:v>33.159999999999997</c:v>
                </c:pt>
                <c:pt idx="133">
                  <c:v>33.145000000000003</c:v>
                </c:pt>
                <c:pt idx="134">
                  <c:v>33.130000000000003</c:v>
                </c:pt>
                <c:pt idx="135">
                  <c:v>33.085000000000001</c:v>
                </c:pt>
                <c:pt idx="136">
                  <c:v>33.049999999999997</c:v>
                </c:pt>
                <c:pt idx="137">
                  <c:v>33.06</c:v>
                </c:pt>
                <c:pt idx="138">
                  <c:v>33.094999999999999</c:v>
                </c:pt>
                <c:pt idx="139">
                  <c:v>33.049999999999997</c:v>
                </c:pt>
                <c:pt idx="140">
                  <c:v>33.064999999999998</c:v>
                </c:pt>
                <c:pt idx="141">
                  <c:v>33.01</c:v>
                </c:pt>
                <c:pt idx="142">
                  <c:v>33.020000000000003</c:v>
                </c:pt>
                <c:pt idx="143">
                  <c:v>33.01</c:v>
                </c:pt>
                <c:pt idx="144">
                  <c:v>32.94</c:v>
                </c:pt>
                <c:pt idx="145">
                  <c:v>32.97</c:v>
                </c:pt>
                <c:pt idx="146">
                  <c:v>32.89</c:v>
                </c:pt>
                <c:pt idx="147">
                  <c:v>32.905000000000001</c:v>
                </c:pt>
                <c:pt idx="148">
                  <c:v>32.875</c:v>
                </c:pt>
                <c:pt idx="149">
                  <c:v>32.965000000000003</c:v>
                </c:pt>
                <c:pt idx="150">
                  <c:v>32.975000000000001</c:v>
                </c:pt>
                <c:pt idx="151">
                  <c:v>32.869999999999997</c:v>
                </c:pt>
                <c:pt idx="152">
                  <c:v>32.844999999999999</c:v>
                </c:pt>
                <c:pt idx="153">
                  <c:v>32.854999999999997</c:v>
                </c:pt>
                <c:pt idx="154">
                  <c:v>32.765000000000001</c:v>
                </c:pt>
                <c:pt idx="155">
                  <c:v>32.799999999999997</c:v>
                </c:pt>
                <c:pt idx="156">
                  <c:v>32.844999999999999</c:v>
                </c:pt>
                <c:pt idx="157">
                  <c:v>32.799999999999997</c:v>
                </c:pt>
                <c:pt idx="158">
                  <c:v>32.82</c:v>
                </c:pt>
                <c:pt idx="159">
                  <c:v>32.755000000000003</c:v>
                </c:pt>
                <c:pt idx="160">
                  <c:v>32.835000000000001</c:v>
                </c:pt>
                <c:pt idx="161">
                  <c:v>32.86</c:v>
                </c:pt>
                <c:pt idx="162">
                  <c:v>32.909999999999997</c:v>
                </c:pt>
                <c:pt idx="163">
                  <c:v>32.895000000000003</c:v>
                </c:pt>
                <c:pt idx="164">
                  <c:v>32.895000000000003</c:v>
                </c:pt>
                <c:pt idx="165">
                  <c:v>32.840000000000003</c:v>
                </c:pt>
                <c:pt idx="166">
                  <c:v>32.805</c:v>
                </c:pt>
                <c:pt idx="167">
                  <c:v>32.880000000000003</c:v>
                </c:pt>
                <c:pt idx="168">
                  <c:v>32.9</c:v>
                </c:pt>
                <c:pt idx="169">
                  <c:v>33.034999999999997</c:v>
                </c:pt>
                <c:pt idx="170">
                  <c:v>33.020000000000003</c:v>
                </c:pt>
                <c:pt idx="171">
                  <c:v>32.734999999999999</c:v>
                </c:pt>
                <c:pt idx="172">
                  <c:v>32.82</c:v>
                </c:pt>
                <c:pt idx="173">
                  <c:v>32.825000000000003</c:v>
                </c:pt>
                <c:pt idx="174">
                  <c:v>32.83</c:v>
                </c:pt>
                <c:pt idx="175">
                  <c:v>32.854999999999997</c:v>
                </c:pt>
                <c:pt idx="176">
                  <c:v>32.979999999999997</c:v>
                </c:pt>
                <c:pt idx="177">
                  <c:v>32.979999999999997</c:v>
                </c:pt>
                <c:pt idx="178">
                  <c:v>33.115000000000002</c:v>
                </c:pt>
                <c:pt idx="179">
                  <c:v>33.020000000000003</c:v>
                </c:pt>
                <c:pt idx="180">
                  <c:v>33.17</c:v>
                </c:pt>
                <c:pt idx="181">
                  <c:v>33.015000000000001</c:v>
                </c:pt>
                <c:pt idx="182">
                  <c:v>33</c:v>
                </c:pt>
                <c:pt idx="183">
                  <c:v>32.94</c:v>
                </c:pt>
                <c:pt idx="184">
                  <c:v>32.784999999999997</c:v>
                </c:pt>
                <c:pt idx="185">
                  <c:v>32.914999999999999</c:v>
                </c:pt>
                <c:pt idx="186">
                  <c:v>32.965000000000003</c:v>
                </c:pt>
                <c:pt idx="187">
                  <c:v>32.93</c:v>
                </c:pt>
                <c:pt idx="188">
                  <c:v>32.835000000000001</c:v>
                </c:pt>
                <c:pt idx="189">
                  <c:v>32.774999999999999</c:v>
                </c:pt>
                <c:pt idx="190">
                  <c:v>32.770000000000003</c:v>
                </c:pt>
                <c:pt idx="191">
                  <c:v>32.75</c:v>
                </c:pt>
                <c:pt idx="192">
                  <c:v>32.725000000000001</c:v>
                </c:pt>
                <c:pt idx="193">
                  <c:v>32.729999999999997</c:v>
                </c:pt>
                <c:pt idx="194">
                  <c:v>32.74</c:v>
                </c:pt>
                <c:pt idx="195">
                  <c:v>32.744999999999997</c:v>
                </c:pt>
                <c:pt idx="196">
                  <c:v>32.72</c:v>
                </c:pt>
                <c:pt idx="197">
                  <c:v>32.54</c:v>
                </c:pt>
                <c:pt idx="198">
                  <c:v>32.564999999999998</c:v>
                </c:pt>
                <c:pt idx="199">
                  <c:v>32.534999999999997</c:v>
                </c:pt>
                <c:pt idx="200">
                  <c:v>32.555</c:v>
                </c:pt>
                <c:pt idx="201">
                  <c:v>32.54</c:v>
                </c:pt>
                <c:pt idx="202">
                  <c:v>32.56</c:v>
                </c:pt>
                <c:pt idx="203">
                  <c:v>32.494999999999997</c:v>
                </c:pt>
                <c:pt idx="204">
                  <c:v>32.524999999999999</c:v>
                </c:pt>
                <c:pt idx="205">
                  <c:v>32.454999999999998</c:v>
                </c:pt>
                <c:pt idx="206">
                  <c:v>32.49</c:v>
                </c:pt>
                <c:pt idx="207">
                  <c:v>32.484999999999999</c:v>
                </c:pt>
                <c:pt idx="208">
                  <c:v>32.590000000000003</c:v>
                </c:pt>
                <c:pt idx="209">
                  <c:v>32.65</c:v>
                </c:pt>
                <c:pt idx="210">
                  <c:v>32.520000000000003</c:v>
                </c:pt>
                <c:pt idx="211">
                  <c:v>32.58</c:v>
                </c:pt>
                <c:pt idx="212">
                  <c:v>32.585000000000001</c:v>
                </c:pt>
                <c:pt idx="213">
                  <c:v>32.56</c:v>
                </c:pt>
                <c:pt idx="214">
                  <c:v>32.53</c:v>
                </c:pt>
                <c:pt idx="215">
                  <c:v>32.64</c:v>
                </c:pt>
                <c:pt idx="216">
                  <c:v>32.594999999999999</c:v>
                </c:pt>
                <c:pt idx="217">
                  <c:v>32.545000000000002</c:v>
                </c:pt>
                <c:pt idx="218">
                  <c:v>32.46</c:v>
                </c:pt>
                <c:pt idx="219">
                  <c:v>32.585000000000001</c:v>
                </c:pt>
                <c:pt idx="220">
                  <c:v>32.520000000000003</c:v>
                </c:pt>
                <c:pt idx="221">
                  <c:v>32.615000000000002</c:v>
                </c:pt>
                <c:pt idx="222">
                  <c:v>32.5</c:v>
                </c:pt>
                <c:pt idx="223">
                  <c:v>32.484999999999999</c:v>
                </c:pt>
                <c:pt idx="224">
                  <c:v>32.299999999999997</c:v>
                </c:pt>
                <c:pt idx="225">
                  <c:v>32.164999999999999</c:v>
                </c:pt>
                <c:pt idx="226">
                  <c:v>32.29</c:v>
                </c:pt>
                <c:pt idx="227">
                  <c:v>32.225000000000001</c:v>
                </c:pt>
                <c:pt idx="228">
                  <c:v>32.020000000000003</c:v>
                </c:pt>
                <c:pt idx="229">
                  <c:v>32.020000000000003</c:v>
                </c:pt>
                <c:pt idx="230">
                  <c:v>32.015000000000001</c:v>
                </c:pt>
                <c:pt idx="231">
                  <c:v>32.090000000000003</c:v>
                </c:pt>
                <c:pt idx="232">
                  <c:v>32.090000000000003</c:v>
                </c:pt>
                <c:pt idx="233">
                  <c:v>32.15</c:v>
                </c:pt>
                <c:pt idx="234">
                  <c:v>32.145000000000003</c:v>
                </c:pt>
                <c:pt idx="235">
                  <c:v>32.119999999999997</c:v>
                </c:pt>
                <c:pt idx="236">
                  <c:v>32.14</c:v>
                </c:pt>
                <c:pt idx="237">
                  <c:v>32.130000000000003</c:v>
                </c:pt>
                <c:pt idx="238">
                  <c:v>32.11</c:v>
                </c:pt>
                <c:pt idx="239">
                  <c:v>32.020000000000003</c:v>
                </c:pt>
                <c:pt idx="240">
                  <c:v>32.119999999999997</c:v>
                </c:pt>
                <c:pt idx="241">
                  <c:v>32.215000000000003</c:v>
                </c:pt>
                <c:pt idx="242">
                  <c:v>32.234999999999999</c:v>
                </c:pt>
                <c:pt idx="243">
                  <c:v>32.229999999999997</c:v>
                </c:pt>
                <c:pt idx="244">
                  <c:v>32.22</c:v>
                </c:pt>
                <c:pt idx="245">
                  <c:v>32.234999999999999</c:v>
                </c:pt>
                <c:pt idx="246">
                  <c:v>32.229999999999997</c:v>
                </c:pt>
                <c:pt idx="247">
                  <c:v>32.270000000000003</c:v>
                </c:pt>
                <c:pt idx="248">
                  <c:v>32.18</c:v>
                </c:pt>
                <c:pt idx="249">
                  <c:v>32.01</c:v>
                </c:pt>
                <c:pt idx="250">
                  <c:v>31.89</c:v>
                </c:pt>
                <c:pt idx="251">
                  <c:v>31.7</c:v>
                </c:pt>
                <c:pt idx="252">
                  <c:v>31.74</c:v>
                </c:pt>
                <c:pt idx="253">
                  <c:v>31.914999999999999</c:v>
                </c:pt>
                <c:pt idx="254">
                  <c:v>31.89</c:v>
                </c:pt>
                <c:pt idx="255">
                  <c:v>32.020000000000003</c:v>
                </c:pt>
                <c:pt idx="256">
                  <c:v>32.085000000000001</c:v>
                </c:pt>
                <c:pt idx="257">
                  <c:v>32.015000000000001</c:v>
                </c:pt>
                <c:pt idx="258">
                  <c:v>31.984999999999999</c:v>
                </c:pt>
                <c:pt idx="259">
                  <c:v>31.99</c:v>
                </c:pt>
                <c:pt idx="260">
                  <c:v>31.96</c:v>
                </c:pt>
                <c:pt idx="261">
                  <c:v>32.045000000000002</c:v>
                </c:pt>
                <c:pt idx="262">
                  <c:v>32.18</c:v>
                </c:pt>
                <c:pt idx="263">
                  <c:v>32.174999999999997</c:v>
                </c:pt>
                <c:pt idx="264">
                  <c:v>32.229999999999997</c:v>
                </c:pt>
                <c:pt idx="265">
                  <c:v>32.14</c:v>
                </c:pt>
                <c:pt idx="266">
                  <c:v>31.98</c:v>
                </c:pt>
                <c:pt idx="267">
                  <c:v>32.119999999999997</c:v>
                </c:pt>
                <c:pt idx="268">
                  <c:v>32.24</c:v>
                </c:pt>
                <c:pt idx="269">
                  <c:v>32.11</c:v>
                </c:pt>
                <c:pt idx="270">
                  <c:v>32.07</c:v>
                </c:pt>
                <c:pt idx="271">
                  <c:v>31.99</c:v>
                </c:pt>
                <c:pt idx="272">
                  <c:v>31.96</c:v>
                </c:pt>
                <c:pt idx="273">
                  <c:v>32</c:v>
                </c:pt>
                <c:pt idx="274">
                  <c:v>31.98</c:v>
                </c:pt>
                <c:pt idx="275">
                  <c:v>31.86</c:v>
                </c:pt>
                <c:pt idx="276">
                  <c:v>32.01</c:v>
                </c:pt>
                <c:pt idx="277">
                  <c:v>32.015000000000001</c:v>
                </c:pt>
                <c:pt idx="278">
                  <c:v>31.984999999999999</c:v>
                </c:pt>
                <c:pt idx="279">
                  <c:v>32.03</c:v>
                </c:pt>
                <c:pt idx="280">
                  <c:v>32.075000000000003</c:v>
                </c:pt>
                <c:pt idx="281">
                  <c:v>32.33</c:v>
                </c:pt>
                <c:pt idx="282">
                  <c:v>32.33</c:v>
                </c:pt>
                <c:pt idx="283">
                  <c:v>32.35</c:v>
                </c:pt>
                <c:pt idx="284">
                  <c:v>32.524999999999999</c:v>
                </c:pt>
                <c:pt idx="285">
                  <c:v>32.51</c:v>
                </c:pt>
                <c:pt idx="286">
                  <c:v>32.479999999999997</c:v>
                </c:pt>
                <c:pt idx="287">
                  <c:v>32.619999999999997</c:v>
                </c:pt>
                <c:pt idx="288">
                  <c:v>32.734999999999999</c:v>
                </c:pt>
                <c:pt idx="289">
                  <c:v>32.74</c:v>
                </c:pt>
                <c:pt idx="290">
                  <c:v>32.695</c:v>
                </c:pt>
                <c:pt idx="291">
                  <c:v>32.865000000000002</c:v>
                </c:pt>
                <c:pt idx="292">
                  <c:v>32.825000000000003</c:v>
                </c:pt>
                <c:pt idx="293">
                  <c:v>32.884999999999998</c:v>
                </c:pt>
                <c:pt idx="294">
                  <c:v>32.9</c:v>
                </c:pt>
                <c:pt idx="295">
                  <c:v>32.92</c:v>
                </c:pt>
                <c:pt idx="296">
                  <c:v>32.880000000000003</c:v>
                </c:pt>
                <c:pt idx="297">
                  <c:v>32.880000000000003</c:v>
                </c:pt>
                <c:pt idx="298">
                  <c:v>32.89</c:v>
                </c:pt>
                <c:pt idx="299">
                  <c:v>32.9</c:v>
                </c:pt>
                <c:pt idx="300">
                  <c:v>32.78</c:v>
                </c:pt>
                <c:pt idx="301">
                  <c:v>32.655000000000001</c:v>
                </c:pt>
                <c:pt idx="302">
                  <c:v>32.664999999999999</c:v>
                </c:pt>
                <c:pt idx="303">
                  <c:v>32.674999999999997</c:v>
                </c:pt>
                <c:pt idx="304">
                  <c:v>32.625</c:v>
                </c:pt>
                <c:pt idx="305">
                  <c:v>32.61</c:v>
                </c:pt>
                <c:pt idx="306">
                  <c:v>32.56</c:v>
                </c:pt>
                <c:pt idx="307">
                  <c:v>32.634999999999998</c:v>
                </c:pt>
                <c:pt idx="308">
                  <c:v>32.6</c:v>
                </c:pt>
                <c:pt idx="309">
                  <c:v>32.545000000000002</c:v>
                </c:pt>
                <c:pt idx="310">
                  <c:v>32.524999999999999</c:v>
                </c:pt>
                <c:pt idx="311">
                  <c:v>32.524999999999999</c:v>
                </c:pt>
                <c:pt idx="312">
                  <c:v>32.68</c:v>
                </c:pt>
                <c:pt idx="313">
                  <c:v>32.67</c:v>
                </c:pt>
                <c:pt idx="314">
                  <c:v>32.594999999999999</c:v>
                </c:pt>
                <c:pt idx="315">
                  <c:v>32.5</c:v>
                </c:pt>
                <c:pt idx="316">
                  <c:v>32.58</c:v>
                </c:pt>
                <c:pt idx="317">
                  <c:v>32.6</c:v>
                </c:pt>
                <c:pt idx="318">
                  <c:v>32.494999999999997</c:v>
                </c:pt>
                <c:pt idx="319">
                  <c:v>32.44</c:v>
                </c:pt>
                <c:pt idx="320">
                  <c:v>32.42</c:v>
                </c:pt>
                <c:pt idx="321">
                  <c:v>32.375</c:v>
                </c:pt>
                <c:pt idx="322">
                  <c:v>32.405000000000001</c:v>
                </c:pt>
                <c:pt idx="323">
                  <c:v>32.445</c:v>
                </c:pt>
                <c:pt idx="324">
                  <c:v>32.435000000000002</c:v>
                </c:pt>
                <c:pt idx="325">
                  <c:v>32.395000000000003</c:v>
                </c:pt>
                <c:pt idx="326">
                  <c:v>32.380000000000003</c:v>
                </c:pt>
                <c:pt idx="327">
                  <c:v>32.435000000000002</c:v>
                </c:pt>
                <c:pt idx="328">
                  <c:v>32.445</c:v>
                </c:pt>
                <c:pt idx="329">
                  <c:v>32.299999999999997</c:v>
                </c:pt>
                <c:pt idx="330">
                  <c:v>32.32</c:v>
                </c:pt>
                <c:pt idx="331">
                  <c:v>32.39</c:v>
                </c:pt>
                <c:pt idx="332">
                  <c:v>32.445</c:v>
                </c:pt>
                <c:pt idx="333">
                  <c:v>32.445</c:v>
                </c:pt>
                <c:pt idx="334">
                  <c:v>32.450000000000003</c:v>
                </c:pt>
                <c:pt idx="335">
                  <c:v>32.49</c:v>
                </c:pt>
                <c:pt idx="336">
                  <c:v>32.344999999999999</c:v>
                </c:pt>
                <c:pt idx="337">
                  <c:v>32.22</c:v>
                </c:pt>
                <c:pt idx="338">
                  <c:v>32.229999999999997</c:v>
                </c:pt>
                <c:pt idx="339">
                  <c:v>32.314999999999998</c:v>
                </c:pt>
                <c:pt idx="340">
                  <c:v>32.29</c:v>
                </c:pt>
                <c:pt idx="341">
                  <c:v>32.325000000000003</c:v>
                </c:pt>
                <c:pt idx="342">
                  <c:v>32.340000000000003</c:v>
                </c:pt>
                <c:pt idx="343">
                  <c:v>32.284999999999997</c:v>
                </c:pt>
                <c:pt idx="344">
                  <c:v>32.26</c:v>
                </c:pt>
                <c:pt idx="345">
                  <c:v>32.155000000000001</c:v>
                </c:pt>
                <c:pt idx="346">
                  <c:v>32.354999999999997</c:v>
                </c:pt>
                <c:pt idx="347">
                  <c:v>32.465000000000003</c:v>
                </c:pt>
                <c:pt idx="348">
                  <c:v>32.465000000000003</c:v>
                </c:pt>
                <c:pt idx="349">
                  <c:v>32.465000000000003</c:v>
                </c:pt>
                <c:pt idx="350">
                  <c:v>32.505000000000003</c:v>
                </c:pt>
                <c:pt idx="351">
                  <c:v>32.46</c:v>
                </c:pt>
                <c:pt idx="352">
                  <c:v>32.42</c:v>
                </c:pt>
                <c:pt idx="353">
                  <c:v>32.4</c:v>
                </c:pt>
                <c:pt idx="354">
                  <c:v>32.424999999999997</c:v>
                </c:pt>
                <c:pt idx="355">
                  <c:v>32.549999999999997</c:v>
                </c:pt>
                <c:pt idx="356">
                  <c:v>32.594999999999999</c:v>
                </c:pt>
                <c:pt idx="357">
                  <c:v>32.61</c:v>
                </c:pt>
                <c:pt idx="358">
                  <c:v>32.619999999999997</c:v>
                </c:pt>
                <c:pt idx="359">
                  <c:v>32.630000000000003</c:v>
                </c:pt>
                <c:pt idx="360">
                  <c:v>32.585000000000001</c:v>
                </c:pt>
                <c:pt idx="361">
                  <c:v>32.645000000000003</c:v>
                </c:pt>
                <c:pt idx="362">
                  <c:v>32.69</c:v>
                </c:pt>
                <c:pt idx="363">
                  <c:v>32.564999999999998</c:v>
                </c:pt>
                <c:pt idx="364">
                  <c:v>32.424999999999997</c:v>
                </c:pt>
                <c:pt idx="365">
                  <c:v>32.54</c:v>
                </c:pt>
                <c:pt idx="366">
                  <c:v>32.545000000000002</c:v>
                </c:pt>
                <c:pt idx="367">
                  <c:v>32.43</c:v>
                </c:pt>
                <c:pt idx="368">
                  <c:v>32.344999999999999</c:v>
                </c:pt>
                <c:pt idx="369">
                  <c:v>32.28</c:v>
                </c:pt>
                <c:pt idx="370">
                  <c:v>32.06</c:v>
                </c:pt>
                <c:pt idx="371">
                  <c:v>32.155000000000001</c:v>
                </c:pt>
                <c:pt idx="372">
                  <c:v>32.15</c:v>
                </c:pt>
                <c:pt idx="373">
                  <c:v>32.11</c:v>
                </c:pt>
                <c:pt idx="374">
                  <c:v>32.125</c:v>
                </c:pt>
                <c:pt idx="375">
                  <c:v>32.03</c:v>
                </c:pt>
                <c:pt idx="376">
                  <c:v>32.049999999999997</c:v>
                </c:pt>
                <c:pt idx="377">
                  <c:v>32.04</c:v>
                </c:pt>
                <c:pt idx="378">
                  <c:v>32.049999999999997</c:v>
                </c:pt>
                <c:pt idx="379">
                  <c:v>31.954999999999998</c:v>
                </c:pt>
                <c:pt idx="380">
                  <c:v>31.914999999999999</c:v>
                </c:pt>
                <c:pt idx="381">
                  <c:v>32.01</c:v>
                </c:pt>
                <c:pt idx="382">
                  <c:v>31.885000000000002</c:v>
                </c:pt>
                <c:pt idx="383">
                  <c:v>31.92</c:v>
                </c:pt>
                <c:pt idx="384">
                  <c:v>31.83</c:v>
                </c:pt>
                <c:pt idx="385">
                  <c:v>31.71</c:v>
                </c:pt>
                <c:pt idx="386">
                  <c:v>31.65</c:v>
                </c:pt>
                <c:pt idx="387">
                  <c:v>31.55</c:v>
                </c:pt>
                <c:pt idx="388">
                  <c:v>31.515000000000001</c:v>
                </c:pt>
                <c:pt idx="389">
                  <c:v>31.47</c:v>
                </c:pt>
                <c:pt idx="390">
                  <c:v>31.47</c:v>
                </c:pt>
                <c:pt idx="391">
                  <c:v>31.48</c:v>
                </c:pt>
                <c:pt idx="392">
                  <c:v>31.59</c:v>
                </c:pt>
                <c:pt idx="393">
                  <c:v>31.625</c:v>
                </c:pt>
                <c:pt idx="394">
                  <c:v>31.614999999999998</c:v>
                </c:pt>
                <c:pt idx="395">
                  <c:v>31.574999999999999</c:v>
                </c:pt>
                <c:pt idx="396">
                  <c:v>31.66</c:v>
                </c:pt>
                <c:pt idx="397">
                  <c:v>31.63</c:v>
                </c:pt>
                <c:pt idx="398">
                  <c:v>31.62</c:v>
                </c:pt>
                <c:pt idx="399">
                  <c:v>31.6</c:v>
                </c:pt>
                <c:pt idx="400">
                  <c:v>31.605</c:v>
                </c:pt>
                <c:pt idx="401">
                  <c:v>31.56</c:v>
                </c:pt>
                <c:pt idx="402">
                  <c:v>31.58</c:v>
                </c:pt>
                <c:pt idx="403">
                  <c:v>31.55</c:v>
                </c:pt>
                <c:pt idx="404">
                  <c:v>31.45</c:v>
                </c:pt>
                <c:pt idx="405">
                  <c:v>31.434999999999999</c:v>
                </c:pt>
                <c:pt idx="406">
                  <c:v>31.41</c:v>
                </c:pt>
                <c:pt idx="407">
                  <c:v>31.48</c:v>
                </c:pt>
                <c:pt idx="408">
                  <c:v>31.4</c:v>
                </c:pt>
                <c:pt idx="409">
                  <c:v>31.38</c:v>
                </c:pt>
                <c:pt idx="410">
                  <c:v>31.42</c:v>
                </c:pt>
                <c:pt idx="411">
                  <c:v>31.285</c:v>
                </c:pt>
                <c:pt idx="412">
                  <c:v>31.38</c:v>
                </c:pt>
                <c:pt idx="413">
                  <c:v>31.34</c:v>
                </c:pt>
                <c:pt idx="414">
                  <c:v>31.19</c:v>
                </c:pt>
                <c:pt idx="415">
                  <c:v>31.3</c:v>
                </c:pt>
                <c:pt idx="416">
                  <c:v>31.34</c:v>
                </c:pt>
                <c:pt idx="417">
                  <c:v>31.36</c:v>
                </c:pt>
                <c:pt idx="418">
                  <c:v>31.39</c:v>
                </c:pt>
                <c:pt idx="419">
                  <c:v>31.375</c:v>
                </c:pt>
                <c:pt idx="420">
                  <c:v>31.39</c:v>
                </c:pt>
                <c:pt idx="421">
                  <c:v>31.484999999999999</c:v>
                </c:pt>
                <c:pt idx="422">
                  <c:v>31.625</c:v>
                </c:pt>
                <c:pt idx="423">
                  <c:v>31.64</c:v>
                </c:pt>
                <c:pt idx="424">
                  <c:v>31.445</c:v>
                </c:pt>
                <c:pt idx="425">
                  <c:v>31.27</c:v>
                </c:pt>
                <c:pt idx="426">
                  <c:v>31.175000000000001</c:v>
                </c:pt>
                <c:pt idx="427">
                  <c:v>31.145</c:v>
                </c:pt>
                <c:pt idx="428">
                  <c:v>31.17</c:v>
                </c:pt>
                <c:pt idx="429">
                  <c:v>31.07</c:v>
                </c:pt>
                <c:pt idx="430">
                  <c:v>31.045000000000002</c:v>
                </c:pt>
                <c:pt idx="431">
                  <c:v>31.06</c:v>
                </c:pt>
                <c:pt idx="432">
                  <c:v>31.045000000000002</c:v>
                </c:pt>
                <c:pt idx="433">
                  <c:v>31.06</c:v>
                </c:pt>
                <c:pt idx="434">
                  <c:v>30.914999999999999</c:v>
                </c:pt>
                <c:pt idx="435">
                  <c:v>30.754999999999999</c:v>
                </c:pt>
                <c:pt idx="436">
                  <c:v>30.754999999999999</c:v>
                </c:pt>
                <c:pt idx="437">
                  <c:v>30.914999999999999</c:v>
                </c:pt>
                <c:pt idx="438">
                  <c:v>31.105</c:v>
                </c:pt>
                <c:pt idx="439">
                  <c:v>31.18</c:v>
                </c:pt>
                <c:pt idx="440">
                  <c:v>31.245000000000001</c:v>
                </c:pt>
                <c:pt idx="441">
                  <c:v>31.32</c:v>
                </c:pt>
                <c:pt idx="442">
                  <c:v>31.35</c:v>
                </c:pt>
                <c:pt idx="443">
                  <c:v>31.4</c:v>
                </c:pt>
                <c:pt idx="444">
                  <c:v>31.36</c:v>
                </c:pt>
                <c:pt idx="445">
                  <c:v>31.285</c:v>
                </c:pt>
                <c:pt idx="446">
                  <c:v>31.375</c:v>
                </c:pt>
                <c:pt idx="447">
                  <c:v>31.565000000000001</c:v>
                </c:pt>
                <c:pt idx="448">
                  <c:v>31.55</c:v>
                </c:pt>
                <c:pt idx="449">
                  <c:v>31.55</c:v>
                </c:pt>
                <c:pt idx="450">
                  <c:v>31.42</c:v>
                </c:pt>
                <c:pt idx="451">
                  <c:v>31.57</c:v>
                </c:pt>
                <c:pt idx="452">
                  <c:v>31.545000000000002</c:v>
                </c:pt>
                <c:pt idx="453">
                  <c:v>31.53</c:v>
                </c:pt>
                <c:pt idx="454">
                  <c:v>31.454999999999998</c:v>
                </c:pt>
                <c:pt idx="455">
                  <c:v>31.52</c:v>
                </c:pt>
                <c:pt idx="456">
                  <c:v>31.305</c:v>
                </c:pt>
                <c:pt idx="457">
                  <c:v>31.295000000000002</c:v>
                </c:pt>
                <c:pt idx="458">
                  <c:v>31.51</c:v>
                </c:pt>
                <c:pt idx="459">
                  <c:v>31.61</c:v>
                </c:pt>
                <c:pt idx="460">
                  <c:v>31.675000000000001</c:v>
                </c:pt>
                <c:pt idx="461">
                  <c:v>31.58</c:v>
                </c:pt>
                <c:pt idx="462">
                  <c:v>31.645</c:v>
                </c:pt>
                <c:pt idx="463">
                  <c:v>31.475000000000001</c:v>
                </c:pt>
                <c:pt idx="464">
                  <c:v>31.69</c:v>
                </c:pt>
                <c:pt idx="465">
                  <c:v>31.9</c:v>
                </c:pt>
                <c:pt idx="466">
                  <c:v>32.06</c:v>
                </c:pt>
                <c:pt idx="467">
                  <c:v>32.145000000000003</c:v>
                </c:pt>
                <c:pt idx="468">
                  <c:v>32.39</c:v>
                </c:pt>
                <c:pt idx="469">
                  <c:v>32.384999999999998</c:v>
                </c:pt>
                <c:pt idx="470">
                  <c:v>32.409999999999997</c:v>
                </c:pt>
                <c:pt idx="471">
                  <c:v>32.314999999999998</c:v>
                </c:pt>
                <c:pt idx="472">
                  <c:v>32.299999999999997</c:v>
                </c:pt>
                <c:pt idx="473">
                  <c:v>32.255000000000003</c:v>
                </c:pt>
                <c:pt idx="474">
                  <c:v>32.200000000000003</c:v>
                </c:pt>
                <c:pt idx="475">
                  <c:v>32.344999999999999</c:v>
                </c:pt>
                <c:pt idx="476">
                  <c:v>32.414999999999999</c:v>
                </c:pt>
                <c:pt idx="477">
                  <c:v>32.534999999999997</c:v>
                </c:pt>
                <c:pt idx="478">
                  <c:v>32.475000000000001</c:v>
                </c:pt>
                <c:pt idx="479">
                  <c:v>32.484999999999999</c:v>
                </c:pt>
                <c:pt idx="480">
                  <c:v>32.479999999999997</c:v>
                </c:pt>
                <c:pt idx="481">
                  <c:v>32.5</c:v>
                </c:pt>
                <c:pt idx="482">
                  <c:v>32.409999999999997</c:v>
                </c:pt>
                <c:pt idx="483">
                  <c:v>32.369999999999997</c:v>
                </c:pt>
                <c:pt idx="484">
                  <c:v>32.405000000000001</c:v>
                </c:pt>
                <c:pt idx="485">
                  <c:v>32.380000000000003</c:v>
                </c:pt>
                <c:pt idx="486">
                  <c:v>32.375</c:v>
                </c:pt>
                <c:pt idx="487">
                  <c:v>32.35</c:v>
                </c:pt>
                <c:pt idx="488">
                  <c:v>32.35</c:v>
                </c:pt>
                <c:pt idx="489">
                  <c:v>32.33</c:v>
                </c:pt>
                <c:pt idx="490">
                  <c:v>32.274999999999999</c:v>
                </c:pt>
                <c:pt idx="491">
                  <c:v>32.174999999999997</c:v>
                </c:pt>
                <c:pt idx="492">
                  <c:v>32.159999999999997</c:v>
                </c:pt>
                <c:pt idx="493">
                  <c:v>32.265000000000001</c:v>
                </c:pt>
                <c:pt idx="494">
                  <c:v>32.325000000000003</c:v>
                </c:pt>
                <c:pt idx="495">
                  <c:v>32.380000000000003</c:v>
                </c:pt>
                <c:pt idx="496">
                  <c:v>32.384999999999998</c:v>
                </c:pt>
                <c:pt idx="497">
                  <c:v>32.299999999999997</c:v>
                </c:pt>
                <c:pt idx="498">
                  <c:v>32.32</c:v>
                </c:pt>
                <c:pt idx="499">
                  <c:v>32.295000000000002</c:v>
                </c:pt>
                <c:pt idx="500">
                  <c:v>32.28</c:v>
                </c:pt>
                <c:pt idx="501">
                  <c:v>32.21</c:v>
                </c:pt>
                <c:pt idx="502">
                  <c:v>32.164999999999999</c:v>
                </c:pt>
                <c:pt idx="503">
                  <c:v>32.18</c:v>
                </c:pt>
                <c:pt idx="504">
                  <c:v>32.159999999999997</c:v>
                </c:pt>
                <c:pt idx="505">
                  <c:v>32.07</c:v>
                </c:pt>
                <c:pt idx="506">
                  <c:v>32.045000000000002</c:v>
                </c:pt>
                <c:pt idx="507">
                  <c:v>32.03</c:v>
                </c:pt>
                <c:pt idx="508">
                  <c:v>31.975000000000001</c:v>
                </c:pt>
                <c:pt idx="509">
                  <c:v>31.954999999999998</c:v>
                </c:pt>
                <c:pt idx="510">
                  <c:v>32.03</c:v>
                </c:pt>
                <c:pt idx="511">
                  <c:v>32.08</c:v>
                </c:pt>
                <c:pt idx="512">
                  <c:v>32.045000000000002</c:v>
                </c:pt>
                <c:pt idx="513">
                  <c:v>32.055</c:v>
                </c:pt>
                <c:pt idx="514">
                  <c:v>32.045000000000002</c:v>
                </c:pt>
                <c:pt idx="515">
                  <c:v>32.015000000000001</c:v>
                </c:pt>
                <c:pt idx="516">
                  <c:v>31.945</c:v>
                </c:pt>
                <c:pt idx="517">
                  <c:v>31.93</c:v>
                </c:pt>
                <c:pt idx="518">
                  <c:v>31.91</c:v>
                </c:pt>
                <c:pt idx="519">
                  <c:v>31.91</c:v>
                </c:pt>
                <c:pt idx="520">
                  <c:v>31.91</c:v>
                </c:pt>
                <c:pt idx="521">
                  <c:v>31.934999999999999</c:v>
                </c:pt>
                <c:pt idx="522">
                  <c:v>31.93</c:v>
                </c:pt>
                <c:pt idx="523">
                  <c:v>31.9</c:v>
                </c:pt>
                <c:pt idx="524">
                  <c:v>31.835000000000001</c:v>
                </c:pt>
                <c:pt idx="525">
                  <c:v>31.98</c:v>
                </c:pt>
                <c:pt idx="526">
                  <c:v>31.99</c:v>
                </c:pt>
                <c:pt idx="527">
                  <c:v>32.020000000000003</c:v>
                </c:pt>
                <c:pt idx="528">
                  <c:v>32</c:v>
                </c:pt>
                <c:pt idx="529">
                  <c:v>32.024999999999999</c:v>
                </c:pt>
                <c:pt idx="530">
                  <c:v>31.945</c:v>
                </c:pt>
                <c:pt idx="531">
                  <c:v>31.975000000000001</c:v>
                </c:pt>
                <c:pt idx="532">
                  <c:v>31.98</c:v>
                </c:pt>
                <c:pt idx="533">
                  <c:v>31.85</c:v>
                </c:pt>
                <c:pt idx="534">
                  <c:v>31.815000000000001</c:v>
                </c:pt>
                <c:pt idx="535">
                  <c:v>31.79</c:v>
                </c:pt>
                <c:pt idx="536">
                  <c:v>31.86</c:v>
                </c:pt>
                <c:pt idx="537">
                  <c:v>31.72</c:v>
                </c:pt>
                <c:pt idx="538">
                  <c:v>31.74</c:v>
                </c:pt>
                <c:pt idx="539">
                  <c:v>31.684999999999999</c:v>
                </c:pt>
                <c:pt idx="540">
                  <c:v>31.675000000000001</c:v>
                </c:pt>
                <c:pt idx="541">
                  <c:v>31.56</c:v>
                </c:pt>
                <c:pt idx="542">
                  <c:v>31.47</c:v>
                </c:pt>
                <c:pt idx="543">
                  <c:v>31.445</c:v>
                </c:pt>
                <c:pt idx="544">
                  <c:v>31.274999999999999</c:v>
                </c:pt>
                <c:pt idx="545">
                  <c:v>31.285</c:v>
                </c:pt>
                <c:pt idx="546">
                  <c:v>31.355</c:v>
                </c:pt>
                <c:pt idx="547">
                  <c:v>31.41</c:v>
                </c:pt>
                <c:pt idx="548">
                  <c:v>31.285</c:v>
                </c:pt>
                <c:pt idx="549">
                  <c:v>31.12</c:v>
                </c:pt>
                <c:pt idx="550">
                  <c:v>31.11</c:v>
                </c:pt>
                <c:pt idx="551">
                  <c:v>31.035</c:v>
                </c:pt>
                <c:pt idx="552">
                  <c:v>31.094999999999999</c:v>
                </c:pt>
                <c:pt idx="553">
                  <c:v>30.934999999999999</c:v>
                </c:pt>
                <c:pt idx="554">
                  <c:v>31.12</c:v>
                </c:pt>
                <c:pt idx="555">
                  <c:v>31.28</c:v>
                </c:pt>
                <c:pt idx="556">
                  <c:v>31.364999999999998</c:v>
                </c:pt>
                <c:pt idx="557">
                  <c:v>31.434999999999999</c:v>
                </c:pt>
                <c:pt idx="558">
                  <c:v>31.385000000000002</c:v>
                </c:pt>
                <c:pt idx="559">
                  <c:v>31.28</c:v>
                </c:pt>
                <c:pt idx="560">
                  <c:v>31.2</c:v>
                </c:pt>
                <c:pt idx="561">
                  <c:v>31.164999999999999</c:v>
                </c:pt>
                <c:pt idx="562">
                  <c:v>31.184999999999999</c:v>
                </c:pt>
                <c:pt idx="563">
                  <c:v>31.19</c:v>
                </c:pt>
                <c:pt idx="564">
                  <c:v>31.12</c:v>
                </c:pt>
                <c:pt idx="565">
                  <c:v>31.12</c:v>
                </c:pt>
                <c:pt idx="566">
                  <c:v>31.074999999999999</c:v>
                </c:pt>
                <c:pt idx="567">
                  <c:v>31.06</c:v>
                </c:pt>
                <c:pt idx="568">
                  <c:v>30.96</c:v>
                </c:pt>
                <c:pt idx="569">
                  <c:v>30.945</c:v>
                </c:pt>
                <c:pt idx="570">
                  <c:v>30.844999999999999</c:v>
                </c:pt>
                <c:pt idx="571">
                  <c:v>30.785</c:v>
                </c:pt>
                <c:pt idx="572">
                  <c:v>30.75</c:v>
                </c:pt>
                <c:pt idx="573">
                  <c:v>30.765000000000001</c:v>
                </c:pt>
                <c:pt idx="574">
                  <c:v>30.76</c:v>
                </c:pt>
                <c:pt idx="575">
                  <c:v>30.75</c:v>
                </c:pt>
                <c:pt idx="576">
                  <c:v>30.795000000000002</c:v>
                </c:pt>
                <c:pt idx="577">
                  <c:v>30.77</c:v>
                </c:pt>
                <c:pt idx="578">
                  <c:v>30.805</c:v>
                </c:pt>
                <c:pt idx="579">
                  <c:v>30.754999999999999</c:v>
                </c:pt>
                <c:pt idx="580">
                  <c:v>30.774999999999999</c:v>
                </c:pt>
                <c:pt idx="581">
                  <c:v>30.74</c:v>
                </c:pt>
                <c:pt idx="582">
                  <c:v>30.71</c:v>
                </c:pt>
                <c:pt idx="583">
                  <c:v>30.785</c:v>
                </c:pt>
                <c:pt idx="584">
                  <c:v>30.8</c:v>
                </c:pt>
                <c:pt idx="585">
                  <c:v>30.695</c:v>
                </c:pt>
                <c:pt idx="586">
                  <c:v>30.695</c:v>
                </c:pt>
                <c:pt idx="587">
                  <c:v>30.795000000000002</c:v>
                </c:pt>
                <c:pt idx="588">
                  <c:v>30.835000000000001</c:v>
                </c:pt>
                <c:pt idx="589">
                  <c:v>30.844999999999999</c:v>
                </c:pt>
                <c:pt idx="590">
                  <c:v>30.8</c:v>
                </c:pt>
                <c:pt idx="591">
                  <c:v>30.73</c:v>
                </c:pt>
                <c:pt idx="592">
                  <c:v>30.725000000000001</c:v>
                </c:pt>
                <c:pt idx="593">
                  <c:v>30.815000000000001</c:v>
                </c:pt>
                <c:pt idx="594">
                  <c:v>30.864999999999998</c:v>
                </c:pt>
                <c:pt idx="595">
                  <c:v>30.855</c:v>
                </c:pt>
                <c:pt idx="596">
                  <c:v>30.855</c:v>
                </c:pt>
                <c:pt idx="597">
                  <c:v>30.8</c:v>
                </c:pt>
                <c:pt idx="598">
                  <c:v>30.78</c:v>
                </c:pt>
                <c:pt idx="599">
                  <c:v>30.774999999999999</c:v>
                </c:pt>
                <c:pt idx="600">
                  <c:v>30.745000000000001</c:v>
                </c:pt>
                <c:pt idx="601">
                  <c:v>30.725000000000001</c:v>
                </c:pt>
                <c:pt idx="602">
                  <c:v>30.684999999999999</c:v>
                </c:pt>
                <c:pt idx="603">
                  <c:v>30.72</c:v>
                </c:pt>
                <c:pt idx="604">
                  <c:v>30.795000000000002</c:v>
                </c:pt>
                <c:pt idx="605">
                  <c:v>30.824999999999999</c:v>
                </c:pt>
                <c:pt idx="606">
                  <c:v>30.79</c:v>
                </c:pt>
                <c:pt idx="607">
                  <c:v>30.754999999999999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E-454B-B799-B999671F9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096112"/>
        <c:axId val="873098512"/>
      </c:lineChart>
      <c:dateAx>
        <c:axId val="873096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3098512"/>
        <c:crosses val="autoZero"/>
        <c:auto val="1"/>
        <c:lblOffset val="100"/>
        <c:baseTimeUnit val="days"/>
      </c:dateAx>
      <c:valAx>
        <c:axId val="8730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30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資產變化圖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'Family-帳戶紀錄_old'!$A$4:$A$694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'Family-帳戶紀錄_old'!$E$4:$E$694</c:f>
              <c:numCache>
                <c:formatCode>0_ ;[Red]\-0\ </c:formatCode>
                <c:ptCount val="78"/>
                <c:pt idx="0">
                  <c:v>750000</c:v>
                </c:pt>
                <c:pt idx="1">
                  <c:v>750106</c:v>
                </c:pt>
                <c:pt idx="2">
                  <c:v>758171</c:v>
                </c:pt>
                <c:pt idx="3">
                  <c:v>325477</c:v>
                </c:pt>
                <c:pt idx="4">
                  <c:v>790675</c:v>
                </c:pt>
                <c:pt idx="5">
                  <c:v>790781</c:v>
                </c:pt>
                <c:pt idx="6">
                  <c:v>790761</c:v>
                </c:pt>
                <c:pt idx="7">
                  <c:v>790741</c:v>
                </c:pt>
                <c:pt idx="8">
                  <c:v>504316</c:v>
                </c:pt>
                <c:pt idx="9">
                  <c:v>526401</c:v>
                </c:pt>
                <c:pt idx="10">
                  <c:v>659383</c:v>
                </c:pt>
                <c:pt idx="11">
                  <c:v>659363</c:v>
                </c:pt>
                <c:pt idx="12">
                  <c:v>660487</c:v>
                </c:pt>
                <c:pt idx="13">
                  <c:v>1476551</c:v>
                </c:pt>
                <c:pt idx="14">
                  <c:v>282329</c:v>
                </c:pt>
                <c:pt idx="15">
                  <c:v>986678</c:v>
                </c:pt>
                <c:pt idx="16">
                  <c:v>906865</c:v>
                </c:pt>
                <c:pt idx="17">
                  <c:v>906845</c:v>
                </c:pt>
                <c:pt idx="18">
                  <c:v>1311966</c:v>
                </c:pt>
                <c:pt idx="19">
                  <c:v>1353813</c:v>
                </c:pt>
                <c:pt idx="20">
                  <c:v>1534943</c:v>
                </c:pt>
                <c:pt idx="21">
                  <c:v>1545130</c:v>
                </c:pt>
                <c:pt idx="22">
                  <c:v>1544990</c:v>
                </c:pt>
                <c:pt idx="23">
                  <c:v>1569744</c:v>
                </c:pt>
                <c:pt idx="24">
                  <c:v>1481334</c:v>
                </c:pt>
                <c:pt idx="25">
                  <c:v>1579285</c:v>
                </c:pt>
                <c:pt idx="26">
                  <c:v>1252300</c:v>
                </c:pt>
                <c:pt idx="27">
                  <c:v>1252280</c:v>
                </c:pt>
                <c:pt idx="28">
                  <c:v>1252830</c:v>
                </c:pt>
                <c:pt idx="29">
                  <c:v>1257244</c:v>
                </c:pt>
                <c:pt idx="30">
                  <c:v>1307621</c:v>
                </c:pt>
                <c:pt idx="31">
                  <c:v>1699878</c:v>
                </c:pt>
                <c:pt idx="32">
                  <c:v>1700130</c:v>
                </c:pt>
                <c:pt idx="33">
                  <c:v>1681153</c:v>
                </c:pt>
                <c:pt idx="34">
                  <c:v>1518923</c:v>
                </c:pt>
                <c:pt idx="35">
                  <c:v>1518863</c:v>
                </c:pt>
                <c:pt idx="36">
                  <c:v>1466589</c:v>
                </c:pt>
                <c:pt idx="37">
                  <c:v>1466569</c:v>
                </c:pt>
                <c:pt idx="38">
                  <c:v>1467479</c:v>
                </c:pt>
                <c:pt idx="39">
                  <c:v>1467399</c:v>
                </c:pt>
                <c:pt idx="40">
                  <c:v>1361749</c:v>
                </c:pt>
                <c:pt idx="41">
                  <c:v>1361940</c:v>
                </c:pt>
                <c:pt idx="42">
                  <c:v>1193200</c:v>
                </c:pt>
                <c:pt idx="43">
                  <c:v>1133115</c:v>
                </c:pt>
                <c:pt idx="44">
                  <c:v>1101120</c:v>
                </c:pt>
                <c:pt idx="45">
                  <c:v>1101100</c:v>
                </c:pt>
                <c:pt idx="46">
                  <c:v>1206631</c:v>
                </c:pt>
                <c:pt idx="47">
                  <c:v>1378866</c:v>
                </c:pt>
                <c:pt idx="48">
                  <c:v>1378826</c:v>
                </c:pt>
                <c:pt idx="49">
                  <c:v>1379866</c:v>
                </c:pt>
                <c:pt idx="50">
                  <c:v>1379746</c:v>
                </c:pt>
                <c:pt idx="51">
                  <c:v>1329676</c:v>
                </c:pt>
                <c:pt idx="52">
                  <c:v>1359942</c:v>
                </c:pt>
                <c:pt idx="53">
                  <c:v>1360265</c:v>
                </c:pt>
                <c:pt idx="54">
                  <c:v>1297376</c:v>
                </c:pt>
                <c:pt idx="55">
                  <c:v>1217863</c:v>
                </c:pt>
                <c:pt idx="56">
                  <c:v>1060640</c:v>
                </c:pt>
                <c:pt idx="57">
                  <c:v>1000655</c:v>
                </c:pt>
                <c:pt idx="58">
                  <c:v>1717469</c:v>
                </c:pt>
                <c:pt idx="59">
                  <c:v>1788155</c:v>
                </c:pt>
                <c:pt idx="60">
                  <c:v>1855159</c:v>
                </c:pt>
                <c:pt idx="61">
                  <c:v>1856199</c:v>
                </c:pt>
                <c:pt idx="62">
                  <c:v>1857557</c:v>
                </c:pt>
                <c:pt idx="63">
                  <c:v>1862847</c:v>
                </c:pt>
                <c:pt idx="64">
                  <c:v>1865889</c:v>
                </c:pt>
                <c:pt idx="65">
                  <c:v>1866580</c:v>
                </c:pt>
                <c:pt idx="66">
                  <c:v>1866540</c:v>
                </c:pt>
                <c:pt idx="67">
                  <c:v>1933244</c:v>
                </c:pt>
                <c:pt idx="68">
                  <c:v>2009705</c:v>
                </c:pt>
                <c:pt idx="69">
                  <c:v>2168002</c:v>
                </c:pt>
                <c:pt idx="70">
                  <c:v>2171492</c:v>
                </c:pt>
                <c:pt idx="71">
                  <c:v>2172381</c:v>
                </c:pt>
                <c:pt idx="72">
                  <c:v>2172361</c:v>
                </c:pt>
                <c:pt idx="73">
                  <c:v>2173961</c:v>
                </c:pt>
                <c:pt idx="74">
                  <c:v>2202087</c:v>
                </c:pt>
                <c:pt idx="75">
                  <c:v>2203498</c:v>
                </c:pt>
                <c:pt idx="76">
                  <c:v>2201948</c:v>
                </c:pt>
                <c:pt idx="77">
                  <c:v>2201948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4D9C-AD02-BE1E8FDB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損益表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'Family-帳戶紀錄_old'!$A$4:$A$694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'Family-帳戶紀錄_old'!$G$4:$G$694</c:f>
              <c:numCache>
                <c:formatCode>0_ ;[Red]\-0\ </c:formatCode>
                <c:ptCount val="78"/>
                <c:pt idx="0">
                  <c:v>0</c:v>
                </c:pt>
                <c:pt idx="1">
                  <c:v>106</c:v>
                </c:pt>
                <c:pt idx="2">
                  <c:v>8171</c:v>
                </c:pt>
                <c:pt idx="3">
                  <c:v>26596</c:v>
                </c:pt>
                <c:pt idx="4">
                  <c:v>106780</c:v>
                </c:pt>
                <c:pt idx="5">
                  <c:v>106886</c:v>
                </c:pt>
                <c:pt idx="6">
                  <c:v>106866</c:v>
                </c:pt>
                <c:pt idx="7">
                  <c:v>106846</c:v>
                </c:pt>
                <c:pt idx="8">
                  <c:v>106352</c:v>
                </c:pt>
                <c:pt idx="9">
                  <c:v>138192</c:v>
                </c:pt>
                <c:pt idx="10">
                  <c:v>390115</c:v>
                </c:pt>
                <c:pt idx="11">
                  <c:v>390095</c:v>
                </c:pt>
                <c:pt idx="12">
                  <c:v>391219</c:v>
                </c:pt>
                <c:pt idx="13">
                  <c:v>417098</c:v>
                </c:pt>
                <c:pt idx="14">
                  <c:v>460383.5</c:v>
                </c:pt>
                <c:pt idx="15">
                  <c:v>471490.5</c:v>
                </c:pt>
                <c:pt idx="16">
                  <c:v>471490.5</c:v>
                </c:pt>
                <c:pt idx="17">
                  <c:v>471470.5</c:v>
                </c:pt>
                <c:pt idx="18">
                  <c:v>728876.5</c:v>
                </c:pt>
                <c:pt idx="19">
                  <c:v>597811.5</c:v>
                </c:pt>
                <c:pt idx="20">
                  <c:v>722495.5</c:v>
                </c:pt>
                <c:pt idx="21">
                  <c:v>732682.5</c:v>
                </c:pt>
                <c:pt idx="22">
                  <c:v>732542.5</c:v>
                </c:pt>
                <c:pt idx="23">
                  <c:v>732577.5</c:v>
                </c:pt>
                <c:pt idx="24">
                  <c:v>741386.5</c:v>
                </c:pt>
                <c:pt idx="25">
                  <c:v>799272.5</c:v>
                </c:pt>
                <c:pt idx="26">
                  <c:v>802992.5</c:v>
                </c:pt>
                <c:pt idx="27">
                  <c:v>802972.5</c:v>
                </c:pt>
                <c:pt idx="28">
                  <c:v>803522.5</c:v>
                </c:pt>
                <c:pt idx="29">
                  <c:v>807936.5</c:v>
                </c:pt>
                <c:pt idx="30">
                  <c:v>807936.5</c:v>
                </c:pt>
                <c:pt idx="31">
                  <c:v>807936.5</c:v>
                </c:pt>
                <c:pt idx="32">
                  <c:v>808188.5</c:v>
                </c:pt>
                <c:pt idx="33">
                  <c:v>808188.5</c:v>
                </c:pt>
                <c:pt idx="34">
                  <c:v>808188.5</c:v>
                </c:pt>
                <c:pt idx="35">
                  <c:v>808128.5</c:v>
                </c:pt>
                <c:pt idx="36">
                  <c:v>808128.5</c:v>
                </c:pt>
                <c:pt idx="37">
                  <c:v>808108.5</c:v>
                </c:pt>
                <c:pt idx="38">
                  <c:v>809018.5</c:v>
                </c:pt>
                <c:pt idx="39">
                  <c:v>808938.5</c:v>
                </c:pt>
                <c:pt idx="40">
                  <c:v>808938.5</c:v>
                </c:pt>
                <c:pt idx="41">
                  <c:v>809129.5</c:v>
                </c:pt>
                <c:pt idx="42">
                  <c:v>809129.5</c:v>
                </c:pt>
                <c:pt idx="43">
                  <c:v>809129.5</c:v>
                </c:pt>
                <c:pt idx="44">
                  <c:v>809129.5</c:v>
                </c:pt>
                <c:pt idx="45">
                  <c:v>809109.5</c:v>
                </c:pt>
                <c:pt idx="46">
                  <c:v>809109.5</c:v>
                </c:pt>
                <c:pt idx="47">
                  <c:v>809109.5</c:v>
                </c:pt>
                <c:pt idx="48">
                  <c:v>809109.5</c:v>
                </c:pt>
                <c:pt idx="49">
                  <c:v>810149.5</c:v>
                </c:pt>
                <c:pt idx="50">
                  <c:v>810149.5</c:v>
                </c:pt>
                <c:pt idx="51">
                  <c:v>810149.5</c:v>
                </c:pt>
                <c:pt idx="52">
                  <c:v>810149.5</c:v>
                </c:pt>
                <c:pt idx="53">
                  <c:v>810472.5</c:v>
                </c:pt>
                <c:pt idx="54">
                  <c:v>810472.5</c:v>
                </c:pt>
                <c:pt idx="55">
                  <c:v>810472.5</c:v>
                </c:pt>
                <c:pt idx="56">
                  <c:v>810472.5</c:v>
                </c:pt>
                <c:pt idx="57">
                  <c:v>810472.5</c:v>
                </c:pt>
                <c:pt idx="58">
                  <c:v>810472.5</c:v>
                </c:pt>
                <c:pt idx="59">
                  <c:v>810472.5</c:v>
                </c:pt>
                <c:pt idx="60">
                  <c:v>810472.5</c:v>
                </c:pt>
                <c:pt idx="61">
                  <c:v>811512.5</c:v>
                </c:pt>
                <c:pt idx="62">
                  <c:v>812870.5</c:v>
                </c:pt>
                <c:pt idx="63">
                  <c:v>818160.5</c:v>
                </c:pt>
                <c:pt idx="64">
                  <c:v>821202.5</c:v>
                </c:pt>
                <c:pt idx="65">
                  <c:v>821893.5</c:v>
                </c:pt>
                <c:pt idx="66">
                  <c:v>821853.5</c:v>
                </c:pt>
                <c:pt idx="67">
                  <c:v>821853.5</c:v>
                </c:pt>
                <c:pt idx="68">
                  <c:v>821853.5</c:v>
                </c:pt>
                <c:pt idx="69">
                  <c:v>821853.5</c:v>
                </c:pt>
                <c:pt idx="70">
                  <c:v>825343.5</c:v>
                </c:pt>
                <c:pt idx="71">
                  <c:v>826232.5</c:v>
                </c:pt>
                <c:pt idx="72">
                  <c:v>826212.5</c:v>
                </c:pt>
                <c:pt idx="73">
                  <c:v>827812.5</c:v>
                </c:pt>
                <c:pt idx="74">
                  <c:v>827812.5</c:v>
                </c:pt>
                <c:pt idx="75">
                  <c:v>827812.5</c:v>
                </c:pt>
                <c:pt idx="76">
                  <c:v>827812.5</c:v>
                </c:pt>
                <c:pt idx="77">
                  <c:v>827812.5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3-4E13-9AE1-0B3E7267E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209549</xdr:rowOff>
    </xdr:from>
    <xdr:to>
      <xdr:col>9</xdr:col>
      <xdr:colOff>9525</xdr:colOff>
      <xdr:row>30</xdr:row>
      <xdr:rowOff>200024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B3BD8D7-D58E-49BC-BA45-BA1E7D507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1462367</xdr:colOff>
      <xdr:row>365</xdr:row>
      <xdr:rowOff>12325</xdr:rowOff>
    </xdr:from>
    <xdr:to>
      <xdr:col>20</xdr:col>
      <xdr:colOff>22412</xdr:colOff>
      <xdr:row>384</xdr:row>
      <xdr:rowOff>78441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73CB59E-1D75-D3BF-B2E9-F0B1F0F30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139</xdr:row>
      <xdr:rowOff>-1</xdr:rowOff>
    </xdr:from>
    <xdr:to>
      <xdr:col>16</xdr:col>
      <xdr:colOff>801221</xdr:colOff>
      <xdr:row>158</xdr:row>
      <xdr:rowOff>66114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9673A3-940C-71F5-3740-89AF364F6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161</xdr:row>
      <xdr:rowOff>0</xdr:rowOff>
    </xdr:from>
    <xdr:to>
      <xdr:col>23</xdr:col>
      <xdr:colOff>972811</xdr:colOff>
      <xdr:row>174</xdr:row>
      <xdr:rowOff>89648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D878013-5A65-4114-90DD-E68B76089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685799</xdr:colOff>
      <xdr:row>0</xdr:row>
      <xdr:rowOff>219074</xdr:rowOff>
    </xdr:from>
    <xdr:to>
      <xdr:col>27</xdr:col>
      <xdr:colOff>485774</xdr:colOff>
      <xdr:row>17</xdr:row>
      <xdr:rowOff>152399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E812DB-6D25-4B17-B3A7-B842FF20D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701</xdr:row>
      <xdr:rowOff>0</xdr:rowOff>
    </xdr:from>
    <xdr:to>
      <xdr:col>9</xdr:col>
      <xdr:colOff>262255</xdr:colOff>
      <xdr:row>713</xdr:row>
      <xdr:rowOff>128905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716</xdr:row>
      <xdr:rowOff>0</xdr:rowOff>
    </xdr:from>
    <xdr:to>
      <xdr:col>9</xdr:col>
      <xdr:colOff>262255</xdr:colOff>
      <xdr:row>728</xdr:row>
      <xdr:rowOff>128905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Hui Hsu" id="{B7D6B7E1-F1EE-4886-9945-6BA3F0CB2F9C}" userId="95555c368f1393b7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9" connectionId="1" xr16:uid="{1FF4CFB3-296A-49A3-9239-7A3E46C6107A}" autoFormatId="16" applyNumberFormats="0" applyBorderFormats="0" applyFontFormats="0" applyPatternFormats="0" applyAlignmentFormats="0" applyWidthHeightFormats="0">
  <queryTableRefresh nextId="8">
    <queryTableFields count="7">
      <queryTableField id="1" name="日期" tableColumnId="1"/>
      <queryTableField id="2" name="收盘" tableColumnId="2"/>
      <queryTableField id="3" name="开盘" tableColumnId="3"/>
      <queryTableField id="4" name="高" tableColumnId="4"/>
      <queryTableField id="5" name="低" tableColumnId="5"/>
      <queryTableField id="6" name="交易量" tableColumnId="6"/>
      <queryTableField id="7" name="涨跌幅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AB7A2-6053-449D-8D35-A2ADDF8646DE}" name="表格3_3" displayName="表格3_3" ref="A1:J22" totalsRowShown="0">
  <autoFilter ref="A1:J22" xr:uid="{C90AB7A2-6053-449D-8D35-A2ADDF8646DE}"/>
  <tableColumns count="10">
    <tableColumn id="2" xr3:uid="{3E71FC8E-96E9-4A49-8FFF-02AAFCA749B5}" name="代號" dataDxfId="2308"/>
    <tableColumn id="1" xr3:uid="{1E6AC501-2A00-46B8-A11A-48684E26FCC8}" name="名稱" dataDxfId="2307"/>
    <tableColumn id="3" xr3:uid="{FFEB4B70-51DA-4876-B82B-57E335BD1498}" name="最新" dataDxfId="2306"/>
    <tableColumn id="4" xr3:uid="{490069CD-EC85-46F1-9417-97C4A1751F1D}" name="開市" dataDxfId="2305"/>
    <tableColumn id="5" xr3:uid="{58D2DCBD-6498-459F-AEF9-B1E5C836EA99}" name="高" dataDxfId="2304"/>
    <tableColumn id="6" xr3:uid="{50665E54-AD95-484B-8E3F-8DAC39A91CEC}" name="低" dataDxfId="2303"/>
    <tableColumn id="7" xr3:uid="{A9673AD6-3D01-4721-A11D-200877839215}" name="升跌" dataDxfId="2302"/>
    <tableColumn id="8" xr3:uid="{B2FA0785-CF11-40CE-A591-B90FDE194568}" name="升跌率%" dataDxfId="2301"/>
    <tableColumn id="9" xr3:uid="{5C419725-48AF-4B40-B256-03C8EC5EC7A1}" name="成交量" dataDxfId="2300"/>
    <tableColumn id="10" xr3:uid="{F51660D9-9DA5-44D3-B8E0-893DB4B62A9B}" name="時間" dataDxfId="229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23898-E823-4288-B879-425F07570945}" name="資料表_2" displayName="資料表_2" ref="A2:G26" tableType="queryTable" totalsRowShown="0" tableBorderDxfId="2298">
  <autoFilter ref="A2:G26" xr:uid="{6F523898-E823-4288-B879-425F07570945}"/>
  <tableColumns count="7">
    <tableColumn id="1" xr3:uid="{4AF3EFC2-F9D7-47F4-B1AE-B56B16023A40}" uniqueName="1" name="日期" queryTableFieldId="1" dataDxfId="2297"/>
    <tableColumn id="2" xr3:uid="{43C89C02-CBDB-48CF-8307-FF70219E77C5}" uniqueName="2" name="收盘" queryTableFieldId="2"/>
    <tableColumn id="3" xr3:uid="{941F23A1-D509-4F7F-A303-3CBE0FFA9AF5}" uniqueName="3" name="开盘" queryTableFieldId="3"/>
    <tableColumn id="4" xr3:uid="{F5C69CE8-D33E-497D-88F6-0B7E8E3AB6C7}" uniqueName="4" name="高" queryTableFieldId="4"/>
    <tableColumn id="5" xr3:uid="{95113F53-F5B7-4341-A0FF-E6EE38625592}" uniqueName="5" name="低" queryTableFieldId="5"/>
    <tableColumn id="6" xr3:uid="{5016DA4E-94AD-4060-9005-B336110F9A4A}" uniqueName="6" name="交易量" queryTableFieldId="6" dataDxfId="2296"/>
    <tableColumn id="7" xr3:uid="{20D580EA-ACCF-4096-BD30-78EDCDD79157}" uniqueName="7" name="涨跌幅" queryTableFieldId="7" dataDxfId="229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19-07-03T09:28:20.20" personId="{B7D6B7E1-F1EE-4886-9945-6BA3F0CB2F9C}" id="{7A9F7465-F1A5-4DFF-8323-B67EDE320A56}">
    <text>現金股利發放: 2019/07/26</text>
  </threadedComment>
  <threadedComment ref="R3" dT="2019-07-03T09:28:20.20" personId="{B7D6B7E1-F1EE-4886-9945-6BA3F0CB2F9C}" id="{2125B50D-B804-476B-958E-5A98809B4DAD}">
    <text>現金股利發放: 2019/07/26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0" dT="2019-07-03T03:31:54.18" personId="{B7D6B7E1-F1EE-4886-9945-6BA3F0CB2F9C}" id="{ED7B6892-BC40-48D6-A48E-195307606176}">
    <text>現金股利發放: 2019/07/12</text>
  </threadedComment>
  <threadedComment ref="R11" dT="2019-07-03T03:31:59.77" personId="{B7D6B7E1-F1EE-4886-9945-6BA3F0CB2F9C}" id="{EBF44E15-C262-4578-BDB1-F521DAEB58B7}">
    <text>現金股利發放: 2019/07/12</text>
  </threadedComment>
  <threadedComment ref="R12" dT="2019-07-03T03:33:01.95" personId="{B7D6B7E1-F1EE-4886-9945-6BA3F0CB2F9C}" id="{DDC8E112-1991-48F4-94F8-0D17C1B51FDF}">
    <text>現金股利發放: 2019/07/26</text>
  </threadedComment>
  <threadedComment ref="R13" dT="2019-07-03T09:24:23.39" personId="{B7D6B7E1-F1EE-4886-9945-6BA3F0CB2F9C}" id="{74F155F8-121F-45BA-BC26-70488EC0DDC8}">
    <text>現金股利發放: 2019/07/19</text>
  </threadedComment>
  <threadedComment ref="R14" dT="2019-07-03T09:25:29.03" personId="{B7D6B7E1-F1EE-4886-9945-6BA3F0CB2F9C}" id="{C8F3D15F-3E0F-407F-BA50-818535FCB57C}">
    <text>現金股利發放: 2019/08/02</text>
  </threadedComment>
  <threadedComment ref="R15" dT="2019-07-03T09:27:42.61" personId="{B7D6B7E1-F1EE-4886-9945-6BA3F0CB2F9C}" id="{AEF677AD-2922-47B8-AE39-0C9901B1F93C}">
    <text>現金股利發放: 2019/07/25</text>
  </threadedComment>
  <threadedComment ref="R16" dT="2019-07-03T09:26:43.49" personId="{B7D6B7E1-F1EE-4886-9945-6BA3F0CB2F9C}" id="{8751C318-4222-473E-B2AB-F989C19B4507}">
    <text>現金股利發放: 2019/07/23</text>
  </threadedComment>
  <threadedComment ref="R17" dT="2019-07-03T09:28:20.20" personId="{B7D6B7E1-F1EE-4886-9945-6BA3F0CB2F9C}" id="{5E82B9C4-1E8B-4038-9D54-23CBFF2488F6}">
    <text>現金股利發放: 2019/07/26</text>
  </threadedComment>
  <threadedComment ref="R18" dT="2019-07-03T09:27:11.36" personId="{B7D6B7E1-F1EE-4886-9945-6BA3F0CB2F9C}" id="{F3315296-9736-4F2D-8DC9-A26BEFB9777F}">
    <text>現金股利發放: 2019/07/31</text>
  </threadedComment>
  <threadedComment ref="R19" dT="2019-07-03T09:28:20.20" personId="{B7D6B7E1-F1EE-4886-9945-6BA3F0CB2F9C}" id="{4E6EF454-BDE1-41FD-82E3-A2FE0487E2A8}">
    <text>現金股利發放: 2019/07/31</text>
  </threadedComment>
  <threadedComment ref="R20" dT="2019-07-03T09:28:20.20" personId="{B7D6B7E1-F1EE-4886-9945-6BA3F0CB2F9C}" id="{0444BAB3-B771-40B7-A812-2301AE9589BA}">
    <text>現金股利發放: 2019/08/2</text>
  </threadedComment>
  <threadedComment ref="R21" dT="2019-07-03T09:28:20.20" personId="{B7D6B7E1-F1EE-4886-9945-6BA3F0CB2F9C}" id="{B1259007-595F-4402-BAF5-6726EB476A85}">
    <text>現金股利發放: 2019/07/26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0" dT="2019-07-03T03:31:54.18" personId="{B7D6B7E1-F1EE-4886-9945-6BA3F0CB2F9C}" id="{A60DB243-B772-487F-8299-AA3BFDFE871A}">
    <text>現金股利發放: 2019/07/12</text>
  </threadedComment>
  <threadedComment ref="R11" dT="2019-07-03T03:31:59.77" personId="{B7D6B7E1-F1EE-4886-9945-6BA3F0CB2F9C}" id="{658337C7-11FD-41EB-AF57-772990E24442}">
    <text>現金股利發放: 2019/07/12</text>
  </threadedComment>
  <threadedComment ref="R12" dT="2019-07-03T03:33:01.95" personId="{B7D6B7E1-F1EE-4886-9945-6BA3F0CB2F9C}" id="{B6D99A2A-58F0-4FA6-AD97-300B0BE10508}">
    <text>現金股利發放: 2019/07/26</text>
  </threadedComment>
  <threadedComment ref="R13" dT="2019-07-03T09:24:23.39" personId="{B7D6B7E1-F1EE-4886-9945-6BA3F0CB2F9C}" id="{E0C7977A-462B-4B2A-BCF8-3EB2FEE07E0B}">
    <text>現金股利發放: 2019/07/19</text>
  </threadedComment>
  <threadedComment ref="R14" dT="2019-07-03T09:25:29.03" personId="{B7D6B7E1-F1EE-4886-9945-6BA3F0CB2F9C}" id="{2C50538B-F335-420F-80E1-477005B195AB}">
    <text>現金股利發放: 2019/08/02</text>
  </threadedComment>
  <threadedComment ref="R15" dT="2019-07-03T09:27:42.61" personId="{B7D6B7E1-F1EE-4886-9945-6BA3F0CB2F9C}" id="{4B99CE98-FF95-4D01-941C-01E92A68FBEF}">
    <text>現金股利發放: 2019/07/25</text>
  </threadedComment>
  <threadedComment ref="R16" dT="2019-07-03T09:26:43.49" personId="{B7D6B7E1-F1EE-4886-9945-6BA3F0CB2F9C}" id="{38A1065E-818F-4552-84AF-193DCEFF8C42}">
    <text>現金股利發放: 2019/07/23</text>
  </threadedComment>
  <threadedComment ref="R17" dT="2019-07-03T09:28:20.20" personId="{B7D6B7E1-F1EE-4886-9945-6BA3F0CB2F9C}" id="{43373B6B-D09D-4313-B9AC-13A1B106DC96}">
    <text>現金股利發放: 2019/07/26</text>
  </threadedComment>
  <threadedComment ref="R18" dT="2019-07-03T09:27:11.36" personId="{B7D6B7E1-F1EE-4886-9945-6BA3F0CB2F9C}" id="{44765C90-ED3E-412F-9188-FB51D5C69E60}">
    <text>現金股利發放: 2019/07/31</text>
  </threadedComment>
  <threadedComment ref="R19" dT="2019-07-03T09:28:20.20" personId="{B7D6B7E1-F1EE-4886-9945-6BA3F0CB2F9C}" id="{14BD763C-48D1-4FC9-A192-3F847525E924}">
    <text>現金股利發放: 2019/07/31</text>
  </threadedComment>
  <threadedComment ref="R20" dT="2019-07-03T09:28:20.20" personId="{B7D6B7E1-F1EE-4886-9945-6BA3F0CB2F9C}" id="{3811BF8D-2CEA-41FF-84A8-6BDDEC81E456}">
    <text>現金股利發放: 2019/08/2</text>
  </threadedComment>
  <threadedComment ref="R21" dT="2019-07-03T09:28:20.20" personId="{B7D6B7E1-F1EE-4886-9945-6BA3F0CB2F9C}" id="{EDAC0C55-F73D-45B9-A13B-6535DDA0D42B}">
    <text>現金股利發放: 2019/07/26</text>
  </threadedComment>
  <threadedComment ref="R22" dT="2019-07-03T09:28:20.20" personId="{B7D6B7E1-F1EE-4886-9945-6BA3F0CB2F9C}" id="{92A86F1B-A49E-4C64-AD77-C1D30C8E99F3}">
    <text>現金股利發放: 2019/07/26</text>
  </threadedComment>
  <threadedComment ref="R23" dT="2019-07-03T09:28:20.20" personId="{B7D6B7E1-F1EE-4886-9945-6BA3F0CB2F9C}" id="{9981172C-E978-456A-BA95-2FCCEA150D77}">
    <text>現金股利發放: 2019/07/26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htrust.com.tw/Event/EC/2023_00929/index.html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htrust.com.tw/Event/EC/2023_00929/index.html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www.fhtrust.com.tw/Event/EC/2023_00929/index.html" TargetMode="External"/><Relationship Id="rId1" Type="http://schemas.openxmlformats.org/officeDocument/2006/relationships/hyperlink" Target="https://www.fhtrust.com.tw/Event/EC/2023_00929/index.html" TargetMode="External"/><Relationship Id="rId6" Type="http://schemas.openxmlformats.org/officeDocument/2006/relationships/vmlDrawing" Target="../drawings/vmlDrawing4.v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fhtrust.com.tw/Event/EC/2023_00929/index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ntgoo.com/global/us-stocks" TargetMode="External"/><Relationship Id="rId2" Type="http://schemas.openxmlformats.org/officeDocument/2006/relationships/hyperlink" Target="https://finance.yahoo.com/portfolio/p_0/view/fv" TargetMode="External"/><Relationship Id="rId1" Type="http://schemas.openxmlformats.org/officeDocument/2006/relationships/hyperlink" Target="https://hk.investing.com/portfolio/?portfolioID=ZWU1ZzJtN25kMDwzbzs4Pg%3D%3D" TargetMode="External"/><Relationship Id="rId4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historical.findrate.tw/his.php?c=USD" TargetMode="External"/><Relationship Id="rId1" Type="http://schemas.openxmlformats.org/officeDocument/2006/relationships/hyperlink" Target="https://cn.investing.com/currencies/usd-twd-historical-data" TargetMode="External"/><Relationship Id="rId4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0"/>
  <sheetViews>
    <sheetView workbookViewId="0">
      <selection activeCell="K14" sqref="K14"/>
    </sheetView>
  </sheetViews>
  <sheetFormatPr defaultColWidth="9" defaultRowHeight="16.5"/>
  <cols>
    <col min="1" max="1" width="6.125" style="81" bestFit="1" customWidth="1"/>
    <col min="2" max="2" width="6" style="81" bestFit="1" customWidth="1"/>
    <col min="3" max="3" width="10.625" style="81" bestFit="1" customWidth="1"/>
    <col min="4" max="4" width="11.5" style="81" bestFit="1" customWidth="1"/>
    <col min="5" max="5" width="11.5" style="81" customWidth="1"/>
    <col min="6" max="6" width="11.125" style="81" bestFit="1" customWidth="1"/>
    <col min="7" max="7" width="12.625" style="81" bestFit="1" customWidth="1"/>
    <col min="8" max="8" width="13.375" style="81" bestFit="1" customWidth="1"/>
    <col min="9" max="9" width="11.125" style="81" customWidth="1"/>
    <col min="10" max="10" width="12.625" style="81" bestFit="1" customWidth="1"/>
    <col min="11" max="11" width="13.375" style="81" bestFit="1" customWidth="1"/>
    <col min="12" max="16384" width="9" style="81"/>
  </cols>
  <sheetData>
    <row r="1" spans="1:11" s="122" customFormat="1" ht="33">
      <c r="A1" s="130" t="s">
        <v>37</v>
      </c>
      <c r="B1" s="130"/>
      <c r="C1" s="130" t="s">
        <v>36</v>
      </c>
      <c r="D1" s="94" t="s">
        <v>35</v>
      </c>
      <c r="E1" s="94" t="s">
        <v>109</v>
      </c>
      <c r="F1" s="95" t="s">
        <v>229</v>
      </c>
      <c r="G1" s="131" t="s">
        <v>108</v>
      </c>
      <c r="H1" s="131" t="s">
        <v>228</v>
      </c>
      <c r="I1" s="95" t="s">
        <v>2722</v>
      </c>
      <c r="J1" s="131" t="s">
        <v>2723</v>
      </c>
      <c r="K1" s="131" t="s">
        <v>2724</v>
      </c>
    </row>
    <row r="2" spans="1:11">
      <c r="A2" s="91">
        <v>2019</v>
      </c>
      <c r="B2" s="91" t="s">
        <v>39</v>
      </c>
      <c r="C2" s="92">
        <f>'19'!P31</f>
        <v>33817.65</v>
      </c>
      <c r="D2" s="92">
        <f>'19'!G31</f>
        <v>1457600</v>
      </c>
      <c r="E2" s="92">
        <f ca="1">'Family-帳戶紀錄_old'!O5</f>
        <v>820472.06226350192</v>
      </c>
      <c r="F2" s="92">
        <f>SUM('19'!H31,'19'!L31:M31)</f>
        <v>8416</v>
      </c>
      <c r="G2" s="93">
        <f>C2/D2</f>
        <v>2.3200912458836445E-2</v>
      </c>
      <c r="H2" s="93">
        <f ca="1">C2/E2</f>
        <v>4.1217308370871938E-2</v>
      </c>
      <c r="I2" s="92">
        <f>C2</f>
        <v>33817.65</v>
      </c>
      <c r="J2" s="93">
        <f>$I2/SUM(D$2:D2)</f>
        <v>2.3200912458836445E-2</v>
      </c>
      <c r="K2" s="93">
        <f ca="1">$I2/SUM(E$2:E2)</f>
        <v>4.1217308370871938E-2</v>
      </c>
    </row>
    <row r="3" spans="1:11">
      <c r="A3" s="91">
        <v>2020</v>
      </c>
      <c r="B3" s="91" t="s">
        <v>39</v>
      </c>
      <c r="C3" s="92">
        <f>'20'!P30</f>
        <v>76267</v>
      </c>
      <c r="D3" s="92">
        <f>'20'!G30</f>
        <v>1770540</v>
      </c>
      <c r="E3" s="92">
        <f ca="1">'Family-帳戶紀錄_old'!O112</f>
        <v>921589.90368271957</v>
      </c>
      <c r="F3" s="92">
        <f>SUM('20'!H30,'20'!L30:M30)</f>
        <v>10505</v>
      </c>
      <c r="G3" s="93">
        <f t="shared" ref="G3:G6" si="0">C3/D3</f>
        <v>4.3075558869045599E-2</v>
      </c>
      <c r="H3" s="93">
        <f t="shared" ref="H3:H6" ca="1" si="1">C3/E3</f>
        <v>8.2755897927302841E-2</v>
      </c>
      <c r="I3" s="92">
        <f>I2+C3</f>
        <v>110084.65</v>
      </c>
      <c r="J3" s="93">
        <f>$I3/SUM(D$2:D3)</f>
        <v>3.4101572422509552E-2</v>
      </c>
      <c r="K3" s="93">
        <f ca="1">$I3/SUM(E$2:E3)</f>
        <v>6.3192155131064021E-2</v>
      </c>
    </row>
    <row r="4" spans="1:11">
      <c r="A4" s="91">
        <v>2021</v>
      </c>
      <c r="B4" s="91" t="s">
        <v>39</v>
      </c>
      <c r="C4" s="92">
        <f>'21'!P118</f>
        <v>71433.409999999989</v>
      </c>
      <c r="D4" s="92">
        <f>'21'!G118</f>
        <v>8499700</v>
      </c>
      <c r="E4" s="92">
        <f ca="1">'Family-帳戶紀錄_old'!O198</f>
        <v>3939074.0151730678</v>
      </c>
      <c r="F4" s="92">
        <f>SUM('21'!H118,'21'!L118:M118)</f>
        <v>43290</v>
      </c>
      <c r="G4" s="93">
        <f t="shared" si="0"/>
        <v>8.4042272080191056E-3</v>
      </c>
      <c r="H4" s="93">
        <f t="shared" ca="1" si="1"/>
        <v>1.81345691207738E-2</v>
      </c>
      <c r="I4" s="92">
        <f t="shared" ref="I4:I8" si="2">I3+C4</f>
        <v>181518.06</v>
      </c>
      <c r="J4" s="93">
        <f>$I4/SUM(D$2:D4)</f>
        <v>1.5477535505259279E-2</v>
      </c>
      <c r="K4" s="93">
        <f ca="1">$I4/SUM(E$2:E4)</f>
        <v>3.1951014832818272E-2</v>
      </c>
    </row>
    <row r="5" spans="1:11">
      <c r="A5" s="91">
        <v>2022</v>
      </c>
      <c r="B5" s="91" t="s">
        <v>39</v>
      </c>
      <c r="C5" s="92">
        <f>'22'!P34</f>
        <v>272512.2</v>
      </c>
      <c r="D5" s="92">
        <f>'22'!G34</f>
        <v>1829800</v>
      </c>
      <c r="E5" s="92">
        <f ca="1">'Family-帳戶紀錄_old'!O458</f>
        <v>1815958.4084911074</v>
      </c>
      <c r="F5" s="92">
        <f>SUM('22'!H34,'22'!L34:M34)</f>
        <v>11343</v>
      </c>
      <c r="G5" s="93">
        <f t="shared" ref="G5" si="3">C5/D5</f>
        <v>0.14893004699967211</v>
      </c>
      <c r="H5" s="93">
        <f ca="1">C5/E5</f>
        <v>0.15006522105670489</v>
      </c>
      <c r="I5" s="92">
        <f t="shared" si="2"/>
        <v>454030.26</v>
      </c>
      <c r="J5" s="93">
        <f>$I5/SUM(D$2:D5)</f>
        <v>3.3488885971304741E-2</v>
      </c>
      <c r="K5" s="93">
        <f ca="1">$I5/SUM(E$2:E5)</f>
        <v>6.0560830156974284E-2</v>
      </c>
    </row>
    <row r="6" spans="1:11">
      <c r="A6" s="91">
        <v>2023</v>
      </c>
      <c r="B6" s="91" t="s">
        <v>39</v>
      </c>
      <c r="C6" s="92">
        <f>'23'!P27</f>
        <v>17288.599999999991</v>
      </c>
      <c r="D6" s="92">
        <f>'23'!G27</f>
        <v>920690</v>
      </c>
      <c r="E6" s="92">
        <f ca="1">'Family-帳戶紀錄_old'!O573</f>
        <v>1222860.313497823</v>
      </c>
      <c r="F6" s="92">
        <f>SUM('23'!H27,'23'!L27:M27)</f>
        <v>5013</v>
      </c>
      <c r="G6" s="93">
        <f t="shared" si="0"/>
        <v>1.8777873116901444E-2</v>
      </c>
      <c r="H6" s="93">
        <f t="shared" ca="1" si="1"/>
        <v>1.4137837174998622E-2</v>
      </c>
      <c r="I6" s="92">
        <f t="shared" si="2"/>
        <v>471318.86</v>
      </c>
      <c r="J6" s="93">
        <f>$I6/SUM(D$2:D6)</f>
        <v>3.2553399459744323E-2</v>
      </c>
      <c r="K6" s="93">
        <f ca="1">$I6/SUM(E$2:E6)</f>
        <v>5.4050608752818273E-2</v>
      </c>
    </row>
    <row r="7" spans="1:11">
      <c r="A7" s="91">
        <v>2024</v>
      </c>
      <c r="B7" s="91" t="s">
        <v>39</v>
      </c>
      <c r="C7" s="92">
        <f>'24'!P44</f>
        <v>43577.760000000009</v>
      </c>
      <c r="D7" s="92">
        <f>'24'!G44</f>
        <v>3861650</v>
      </c>
      <c r="E7" s="379">
        <f ca="1">'Family-帳戶紀錄_old'!O644</f>
        <v>2724282.7041420117</v>
      </c>
      <c r="F7" s="92">
        <f>SUM('24'!H44,'24'!L44:M44)</f>
        <v>4815</v>
      </c>
      <c r="G7" s="93">
        <f t="shared" ref="G7" si="4">C7/D7</f>
        <v>1.1284751336863779E-2</v>
      </c>
      <c r="H7" s="93">
        <f t="shared" ref="H7" ca="1" si="5">C7/E7</f>
        <v>1.5996049137537813E-2</v>
      </c>
      <c r="I7" s="92">
        <f t="shared" si="2"/>
        <v>514896.62</v>
      </c>
      <c r="J7" s="93">
        <f>$I7/SUM(D$2:D7)</f>
        <v>2.807509168494186E-2</v>
      </c>
      <c r="K7" s="93">
        <f ca="1">$I7/SUM(E$2:E7)</f>
        <v>4.4991780725712589E-2</v>
      </c>
    </row>
    <row r="8" spans="1:11">
      <c r="A8" s="91">
        <v>2025</v>
      </c>
      <c r="B8" s="91" t="s">
        <v>39</v>
      </c>
      <c r="C8" s="92">
        <f>'25'!P56+'25'!Q56</f>
        <v>22040.010000000009</v>
      </c>
      <c r="D8" s="92">
        <f>'25'!G56</f>
        <v>3219840</v>
      </c>
      <c r="E8" s="379">
        <f ca="1">'Family-帳戶紀錄_old'!O644</f>
        <v>2724282.7041420117</v>
      </c>
      <c r="F8" s="92">
        <f>SUM('25'!H56,'25'!L56:M56)</f>
        <v>4442</v>
      </c>
      <c r="G8" s="93">
        <f t="shared" ref="G8" si="6">C8/D8</f>
        <v>6.8450637298747789E-3</v>
      </c>
      <c r="H8" s="93">
        <f t="shared" ref="H8" ca="1" si="7">C8/E8</f>
        <v>8.0902066318191863E-3</v>
      </c>
      <c r="I8" s="92">
        <f t="shared" si="2"/>
        <v>536936.63</v>
      </c>
      <c r="J8" s="93">
        <f>$I8/SUM(D$2:D8)</f>
        <v>2.4904504304766924E-2</v>
      </c>
      <c r="K8" s="93">
        <f ca="1">$I8/SUM(E$2:E8)</f>
        <v>3.7896451131002346E-2</v>
      </c>
    </row>
    <row r="9" spans="1:11">
      <c r="A9" s="91">
        <v>2026</v>
      </c>
      <c r="B9" s="91" t="s">
        <v>39</v>
      </c>
      <c r="C9" s="92">
        <f>'2026'!P97+'2026'!Q97</f>
        <v>1257992.7956423252</v>
      </c>
      <c r="D9" s="92">
        <f>'2026'!G97</f>
        <v>3265447.88</v>
      </c>
      <c r="E9" s="379">
        <f ca="1">'Family-帳戶紀錄_old'!O644</f>
        <v>2724282.7041420117</v>
      </c>
      <c r="F9" s="92">
        <f>SUM('2026'!H97,'2026'!L97:M97)</f>
        <v>5592</v>
      </c>
      <c r="G9" s="93">
        <f t="shared" ref="G9" si="8">C9/D9</f>
        <v>0.38524356899009066</v>
      </c>
      <c r="H9" s="93">
        <f t="shared" ref="H9" ca="1" si="9">C9/E9</f>
        <v>0.46177028313899554</v>
      </c>
      <c r="I9" s="92">
        <f>I8+C9</f>
        <v>1794929.4256423251</v>
      </c>
      <c r="J9" s="93">
        <f>$I9/SUM(D$2:D9)</f>
        <v>7.2302519929236114E-2</v>
      </c>
      <c r="K9" s="93">
        <f ca="1">$I9/SUM(E$2:E9)</f>
        <v>0.10625409206764355</v>
      </c>
    </row>
    <row r="10" spans="1:11">
      <c r="A10" s="96" t="s">
        <v>2860</v>
      </c>
      <c r="B10" s="96"/>
      <c r="C10" s="97">
        <f>SUM(C2:C9)</f>
        <v>1794929.4256423251</v>
      </c>
      <c r="D10" s="97">
        <f>SUM(D2:D9)</f>
        <v>24825267.879999999</v>
      </c>
      <c r="E10" s="97">
        <f ca="1">SUM(E2:E9)</f>
        <v>16892802.815534256</v>
      </c>
      <c r="F10" s="97">
        <f>SUM(F2:F9)</f>
        <v>93416</v>
      </c>
      <c r="G10" s="98">
        <f>C10/D10</f>
        <v>7.2302519929236114E-2</v>
      </c>
      <c r="H10" s="98">
        <f ca="1">C10/E10</f>
        <v>0.10625409206764355</v>
      </c>
      <c r="I10" s="97"/>
      <c r="J10" s="98"/>
      <c r="K10" s="98"/>
    </row>
  </sheetData>
  <phoneticPr fontId="7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138E-AE4C-413B-AF01-232AF10FF343}">
  <sheetPr codeName="Sheet22">
    <outlinePr summaryBelow="0" summaryRight="0"/>
  </sheetPr>
  <dimension ref="A1:AD121"/>
  <sheetViews>
    <sheetView zoomScale="85" zoomScaleNormal="85" workbookViewId="0">
      <pane xSplit="4" ySplit="1" topLeftCell="E32" activePane="bottomRight" state="frozen"/>
      <selection activeCell="F42" sqref="F42"/>
      <selection pane="topRight" activeCell="F42" sqref="F42"/>
      <selection pane="bottomLeft" activeCell="F42" sqref="F42"/>
      <selection pane="bottomRight" activeCell="A83" sqref="A83:XFD83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4.5" style="28" bestFit="1" customWidth="1"/>
    <col min="29" max="29" width="33.125" style="311" bestFit="1" customWidth="1"/>
    <col min="30" max="30" width="38.75" style="9" bestFit="1" customWidth="1"/>
    <col min="31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309" t="s">
        <v>33</v>
      </c>
    </row>
    <row r="2" spans="1:29">
      <c r="A2" s="99">
        <v>46031</v>
      </c>
      <c r="B2" s="11"/>
      <c r="C2" s="11">
        <v>919</v>
      </c>
      <c r="D2" s="189" t="str">
        <f>VLOOKUP(C2,台股行情!A:B,2,FALSE)</f>
        <v>群益台灣精選高息</v>
      </c>
      <c r="E2" s="11">
        <v>1000</v>
      </c>
      <c r="F2" s="11">
        <v>22.98</v>
      </c>
      <c r="G2" s="11">
        <f>E2*F2</f>
        <v>22980</v>
      </c>
      <c r="H2" s="11">
        <v>32</v>
      </c>
      <c r="I2" s="104">
        <v>46050</v>
      </c>
      <c r="J2" s="16">
        <v>24.41</v>
      </c>
      <c r="K2" s="11">
        <f t="shared" ref="K2:K23" si="0">E2*J2</f>
        <v>24410</v>
      </c>
      <c r="L2" s="11">
        <v>33</v>
      </c>
      <c r="M2" s="11">
        <v>23</v>
      </c>
      <c r="N2" s="11">
        <v>0</v>
      </c>
      <c r="O2" s="13">
        <f t="shared" ref="O2:O23" si="1">IF(I2="",E2*Y2,0)</f>
        <v>0</v>
      </c>
      <c r="P2" s="14">
        <f t="shared" ref="P2:P23" si="2">IF(I2="",R2-H2,(K2-H2-SUM(L2:N2)+R2-S2-T2)-G2)+(ROUND(R2*V2,0)-ROUND(R2*(1+V2),0)*W2)</f>
        <v>1342</v>
      </c>
      <c r="Q2" s="14">
        <f t="shared" ref="Q2:Q23" si="3">IF(I2="",(O2-G2-(O2*0.1425%*0.65)-(O2*0.3%)-S2-T2),0)</f>
        <v>0</v>
      </c>
      <c r="R2" s="14"/>
      <c r="S2" s="14"/>
      <c r="T2" s="14"/>
      <c r="U2" s="69">
        <f t="shared" ref="U2:U23" si="4">(V2*50%)/(1+50%*V2)</f>
        <v>0</v>
      </c>
      <c r="V2" s="69"/>
      <c r="W2" s="70">
        <v>0.11</v>
      </c>
      <c r="X2" s="15">
        <f t="shared" ref="X2:X23" si="5">(P2+Q2)/G2</f>
        <v>5.8398607484769362E-2</v>
      </c>
      <c r="Y2" s="16">
        <f>VLOOKUP(C2,台股行情!A:D,4,FALSE)</f>
        <v>32.380000000000003</v>
      </c>
      <c r="Z2" s="38">
        <f>VLOOKUP(C2,台股行情!A:E,5,FALSE)</f>
        <v>-0.11</v>
      </c>
      <c r="AA2" s="90">
        <f t="shared" ref="AA2:AA23" ca="1" si="6">IF(I2="",((TODAY()-A2)*G2)/365.24,((I2-A2)*G2)/365.24)</f>
        <v>1195.4331398532472</v>
      </c>
      <c r="AB2" s="103" t="s">
        <v>2266</v>
      </c>
    </row>
    <row r="3" spans="1:29">
      <c r="A3" s="99">
        <v>46031</v>
      </c>
      <c r="B3" s="11"/>
      <c r="C3" s="11">
        <v>918</v>
      </c>
      <c r="D3" s="189" t="str">
        <f>VLOOKUP(C3,台股行情!A:B,2,FALSE)</f>
        <v>大華優利高填息30</v>
      </c>
      <c r="E3" s="11">
        <v>1000</v>
      </c>
      <c r="F3" s="11">
        <v>22.71</v>
      </c>
      <c r="G3" s="11">
        <f>E3*F3</f>
        <v>22710</v>
      </c>
      <c r="H3" s="11">
        <v>32</v>
      </c>
      <c r="I3" s="104">
        <v>46050</v>
      </c>
      <c r="J3" s="16">
        <v>23.61</v>
      </c>
      <c r="K3" s="11">
        <f t="shared" si="0"/>
        <v>23610</v>
      </c>
      <c r="L3" s="11">
        <v>34</v>
      </c>
      <c r="M3" s="11">
        <v>24</v>
      </c>
      <c r="N3" s="11">
        <v>0</v>
      </c>
      <c r="O3" s="13">
        <f t="shared" si="1"/>
        <v>0</v>
      </c>
      <c r="P3" s="14">
        <f t="shared" si="2"/>
        <v>810</v>
      </c>
      <c r="Q3" s="14">
        <f t="shared" si="3"/>
        <v>0</v>
      </c>
      <c r="R3" s="14"/>
      <c r="S3" s="14"/>
      <c r="T3" s="14"/>
      <c r="U3" s="69">
        <f t="shared" si="4"/>
        <v>0</v>
      </c>
      <c r="V3" s="69"/>
      <c r="W3" s="70">
        <v>0.11</v>
      </c>
      <c r="X3" s="15">
        <f t="shared" si="5"/>
        <v>3.5667107001321002E-2</v>
      </c>
      <c r="Y3" s="16">
        <f>VLOOKUP(C3,台股行情!A:D,4,FALSE)</f>
        <v>34.15</v>
      </c>
      <c r="Z3" s="38">
        <f>VLOOKUP(C3,台股行情!A:E,5,FALSE)</f>
        <v>-0.37</v>
      </c>
      <c r="AA3" s="90">
        <f t="shared" ca="1" si="6"/>
        <v>1181.3875807688096</v>
      </c>
      <c r="AB3" s="103" t="s">
        <v>2266</v>
      </c>
    </row>
    <row r="4" spans="1:29">
      <c r="A4" s="99">
        <v>46027</v>
      </c>
      <c r="B4" s="11"/>
      <c r="C4" s="11">
        <v>770</v>
      </c>
      <c r="D4" s="189" t="str">
        <f>VLOOKUP(C4,台股行情!A:B,2,FALSE)</f>
        <v>國泰北美科技</v>
      </c>
      <c r="E4" s="11">
        <v>172</v>
      </c>
      <c r="F4" s="11">
        <v>57.98</v>
      </c>
      <c r="G4" s="11">
        <v>9972</v>
      </c>
      <c r="H4" s="11">
        <v>1</v>
      </c>
      <c r="I4" s="104">
        <v>46090</v>
      </c>
      <c r="J4" s="16">
        <v>50.2</v>
      </c>
      <c r="K4" s="11">
        <f t="shared" si="0"/>
        <v>8634.4</v>
      </c>
      <c r="L4" s="11">
        <f t="shared" ref="L4:L9" si="7">ROUND(J4*E4*0.1425%,0)</f>
        <v>12</v>
      </c>
      <c r="M4" s="11">
        <f t="shared" ref="M4:M9" si="8">ROUND(J4*E4*0.3%,0)</f>
        <v>26</v>
      </c>
      <c r="N4" s="11">
        <v>0</v>
      </c>
      <c r="O4" s="13">
        <f t="shared" si="1"/>
        <v>0</v>
      </c>
      <c r="P4" s="14">
        <f t="shared" si="2"/>
        <v>-733.62000000000069</v>
      </c>
      <c r="Q4" s="14">
        <f t="shared" si="3"/>
        <v>0</v>
      </c>
      <c r="R4" s="14">
        <v>722.4</v>
      </c>
      <c r="S4" s="14"/>
      <c r="T4" s="14"/>
      <c r="U4" s="69">
        <f t="shared" si="4"/>
        <v>0</v>
      </c>
      <c r="V4" s="69"/>
      <c r="W4" s="70">
        <v>0.11</v>
      </c>
      <c r="X4" s="15">
        <f t="shared" si="5"/>
        <v>-7.3567990373044595E-2</v>
      </c>
      <c r="Y4" s="16">
        <f>VLOOKUP(C4,台股行情!A:D,4,FALSE)</f>
        <v>64.349999999999994</v>
      </c>
      <c r="Z4" s="38">
        <f>VLOOKUP(C4,台股行情!A:E,5,FALSE)</f>
        <v>-2.2000000000000002</v>
      </c>
      <c r="AA4" s="90">
        <f t="shared" ca="1" si="6"/>
        <v>1720.0635198773409</v>
      </c>
      <c r="AB4" s="103" t="s">
        <v>2266</v>
      </c>
      <c r="AC4" s="310" t="s">
        <v>3074</v>
      </c>
    </row>
    <row r="5" spans="1:29" outlineLevel="1">
      <c r="A5" s="99">
        <v>46037</v>
      </c>
      <c r="B5" s="11"/>
      <c r="C5" s="11">
        <v>770</v>
      </c>
      <c r="D5" s="189" t="str">
        <f>VLOOKUP(C5,台股行情!A:B,2,FALSE)</f>
        <v>國泰北美科技</v>
      </c>
      <c r="E5" s="11">
        <v>171</v>
      </c>
      <c r="F5" s="11">
        <v>58.44</v>
      </c>
      <c r="G5" s="11">
        <v>9993</v>
      </c>
      <c r="H5" s="11">
        <v>1</v>
      </c>
      <c r="I5" s="104">
        <v>46090</v>
      </c>
      <c r="J5" s="16">
        <v>50.2</v>
      </c>
      <c r="K5" s="11">
        <f t="shared" si="0"/>
        <v>8584.2000000000007</v>
      </c>
      <c r="L5" s="11">
        <f t="shared" si="7"/>
        <v>12</v>
      </c>
      <c r="M5" s="11">
        <f t="shared" si="8"/>
        <v>26</v>
      </c>
      <c r="N5" s="11">
        <v>0</v>
      </c>
      <c r="O5" s="13">
        <f t="shared" si="1"/>
        <v>0</v>
      </c>
      <c r="P5" s="14">
        <f t="shared" si="2"/>
        <v>-808.57999999999856</v>
      </c>
      <c r="Q5" s="14">
        <f t="shared" si="3"/>
        <v>0</v>
      </c>
      <c r="R5" s="14">
        <v>718.2</v>
      </c>
      <c r="S5" s="14"/>
      <c r="T5" s="14"/>
      <c r="U5" s="69">
        <f t="shared" si="4"/>
        <v>0</v>
      </c>
      <c r="V5" s="69"/>
      <c r="W5" s="70">
        <v>0.11</v>
      </c>
      <c r="X5" s="15">
        <f t="shared" si="5"/>
        <v>-8.0914640248173575E-2</v>
      </c>
      <c r="Y5" s="16">
        <f>VLOOKUP(C5,台股行情!A:D,4,FALSE)</f>
        <v>64.349999999999994</v>
      </c>
      <c r="Z5" s="38">
        <f>VLOOKUP(C5,台股行情!A:E,5,FALSE)</f>
        <v>-2.2000000000000002</v>
      </c>
      <c r="AA5" s="90">
        <f t="shared" ca="1" si="6"/>
        <v>1450.0848756981711</v>
      </c>
      <c r="AB5" s="103" t="s">
        <v>2266</v>
      </c>
      <c r="AC5" s="310" t="s">
        <v>3074</v>
      </c>
    </row>
    <row r="6" spans="1:29" outlineLevel="1">
      <c r="A6" s="99">
        <v>46049</v>
      </c>
      <c r="B6" s="11"/>
      <c r="C6" s="11">
        <v>770</v>
      </c>
      <c r="D6" s="189" t="str">
        <f>VLOOKUP(C6,台股行情!A:B,2,FALSE)</f>
        <v>國泰北美科技</v>
      </c>
      <c r="E6" s="11">
        <v>186</v>
      </c>
      <c r="F6" s="11">
        <v>53.64</v>
      </c>
      <c r="G6" s="11">
        <v>9977</v>
      </c>
      <c r="H6" s="11">
        <v>1</v>
      </c>
      <c r="I6" s="104">
        <v>46090</v>
      </c>
      <c r="J6" s="16">
        <v>50.2</v>
      </c>
      <c r="K6" s="11">
        <f t="shared" si="0"/>
        <v>9337.2000000000007</v>
      </c>
      <c r="L6" s="11">
        <f t="shared" si="7"/>
        <v>13</v>
      </c>
      <c r="M6" s="11">
        <f t="shared" si="8"/>
        <v>28</v>
      </c>
      <c r="N6" s="11">
        <v>0</v>
      </c>
      <c r="O6" s="13">
        <f t="shared" si="1"/>
        <v>0</v>
      </c>
      <c r="P6" s="14">
        <f t="shared" si="2"/>
        <v>-42.579999999998549</v>
      </c>
      <c r="Q6" s="14">
        <f t="shared" si="3"/>
        <v>0</v>
      </c>
      <c r="R6" s="14">
        <v>718.2</v>
      </c>
      <c r="S6" s="14"/>
      <c r="T6" s="14"/>
      <c r="U6" s="69">
        <f t="shared" si="4"/>
        <v>0</v>
      </c>
      <c r="V6" s="69"/>
      <c r="W6" s="70">
        <v>0.11</v>
      </c>
      <c r="X6" s="15">
        <f t="shared" si="5"/>
        <v>-4.2678159767463716E-3</v>
      </c>
      <c r="Y6" s="16">
        <f>VLOOKUP(C6,台股行情!A:D,4,FALSE)</f>
        <v>64.349999999999994</v>
      </c>
      <c r="Z6" s="38">
        <f>VLOOKUP(C6,台股行情!A:E,5,FALSE)</f>
        <v>-2.2000000000000002</v>
      </c>
      <c r="AA6" s="90">
        <f t="shared" ca="1" si="6"/>
        <v>1119.96769247618</v>
      </c>
      <c r="AB6" s="103" t="s">
        <v>2266</v>
      </c>
      <c r="AC6" s="310" t="s">
        <v>3074</v>
      </c>
    </row>
    <row r="7" spans="1:29" outlineLevel="1">
      <c r="A7" s="99">
        <v>46058</v>
      </c>
      <c r="B7" s="11"/>
      <c r="C7" s="11">
        <v>770</v>
      </c>
      <c r="D7" s="189" t="str">
        <f>VLOOKUP(C7,台股行情!A:B,2,FALSE)</f>
        <v>國泰北美科技</v>
      </c>
      <c r="E7" s="11">
        <v>192</v>
      </c>
      <c r="F7" s="11">
        <v>52.04</v>
      </c>
      <c r="G7" s="11">
        <v>9991</v>
      </c>
      <c r="H7" s="11">
        <v>1</v>
      </c>
      <c r="I7" s="104">
        <v>46090</v>
      </c>
      <c r="J7" s="16">
        <v>50.2</v>
      </c>
      <c r="K7" s="11">
        <f t="shared" si="0"/>
        <v>9638.4000000000015</v>
      </c>
      <c r="L7" s="11">
        <f t="shared" si="7"/>
        <v>14</v>
      </c>
      <c r="M7" s="11">
        <f t="shared" si="8"/>
        <v>29</v>
      </c>
      <c r="N7" s="11">
        <v>0</v>
      </c>
      <c r="O7" s="13">
        <f t="shared" si="1"/>
        <v>0</v>
      </c>
      <c r="P7" s="14">
        <f t="shared" si="2"/>
        <v>246.38000000000108</v>
      </c>
      <c r="Q7" s="14">
        <f t="shared" si="3"/>
        <v>0</v>
      </c>
      <c r="R7" s="14">
        <v>722.4</v>
      </c>
      <c r="S7" s="14"/>
      <c r="T7" s="14"/>
      <c r="U7" s="69">
        <f t="shared" si="4"/>
        <v>0</v>
      </c>
      <c r="V7" s="69"/>
      <c r="W7" s="70">
        <v>0.11</v>
      </c>
      <c r="X7" s="15">
        <f t="shared" si="5"/>
        <v>2.4660194174757389E-2</v>
      </c>
      <c r="Y7" s="16">
        <f>VLOOKUP(C7,台股行情!A:D,4,FALSE)</f>
        <v>64.349999999999994</v>
      </c>
      <c r="Z7" s="38">
        <f>VLOOKUP(C7,台股行情!A:E,5,FALSE)</f>
        <v>-2.2000000000000002</v>
      </c>
      <c r="AA7" s="90">
        <f t="shared" ca="1" si="6"/>
        <v>875.34771656992655</v>
      </c>
      <c r="AB7" s="103" t="s">
        <v>2266</v>
      </c>
      <c r="AC7" s="350" t="s">
        <v>3075</v>
      </c>
    </row>
    <row r="8" spans="1:29" outlineLevel="1">
      <c r="A8" s="99">
        <v>46076</v>
      </c>
      <c r="B8" s="11"/>
      <c r="C8" s="11">
        <v>770</v>
      </c>
      <c r="D8" s="189" t="str">
        <f>VLOOKUP(C8,台股行情!A:B,2,FALSE)</f>
        <v>國泰北美科技</v>
      </c>
      <c r="E8" s="11">
        <v>193</v>
      </c>
      <c r="F8" s="11">
        <v>51.65</v>
      </c>
      <c r="G8" s="11">
        <v>9968</v>
      </c>
      <c r="H8" s="11">
        <v>1</v>
      </c>
      <c r="I8" s="104">
        <v>46090</v>
      </c>
      <c r="J8" s="16">
        <v>50.2</v>
      </c>
      <c r="K8" s="11">
        <f t="shared" si="0"/>
        <v>9688.6</v>
      </c>
      <c r="L8" s="11">
        <f t="shared" si="7"/>
        <v>14</v>
      </c>
      <c r="M8" s="11">
        <f t="shared" si="8"/>
        <v>29</v>
      </c>
      <c r="N8" s="11">
        <v>0</v>
      </c>
      <c r="O8" s="13">
        <f t="shared" si="1"/>
        <v>0</v>
      </c>
      <c r="P8" s="14">
        <f t="shared" si="2"/>
        <v>319.58</v>
      </c>
      <c r="Q8" s="14">
        <f t="shared" si="3"/>
        <v>0</v>
      </c>
      <c r="R8" s="14">
        <v>722.4</v>
      </c>
      <c r="S8" s="14"/>
      <c r="T8" s="14"/>
      <c r="U8" s="69">
        <f t="shared" si="4"/>
        <v>0</v>
      </c>
      <c r="V8" s="69"/>
      <c r="W8" s="70">
        <v>0.11</v>
      </c>
      <c r="X8" s="15">
        <f t="shared" si="5"/>
        <v>3.2060593900481542E-2</v>
      </c>
      <c r="Y8" s="16">
        <f>VLOOKUP(C8,台股行情!A:D,4,FALSE)</f>
        <v>64.349999999999994</v>
      </c>
      <c r="Z8" s="38">
        <f>VLOOKUP(C8,台股行情!A:E,5,FALSE)</f>
        <v>-2.2000000000000002</v>
      </c>
      <c r="AA8" s="90">
        <f t="shared" ca="1" si="6"/>
        <v>382.08301390866279</v>
      </c>
      <c r="AB8" s="103" t="s">
        <v>2266</v>
      </c>
      <c r="AC8" s="350" t="s">
        <v>3075</v>
      </c>
    </row>
    <row r="9" spans="1:29" outlineLevel="1">
      <c r="A9" s="99">
        <v>46078</v>
      </c>
      <c r="B9" s="11"/>
      <c r="C9" s="11">
        <v>770</v>
      </c>
      <c r="D9" s="189" t="str">
        <f>VLOOKUP(C9,台股行情!A:B,2,FALSE)</f>
        <v>國泰北美科技</v>
      </c>
      <c r="E9" s="11">
        <v>193</v>
      </c>
      <c r="F9" s="11">
        <v>51.65</v>
      </c>
      <c r="G9" s="11">
        <v>9968</v>
      </c>
      <c r="H9" s="11">
        <v>1</v>
      </c>
      <c r="I9" s="104">
        <v>46090</v>
      </c>
      <c r="J9" s="16">
        <v>50.2</v>
      </c>
      <c r="K9" s="11">
        <f t="shared" si="0"/>
        <v>9688.6</v>
      </c>
      <c r="L9" s="11">
        <f t="shared" si="7"/>
        <v>14</v>
      </c>
      <c r="M9" s="11">
        <f t="shared" si="8"/>
        <v>29</v>
      </c>
      <c r="N9" s="11">
        <v>0</v>
      </c>
      <c r="O9" s="13">
        <f t="shared" si="1"/>
        <v>0</v>
      </c>
      <c r="P9" s="14">
        <f t="shared" si="2"/>
        <v>319.58</v>
      </c>
      <c r="Q9" s="14">
        <f t="shared" si="3"/>
        <v>0</v>
      </c>
      <c r="R9" s="14">
        <v>722.4</v>
      </c>
      <c r="S9" s="14"/>
      <c r="T9" s="14"/>
      <c r="U9" s="69">
        <f t="shared" si="4"/>
        <v>0</v>
      </c>
      <c r="V9" s="69"/>
      <c r="W9" s="70">
        <v>0.11</v>
      </c>
      <c r="X9" s="15">
        <f t="shared" si="5"/>
        <v>3.2060593900481542E-2</v>
      </c>
      <c r="Y9" s="16">
        <f>VLOOKUP(C9,台股行情!A:D,4,FALSE)</f>
        <v>64.349999999999994</v>
      </c>
      <c r="Z9" s="38">
        <f>VLOOKUP(C9,台股行情!A:E,5,FALSE)</f>
        <v>-2.2000000000000002</v>
      </c>
      <c r="AA9" s="90">
        <f t="shared" ca="1" si="6"/>
        <v>327.49972620742523</v>
      </c>
      <c r="AB9" s="103" t="s">
        <v>2266</v>
      </c>
      <c r="AC9" s="350" t="s">
        <v>3075</v>
      </c>
    </row>
    <row r="10" spans="1:29">
      <c r="A10" s="99">
        <v>46090</v>
      </c>
      <c r="B10" s="11"/>
      <c r="C10" s="348">
        <v>919</v>
      </c>
      <c r="D10" s="189" t="str">
        <f>VLOOKUP(C10,台股行情!A:B,2,FALSE)</f>
        <v>群益台灣精選高息</v>
      </c>
      <c r="E10" s="11">
        <v>436</v>
      </c>
      <c r="F10" s="11">
        <v>22.93</v>
      </c>
      <c r="G10" s="11">
        <v>9990</v>
      </c>
      <c r="H10" s="11">
        <v>1</v>
      </c>
      <c r="I10" s="104">
        <v>46129</v>
      </c>
      <c r="J10" s="16">
        <v>23.4</v>
      </c>
      <c r="K10" s="11">
        <f t="shared" si="0"/>
        <v>10202.4</v>
      </c>
      <c r="L10" s="11">
        <v>17</v>
      </c>
      <c r="M10" s="11">
        <v>12</v>
      </c>
      <c r="N10" s="11">
        <v>0</v>
      </c>
      <c r="O10" s="13">
        <f t="shared" si="1"/>
        <v>0</v>
      </c>
      <c r="P10" s="14">
        <f t="shared" si="2"/>
        <v>484.99999999999966</v>
      </c>
      <c r="Q10" s="14">
        <f t="shared" si="3"/>
        <v>0</v>
      </c>
      <c r="R10" s="14">
        <v>340</v>
      </c>
      <c r="S10" s="14"/>
      <c r="T10" s="14"/>
      <c r="U10" s="69">
        <f t="shared" si="4"/>
        <v>0</v>
      </c>
      <c r="V10" s="69"/>
      <c r="W10" s="70">
        <v>0.11</v>
      </c>
      <c r="X10" s="15">
        <f t="shared" si="5"/>
        <v>4.8548548548548516E-2</v>
      </c>
      <c r="Y10" s="16">
        <f>VLOOKUP(C10,台股行情!A:D,4,FALSE)</f>
        <v>32.380000000000003</v>
      </c>
      <c r="Z10" s="38">
        <f>VLOOKUP(C10,台股行情!A:E,5,FALSE)</f>
        <v>-0.11</v>
      </c>
      <c r="AA10" s="90">
        <f t="shared" ca="1" si="6"/>
        <v>1066.7232504654473</v>
      </c>
      <c r="AB10" s="103" t="s">
        <v>2266</v>
      </c>
      <c r="AC10" s="310" t="s">
        <v>3115</v>
      </c>
    </row>
    <row r="11" spans="1:29" outlineLevel="1">
      <c r="A11" s="99">
        <v>46089</v>
      </c>
      <c r="B11" s="11"/>
      <c r="C11" s="348">
        <v>919</v>
      </c>
      <c r="D11" s="189" t="str">
        <f>VLOOKUP(C11,台股行情!A:B,2,FALSE)</f>
        <v>群益台灣精選高息</v>
      </c>
      <c r="E11" s="11">
        <v>428</v>
      </c>
      <c r="F11" s="11">
        <v>23.36</v>
      </c>
      <c r="G11" s="11">
        <v>9998</v>
      </c>
      <c r="H11" s="11">
        <v>1</v>
      </c>
      <c r="I11" s="104">
        <v>46129</v>
      </c>
      <c r="J11" s="16">
        <v>23.4</v>
      </c>
      <c r="K11" s="11">
        <f t="shared" si="0"/>
        <v>10015.199999999999</v>
      </c>
      <c r="L11" s="11">
        <v>16</v>
      </c>
      <c r="M11" s="11">
        <v>11</v>
      </c>
      <c r="N11" s="11">
        <v>0</v>
      </c>
      <c r="O11" s="13">
        <f t="shared" si="1"/>
        <v>0</v>
      </c>
      <c r="P11" s="14">
        <f t="shared" si="2"/>
        <v>-10.800000000001091</v>
      </c>
      <c r="Q11" s="14">
        <f t="shared" si="3"/>
        <v>0</v>
      </c>
      <c r="R11" s="14"/>
      <c r="S11" s="14"/>
      <c r="T11" s="14"/>
      <c r="U11" s="69">
        <f t="shared" si="4"/>
        <v>0</v>
      </c>
      <c r="V11" s="69"/>
      <c r="W11" s="70">
        <v>0.11</v>
      </c>
      <c r="X11" s="15">
        <f t="shared" si="5"/>
        <v>-1.080216043208751E-3</v>
      </c>
      <c r="Y11" s="16">
        <f>VLOOKUP(C11,台股行情!A:D,4,FALSE)</f>
        <v>32.380000000000003</v>
      </c>
      <c r="Z11" s="38">
        <f>VLOOKUP(C11,台股行情!A:E,5,FALSE)</f>
        <v>-0.11</v>
      </c>
      <c r="AA11" s="90">
        <f t="shared" ca="1" si="6"/>
        <v>1094.9512649216954</v>
      </c>
      <c r="AB11" s="103" t="s">
        <v>2266</v>
      </c>
      <c r="AC11" s="310" t="s">
        <v>3115</v>
      </c>
    </row>
    <row r="12" spans="1:29">
      <c r="A12" s="99">
        <v>46126</v>
      </c>
      <c r="B12" s="11"/>
      <c r="C12" s="348">
        <v>900</v>
      </c>
      <c r="D12" s="189" t="str">
        <f>VLOOKUP(C12,台股行情!A:B,2,FALSE)</f>
        <v>富邦特選高股息30</v>
      </c>
      <c r="E12" s="11">
        <v>1000</v>
      </c>
      <c r="F12" s="11">
        <v>14.72</v>
      </c>
      <c r="G12" s="11">
        <f t="shared" ref="G12:G20" si="9">E12*F12</f>
        <v>14720</v>
      </c>
      <c r="H12" s="11">
        <v>20</v>
      </c>
      <c r="I12" s="104">
        <v>46129</v>
      </c>
      <c r="J12" s="16">
        <v>15.06</v>
      </c>
      <c r="K12" s="11">
        <f t="shared" si="0"/>
        <v>15060</v>
      </c>
      <c r="L12" s="11">
        <f>ROUND(J12*E12*0.1425%,0)</f>
        <v>21</v>
      </c>
      <c r="M12" s="11">
        <v>15</v>
      </c>
      <c r="N12" s="11">
        <v>0</v>
      </c>
      <c r="O12" s="13">
        <f t="shared" si="1"/>
        <v>0</v>
      </c>
      <c r="P12" s="14">
        <f t="shared" si="2"/>
        <v>284</v>
      </c>
      <c r="Q12" s="14">
        <f t="shared" si="3"/>
        <v>0</v>
      </c>
      <c r="R12" s="14"/>
      <c r="S12" s="14"/>
      <c r="T12" s="14"/>
      <c r="U12" s="69">
        <f t="shared" si="4"/>
        <v>0</v>
      </c>
      <c r="V12" s="69"/>
      <c r="W12" s="70">
        <v>0.11</v>
      </c>
      <c r="X12" s="15">
        <f t="shared" si="5"/>
        <v>1.9293478260869565E-2</v>
      </c>
      <c r="Y12" s="16">
        <f>VLOOKUP(C12,台股行情!A:D,4,FALSE)</f>
        <v>19.84</v>
      </c>
      <c r="Z12" s="38">
        <f>VLOOKUP(C12,台股行情!A:E,5,FALSE)</f>
        <v>-0.13</v>
      </c>
      <c r="AA12" s="90">
        <f t="shared" ca="1" si="6"/>
        <v>120.90680100755667</v>
      </c>
      <c r="AB12" s="103" t="s">
        <v>2661</v>
      </c>
      <c r="AC12" s="311" t="s">
        <v>3114</v>
      </c>
    </row>
    <row r="13" spans="1:29">
      <c r="A13" s="99">
        <v>46126</v>
      </c>
      <c r="B13" s="11"/>
      <c r="C13" s="348">
        <v>934</v>
      </c>
      <c r="D13" s="189" t="str">
        <f>VLOOKUP(C13,台股行情!A:B,2,FALSE)</f>
        <v>中信成長高股息</v>
      </c>
      <c r="E13" s="11">
        <v>1000</v>
      </c>
      <c r="F13" s="11">
        <v>22.38</v>
      </c>
      <c r="G13" s="11">
        <f t="shared" si="9"/>
        <v>22380</v>
      </c>
      <c r="H13" s="11">
        <v>31</v>
      </c>
      <c r="I13" s="104">
        <v>46129</v>
      </c>
      <c r="J13" s="16">
        <v>22.89</v>
      </c>
      <c r="K13" s="11">
        <f t="shared" si="0"/>
        <v>22890</v>
      </c>
      <c r="L13" s="11">
        <v>32</v>
      </c>
      <c r="M13" s="11">
        <v>22</v>
      </c>
      <c r="N13" s="11">
        <v>0</v>
      </c>
      <c r="O13" s="13">
        <f t="shared" si="1"/>
        <v>0</v>
      </c>
      <c r="P13" s="14">
        <f t="shared" si="2"/>
        <v>425</v>
      </c>
      <c r="Q13" s="14">
        <f t="shared" si="3"/>
        <v>0</v>
      </c>
      <c r="R13" s="14"/>
      <c r="S13" s="14"/>
      <c r="T13" s="14"/>
      <c r="U13" s="69">
        <f t="shared" si="4"/>
        <v>0</v>
      </c>
      <c r="V13" s="69"/>
      <c r="W13" s="70">
        <v>0.11</v>
      </c>
      <c r="X13" s="15">
        <f t="shared" si="5"/>
        <v>1.899016979445934E-2</v>
      </c>
      <c r="Y13" s="16">
        <f>VLOOKUP(C13,台股行情!A:D,4,FALSE)</f>
        <v>30.01</v>
      </c>
      <c r="Z13" s="38">
        <f>VLOOKUP(C13,台股行情!A:E,5,FALSE)</f>
        <v>-0.3</v>
      </c>
      <c r="AA13" s="90">
        <f t="shared" ca="1" si="6"/>
        <v>183.82433468404335</v>
      </c>
      <c r="AB13" s="103" t="s">
        <v>2661</v>
      </c>
      <c r="AC13" s="311" t="s">
        <v>3114</v>
      </c>
    </row>
    <row r="14" spans="1:29">
      <c r="A14" s="99">
        <v>46126</v>
      </c>
      <c r="B14" s="11"/>
      <c r="C14" s="11">
        <v>936</v>
      </c>
      <c r="D14" s="189" t="str">
        <f>VLOOKUP(C14,台股行情!A:B,2,FALSE)</f>
        <v>台新永續高息中小</v>
      </c>
      <c r="E14" s="11">
        <v>1000</v>
      </c>
      <c r="F14" s="11">
        <v>18.05</v>
      </c>
      <c r="G14" s="11">
        <f t="shared" si="9"/>
        <v>18050</v>
      </c>
      <c r="H14" s="11">
        <v>25</v>
      </c>
      <c r="I14" s="104">
        <v>46128</v>
      </c>
      <c r="J14" s="16">
        <v>18.37</v>
      </c>
      <c r="K14" s="11">
        <f t="shared" si="0"/>
        <v>18370</v>
      </c>
      <c r="L14" s="11">
        <f>ROUND(J14*E14*0.1425%,0)</f>
        <v>26</v>
      </c>
      <c r="M14" s="11">
        <v>18</v>
      </c>
      <c r="N14" s="11">
        <v>0</v>
      </c>
      <c r="O14" s="13">
        <f t="shared" si="1"/>
        <v>0</v>
      </c>
      <c r="P14" s="14">
        <f t="shared" si="2"/>
        <v>251</v>
      </c>
      <c r="Q14" s="14">
        <f t="shared" si="3"/>
        <v>0</v>
      </c>
      <c r="R14" s="14"/>
      <c r="S14" s="14"/>
      <c r="T14" s="14"/>
      <c r="U14" s="69">
        <f t="shared" si="4"/>
        <v>0</v>
      </c>
      <c r="V14" s="69"/>
      <c r="W14" s="70">
        <v>0.11</v>
      </c>
      <c r="X14" s="15">
        <f t="shared" si="5"/>
        <v>1.3905817174515235E-2</v>
      </c>
      <c r="Y14" s="16">
        <f>VLOOKUP(C14,台股行情!A:D,4,FALSE)</f>
        <v>21.51</v>
      </c>
      <c r="Z14" s="38">
        <f>VLOOKUP(C14,台股行情!A:E,5,FALSE)</f>
        <v>-0.3</v>
      </c>
      <c r="AA14" s="90">
        <f t="shared" ca="1" si="6"/>
        <v>98.839119483079614</v>
      </c>
      <c r="AB14" s="103" t="s">
        <v>2661</v>
      </c>
      <c r="AC14" s="311" t="s">
        <v>3114</v>
      </c>
    </row>
    <row r="15" spans="1:29">
      <c r="A15" s="99">
        <v>46126</v>
      </c>
      <c r="B15" s="11"/>
      <c r="C15" s="348">
        <v>944</v>
      </c>
      <c r="D15" s="189" t="str">
        <f>VLOOKUP(C15,台股行情!A:B,2,FALSE)</f>
        <v>野村趨勢動能高息</v>
      </c>
      <c r="E15" s="11">
        <v>1000</v>
      </c>
      <c r="F15" s="11">
        <v>16.399999999999999</v>
      </c>
      <c r="G15" s="11">
        <f t="shared" si="9"/>
        <v>16400</v>
      </c>
      <c r="H15" s="11">
        <v>23</v>
      </c>
      <c r="I15" s="104">
        <v>46129</v>
      </c>
      <c r="J15" s="16">
        <v>16.98</v>
      </c>
      <c r="K15" s="11">
        <f t="shared" si="0"/>
        <v>16980</v>
      </c>
      <c r="L15" s="11">
        <f>ROUND(J15*E15*0.1425%,0)</f>
        <v>24</v>
      </c>
      <c r="M15" s="11">
        <v>16</v>
      </c>
      <c r="N15" s="11">
        <v>0</v>
      </c>
      <c r="O15" s="13">
        <f t="shared" si="1"/>
        <v>0</v>
      </c>
      <c r="P15" s="14">
        <f t="shared" si="2"/>
        <v>517</v>
      </c>
      <c r="Q15" s="14">
        <f t="shared" si="3"/>
        <v>0</v>
      </c>
      <c r="R15" s="14"/>
      <c r="S15" s="14"/>
      <c r="T15" s="14"/>
      <c r="U15" s="69">
        <f t="shared" si="4"/>
        <v>0</v>
      </c>
      <c r="V15" s="69"/>
      <c r="W15" s="70">
        <v>0.11</v>
      </c>
      <c r="X15" s="15">
        <f t="shared" si="5"/>
        <v>3.1524390243902439E-2</v>
      </c>
      <c r="Y15" s="16">
        <f>VLOOKUP(C15,台股行情!A:D,4,FALSE)</f>
        <v>22.52</v>
      </c>
      <c r="Z15" s="38">
        <f>VLOOKUP(C15,台股行情!A:E,5,FALSE)</f>
        <v>-0.24</v>
      </c>
      <c r="AA15" s="90">
        <f t="shared" ca="1" si="6"/>
        <v>134.70594677472346</v>
      </c>
      <c r="AB15" s="103" t="s">
        <v>2661</v>
      </c>
      <c r="AC15" s="311" t="s">
        <v>3114</v>
      </c>
    </row>
    <row r="16" spans="1:29">
      <c r="A16" s="99">
        <v>46126</v>
      </c>
      <c r="B16" s="11"/>
      <c r="C16" s="11">
        <v>56</v>
      </c>
      <c r="D16" s="189" t="str">
        <f>VLOOKUP(C16,台股行情!A:B,2,FALSE)</f>
        <v>元大高股息</v>
      </c>
      <c r="E16" s="11">
        <v>1000</v>
      </c>
      <c r="F16" s="11">
        <v>39.96</v>
      </c>
      <c r="G16" s="11">
        <f t="shared" si="9"/>
        <v>39960</v>
      </c>
      <c r="H16" s="11">
        <v>56</v>
      </c>
      <c r="I16" s="104">
        <v>46134</v>
      </c>
      <c r="J16" s="16">
        <v>42.3</v>
      </c>
      <c r="K16" s="11">
        <f t="shared" si="0"/>
        <v>42300</v>
      </c>
      <c r="L16" s="11">
        <f>ROUND(J16*E16*0.1425%,0)</f>
        <v>60</v>
      </c>
      <c r="M16" s="11">
        <v>42</v>
      </c>
      <c r="N16" s="11">
        <v>0</v>
      </c>
      <c r="O16" s="13">
        <f t="shared" si="1"/>
        <v>0</v>
      </c>
      <c r="P16" s="14">
        <f t="shared" si="2"/>
        <v>2182</v>
      </c>
      <c r="Q16" s="14">
        <f t="shared" si="3"/>
        <v>0</v>
      </c>
      <c r="R16" s="14"/>
      <c r="S16" s="14"/>
      <c r="T16" s="14">
        <f t="shared" ref="T16:T23" si="10">IF(ROUND(R16*(1+V16),0)&gt;20000,ROUND(ROUND(R16*(1+V16),0)*2%,0),0)</f>
        <v>0</v>
      </c>
      <c r="U16" s="69">
        <f t="shared" si="4"/>
        <v>0</v>
      </c>
      <c r="V16" s="69"/>
      <c r="W16" s="70">
        <v>0.11</v>
      </c>
      <c r="X16" s="15">
        <f t="shared" si="5"/>
        <v>5.4604604604604604E-2</v>
      </c>
      <c r="Y16" s="16">
        <f>VLOOKUP(C16,台股行情!A:D,4,FALSE)</f>
        <v>58.25</v>
      </c>
      <c r="Z16" s="38">
        <f>VLOOKUP(C16,台股行情!A:E,5,FALSE)</f>
        <v>-1.35</v>
      </c>
      <c r="AA16" s="90">
        <f t="shared" ca="1" si="6"/>
        <v>875.26010294600803</v>
      </c>
      <c r="AB16" s="103" t="s">
        <v>2661</v>
      </c>
    </row>
    <row r="17" spans="1:30">
      <c r="A17" s="99">
        <v>46090</v>
      </c>
      <c r="B17" s="11"/>
      <c r="C17" s="11">
        <v>2603</v>
      </c>
      <c r="D17" s="189" t="str">
        <f>VLOOKUP(C17,台股行情!A:B,2,FALSE)</f>
        <v>長榮</v>
      </c>
      <c r="E17" s="11">
        <v>1000</v>
      </c>
      <c r="F17" s="11">
        <v>212</v>
      </c>
      <c r="G17" s="11">
        <f t="shared" si="9"/>
        <v>212000</v>
      </c>
      <c r="H17" s="11">
        <v>302</v>
      </c>
      <c r="I17" s="104">
        <v>46136</v>
      </c>
      <c r="J17" s="16">
        <v>200.5</v>
      </c>
      <c r="K17" s="11">
        <f t="shared" si="0"/>
        <v>200500</v>
      </c>
      <c r="L17" s="11">
        <v>285</v>
      </c>
      <c r="M17" s="11">
        <v>601</v>
      </c>
      <c r="N17" s="11">
        <v>0</v>
      </c>
      <c r="O17" s="13">
        <f t="shared" si="1"/>
        <v>0</v>
      </c>
      <c r="P17" s="14">
        <f t="shared" si="2"/>
        <v>-12688</v>
      </c>
      <c r="Q17" s="14">
        <f t="shared" si="3"/>
        <v>0</v>
      </c>
      <c r="R17" s="14"/>
      <c r="S17" s="14"/>
      <c r="T17" s="14">
        <f t="shared" si="10"/>
        <v>0</v>
      </c>
      <c r="U17" s="69">
        <f t="shared" si="4"/>
        <v>0</v>
      </c>
      <c r="V17" s="69"/>
      <c r="W17" s="70">
        <v>0.11</v>
      </c>
      <c r="X17" s="15">
        <f t="shared" si="5"/>
        <v>-5.9849056603773584E-2</v>
      </c>
      <c r="Y17" s="16">
        <f>VLOOKUP(C17,台股行情!A:D,4,FALSE)</f>
        <v>257</v>
      </c>
      <c r="Z17" s="38">
        <f>VLOOKUP(C17,台股行情!A:E,5,FALSE)</f>
        <v>-6</v>
      </c>
      <c r="AA17" s="90">
        <f t="shared" ca="1" si="6"/>
        <v>26700.251889168765</v>
      </c>
      <c r="AB17" s="143" t="s">
        <v>3131</v>
      </c>
      <c r="AC17" s="310" t="s">
        <v>3130</v>
      </c>
    </row>
    <row r="18" spans="1:30">
      <c r="A18" s="99">
        <v>46104</v>
      </c>
      <c r="B18" s="11"/>
      <c r="C18" s="11">
        <v>3289</v>
      </c>
      <c r="D18" s="189" t="str">
        <f>VLOOKUP(C18,台股行情!A:B,2,FALSE)</f>
        <v>宜特</v>
      </c>
      <c r="E18" s="11">
        <v>1000</v>
      </c>
      <c r="F18" s="11">
        <v>141.5</v>
      </c>
      <c r="G18" s="11">
        <f t="shared" si="9"/>
        <v>141500</v>
      </c>
      <c r="H18" s="11">
        <v>201</v>
      </c>
      <c r="I18" s="104">
        <v>46139</v>
      </c>
      <c r="J18" s="16">
        <v>172.5</v>
      </c>
      <c r="K18" s="11">
        <f t="shared" si="0"/>
        <v>172500</v>
      </c>
      <c r="L18" s="11">
        <v>245</v>
      </c>
      <c r="M18" s="11">
        <v>517</v>
      </c>
      <c r="N18" s="11">
        <v>0</v>
      </c>
      <c r="O18" s="13">
        <f t="shared" si="1"/>
        <v>0</v>
      </c>
      <c r="P18" s="14">
        <f t="shared" si="2"/>
        <v>31090.55</v>
      </c>
      <c r="Q18" s="14">
        <f t="shared" si="3"/>
        <v>0</v>
      </c>
      <c r="R18" s="14">
        <v>1195</v>
      </c>
      <c r="S18" s="14">
        <v>10</v>
      </c>
      <c r="T18" s="14">
        <f t="shared" si="10"/>
        <v>0</v>
      </c>
      <c r="U18" s="69">
        <f t="shared" si="4"/>
        <v>0</v>
      </c>
      <c r="V18" s="69"/>
      <c r="W18" s="70">
        <v>0.11</v>
      </c>
      <c r="X18" s="15">
        <f t="shared" si="5"/>
        <v>0.21972120141342755</v>
      </c>
      <c r="Y18" s="16">
        <f>VLOOKUP(C18,台股行情!A:D,4,FALSE)</f>
        <v>134.5</v>
      </c>
      <c r="Z18" s="38">
        <f>VLOOKUP(C18,台股行情!A:E,5,FALSE)</f>
        <v>-4.5</v>
      </c>
      <c r="AA18" s="90">
        <f t="shared" ca="1" si="6"/>
        <v>13559.577264264593</v>
      </c>
      <c r="AB18" s="311" t="s">
        <v>3082</v>
      </c>
    </row>
    <row r="19" spans="1:30">
      <c r="A19" s="99">
        <v>46149</v>
      </c>
      <c r="B19" s="11"/>
      <c r="C19" s="11">
        <v>4938</v>
      </c>
      <c r="D19" s="189" t="str">
        <f>VLOOKUP(C19,台股行情!A:B,2,FALSE)</f>
        <v>和碩</v>
      </c>
      <c r="E19" s="11">
        <v>1000</v>
      </c>
      <c r="F19" s="11">
        <v>84.3</v>
      </c>
      <c r="G19" s="11">
        <f t="shared" si="9"/>
        <v>84300</v>
      </c>
      <c r="H19" s="11">
        <v>120</v>
      </c>
      <c r="I19" s="104">
        <v>46156</v>
      </c>
      <c r="J19" s="16">
        <v>76.8</v>
      </c>
      <c r="K19" s="11">
        <f t="shared" si="0"/>
        <v>76800</v>
      </c>
      <c r="L19" s="11">
        <f>ROUND(J19*E19*0.1425%,0)</f>
        <v>109</v>
      </c>
      <c r="M19" s="11">
        <f>ROUND(J19*E19*0.3%,0)</f>
        <v>230</v>
      </c>
      <c r="N19" s="11">
        <v>0</v>
      </c>
      <c r="O19" s="13">
        <f t="shared" si="1"/>
        <v>0</v>
      </c>
      <c r="P19" s="14">
        <f t="shared" si="2"/>
        <v>-7959</v>
      </c>
      <c r="Q19" s="14">
        <f t="shared" si="3"/>
        <v>0</v>
      </c>
      <c r="R19" s="14"/>
      <c r="S19" s="14"/>
      <c r="T19" s="14">
        <f t="shared" si="10"/>
        <v>0</v>
      </c>
      <c r="U19" s="69">
        <f t="shared" si="4"/>
        <v>0</v>
      </c>
      <c r="V19" s="69"/>
      <c r="W19" s="70">
        <v>0.11</v>
      </c>
      <c r="X19" s="15">
        <f t="shared" si="5"/>
        <v>-9.441281138790035E-2</v>
      </c>
      <c r="Y19" s="16">
        <f>VLOOKUP(C19,台股行情!A:D,4,FALSE)</f>
        <v>98.1</v>
      </c>
      <c r="Z19" s="38">
        <f>VLOOKUP(C19,台股行情!A:E,5,FALSE)</f>
        <v>-1.9</v>
      </c>
      <c r="AA19" s="90">
        <f t="shared" ca="1" si="6"/>
        <v>1615.6499835724455</v>
      </c>
      <c r="AB19" s="103" t="s">
        <v>3169</v>
      </c>
    </row>
    <row r="20" spans="1:30">
      <c r="A20" s="99">
        <v>46133</v>
      </c>
      <c r="B20" s="11"/>
      <c r="C20" s="11">
        <v>5347</v>
      </c>
      <c r="D20" s="189" t="str">
        <f>VLOOKUP(C20,台股行情!A:B,2,FALSE)</f>
        <v>世界</v>
      </c>
      <c r="E20" s="11">
        <v>1000</v>
      </c>
      <c r="F20" s="11">
        <v>141</v>
      </c>
      <c r="G20" s="11">
        <f t="shared" si="9"/>
        <v>141000</v>
      </c>
      <c r="H20" s="11">
        <v>200</v>
      </c>
      <c r="I20" s="104">
        <v>46164</v>
      </c>
      <c r="J20" s="16">
        <v>161</v>
      </c>
      <c r="K20" s="11">
        <f t="shared" si="0"/>
        <v>161000</v>
      </c>
      <c r="L20" s="11">
        <f>ROUND(J20*E20*0.1425%,0)</f>
        <v>229</v>
      </c>
      <c r="M20" s="11">
        <f>ROUND(J20*E20*0.3%,0)</f>
        <v>483</v>
      </c>
      <c r="N20" s="11">
        <v>0</v>
      </c>
      <c r="O20" s="13">
        <f t="shared" si="1"/>
        <v>0</v>
      </c>
      <c r="P20" s="14">
        <f t="shared" si="2"/>
        <v>19088</v>
      </c>
      <c r="Q20" s="14">
        <f t="shared" si="3"/>
        <v>0</v>
      </c>
      <c r="R20" s="14"/>
      <c r="S20" s="14"/>
      <c r="T20" s="14">
        <f t="shared" si="10"/>
        <v>0</v>
      </c>
      <c r="U20" s="69">
        <f t="shared" si="4"/>
        <v>0</v>
      </c>
      <c r="V20" s="69"/>
      <c r="W20" s="70">
        <v>0.11</v>
      </c>
      <c r="X20" s="15">
        <f t="shared" si="5"/>
        <v>0.13537588652482269</v>
      </c>
      <c r="Y20" s="16">
        <f>VLOOKUP(C20,台股行情!A:D,4,FALSE)</f>
        <v>161.5</v>
      </c>
      <c r="Z20" s="38">
        <f>VLOOKUP(C20,台股行情!A:E,5,FALSE)</f>
        <v>-14.5</v>
      </c>
      <c r="AA20" s="90">
        <f t="shared" ca="1" si="6"/>
        <v>11967.47344212025</v>
      </c>
      <c r="AB20" s="103" t="s">
        <v>2332</v>
      </c>
    </row>
    <row r="21" spans="1:30">
      <c r="A21" s="99">
        <v>46120</v>
      </c>
      <c r="B21" s="11"/>
      <c r="C21" s="348">
        <v>919</v>
      </c>
      <c r="D21" s="189" t="str">
        <f>VLOOKUP(C21,台股行情!A:B,2,FALSE)</f>
        <v>群益台灣精選高息</v>
      </c>
      <c r="E21" s="11">
        <v>435</v>
      </c>
      <c r="F21" s="11">
        <v>22.97</v>
      </c>
      <c r="G21" s="11">
        <v>9991</v>
      </c>
      <c r="H21" s="11">
        <v>1</v>
      </c>
      <c r="I21" s="104">
        <v>46195</v>
      </c>
      <c r="J21" s="16">
        <v>30.92</v>
      </c>
      <c r="K21" s="11">
        <f t="shared" si="0"/>
        <v>13450.2</v>
      </c>
      <c r="L21" s="11">
        <v>15</v>
      </c>
      <c r="M21" s="11">
        <v>11</v>
      </c>
      <c r="N21" s="11">
        <v>0</v>
      </c>
      <c r="O21" s="13">
        <f t="shared" si="1"/>
        <v>0</v>
      </c>
      <c r="P21" s="14">
        <f t="shared" si="2"/>
        <v>3432.2000000000007</v>
      </c>
      <c r="Q21" s="14">
        <f t="shared" si="3"/>
        <v>0</v>
      </c>
      <c r="R21" s="14"/>
      <c r="S21" s="14"/>
      <c r="T21" s="14">
        <f t="shared" si="10"/>
        <v>0</v>
      </c>
      <c r="U21" s="69">
        <f t="shared" si="4"/>
        <v>0</v>
      </c>
      <c r="V21" s="69"/>
      <c r="W21" s="70">
        <v>0.11</v>
      </c>
      <c r="X21" s="15">
        <f t="shared" si="5"/>
        <v>0.34352917625863283</v>
      </c>
      <c r="Y21" s="16">
        <f>VLOOKUP(C21,台股行情!A:D,4,FALSE)</f>
        <v>32.380000000000003</v>
      </c>
      <c r="Z21" s="38">
        <f>VLOOKUP(C21,台股行情!A:E,5,FALSE)</f>
        <v>-0.11</v>
      </c>
      <c r="AA21" s="90">
        <f t="shared" ca="1" si="6"/>
        <v>2051.5962107107653</v>
      </c>
      <c r="AB21" s="103" t="s">
        <v>2266</v>
      </c>
    </row>
    <row r="22" spans="1:30" outlineLevel="1">
      <c r="A22" s="99">
        <v>46132</v>
      </c>
      <c r="B22" s="11"/>
      <c r="C22" s="348">
        <v>919</v>
      </c>
      <c r="D22" s="189" t="str">
        <f>VLOOKUP(C22,台股行情!A:B,2,FALSE)</f>
        <v>群益台灣精選高息</v>
      </c>
      <c r="E22" s="11">
        <v>421</v>
      </c>
      <c r="F22" s="11">
        <v>23.71</v>
      </c>
      <c r="G22" s="11">
        <v>9981</v>
      </c>
      <c r="H22" s="11">
        <v>1</v>
      </c>
      <c r="I22" s="104">
        <v>46195</v>
      </c>
      <c r="J22" s="16">
        <v>30.92</v>
      </c>
      <c r="K22" s="11">
        <f t="shared" si="0"/>
        <v>13017.320000000002</v>
      </c>
      <c r="L22" s="11">
        <v>16</v>
      </c>
      <c r="M22" s="11">
        <v>11</v>
      </c>
      <c r="N22" s="11">
        <v>0</v>
      </c>
      <c r="O22" s="13">
        <f t="shared" si="1"/>
        <v>0</v>
      </c>
      <c r="P22" s="14">
        <f t="shared" si="2"/>
        <v>3639.1200000000017</v>
      </c>
      <c r="Q22" s="14">
        <f t="shared" si="3"/>
        <v>0</v>
      </c>
      <c r="R22" s="14">
        <v>720</v>
      </c>
      <c r="S22" s="14">
        <v>10</v>
      </c>
      <c r="T22" s="14">
        <f t="shared" si="10"/>
        <v>0</v>
      </c>
      <c r="U22" s="69">
        <f t="shared" si="4"/>
        <v>0</v>
      </c>
      <c r="V22" s="69"/>
      <c r="W22" s="70">
        <v>0.11</v>
      </c>
      <c r="X22" s="15">
        <f t="shared" si="5"/>
        <v>0.36460474902314416</v>
      </c>
      <c r="Y22" s="16">
        <f>VLOOKUP(C22,台股行情!A:D,4,FALSE)</f>
        <v>32.380000000000003</v>
      </c>
      <c r="Z22" s="38">
        <f>VLOOKUP(C22,台股行情!A:E,5,FALSE)</f>
        <v>-0.11</v>
      </c>
      <c r="AA22" s="90">
        <f t="shared" ca="1" si="6"/>
        <v>1721.6159237761472</v>
      </c>
      <c r="AB22" s="103" t="s">
        <v>2266</v>
      </c>
    </row>
    <row r="23" spans="1:30">
      <c r="A23" s="99">
        <v>46188</v>
      </c>
      <c r="B23" s="11"/>
      <c r="C23" s="348">
        <v>692</v>
      </c>
      <c r="D23" s="189" t="str">
        <f>VLOOKUP(C23,台股行情!A:B,2,FALSE)</f>
        <v>富邦公司治理</v>
      </c>
      <c r="E23" s="11">
        <v>109</v>
      </c>
      <c r="F23" s="11">
        <v>91.14</v>
      </c>
      <c r="G23" s="11">
        <v>9934</v>
      </c>
      <c r="H23" s="11">
        <v>1</v>
      </c>
      <c r="I23" s="104">
        <v>46195</v>
      </c>
      <c r="J23" s="16">
        <v>95.75</v>
      </c>
      <c r="K23" s="11">
        <f t="shared" si="0"/>
        <v>10436.75</v>
      </c>
      <c r="L23" s="11">
        <v>14</v>
      </c>
      <c r="M23" s="11">
        <v>10</v>
      </c>
      <c r="N23" s="11">
        <v>0</v>
      </c>
      <c r="O23" s="13">
        <f t="shared" si="1"/>
        <v>0</v>
      </c>
      <c r="P23" s="14">
        <f t="shared" si="2"/>
        <v>477.75</v>
      </c>
      <c r="Q23" s="14">
        <f t="shared" si="3"/>
        <v>0</v>
      </c>
      <c r="R23" s="14"/>
      <c r="S23" s="14"/>
      <c r="T23" s="14">
        <f t="shared" si="10"/>
        <v>0</v>
      </c>
      <c r="U23" s="69">
        <f t="shared" si="4"/>
        <v>0</v>
      </c>
      <c r="V23" s="69"/>
      <c r="W23" s="70">
        <v>0.11</v>
      </c>
      <c r="X23" s="15">
        <f t="shared" si="5"/>
        <v>4.8092409905375479E-2</v>
      </c>
      <c r="Y23" s="16">
        <f>VLOOKUP(C23,台股行情!A:D,4,FALSE)</f>
        <v>94.4</v>
      </c>
      <c r="Z23" s="38">
        <f>VLOOKUP(C23,台股行情!A:E,5,FALSE)</f>
        <v>-3.05</v>
      </c>
      <c r="AA23" s="90">
        <f t="shared" ca="1" si="6"/>
        <v>190.38988062643742</v>
      </c>
      <c r="AB23" s="103" t="s">
        <v>2266</v>
      </c>
    </row>
    <row r="24" spans="1:30">
      <c r="A24" s="99"/>
      <c r="B24" s="11"/>
      <c r="C24" s="11"/>
      <c r="D24" s="189"/>
      <c r="E24" s="11"/>
      <c r="F24" s="11"/>
      <c r="G24" s="11"/>
      <c r="H24" s="11"/>
      <c r="I24" s="104"/>
      <c r="J24" s="16"/>
      <c r="K24" s="11"/>
      <c r="L24" s="11"/>
      <c r="M24" s="11"/>
      <c r="N24" s="11"/>
      <c r="O24" s="13"/>
      <c r="P24" s="14"/>
      <c r="Q24" s="14"/>
      <c r="R24" s="14"/>
      <c r="S24" s="14"/>
      <c r="T24" s="14"/>
      <c r="U24" s="69"/>
      <c r="V24" s="69"/>
      <c r="W24" s="70"/>
      <c r="X24" s="15"/>
      <c r="Y24" s="16"/>
      <c r="Z24" s="38"/>
      <c r="AA24" s="90"/>
      <c r="AB24" s="103"/>
      <c r="AC24" s="310"/>
    </row>
    <row r="25" spans="1:30">
      <c r="A25" s="39"/>
      <c r="B25" s="40"/>
      <c r="C25" s="40"/>
      <c r="D25" s="191"/>
      <c r="E25" s="40"/>
      <c r="F25" s="40"/>
      <c r="G25" s="40"/>
      <c r="H25" s="40"/>
      <c r="I25" s="41"/>
      <c r="J25" s="42"/>
      <c r="K25" s="40"/>
      <c r="L25" s="43"/>
      <c r="M25" s="40"/>
      <c r="N25" s="40"/>
      <c r="O25" s="44"/>
      <c r="P25" s="45"/>
      <c r="Q25" s="45"/>
      <c r="R25" s="45"/>
      <c r="S25" s="45"/>
      <c r="T25" s="45"/>
      <c r="U25" s="73"/>
      <c r="V25" s="73"/>
      <c r="W25" s="76"/>
      <c r="X25" s="46"/>
      <c r="Y25" s="42"/>
      <c r="Z25" s="47"/>
      <c r="AA25" s="90"/>
    </row>
    <row r="26" spans="1:30">
      <c r="A26" s="10"/>
      <c r="B26" s="11"/>
      <c r="C26" s="11"/>
      <c r="D26" s="189"/>
      <c r="E26" s="11"/>
      <c r="F26" s="11"/>
      <c r="G26" s="11"/>
      <c r="H26" s="11"/>
      <c r="I26" s="12"/>
      <c r="J26" s="11"/>
      <c r="K26" s="11"/>
      <c r="L26" s="11"/>
      <c r="M26" s="11"/>
      <c r="N26" s="11"/>
      <c r="O26" s="13"/>
      <c r="P26" s="14"/>
      <c r="Q26" s="14"/>
      <c r="R26" s="14"/>
      <c r="S26" s="14"/>
      <c r="T26" s="14"/>
      <c r="U26" s="14"/>
      <c r="V26" s="69"/>
      <c r="W26" s="70"/>
      <c r="X26" s="15"/>
      <c r="Y26" s="16"/>
      <c r="Z26" s="38"/>
      <c r="AA26" s="90"/>
    </row>
    <row r="27" spans="1:30">
      <c r="A27" s="18">
        <f>MIN(A93:A93)</f>
        <v>0</v>
      </c>
      <c r="B27" s="19"/>
      <c r="C27" s="20"/>
      <c r="D27" s="192"/>
      <c r="E27" s="19"/>
      <c r="F27" s="19"/>
      <c r="G27" s="19"/>
      <c r="H27" s="19"/>
      <c r="I27" s="21"/>
      <c r="J27" s="22"/>
      <c r="K27" s="19"/>
      <c r="L27" s="23"/>
      <c r="M27" s="19"/>
      <c r="N27" s="19"/>
      <c r="O27" s="24"/>
      <c r="P27" s="25"/>
      <c r="Q27" s="25"/>
      <c r="R27" s="25"/>
      <c r="S27" s="25"/>
      <c r="T27" s="25"/>
      <c r="U27" s="25"/>
      <c r="V27" s="74"/>
      <c r="W27" s="77"/>
      <c r="X27" s="26"/>
      <c r="Y27" s="22"/>
      <c r="Z27" s="27"/>
      <c r="AA27" s="90"/>
    </row>
    <row r="28" spans="1:30" outlineLevel="1">
      <c r="A28" s="275">
        <v>44280</v>
      </c>
      <c r="B28" s="11" t="s">
        <v>19</v>
      </c>
      <c r="C28" s="11">
        <v>6770</v>
      </c>
      <c r="D28" s="273" t="s">
        <v>1494</v>
      </c>
      <c r="E28" s="11">
        <v>2000</v>
      </c>
      <c r="F28" s="11">
        <v>75.099999999999994</v>
      </c>
      <c r="G28" s="11">
        <v>150200</v>
      </c>
      <c r="H28" s="11">
        <v>128</v>
      </c>
      <c r="I28" s="104"/>
      <c r="J28" s="16"/>
      <c r="K28" s="11">
        <f>E28*J28</f>
        <v>0</v>
      </c>
      <c r="L28" s="11">
        <f>ROUND(J28*E28*0.1425%,0)</f>
        <v>0</v>
      </c>
      <c r="M28" s="11">
        <f>ROUND(J28*E28*0.3%,0)</f>
        <v>0</v>
      </c>
      <c r="N28" s="11">
        <v>0</v>
      </c>
      <c r="O28" s="13">
        <f>IF(I28="",E28*Y28,0)</f>
        <v>132400</v>
      </c>
      <c r="P28" s="14">
        <f>IF(I28="",R28-H28,(K28-H28-SUM(L28:N28)+R28-S28-T28)-G28)+(ROUND(R28*V28,0)-ROUND(R28*(1+V28),0)*W28)</f>
        <v>9695.82</v>
      </c>
      <c r="Q28" s="14">
        <f>IF(I28="",(O28-G28-(O28*0.1425%*0.65)-(O28*0.3%)-S28-T28),0)</f>
        <v>-18369.835500000001</v>
      </c>
      <c r="R28" s="14">
        <f>982+1412+2568+1584+651+3841</f>
        <v>11038</v>
      </c>
      <c r="S28" s="14">
        <v>50</v>
      </c>
      <c r="T28" s="14">
        <f>IF(ROUND(R28*(1+V28),0)&gt;20000,ROUND(ROUND(R28*(1+V28),0)*2%,0),0)</f>
        <v>0</v>
      </c>
      <c r="U28" s="69">
        <f>(V28*50%)/(1+50%*V28)</f>
        <v>0</v>
      </c>
      <c r="V28" s="69"/>
      <c r="W28" s="70">
        <v>0.11</v>
      </c>
      <c r="X28" s="15">
        <f>(P28+Q28)/G28</f>
        <v>-5.774977030625833E-2</v>
      </c>
      <c r="Y28" s="16">
        <f>VLOOKUP(C28,台股行情!A:D,4,FALSE)</f>
        <v>66.2</v>
      </c>
      <c r="Z28" s="38">
        <f>VLOOKUP(C28,台股行情!A:E,5,FALSE)</f>
        <v>-4.8</v>
      </c>
      <c r="AA28" s="90">
        <f ca="1">IF(I28="",((TODAY()-A28)*G28)/365.24,((I28-A28)*G28)/365.24)</f>
        <v>834809.98795312666</v>
      </c>
      <c r="AB28" s="103" t="s">
        <v>209</v>
      </c>
      <c r="AD28" s="338" t="s">
        <v>3008</v>
      </c>
    </row>
    <row r="29" spans="1:30" outlineLevel="1">
      <c r="A29" s="275">
        <v>44294</v>
      </c>
      <c r="B29" s="11" t="s">
        <v>19</v>
      </c>
      <c r="C29" s="11">
        <v>3034</v>
      </c>
      <c r="D29" s="189" t="str">
        <f>VLOOKUP(C29,台股行情!A:B,2,FALSE)</f>
        <v>聯詠</v>
      </c>
      <c r="E29" s="11">
        <v>1000</v>
      </c>
      <c r="F29" s="11">
        <v>619</v>
      </c>
      <c r="G29" s="11">
        <f>E29*F29</f>
        <v>619000</v>
      </c>
      <c r="H29" s="11">
        <v>882</v>
      </c>
      <c r="I29" s="104"/>
      <c r="J29" s="16"/>
      <c r="K29" s="11">
        <f>E29*J29</f>
        <v>0</v>
      </c>
      <c r="L29" s="11">
        <f>ROUND(J29*E29*0.1425%,0)</f>
        <v>0</v>
      </c>
      <c r="M29" s="11">
        <f>ROUND(J29*E29*0.3%,0)</f>
        <v>0</v>
      </c>
      <c r="N29" s="11">
        <v>0</v>
      </c>
      <c r="O29" s="13">
        <f>IF(I29="",E29*Y29,0)</f>
        <v>565000</v>
      </c>
      <c r="P29" s="14">
        <f>IF(I29="",R29-H29,(K29-H29-SUM(L29:N29)+R29-S29-T29)-G29)+(ROUND(R29*V29,0)-ROUND(R29*(1+V29),0)*W29)</f>
        <v>145167</v>
      </c>
      <c r="Q29" s="14">
        <f>IF(I29="",(O29-G29-(O29*0.1425%*0.65)-(O29*0.3%)-S29-T29),0)</f>
        <v>-59550.331250000003</v>
      </c>
      <c r="R29" s="14">
        <f>15600+51500+37000+32000+28000</f>
        <v>164100</v>
      </c>
      <c r="S29" s="14">
        <v>50</v>
      </c>
      <c r="T29" s="14">
        <f>IF(ROUND(R29*(1+V29),0)&gt;20000,ROUND(ROUND(R29*(1+V29),0)*2%,0),0)</f>
        <v>3282</v>
      </c>
      <c r="U29" s="69">
        <f>(V29*50%)/(1+50%*V29)</f>
        <v>0</v>
      </c>
      <c r="V29" s="69"/>
      <c r="W29" s="70">
        <v>0.11</v>
      </c>
      <c r="X29" s="15">
        <f>(P29+Q29)/G29</f>
        <v>0.13831448909531502</v>
      </c>
      <c r="Y29" s="16">
        <f>VLOOKUP(C29,台股行情!A:D,4,FALSE)</f>
        <v>565</v>
      </c>
      <c r="Z29" s="38">
        <f>VLOOKUP(C29,台股行情!A:E,5,FALSE)</f>
        <v>5</v>
      </c>
      <c r="AA29" s="90">
        <f ca="1">IF(I29="",((TODAY()-A29)*G29)/365.24,((I29-A29)*G29)/365.24)</f>
        <v>3416668.4919504984</v>
      </c>
      <c r="AB29" s="103" t="s">
        <v>209</v>
      </c>
    </row>
    <row r="30" spans="1:30" outlineLevel="1">
      <c r="A30" s="275">
        <v>44300</v>
      </c>
      <c r="B30" s="11" t="s">
        <v>19</v>
      </c>
      <c r="C30" s="11">
        <v>2458</v>
      </c>
      <c r="D30" s="189" t="str">
        <f>VLOOKUP(C30,台股行情!A:B,2,FALSE)</f>
        <v>義隆</v>
      </c>
      <c r="E30" s="11">
        <v>1000</v>
      </c>
      <c r="F30" s="11">
        <v>204.5</v>
      </c>
      <c r="G30" s="11">
        <f>E30*F30</f>
        <v>204500</v>
      </c>
      <c r="H30" s="11">
        <v>291</v>
      </c>
      <c r="I30" s="104"/>
      <c r="J30" s="16"/>
      <c r="K30" s="11">
        <f>E30*J30</f>
        <v>0</v>
      </c>
      <c r="L30" s="11">
        <f>ROUND(J30*E30*0.1425%,0)</f>
        <v>0</v>
      </c>
      <c r="M30" s="11">
        <f>ROUND(J30*E30*0.3%,0)</f>
        <v>0</v>
      </c>
      <c r="N30" s="11">
        <v>0</v>
      </c>
      <c r="O30" s="13">
        <f>IF(I30="",E30*Y30,0)</f>
        <v>135500</v>
      </c>
      <c r="P30" s="14">
        <f>IF(I30="",R30-H30,(K30-H30-SUM(L30:N30)+R30-S30-T30)-G30)+(ROUND(R30*V30,0)-ROUND(R30*(1+V30),0)*W30)</f>
        <v>40540.42</v>
      </c>
      <c r="Q30" s="14">
        <f>IF(I30="",(O30-G30-(O30*0.1425%*0.65)-(O30*0.3%)-S30-T30),0)</f>
        <v>-70510.006875000006</v>
      </c>
      <c r="R30" s="14">
        <f>9000+13811+3069+2046+3052+4069+3763+2644+4424</f>
        <v>45878</v>
      </c>
      <c r="S30" s="14">
        <v>60</v>
      </c>
      <c r="T30" s="14">
        <f>IF(ROUND(R30*(1+V30),0)&gt;20000,ROUND(ROUND(R30*(1+V30),0)*2%,0),0)</f>
        <v>918</v>
      </c>
      <c r="U30" s="69">
        <f>(V30*50%)/(1+50%*V30)</f>
        <v>0</v>
      </c>
      <c r="V30" s="69"/>
      <c r="W30" s="70">
        <v>0.11</v>
      </c>
      <c r="X30" s="15">
        <f>(P30+Q30)/G30</f>
        <v>-0.1465505470660147</v>
      </c>
      <c r="Y30" s="16">
        <f>VLOOKUP(C30,台股行情!A:D,4,FALSE)</f>
        <v>135.5</v>
      </c>
      <c r="Z30" s="38">
        <f>VLOOKUP(C30,台股行情!A:E,5,FALSE)</f>
        <v>2</v>
      </c>
      <c r="AA30" s="90">
        <f ca="1">IF(I30="",((TODAY()-A30)*G30)/365.24,((I30-A30)*G30)/365.24)</f>
        <v>1125410.6888621179</v>
      </c>
      <c r="AB30" s="103" t="s">
        <v>209</v>
      </c>
      <c r="AD30" s="338" t="s">
        <v>3008</v>
      </c>
    </row>
    <row r="31" spans="1:30" outlineLevel="1">
      <c r="A31" s="275">
        <v>44308</v>
      </c>
      <c r="B31" s="11" t="s">
        <v>19</v>
      </c>
      <c r="C31" s="11">
        <v>3481</v>
      </c>
      <c r="D31" s="189" t="str">
        <f>VLOOKUP(C31,台股行情!A:B,2,FALSE)</f>
        <v>群創</v>
      </c>
      <c r="E31" s="11">
        <v>1000</v>
      </c>
      <c r="F31" s="11">
        <v>29.1</v>
      </c>
      <c r="G31" s="183">
        <f>29100+5965</f>
        <v>35065</v>
      </c>
      <c r="H31" s="183">
        <f>41+8</f>
        <v>49</v>
      </c>
      <c r="I31" s="104"/>
      <c r="J31" s="16"/>
      <c r="K31" s="11">
        <f>E31*J31</f>
        <v>0</v>
      </c>
      <c r="L31" s="11">
        <f>ROUND(J31*E31*0.1425%,0)</f>
        <v>0</v>
      </c>
      <c r="M31" s="11">
        <f>ROUND(J31*E31*0.3%,0)</f>
        <v>0</v>
      </c>
      <c r="N31" s="11">
        <v>0</v>
      </c>
      <c r="O31" s="13">
        <f>IF(I31="",E31*Y31,0)</f>
        <v>48300</v>
      </c>
      <c r="P31" s="14">
        <f>IF(I31="",R31-H31,(K31-H31-SUM(L31:N31)+R31-S31-T31)-G31)+(ROUND(R31*V31,0)-ROUND(R31*(1+V31),0)*W31)</f>
        <v>1915.23</v>
      </c>
      <c r="Q31" s="14">
        <f>IF(I31="",(O31-G31-(O31*0.1425%*0.65)-(O31*0.3%)-S31-T31),0)</f>
        <v>13025.362125</v>
      </c>
      <c r="R31" s="14">
        <f>398+1054+755</f>
        <v>2207</v>
      </c>
      <c r="S31" s="14">
        <v>20</v>
      </c>
      <c r="T31" s="14">
        <f>IF(ROUND(R31*(1+V31),0)&gt;20000,ROUND(ROUND(R31*(1+V31),0)*2%,0),0)</f>
        <v>0</v>
      </c>
      <c r="U31" s="69">
        <f>(V31*50%)/(1+50%*V31)</f>
        <v>0</v>
      </c>
      <c r="V31" s="69"/>
      <c r="W31" s="70">
        <v>0.11</v>
      </c>
      <c r="X31" s="15">
        <f>(P31+Q31)/G31</f>
        <v>0.42608276415228857</v>
      </c>
      <c r="Y31" s="16">
        <f>VLOOKUP(C31,台股行情!A:D,4,FALSE)</f>
        <v>48.3</v>
      </c>
      <c r="Z31" s="38">
        <f>VLOOKUP(C31,台股行情!A:E,5,FALSE)</f>
        <v>-2.6</v>
      </c>
      <c r="AA31" s="90">
        <f ca="1">IF(I31="",((TODAY()-A31)*G31)/365.24,((I31-A31)*G31)/365.24)</f>
        <v>192202.74340159894</v>
      </c>
      <c r="AB31" s="103" t="s">
        <v>3171</v>
      </c>
      <c r="AD31" s="320" t="s">
        <v>2983</v>
      </c>
    </row>
    <row r="32" spans="1:30" outlineLevel="1">
      <c r="A32" s="275">
        <v>45338</v>
      </c>
      <c r="B32" s="11"/>
      <c r="C32" s="11">
        <v>6196</v>
      </c>
      <c r="D32" s="189" t="str">
        <f>VLOOKUP(C32,台股行情!A:B,2,FALSE)</f>
        <v>帆宣</v>
      </c>
      <c r="E32" s="11">
        <v>1000</v>
      </c>
      <c r="F32" s="11">
        <v>162</v>
      </c>
      <c r="G32" s="11">
        <f>E32*F32</f>
        <v>162000</v>
      </c>
      <c r="H32" s="11">
        <v>230</v>
      </c>
      <c r="I32" s="104"/>
      <c r="J32" s="16"/>
      <c r="K32" s="11">
        <f>E32*J32</f>
        <v>0</v>
      </c>
      <c r="L32" s="11">
        <f>ROUND(J32*E32*0.1425%,0)</f>
        <v>0</v>
      </c>
      <c r="M32" s="11">
        <f>ROUND(J32*E32*0.3%,0)</f>
        <v>0</v>
      </c>
      <c r="N32" s="11">
        <v>0</v>
      </c>
      <c r="O32" s="13">
        <f>IF(I32="",E32*Y32,0)</f>
        <v>613000</v>
      </c>
      <c r="P32" s="14">
        <f>IF(I32="",R32-H32,(K32-H32-SUM(L32:N32)+R32-S32-T32)-G32)+(ROUND(R32*V32,0)-ROUND(R32*(1+V32),0)*W32)</f>
        <v>16104.17</v>
      </c>
      <c r="Q32" s="14">
        <f>IF(I32="",(O32-G32-(O32*0.1425%*0.65)-(O32*0.3%)-S32-T32),0)</f>
        <v>448563.20874999999</v>
      </c>
      <c r="R32" s="14">
        <f>6000+5905+6448</f>
        <v>18353</v>
      </c>
      <c r="S32" s="14">
        <v>30</v>
      </c>
      <c r="T32" s="14">
        <f>IF(ROUND(R32*(1+V32),0)&gt;20000,ROUND(ROUND(R32*(1+V32),0)*2%,0),0)</f>
        <v>0</v>
      </c>
      <c r="U32" s="69">
        <f>(V32*50%)/(1+50%*V32)</f>
        <v>0</v>
      </c>
      <c r="V32" s="69"/>
      <c r="W32" s="70">
        <v>0.11</v>
      </c>
      <c r="X32" s="15">
        <f>(P32+Q32)/G32</f>
        <v>2.8683171527777778</v>
      </c>
      <c r="Y32" s="16">
        <f>VLOOKUP(C32,台股行情!A:D,4,FALSE)</f>
        <v>613</v>
      </c>
      <c r="Z32" s="38">
        <f>VLOOKUP(C32,台股行情!A:E,5,FALSE)</f>
        <v>-43</v>
      </c>
      <c r="AA32" s="90">
        <f ca="1">IF(I32="",((TODAY()-A32)*G32)/365.24,((I32-A32)*G32)/365.24)</f>
        <v>431124.73989705398</v>
      </c>
      <c r="AB32" s="103" t="s">
        <v>2332</v>
      </c>
    </row>
    <row r="34" spans="1:28">
      <c r="A34" s="99">
        <v>46050</v>
      </c>
      <c r="B34" s="11"/>
      <c r="C34" s="341" t="s">
        <v>3040</v>
      </c>
      <c r="D34" s="189" t="str">
        <f>VLOOKUP(C34,台股行情!A:B,2,FALSE)</f>
        <v>主動統一台股增長</v>
      </c>
      <c r="E34" s="11">
        <v>2000</v>
      </c>
      <c r="F34" s="11">
        <v>18.399999999999999</v>
      </c>
      <c r="G34" s="11">
        <f>E34*F34</f>
        <v>36800</v>
      </c>
      <c r="H34" s="11">
        <v>52</v>
      </c>
      <c r="I34" s="104"/>
      <c r="J34" s="16"/>
      <c r="K34" s="11">
        <f>E34*J34</f>
        <v>0</v>
      </c>
      <c r="L34" s="11">
        <f>ROUND(J34*E34*0.1425%,0)</f>
        <v>0</v>
      </c>
      <c r="M34" s="11">
        <f>ROUND(J34*E34*0.3%,0)</f>
        <v>0</v>
      </c>
      <c r="N34" s="11">
        <v>0</v>
      </c>
      <c r="O34" s="13">
        <f>IF(I34="",E34*Y34,0)</f>
        <v>58800</v>
      </c>
      <c r="P34" s="14">
        <f t="shared" ref="P34:P37" si="11">IF(I34="",R34-H34,(K34-H34-SUM(L34:N34)+R34-S34-T34)-G34)+(ROUND(R34*V34,0)-ROUND(R34*(1+V34),0)*W34)</f>
        <v>677.8</v>
      </c>
      <c r="Q34" s="14">
        <f>IF(I34="",(O34-G34-(O34*0.1425%*0.65)-(O34*0.3%)-S34-T34),0)</f>
        <v>21759.136499999997</v>
      </c>
      <c r="R34" s="14">
        <v>820</v>
      </c>
      <c r="S34" s="14">
        <v>10</v>
      </c>
      <c r="T34" s="14">
        <f>IF(ROUND(R34*(1+V34),0)&gt;20000,ROUND(ROUND(R34*(1+V34),0)*2%,0),0)</f>
        <v>0</v>
      </c>
      <c r="U34" s="69">
        <f>(V34*50%)/(1+50%*V34)</f>
        <v>0</v>
      </c>
      <c r="V34" s="69"/>
      <c r="W34" s="70">
        <v>0.11</v>
      </c>
      <c r="X34" s="15">
        <f>(P34+Q34)/G34</f>
        <v>0.60969936141304337</v>
      </c>
      <c r="Y34" s="16">
        <f>VLOOKUP(C34,台股行情!A:D,4,FALSE)</f>
        <v>29.4</v>
      </c>
      <c r="Z34" s="38">
        <f>VLOOKUP(C34,台股行情!A:E,5,FALSE)</f>
        <v>-1.79</v>
      </c>
      <c r="AA34" s="90">
        <f ca="1">IF(I34="",((TODAY()-A34)*G34)/365.24,((I34-A34)*G34)/365.24)</f>
        <v>26196.473551637278</v>
      </c>
      <c r="AB34" s="103" t="s">
        <v>2266</v>
      </c>
    </row>
    <row r="35" spans="1:28" outlineLevel="1">
      <c r="A35" s="99">
        <v>46051</v>
      </c>
      <c r="B35" s="11"/>
      <c r="C35" s="341" t="s">
        <v>3040</v>
      </c>
      <c r="D35" s="189" t="str">
        <f>VLOOKUP(C35,台股行情!A:B,2,FALSE)</f>
        <v>主動統一台股增長</v>
      </c>
      <c r="E35" s="11">
        <v>1000</v>
      </c>
      <c r="F35" s="11">
        <v>18.21</v>
      </c>
      <c r="G35" s="11">
        <f>E35*F35</f>
        <v>18210</v>
      </c>
      <c r="H35" s="11">
        <v>25</v>
      </c>
      <c r="I35" s="104"/>
      <c r="J35" s="16"/>
      <c r="K35" s="11">
        <f t="shared" ref="K35:K37" si="12">E35*J35</f>
        <v>0</v>
      </c>
      <c r="L35" s="11">
        <f t="shared" ref="L35:L37" si="13">ROUND(J35*E35*0.1425%,0)</f>
        <v>0</v>
      </c>
      <c r="M35" s="11">
        <f t="shared" ref="M35:M37" si="14">ROUND(J35*E35*0.3%,0)</f>
        <v>0</v>
      </c>
      <c r="N35" s="11">
        <v>0</v>
      </c>
      <c r="O35" s="13">
        <f t="shared" ref="O35" si="15">IF(I35="",E35*Y35,0)</f>
        <v>29400</v>
      </c>
      <c r="P35" s="14">
        <f t="shared" si="11"/>
        <v>339.9</v>
      </c>
      <c r="Q35" s="14">
        <f t="shared" ref="Q35" si="16">IF(I35="",(O35-G35-(O35*0.1425%*0.65)-(O35*0.3%)-S35-T35),0)</f>
        <v>11064.568249999998</v>
      </c>
      <c r="R35" s="14">
        <v>410</v>
      </c>
      <c r="S35" s="14">
        <v>10</v>
      </c>
      <c r="T35" s="14">
        <f>IF(ROUND(R35*(1+V35),0)&gt;20000,ROUND(ROUND(R35*(1+V35),0)*2%,0),0)</f>
        <v>0</v>
      </c>
      <c r="U35" s="69">
        <f t="shared" ref="U35:U37" si="17">(V35*50%)/(1+50%*V35)</f>
        <v>0</v>
      </c>
      <c r="V35" s="69"/>
      <c r="W35" s="70">
        <v>0.11</v>
      </c>
      <c r="X35" s="15">
        <f t="shared" ref="X35" si="18">(P35+Q35)/G35</f>
        <v>0.6262750274574409</v>
      </c>
      <c r="Y35" s="16">
        <f>VLOOKUP(C35,台股行情!A:D,4,FALSE)</f>
        <v>29.4</v>
      </c>
      <c r="Z35" s="38">
        <f>VLOOKUP(C35,台股行情!A:E,5,FALSE)</f>
        <v>-1.79</v>
      </c>
      <c r="AA35" s="90">
        <f t="shared" ref="AA35:AA85" ca="1" si="19">IF(I35="",((TODAY()-A35)*G35)/365.24,((I35-A35)*G35)/365.24)</f>
        <v>12913.125616033292</v>
      </c>
      <c r="AB35" s="103" t="s">
        <v>2266</v>
      </c>
    </row>
    <row r="36" spans="1:28" outlineLevel="1">
      <c r="A36" s="99">
        <v>46076</v>
      </c>
      <c r="B36" s="11"/>
      <c r="C36" s="341" t="s">
        <v>3040</v>
      </c>
      <c r="D36" s="189" t="str">
        <f>VLOOKUP(C36,台股行情!A:B,2,FALSE)</f>
        <v>主動統一台股增長</v>
      </c>
      <c r="E36" s="11">
        <v>523</v>
      </c>
      <c r="F36" s="11">
        <v>19.11</v>
      </c>
      <c r="G36" s="11">
        <v>9994</v>
      </c>
      <c r="H36" s="11">
        <v>1</v>
      </c>
      <c r="I36" s="104"/>
      <c r="J36" s="16"/>
      <c r="K36" s="11">
        <f t="shared" ref="K36" si="20">E36*J36</f>
        <v>0</v>
      </c>
      <c r="L36" s="11">
        <f t="shared" ref="L36" si="21">ROUND(J36*E36*0.1425%,0)</f>
        <v>0</v>
      </c>
      <c r="M36" s="11">
        <f t="shared" ref="M36" si="22">ROUND(J36*E36*0.3%,0)</f>
        <v>0</v>
      </c>
      <c r="N36" s="11">
        <v>0</v>
      </c>
      <c r="O36" s="13">
        <f>IF(I36="",E36*Y36,0)</f>
        <v>15376.199999999999</v>
      </c>
      <c r="P36" s="14">
        <f t="shared" si="11"/>
        <v>189.46</v>
      </c>
      <c r="Q36" s="14">
        <f>IF(I36="",(O36-G36-(O36*0.1425%*0.65)-(O36*0.3%)-S36-T36),0)</f>
        <v>5311.8291947499993</v>
      </c>
      <c r="R36" s="14">
        <v>214</v>
      </c>
      <c r="S36" s="14">
        <v>10</v>
      </c>
      <c r="T36" s="14">
        <f>IF(ROUND(R36*(1+V36),0)&gt;20000,ROUND(ROUND(R36*(1+V36),0)*2%,0),0)</f>
        <v>0</v>
      </c>
      <c r="U36" s="69">
        <f t="shared" ref="U36" si="23">(V36*50%)/(1+50%*V36)</f>
        <v>0</v>
      </c>
      <c r="V36" s="69"/>
      <c r="W36" s="70">
        <v>0.11</v>
      </c>
      <c r="X36" s="15">
        <f>(P36+Q36)/G36</f>
        <v>0.55045919499199514</v>
      </c>
      <c r="Y36" s="16">
        <f>VLOOKUP(C36,台股行情!A:D,4,FALSE)</f>
        <v>29.4</v>
      </c>
      <c r="Z36" s="38">
        <f>VLOOKUP(C36,台股行情!A:E,5,FALSE)</f>
        <v>-1.79</v>
      </c>
      <c r="AA36" s="90">
        <f t="shared" ca="1" si="19"/>
        <v>6402.9022012923006</v>
      </c>
      <c r="AB36" s="103" t="s">
        <v>2266</v>
      </c>
    </row>
    <row r="37" spans="1:28" outlineLevel="1">
      <c r="A37" s="99">
        <v>46079</v>
      </c>
      <c r="B37" s="11"/>
      <c r="C37" s="341" t="s">
        <v>3040</v>
      </c>
      <c r="D37" s="189" t="str">
        <f>VLOOKUP(C37,台股行情!A:B,2,FALSE)</f>
        <v>主動統一台股增長</v>
      </c>
      <c r="E37" s="11">
        <v>495</v>
      </c>
      <c r="F37" s="11">
        <v>20.190000000000001</v>
      </c>
      <c r="G37" s="11">
        <v>9994</v>
      </c>
      <c r="H37" s="11">
        <v>1</v>
      </c>
      <c r="I37" s="104"/>
      <c r="J37" s="16"/>
      <c r="K37" s="11">
        <f t="shared" si="12"/>
        <v>0</v>
      </c>
      <c r="L37" s="11">
        <f t="shared" si="13"/>
        <v>0</v>
      </c>
      <c r="M37" s="11">
        <f t="shared" si="14"/>
        <v>0</v>
      </c>
      <c r="N37" s="11">
        <v>0</v>
      </c>
      <c r="O37" s="13">
        <f>IF(I37="",E37*Y37,0)</f>
        <v>14553</v>
      </c>
      <c r="P37" s="14">
        <f t="shared" si="11"/>
        <v>179.67</v>
      </c>
      <c r="Q37" s="14">
        <f>IF(I37="",(O37-G37-(O37*0.1425%*0.65)-(O37*0.3%)-S37-T37),0)</f>
        <v>4491.8612837500004</v>
      </c>
      <c r="R37" s="14">
        <v>203</v>
      </c>
      <c r="S37" s="14">
        <v>10</v>
      </c>
      <c r="T37" s="14">
        <f>IF(ROUND(R37*(1+V37),0)&gt;20000,ROUND(ROUND(R37*(1+V37),0)*2%,0),0)</f>
        <v>0</v>
      </c>
      <c r="U37" s="69">
        <f t="shared" si="17"/>
        <v>0</v>
      </c>
      <c r="V37" s="69"/>
      <c r="W37" s="70">
        <v>0.11</v>
      </c>
      <c r="X37" s="15">
        <f>(P37+Q37)/G37</f>
        <v>0.46743358852811689</v>
      </c>
      <c r="Y37" s="16">
        <f>VLOOKUP(C37,台股行情!A:D,4,FALSE)</f>
        <v>29.4</v>
      </c>
      <c r="Z37" s="38">
        <f>VLOOKUP(C37,台股行情!A:E,5,FALSE)</f>
        <v>-1.79</v>
      </c>
      <c r="AA37" s="90">
        <f t="shared" ca="1" si="19"/>
        <v>6320.8137115321433</v>
      </c>
      <c r="AB37" s="103" t="s">
        <v>2266</v>
      </c>
    </row>
    <row r="38" spans="1:28" outlineLevel="1">
      <c r="A38" s="99">
        <v>46133</v>
      </c>
      <c r="B38" s="11"/>
      <c r="C38" s="341" t="s">
        <v>3040</v>
      </c>
      <c r="D38" s="189" t="str">
        <f>VLOOKUP(C38,台股行情!A:B,2,FALSE)</f>
        <v>主動統一台股增長</v>
      </c>
      <c r="E38" s="11">
        <v>982</v>
      </c>
      <c r="F38" s="11">
        <v>26.34</v>
      </c>
      <c r="G38" s="11">
        <f t="shared" ref="G38" si="24">E38*F38</f>
        <v>25865.88</v>
      </c>
      <c r="H38" s="11">
        <v>36</v>
      </c>
      <c r="I38" s="104"/>
      <c r="J38" s="16"/>
      <c r="K38" s="11">
        <f t="shared" ref="K38" si="25">E38*J38</f>
        <v>0</v>
      </c>
      <c r="L38" s="11">
        <f t="shared" ref="L38" si="26">ROUND(J38*E38*0.1425%,0)</f>
        <v>0</v>
      </c>
      <c r="M38" s="11">
        <f t="shared" ref="M38" si="27">ROUND(J38*E38*0.3%,0)</f>
        <v>0</v>
      </c>
      <c r="N38" s="11">
        <v>0</v>
      </c>
      <c r="O38" s="13">
        <f>IF(I38="",E38*Y38,0)</f>
        <v>28870.799999999999</v>
      </c>
      <c r="P38" s="14">
        <f>IF(I38="",R38-H38,(K38-H38-SUM(L38:N38)+R38-S38-T38)-G38)+(ROUND(R38*V38,0)-ROUND(R38*(1+V38),0)*W38)</f>
        <v>3328.2</v>
      </c>
      <c r="Q38" s="14">
        <f>IF(I38="",(O38-G38-(O38*0.1425%*0.65)-(O38*0.3%)-S38-T38),0)</f>
        <v>2881.5660214999984</v>
      </c>
      <c r="R38" s="14">
        <v>3780</v>
      </c>
      <c r="S38" s="14">
        <v>10</v>
      </c>
      <c r="T38" s="14">
        <f t="shared" ref="T38" si="28">IF(ROUND(R38*(1+V38),0)&gt;20000,ROUND(ROUND(R38*(1+V38),0)*2%,0),0)</f>
        <v>0</v>
      </c>
      <c r="U38" s="69">
        <f t="shared" ref="U38" si="29">(V38*50%)/(1+50%*V38)</f>
        <v>0</v>
      </c>
      <c r="V38" s="69"/>
      <c r="W38" s="70">
        <v>0.11</v>
      </c>
      <c r="X38" s="15">
        <f>(P38+Q38)/G38</f>
        <v>0.24007557529455784</v>
      </c>
      <c r="Y38" s="16">
        <f>VLOOKUP(C38,台股行情!A:D,4,FALSE)</f>
        <v>29.4</v>
      </c>
      <c r="Z38" s="38">
        <f>VLOOKUP(C38,台股行情!A:E,5,FALSE)</f>
        <v>-1.79</v>
      </c>
      <c r="AA38" s="90">
        <f t="shared" ca="1" si="19"/>
        <v>12534.938013361078</v>
      </c>
      <c r="AB38" s="103" t="s">
        <v>2266</v>
      </c>
    </row>
    <row r="39" spans="1:28" outlineLevel="1">
      <c r="A39" s="99">
        <v>46148</v>
      </c>
      <c r="B39" s="11"/>
      <c r="C39" s="11" t="s">
        <v>2812</v>
      </c>
      <c r="D39" s="189" t="str">
        <f>VLOOKUP(C39,台股行情!A:B,2,FALSE)</f>
        <v>主動統一台股增長</v>
      </c>
      <c r="E39" s="11">
        <v>1000</v>
      </c>
      <c r="F39" s="11">
        <v>29.28</v>
      </c>
      <c r="G39" s="11">
        <f>E39*F39</f>
        <v>29280</v>
      </c>
      <c r="H39" s="11">
        <v>41</v>
      </c>
      <c r="I39" s="104"/>
      <c r="J39" s="16"/>
      <c r="K39" s="11">
        <f>E39*J39</f>
        <v>0</v>
      </c>
      <c r="L39" s="11">
        <f>ROUND(J39*E39*0.1425%,0)</f>
        <v>0</v>
      </c>
      <c r="M39" s="11">
        <f>ROUND(J39*E39*0.3%,0)</f>
        <v>0</v>
      </c>
      <c r="N39" s="11">
        <v>0</v>
      </c>
      <c r="O39" s="13">
        <f>IF(I39="",E39*Y39,0)</f>
        <v>29400</v>
      </c>
      <c r="P39" s="14">
        <f>IF(I39="",R39-H39,(K39-H39-SUM(L39:N39)+R39-S39-T39)-G39)+(ROUND(R39*V39,0)-ROUND(R39*(1+V39),0)*W39)</f>
        <v>-41</v>
      </c>
      <c r="Q39" s="14">
        <f>IF(I39="",(O39-G39-(O39*0.1425%*0.65)-(O39*0.3%)-S39-T39),0)</f>
        <v>4.5682499999999919</v>
      </c>
      <c r="R39" s="14"/>
      <c r="S39" s="14"/>
      <c r="T39" s="14">
        <f t="shared" ref="T39:T46" si="30">IF(ROUND(R39*(1+V39),0)&gt;20000,ROUND(ROUND(R39*(1+V39),0)*2%,0),0)</f>
        <v>0</v>
      </c>
      <c r="U39" s="69">
        <f>(V39*50%)/(1+50%*V39)</f>
        <v>0</v>
      </c>
      <c r="V39" s="69"/>
      <c r="W39" s="70">
        <v>0.11</v>
      </c>
      <c r="X39" s="15">
        <f>(P39+Q39)/G39</f>
        <v>-1.2442537568306013E-3</v>
      </c>
      <c r="Y39" s="16">
        <f>VLOOKUP(C39,台股行情!A:D,4,FALSE)</f>
        <v>29.4</v>
      </c>
      <c r="Z39" s="38">
        <f>VLOOKUP(C39,台股行情!A:E,5,FALSE)</f>
        <v>-1.79</v>
      </c>
      <c r="AA39" s="90">
        <f t="shared" ca="1" si="19"/>
        <v>12986.967473442121</v>
      </c>
      <c r="AB39" s="103" t="s">
        <v>2266</v>
      </c>
    </row>
    <row r="40" spans="1:28">
      <c r="A40" s="99">
        <v>46209</v>
      </c>
      <c r="B40" s="11"/>
      <c r="C40" s="11" t="s">
        <v>2812</v>
      </c>
      <c r="D40" s="189" t="str">
        <f>VLOOKUP(C40,台股行情!A:B,2,FALSE)</f>
        <v>主動統一台股增長</v>
      </c>
      <c r="E40" s="11">
        <v>316</v>
      </c>
      <c r="F40" s="11">
        <v>31.55</v>
      </c>
      <c r="G40" s="11">
        <v>9969</v>
      </c>
      <c r="H40" s="11">
        <v>1</v>
      </c>
      <c r="I40" s="104"/>
      <c r="J40" s="16"/>
      <c r="K40" s="11">
        <f>E40*J40</f>
        <v>0</v>
      </c>
      <c r="L40" s="11">
        <f>ROUND(J40*E40*0.1425%,0)</f>
        <v>0</v>
      </c>
      <c r="M40" s="11">
        <f>ROUND(J40*E40*0.3%,0)</f>
        <v>0</v>
      </c>
      <c r="N40" s="11">
        <v>0</v>
      </c>
      <c r="O40" s="13">
        <f>IF(I40="",E40*Y40,0)</f>
        <v>9290.4</v>
      </c>
      <c r="P40" s="14">
        <f>IF(I40="",R40-H40,(K40-H40-SUM(L40:N40)+R40-S40-T40)-G40)+(ROUND(R40*V40,0)-ROUND(R40*(1+V40),0)*W40)</f>
        <v>-1</v>
      </c>
      <c r="Q40" s="14">
        <f>IF(I40="",(O40-G40-(O40*0.1425%*0.65)-(O40*0.3%)-S40-T40),0)</f>
        <v>-715.07643300000041</v>
      </c>
      <c r="R40" s="14"/>
      <c r="S40" s="14"/>
      <c r="T40" s="14">
        <f>IF(ROUND(R40*(1+V40),0)&gt;20000,ROUND(ROUND(R40*(1+V40),0)*2%,0),0)</f>
        <v>0</v>
      </c>
      <c r="U40" s="69">
        <f>(V40*50%)/(1+50%*V40)</f>
        <v>0</v>
      </c>
      <c r="V40" s="69"/>
      <c r="W40" s="70">
        <v>0.11</v>
      </c>
      <c r="X40" s="15">
        <f>(P40+Q40)/G40</f>
        <v>-7.1830317283579137E-2</v>
      </c>
      <c r="Y40" s="16">
        <f>VLOOKUP(C40,台股行情!A:D,4,FALSE)</f>
        <v>29.4</v>
      </c>
      <c r="Z40" s="38">
        <f>VLOOKUP(C40,台股行情!A:E,5,FALSE)</f>
        <v>-1.79</v>
      </c>
      <c r="AA40" s="90">
        <f ca="1">IF(I40="",((TODAY()-A40)*G40)/365.24,((I40-A40)*G40)/365.24)</f>
        <v>2756.7325594129888</v>
      </c>
      <c r="AB40" s="103" t="s">
        <v>2266</v>
      </c>
    </row>
    <row r="41" spans="1:28">
      <c r="A41" s="99">
        <v>46240</v>
      </c>
      <c r="B41" s="11"/>
      <c r="C41" s="11" t="s">
        <v>2812</v>
      </c>
      <c r="D41" s="189" t="str">
        <f>VLOOKUP(C41,台股行情!A:B,2,FALSE)</f>
        <v>主動統一台股增長</v>
      </c>
      <c r="E41" s="11">
        <v>348</v>
      </c>
      <c r="F41" s="11">
        <v>28.66</v>
      </c>
      <c r="G41" s="11">
        <v>9973</v>
      </c>
      <c r="H41" s="11">
        <v>1</v>
      </c>
      <c r="I41" s="104"/>
      <c r="J41" s="16"/>
      <c r="K41" s="11">
        <f>E41*J41</f>
        <v>0</v>
      </c>
      <c r="L41" s="11">
        <f>ROUND(J41*E41*0.1425%,0)</f>
        <v>0</v>
      </c>
      <c r="M41" s="11">
        <f>ROUND(J41*E41*0.3%,0)</f>
        <v>0</v>
      </c>
      <c r="N41" s="11">
        <v>0</v>
      </c>
      <c r="O41" s="13">
        <f>IF(I41="",E41*Y41,0)</f>
        <v>10231.199999999999</v>
      </c>
      <c r="P41" s="14">
        <f>IF(I41="",R41-H41,(K41-H41-SUM(L41:N41)+R41-S41-T41)-G41)+(ROUND(R41*V41,0)-ROUND(R41*(1+V41),0)*W41)</f>
        <v>-1</v>
      </c>
      <c r="Q41" s="14">
        <f>IF(I41="",(O41-G41-(O41*0.1425%*0.65)-(O41*0.3%)-S41-T41),0)</f>
        <v>218.0297509999989</v>
      </c>
      <c r="R41" s="14"/>
      <c r="S41" s="14"/>
      <c r="T41" s="14">
        <f>IF(ROUND(R41*(1+V41),0)&gt;20000,ROUND(ROUND(R41*(1+V41),0)*2%,0),0)</f>
        <v>0</v>
      </c>
      <c r="U41" s="69">
        <f>(V41*50%)/(1+50%*V41)</f>
        <v>0</v>
      </c>
      <c r="V41" s="69"/>
      <c r="W41" s="70">
        <v>0.11</v>
      </c>
      <c r="X41" s="15">
        <f>(P41+Q41)/G41</f>
        <v>2.1761731775794536E-2</v>
      </c>
      <c r="Y41" s="16">
        <f>VLOOKUP(C41,台股行情!A:D,4,FALSE)</f>
        <v>29.4</v>
      </c>
      <c r="Z41" s="38">
        <f>VLOOKUP(C41,台股行情!A:E,5,FALSE)</f>
        <v>-1.79</v>
      </c>
      <c r="AA41" s="90">
        <f ca="1">IF(I41="",((TODAY()-A41)*G41)/365.24,((I41-A41)*G41)/365.24)</f>
        <v>1911.3733435549227</v>
      </c>
      <c r="AB41" s="103" t="s">
        <v>2733</v>
      </c>
    </row>
    <row r="42" spans="1:28" collapsed="1">
      <c r="A42" s="99">
        <v>46087</v>
      </c>
      <c r="B42" s="11"/>
      <c r="C42" s="348" t="s">
        <v>3071</v>
      </c>
      <c r="D42" s="189" t="str">
        <f>VLOOKUP(C42,台股行情!A:B,2,FALSE)</f>
        <v>主動復華未來50</v>
      </c>
      <c r="E42" s="11">
        <v>825</v>
      </c>
      <c r="F42" s="11">
        <v>12.11</v>
      </c>
      <c r="G42" s="11">
        <v>9990</v>
      </c>
      <c r="H42" s="11">
        <v>1</v>
      </c>
      <c r="I42" s="104"/>
      <c r="J42" s="16"/>
      <c r="K42" s="11">
        <f t="shared" ref="K42:K49" si="31">E42*J42</f>
        <v>0</v>
      </c>
      <c r="L42" s="11">
        <f t="shared" ref="L42:L49" si="32">ROUND(J42*E42*0.1425%,0)</f>
        <v>0</v>
      </c>
      <c r="M42" s="11">
        <f t="shared" ref="M42:M49" si="33">ROUND(J42*E42*0.3%,0)</f>
        <v>0</v>
      </c>
      <c r="N42" s="11">
        <v>0</v>
      </c>
      <c r="O42" s="13">
        <f t="shared" ref="O42:O49" si="34">IF(I42="",E42*Y42,0)</f>
        <v>14165.250000000002</v>
      </c>
      <c r="P42" s="14">
        <f t="shared" ref="P42:P49" si="35">IF(I42="",R42-H42,(K42-H42-SUM(L42:N42)+R42-S42-T42)-G42)+(ROUND(R42*V42,0)-ROUND(R42*(1+V42),0)*W42)</f>
        <v>-1</v>
      </c>
      <c r="Q42" s="14">
        <f t="shared" ref="Q42:Q49" si="36">IF(I42="",(O42-G42-(O42*0.1425%*0.65)-(O42*0.3%)-S42-T42),0)</f>
        <v>4119.6336871875019</v>
      </c>
      <c r="R42" s="14"/>
      <c r="S42" s="14"/>
      <c r="T42" s="14">
        <f t="shared" si="30"/>
        <v>0</v>
      </c>
      <c r="U42" s="69">
        <f t="shared" ref="U42:U49" si="37">(V42*50%)/(1+50%*V42)</f>
        <v>0</v>
      </c>
      <c r="V42" s="69"/>
      <c r="W42" s="70">
        <v>0.11</v>
      </c>
      <c r="X42" s="15">
        <f t="shared" ref="X42:X49" si="38">(P42+Q42)/G42</f>
        <v>0.41227564436311331</v>
      </c>
      <c r="Y42" s="16">
        <f>VLOOKUP(C42,台股行情!A:D,4,FALSE)</f>
        <v>17.170000000000002</v>
      </c>
      <c r="Z42" s="38">
        <f>VLOOKUP(C42,台股行情!A:E,5,FALSE)</f>
        <v>-1.1299999999999999</v>
      </c>
      <c r="AA42" s="90">
        <f t="shared" ca="1" si="19"/>
        <v>6099.4688424049937</v>
      </c>
      <c r="AB42" s="103" t="s">
        <v>2266</v>
      </c>
    </row>
    <row r="43" spans="1:28" hidden="1" outlineLevel="1">
      <c r="A43" s="99">
        <v>46097</v>
      </c>
      <c r="B43" s="11"/>
      <c r="C43" s="348" t="s">
        <v>3071</v>
      </c>
      <c r="D43" s="189" t="str">
        <f>VLOOKUP(C43,台股行情!A:B,2,FALSE)</f>
        <v>主動復華未來50</v>
      </c>
      <c r="E43" s="11">
        <v>798</v>
      </c>
      <c r="F43" s="11">
        <v>12.53</v>
      </c>
      <c r="G43" s="11">
        <v>9998</v>
      </c>
      <c r="H43" s="11">
        <v>1</v>
      </c>
      <c r="I43" s="104"/>
      <c r="J43" s="16"/>
      <c r="K43" s="11">
        <f>E43*J43</f>
        <v>0</v>
      </c>
      <c r="L43" s="11">
        <f>ROUND(J43*E43*0.1425%,0)</f>
        <v>0</v>
      </c>
      <c r="M43" s="11">
        <f>ROUND(J43*E43*0.3%,0)</f>
        <v>0</v>
      </c>
      <c r="N43" s="11">
        <v>0</v>
      </c>
      <c r="O43" s="13">
        <f>IF(I43="",E43*Y43,0)</f>
        <v>13701.660000000002</v>
      </c>
      <c r="P43" s="14">
        <f t="shared" ref="P43" si="39">IF(I43="",R43-H43,(K43-H43-SUM(L43:N43)+R43-S43-T43)-G43)+(ROUND(R43*V43,0)-ROUND(R43*(1+V43),0)*W43)</f>
        <v>-1</v>
      </c>
      <c r="Q43" s="14">
        <f>IF(I43="",(O43-G43-(O43*0.1425%*0.65)-(O43*0.3%)-S43-T43),0)</f>
        <v>3649.8638574250017</v>
      </c>
      <c r="R43" s="14"/>
      <c r="S43" s="14"/>
      <c r="T43" s="14">
        <f t="shared" si="30"/>
        <v>0</v>
      </c>
      <c r="U43" s="69">
        <f>(V43*50%)/(1+50%*V43)</f>
        <v>0</v>
      </c>
      <c r="V43" s="69"/>
      <c r="W43" s="70">
        <v>0.11</v>
      </c>
      <c r="X43" s="15">
        <f>(P43+Q43)/G43</f>
        <v>0.36495937761802377</v>
      </c>
      <c r="Y43" s="16">
        <f>VLOOKUP(C43,台股行情!A:D,4,FALSE)</f>
        <v>17.170000000000002</v>
      </c>
      <c r="Z43" s="38">
        <f>VLOOKUP(C43,台股行情!A:E,5,FALSE)</f>
        <v>-1.1299999999999999</v>
      </c>
      <c r="AA43" s="90">
        <f t="shared" ca="1" si="19"/>
        <v>5830.6154857080273</v>
      </c>
      <c r="AB43" s="103" t="s">
        <v>2266</v>
      </c>
    </row>
    <row r="44" spans="1:28" hidden="1" outlineLevel="1">
      <c r="A44" s="99">
        <v>46119</v>
      </c>
      <c r="B44" s="11"/>
      <c r="C44" s="348" t="s">
        <v>3071</v>
      </c>
      <c r="D44" s="189" t="str">
        <f>VLOOKUP(C44,台股行情!A:B,2,FALSE)</f>
        <v>主動復華未來50</v>
      </c>
      <c r="E44" s="11">
        <v>790</v>
      </c>
      <c r="F44" s="11">
        <v>12.65</v>
      </c>
      <c r="G44" s="11">
        <v>9993</v>
      </c>
      <c r="H44" s="11">
        <v>1</v>
      </c>
      <c r="I44" s="104"/>
      <c r="J44" s="16"/>
      <c r="K44" s="11">
        <f>E44*J44</f>
        <v>0</v>
      </c>
      <c r="L44" s="11">
        <f>ROUND(J44*E44*0.1425%,0)</f>
        <v>0</v>
      </c>
      <c r="M44" s="11">
        <f>ROUND(J44*E44*0.3%,0)</f>
        <v>0</v>
      </c>
      <c r="N44" s="11">
        <v>0</v>
      </c>
      <c r="O44" s="13">
        <f>IF(I44="",E44*Y44,0)</f>
        <v>13564.300000000001</v>
      </c>
      <c r="P44" s="14">
        <f>IF(I44="",R44-H44,(K44-H44-SUM(L44:N44)+R44-S44-T44)-G44)+(ROUND(R44*V44,0)-ROUND(R44*(1+V44),0)*W44)</f>
        <v>-1</v>
      </c>
      <c r="Q44" s="14">
        <f>IF(I44="",(O44-G44-(O44*0.1425%*0.65)-(O44*0.3%)-S44-T44),0)</f>
        <v>3518.0431671250012</v>
      </c>
      <c r="R44" s="14"/>
      <c r="S44" s="14"/>
      <c r="T44" s="14">
        <f t="shared" si="30"/>
        <v>0</v>
      </c>
      <c r="U44" s="69">
        <f>(V44*50%)/(1+50%*V44)</f>
        <v>0</v>
      </c>
      <c r="V44" s="69"/>
      <c r="W44" s="70">
        <v>0.11</v>
      </c>
      <c r="X44" s="15">
        <f>(P44+Q44)/G44</f>
        <v>0.35195068219003317</v>
      </c>
      <c r="Y44" s="16">
        <f>VLOOKUP(C44,台股行情!A:D,4,FALSE)</f>
        <v>17.170000000000002</v>
      </c>
      <c r="Z44" s="38">
        <f>VLOOKUP(C44,台股行情!A:E,5,FALSE)</f>
        <v>-1.1299999999999999</v>
      </c>
      <c r="AA44" s="90">
        <f t="shared" ca="1" si="19"/>
        <v>5225.777570912277</v>
      </c>
      <c r="AB44" s="103" t="s">
        <v>2266</v>
      </c>
    </row>
    <row r="45" spans="1:28" hidden="1" outlineLevel="1">
      <c r="A45" s="99">
        <v>46128</v>
      </c>
      <c r="B45" s="11"/>
      <c r="C45" s="348" t="s">
        <v>3071</v>
      </c>
      <c r="D45" s="189" t="str">
        <f>VLOOKUP(C45,台股行情!A:B,2,FALSE)</f>
        <v>主動復華未來50</v>
      </c>
      <c r="E45" s="11">
        <v>691</v>
      </c>
      <c r="F45" s="11">
        <v>14.47</v>
      </c>
      <c r="G45" s="11">
        <v>9998</v>
      </c>
      <c r="H45" s="11">
        <v>1</v>
      </c>
      <c r="I45" s="104"/>
      <c r="J45" s="16"/>
      <c r="K45" s="11">
        <f>E45*J45</f>
        <v>0</v>
      </c>
      <c r="L45" s="11">
        <f>ROUND(J45*E45*0.1425%,0)</f>
        <v>0</v>
      </c>
      <c r="M45" s="11">
        <f>ROUND(J45*E45*0.3%,0)</f>
        <v>0</v>
      </c>
      <c r="N45" s="11">
        <v>0</v>
      </c>
      <c r="O45" s="13">
        <f>IF(I45="",E45*Y45,0)</f>
        <v>11864.470000000001</v>
      </c>
      <c r="P45" s="14">
        <f>IF(I45="",R45-H45,(K45-H45-SUM(L45:N45)+R45-S45-T45)-G45)+(ROUND(R45*V45,0)-ROUND(R45*(1+V45),0)*W45)</f>
        <v>-1</v>
      </c>
      <c r="Q45" s="14">
        <f>IF(I45="",(O45-G45-(O45*0.1425%*0.65)-(O45*0.3%)-S45-T45),0)</f>
        <v>1819.8871246625013</v>
      </c>
      <c r="R45" s="14"/>
      <c r="S45" s="14"/>
      <c r="T45" s="14">
        <f t="shared" si="30"/>
        <v>0</v>
      </c>
      <c r="U45" s="69">
        <f>(V45*50%)/(1+50%*V45)</f>
        <v>0</v>
      </c>
      <c r="V45" s="69"/>
      <c r="W45" s="70">
        <v>0.11</v>
      </c>
      <c r="X45" s="15">
        <f>(P45+Q45)/G45</f>
        <v>0.18192509748574728</v>
      </c>
      <c r="Y45" s="16">
        <f>VLOOKUP(C45,台股行情!A:D,4,FALSE)</f>
        <v>17.170000000000002</v>
      </c>
      <c r="Z45" s="38">
        <f>VLOOKUP(C45,台股行情!A:E,5,FALSE)</f>
        <v>-1.1299999999999999</v>
      </c>
      <c r="AA45" s="90">
        <f t="shared" ca="1" si="19"/>
        <v>4982.0282553937132</v>
      </c>
      <c r="AB45" s="103" t="s">
        <v>2266</v>
      </c>
    </row>
    <row r="46" spans="1:28" hidden="1" outlineLevel="1">
      <c r="A46" s="99">
        <v>46148</v>
      </c>
      <c r="B46" s="11"/>
      <c r="C46" s="348" t="s">
        <v>3071</v>
      </c>
      <c r="D46" s="189" t="str">
        <f>VLOOKUP(C46,台股行情!A:B,2,FALSE)</f>
        <v>主動復華未來50</v>
      </c>
      <c r="E46" s="11">
        <v>567</v>
      </c>
      <c r="F46" s="11">
        <v>17.63</v>
      </c>
      <c r="G46" s="11">
        <v>9996</v>
      </c>
      <c r="H46" s="11">
        <v>1</v>
      </c>
      <c r="I46" s="104"/>
      <c r="J46" s="16"/>
      <c r="K46" s="11">
        <f>E46*J46</f>
        <v>0</v>
      </c>
      <c r="L46" s="11">
        <f>ROUND(J46*E46*0.1425%,0)</f>
        <v>0</v>
      </c>
      <c r="M46" s="11">
        <f>ROUND(J46*E46*0.3%,0)</f>
        <v>0</v>
      </c>
      <c r="N46" s="11">
        <v>0</v>
      </c>
      <c r="O46" s="13">
        <f>IF(I46="",E46*Y46,0)</f>
        <v>9735.3900000000012</v>
      </c>
      <c r="P46" s="14">
        <f>IF(I46="",R46-H46,(K46-H46-SUM(L46:N46)+R46-S46-T46)-G46)+(ROUND(R46*V46,0)-ROUND(R46*(1+V46),0)*W46)</f>
        <v>-1</v>
      </c>
      <c r="Q46" s="14">
        <f>IF(I46="",(O46-G46-(O46*0.1425%*0.65)-(O46*0.3%)-S46-T46),0)</f>
        <v>-298.83357498749876</v>
      </c>
      <c r="R46" s="14"/>
      <c r="S46" s="14"/>
      <c r="T46" s="14">
        <f t="shared" si="30"/>
        <v>0</v>
      </c>
      <c r="U46" s="69">
        <f>(V46*50%)/(1+50%*V46)</f>
        <v>0</v>
      </c>
      <c r="V46" s="69"/>
      <c r="W46" s="70">
        <v>0.11</v>
      </c>
      <c r="X46" s="15">
        <f>(P46+Q46)/G46</f>
        <v>-2.9995355641006281E-2</v>
      </c>
      <c r="Y46" s="16">
        <f>VLOOKUP(C46,台股行情!A:D,4,FALSE)</f>
        <v>17.170000000000002</v>
      </c>
      <c r="Z46" s="38">
        <f>VLOOKUP(C46,台股行情!A:E,5,FALSE)</f>
        <v>-1.1299999999999999</v>
      </c>
      <c r="AA46" s="90">
        <f t="shared" ca="1" si="19"/>
        <v>4433.6655349906905</v>
      </c>
      <c r="AB46" s="103" t="s">
        <v>2266</v>
      </c>
    </row>
    <row r="47" spans="1:28" hidden="1" outlineLevel="1">
      <c r="A47" s="99">
        <v>46160</v>
      </c>
      <c r="B47" s="11"/>
      <c r="C47" s="348" t="s">
        <v>3071</v>
      </c>
      <c r="D47" s="189" t="str">
        <f>VLOOKUP(C47,台股行情!A:B,2,FALSE)</f>
        <v>主動復華未來50</v>
      </c>
      <c r="E47" s="11">
        <v>574</v>
      </c>
      <c r="F47" s="11">
        <v>17.420000000000002</v>
      </c>
      <c r="G47" s="11">
        <v>9996</v>
      </c>
      <c r="H47" s="11">
        <v>1</v>
      </c>
      <c r="I47" s="104"/>
      <c r="J47" s="16"/>
      <c r="K47" s="11">
        <f t="shared" ref="K47" si="40">E47*J47</f>
        <v>0</v>
      </c>
      <c r="L47" s="11">
        <f t="shared" ref="L47" si="41">ROUND(J47*E47*0.1425%,0)</f>
        <v>0</v>
      </c>
      <c r="M47" s="11">
        <f t="shared" ref="M47" si="42">ROUND(J47*E47*0.3%,0)</f>
        <v>0</v>
      </c>
      <c r="N47" s="11">
        <v>0</v>
      </c>
      <c r="O47" s="13">
        <f t="shared" ref="O47" si="43">IF(I47="",E47*Y47,0)</f>
        <v>9855.5800000000017</v>
      </c>
      <c r="P47" s="14">
        <f>IF(I47="",R47-H47,(K47-H47-SUM(L47:N47)+R47-S47-T47)-G47)+(ROUND(R47*V47,0)-ROUND(R47*(1+V47),0)*W47)</f>
        <v>-1</v>
      </c>
      <c r="Q47" s="14">
        <f t="shared" ref="Q47" si="44">IF(I47="",(O47-G47-(O47*0.1425%*0.65)-(O47*0.3%)-S47-T47),0)</f>
        <v>-179.11547097499826</v>
      </c>
      <c r="R47" s="14"/>
      <c r="S47" s="14"/>
      <c r="T47" s="14">
        <f>IF(ROUND(R47*(1+V47),0)&gt;20000,ROUND(ROUND(R47*(1+V47),0)*2%,0),0)</f>
        <v>0</v>
      </c>
      <c r="U47" s="69">
        <f t="shared" ref="U47" si="45">(V47*50%)/(1+50%*V47)</f>
        <v>0</v>
      </c>
      <c r="V47" s="69"/>
      <c r="W47" s="70">
        <v>0.11</v>
      </c>
      <c r="X47" s="15">
        <f t="shared" ref="X47" si="46">(P47+Q47)/G47</f>
        <v>-1.8018754599339562E-2</v>
      </c>
      <c r="Y47" s="16">
        <f>VLOOKUP(C47,台股行情!A:D,4,FALSE)</f>
        <v>17.170000000000002</v>
      </c>
      <c r="Z47" s="38">
        <f>VLOOKUP(C47,台股行情!A:E,5,FALSE)</f>
        <v>-1.1299999999999999</v>
      </c>
      <c r="AA47" s="90">
        <f t="shared" ca="1" si="19"/>
        <v>4105.2458657321213</v>
      </c>
      <c r="AB47" s="103" t="s">
        <v>2266</v>
      </c>
    </row>
    <row r="48" spans="1:28" hidden="1" outlineLevel="1">
      <c r="A48" s="99">
        <v>46181</v>
      </c>
      <c r="B48" s="11"/>
      <c r="C48" s="348" t="s">
        <v>3071</v>
      </c>
      <c r="D48" s="189" t="str">
        <f>VLOOKUP(C48,台股行情!A:B,2,FALSE)</f>
        <v>主動復華未來50</v>
      </c>
      <c r="E48" s="11">
        <v>542</v>
      </c>
      <c r="F48" s="11">
        <v>18.440000000000001</v>
      </c>
      <c r="G48" s="11">
        <v>9994</v>
      </c>
      <c r="H48" s="11">
        <v>1</v>
      </c>
      <c r="I48" s="104"/>
      <c r="J48" s="16"/>
      <c r="K48" s="11">
        <f t="shared" ref="K48" si="47">E48*J48</f>
        <v>0</v>
      </c>
      <c r="L48" s="11">
        <f t="shared" ref="L48" si="48">ROUND(J48*E48*0.1425%,0)</f>
        <v>0</v>
      </c>
      <c r="M48" s="11">
        <f t="shared" ref="M48" si="49">ROUND(J48*E48*0.3%,0)</f>
        <v>0</v>
      </c>
      <c r="N48" s="11">
        <v>0</v>
      </c>
      <c r="O48" s="13">
        <f t="shared" ref="O48" si="50">IF(I48="",E48*Y48,0)</f>
        <v>9306.1400000000012</v>
      </c>
      <c r="P48" s="14">
        <f>IF(I48="",R48-H48,(K48-H48-SUM(L48:N48)+R48-S48-T48)-G48)+(ROUND(R48*V48,0)-ROUND(R48*(1+V48),0)*W48)</f>
        <v>3278.65</v>
      </c>
      <c r="Q48" s="14">
        <f t="shared" ref="Q48" si="51">IF(I48="",(O48-G48-(O48*0.1425%*0.65)-(O48*0.3%)-S48-T48),0)</f>
        <v>-724.39823217499872</v>
      </c>
      <c r="R48" s="14">
        <v>3685</v>
      </c>
      <c r="S48" s="14"/>
      <c r="T48" s="14">
        <f>IF(ROUND(R48*(1+V48),0)&gt;20000,ROUND(ROUND(R48*(1+V48),0)*2%,0),0)</f>
        <v>0</v>
      </c>
      <c r="U48" s="69">
        <f t="shared" ref="U48" si="52">(V48*50%)/(1+50%*V48)</f>
        <v>0</v>
      </c>
      <c r="V48" s="69"/>
      <c r="W48" s="70">
        <v>0.11</v>
      </c>
      <c r="X48" s="15">
        <f t="shared" ref="X48" si="53">(P48+Q48)/G48</f>
        <v>0.25557852389683827</v>
      </c>
      <c r="Y48" s="16">
        <f>VLOOKUP(C48,台股行情!A:D,4,FALSE)</f>
        <v>17.170000000000002</v>
      </c>
      <c r="Z48" s="38">
        <f>VLOOKUP(C48,台股行情!A:E,5,FALSE)</f>
        <v>-1.1299999999999999</v>
      </c>
      <c r="AA48" s="90">
        <f ca="1">IF(I48="",((TODAY()-A48)*G48)/365.24,((I48-A48)*G48)/365.24)</f>
        <v>3529.8050596867811</v>
      </c>
      <c r="AB48" s="103" t="s">
        <v>2266</v>
      </c>
    </row>
    <row r="49" spans="1:30" collapsed="1">
      <c r="A49" s="99">
        <v>46090</v>
      </c>
      <c r="B49" s="11"/>
      <c r="C49" s="348">
        <v>830</v>
      </c>
      <c r="D49" s="189" t="str">
        <f>VLOOKUP(C49,台股行情!A:B,2,FALSE)</f>
        <v>國泰費城半導體</v>
      </c>
      <c r="E49" s="11">
        <v>192</v>
      </c>
      <c r="F49" s="11">
        <v>51.84</v>
      </c>
      <c r="G49" s="11">
        <v>9990</v>
      </c>
      <c r="H49" s="11">
        <v>1</v>
      </c>
      <c r="I49" s="104"/>
      <c r="J49" s="16"/>
      <c r="K49" s="11">
        <f t="shared" si="31"/>
        <v>0</v>
      </c>
      <c r="L49" s="11">
        <f t="shared" si="32"/>
        <v>0</v>
      </c>
      <c r="M49" s="11">
        <f t="shared" si="33"/>
        <v>0</v>
      </c>
      <c r="N49" s="11">
        <v>0</v>
      </c>
      <c r="O49" s="13">
        <f t="shared" si="34"/>
        <v>16003.199999999999</v>
      </c>
      <c r="P49" s="14">
        <f t="shared" si="35"/>
        <v>-1</v>
      </c>
      <c r="Q49" s="14">
        <f t="shared" si="36"/>
        <v>5950.3674359999986</v>
      </c>
      <c r="R49" s="14"/>
      <c r="S49" s="14"/>
      <c r="T49" s="14">
        <f t="shared" ref="T49:T58" si="54">IF(ROUND(R49*(1+V49),0)&gt;20000,ROUND(ROUND(R49*(1+V49),0)*2%,0),0)</f>
        <v>0</v>
      </c>
      <c r="U49" s="69">
        <f t="shared" si="37"/>
        <v>0</v>
      </c>
      <c r="V49" s="69"/>
      <c r="W49" s="70">
        <v>0.11</v>
      </c>
      <c r="X49" s="15">
        <f t="shared" si="38"/>
        <v>0.59553227587587576</v>
      </c>
      <c r="Y49" s="16">
        <f>VLOOKUP(C49,台股行情!A:D,4,FALSE)</f>
        <v>83.35</v>
      </c>
      <c r="Z49" s="38">
        <f>VLOOKUP(C49,台股行情!A:E,5,FALSE)</f>
        <v>-3.75</v>
      </c>
      <c r="AA49" s="90">
        <f t="shared" ca="1" si="19"/>
        <v>6017.4132077538052</v>
      </c>
      <c r="AB49" s="103" t="s">
        <v>2266</v>
      </c>
    </row>
    <row r="50" spans="1:30" hidden="1" outlineLevel="1">
      <c r="A50" s="99">
        <v>46098</v>
      </c>
      <c r="B50" s="11"/>
      <c r="C50" s="348">
        <v>830</v>
      </c>
      <c r="D50" s="189" t="str">
        <f>VLOOKUP(C50,台股行情!A:B,2,FALSE)</f>
        <v>國泰費城半導體</v>
      </c>
      <c r="E50" s="11">
        <v>181</v>
      </c>
      <c r="F50" s="11">
        <v>55.1</v>
      </c>
      <c r="G50" s="11">
        <v>9973</v>
      </c>
      <c r="H50" s="11">
        <v>1</v>
      </c>
      <c r="I50" s="104"/>
      <c r="J50" s="16"/>
      <c r="K50" s="11">
        <f t="shared" ref="K50:K58" si="55">E50*J50</f>
        <v>0</v>
      </c>
      <c r="L50" s="11">
        <f t="shared" ref="L50:L58" si="56">ROUND(J50*E50*0.1425%,0)</f>
        <v>0</v>
      </c>
      <c r="M50" s="11">
        <f t="shared" ref="M50:M59" si="57">ROUND(J50*E50*0.3%,0)</f>
        <v>0</v>
      </c>
      <c r="N50" s="11">
        <v>0</v>
      </c>
      <c r="O50" s="13">
        <f t="shared" ref="O50:O58" si="58">IF(I50="",E50*Y50,0)</f>
        <v>15086.349999999999</v>
      </c>
      <c r="P50" s="14">
        <f t="shared" ref="P50:P58" si="59">IF(I50="",R50-H50,(K50-H50-SUM(L50:N50)+R50-S50-T50)-G50)+(ROUND(R50*V50,0)-ROUND(R50*(1+V50),0)*W50)</f>
        <v>-1</v>
      </c>
      <c r="Q50" s="14">
        <f t="shared" ref="Q50:Q58" si="60">IF(I50="",(O50-G50-(O50*0.1425%*0.65)-(O50*0.3%)-S50-T50),0)</f>
        <v>5054.1172183124991</v>
      </c>
      <c r="R50" s="14"/>
      <c r="S50" s="14"/>
      <c r="T50" s="14">
        <f t="shared" si="54"/>
        <v>0</v>
      </c>
      <c r="U50" s="69">
        <f t="shared" ref="U50:U58" si="61">(V50*50%)/(1+50%*V50)</f>
        <v>0</v>
      </c>
      <c r="V50" s="69"/>
      <c r="W50" s="70">
        <v>0.11</v>
      </c>
      <c r="X50" s="15">
        <f t="shared" ref="X50:X58" si="62">(P50+Q50)/G50</f>
        <v>0.50667975717562408</v>
      </c>
      <c r="Y50" s="16">
        <f>VLOOKUP(C50,台股行情!A:D,4,FALSE)</f>
        <v>83.35</v>
      </c>
      <c r="Z50" s="38">
        <f>VLOOKUP(C50,台股行情!A:E,5,FALSE)</f>
        <v>-3.75</v>
      </c>
      <c r="AA50" s="90">
        <f t="shared" ca="1" si="19"/>
        <v>5788.7306976234804</v>
      </c>
      <c r="AB50" s="103" t="s">
        <v>2266</v>
      </c>
    </row>
    <row r="51" spans="1:30" hidden="1" outlineLevel="1">
      <c r="A51" s="99">
        <v>46119</v>
      </c>
      <c r="B51" s="11"/>
      <c r="C51" s="348">
        <v>830</v>
      </c>
      <c r="D51" s="189" t="str">
        <f>VLOOKUP(C51,台股行情!A:B,2,FALSE)</f>
        <v>國泰費城半導體</v>
      </c>
      <c r="E51" s="11">
        <v>179</v>
      </c>
      <c r="F51" s="11">
        <v>55.66</v>
      </c>
      <c r="G51" s="11">
        <v>9963</v>
      </c>
      <c r="H51" s="11">
        <v>1</v>
      </c>
      <c r="I51" s="104"/>
      <c r="J51" s="16"/>
      <c r="K51" s="11">
        <f>E51*J51</f>
        <v>0</v>
      </c>
      <c r="L51" s="11">
        <f>ROUND(J51*E51*0.1425%,0)</f>
        <v>0</v>
      </c>
      <c r="M51" s="11">
        <f>ROUND(J51*E51*0.3%,0)</f>
        <v>0</v>
      </c>
      <c r="N51" s="11">
        <v>0</v>
      </c>
      <c r="O51" s="13">
        <f>IF(I51="",E51*Y51,0)</f>
        <v>14919.65</v>
      </c>
      <c r="P51" s="14">
        <f>IF(I51="",R51-H51,(K51-H51-SUM(L51:N51)+R51-S51-T51)-G51)+(ROUND(R51*V51,0)-ROUND(R51*(1+V51),0)*W51)</f>
        <v>-1</v>
      </c>
      <c r="Q51" s="14">
        <f>IF(I51="",(O51-G51-(O51*0.1425%*0.65)-(O51*0.3%)-S51-T51),0)</f>
        <v>4898.0717241874991</v>
      </c>
      <c r="R51" s="14"/>
      <c r="S51" s="14"/>
      <c r="T51" s="14">
        <f t="shared" si="54"/>
        <v>0</v>
      </c>
      <c r="U51" s="69">
        <f>(V51*50%)/(1+50%*V51)</f>
        <v>0</v>
      </c>
      <c r="V51" s="69"/>
      <c r="W51" s="70">
        <v>0.11</v>
      </c>
      <c r="X51" s="15">
        <f>(P51+Q51)/G51</f>
        <v>0.49152581794514694</v>
      </c>
      <c r="Y51" s="16">
        <f>VLOOKUP(C51,台股行情!A:D,4,FALSE)</f>
        <v>83.35</v>
      </c>
      <c r="Z51" s="38">
        <f>VLOOKUP(C51,台股行情!A:E,5,FALSE)</f>
        <v>-3.75</v>
      </c>
      <c r="AA51" s="90">
        <f t="shared" ca="1" si="19"/>
        <v>5210.0892563793668</v>
      </c>
      <c r="AB51" s="103" t="s">
        <v>2266</v>
      </c>
    </row>
    <row r="52" spans="1:30" hidden="1" outlineLevel="1">
      <c r="A52" s="99">
        <v>46129</v>
      </c>
      <c r="B52" s="11"/>
      <c r="C52" s="348">
        <v>830</v>
      </c>
      <c r="D52" s="189" t="str">
        <f>VLOOKUP(C52,台股行情!A:B,2,FALSE)</f>
        <v>國泰費城半導體</v>
      </c>
      <c r="E52" s="11">
        <v>153</v>
      </c>
      <c r="F52" s="11">
        <v>65.25</v>
      </c>
      <c r="G52" s="11">
        <v>9983</v>
      </c>
      <c r="H52" s="11">
        <v>1</v>
      </c>
      <c r="I52" s="104"/>
      <c r="J52" s="16"/>
      <c r="K52" s="11">
        <f>E52*J52</f>
        <v>0</v>
      </c>
      <c r="L52" s="11">
        <f>ROUND(J52*E52*0.1425%,0)</f>
        <v>0</v>
      </c>
      <c r="M52" s="11">
        <f>ROUND(J52*E52*0.3%,0)</f>
        <v>0</v>
      </c>
      <c r="N52" s="11">
        <v>0</v>
      </c>
      <c r="O52" s="13">
        <f>IF(I52="",E52*Y52,0)</f>
        <v>12752.55</v>
      </c>
      <c r="P52" s="14">
        <f>IF(I52="",R52-H52,(K52-H52-SUM(L52:N52)+R52-S52-T52)-G52)+(ROUND(R52*V52,0)-ROUND(R52*(1+V52),0)*W52)</f>
        <v>-1</v>
      </c>
      <c r="Q52" s="14">
        <f>IF(I52="",(O52-G52-(O52*0.1425%*0.65)-(O52*0.3%)-S52-T52),0)</f>
        <v>2719.4803005624995</v>
      </c>
      <c r="R52" s="14"/>
      <c r="S52" s="14"/>
      <c r="T52" s="14">
        <f t="shared" si="54"/>
        <v>0</v>
      </c>
      <c r="U52" s="69">
        <f>(V52*50%)/(1+50%*V52)</f>
        <v>0</v>
      </c>
      <c r="V52" s="69"/>
      <c r="W52" s="70">
        <v>0.11</v>
      </c>
      <c r="X52" s="15">
        <f>(P52+Q52)/G52</f>
        <v>0.27231095868601618</v>
      </c>
      <c r="Y52" s="16">
        <f>VLOOKUP(C52,台股行情!A:D,4,FALSE)</f>
        <v>83.35</v>
      </c>
      <c r="Z52" s="38">
        <f>VLOOKUP(C52,台股行情!A:E,5,FALSE)</f>
        <v>-3.75</v>
      </c>
      <c r="AA52" s="90">
        <f t="shared" ca="1" si="19"/>
        <v>4947.2210053663348</v>
      </c>
      <c r="AB52" s="103" t="s">
        <v>2266</v>
      </c>
    </row>
    <row r="53" spans="1:30" hidden="1" outlineLevel="1">
      <c r="A53" s="99">
        <v>46149</v>
      </c>
      <c r="B53" s="11"/>
      <c r="C53" s="348">
        <v>830</v>
      </c>
      <c r="D53" s="189" t="str">
        <f>VLOOKUP(C53,台股行情!A:B,2,FALSE)</f>
        <v>國泰費城半導體</v>
      </c>
      <c r="E53" s="11">
        <v>125</v>
      </c>
      <c r="F53" s="11">
        <v>79.47</v>
      </c>
      <c r="G53" s="11">
        <v>9933</v>
      </c>
      <c r="H53" s="11">
        <v>41</v>
      </c>
      <c r="I53" s="104"/>
      <c r="J53" s="16"/>
      <c r="K53" s="11">
        <f>E53*J53</f>
        <v>0</v>
      </c>
      <c r="L53" s="11">
        <f>ROUND(J53*E53*0.1425%,0)</f>
        <v>0</v>
      </c>
      <c r="M53" s="11">
        <f>ROUND(J53*E53*0.3%,0)</f>
        <v>0</v>
      </c>
      <c r="N53" s="11">
        <v>0</v>
      </c>
      <c r="O53" s="13">
        <f>IF(I53="",E53*Y53,0)</f>
        <v>10418.75</v>
      </c>
      <c r="P53" s="14">
        <f>IF(I53="",R53-H53,(K53-H53-SUM(L53:N53)+R53-S53-T53)-G53)+(ROUND(R53*V53,0)-ROUND(R53*(1+V53),0)*W53)</f>
        <v>-41</v>
      </c>
      <c r="Q53" s="14">
        <f>IF(I53="",(O53-G53-(O53*0.1425%*0.65)-(O53*0.3%)-S53-T53),0)</f>
        <v>444.84338281249995</v>
      </c>
      <c r="R53" s="14"/>
      <c r="S53" s="14"/>
      <c r="T53" s="14">
        <f t="shared" si="54"/>
        <v>0</v>
      </c>
      <c r="U53" s="69">
        <f>(V53*50%)/(1+50%*V53)</f>
        <v>0</v>
      </c>
      <c r="V53" s="69"/>
      <c r="W53" s="70">
        <v>0.11</v>
      </c>
      <c r="X53" s="15">
        <f>(P53+Q53)/G53</f>
        <v>4.0656738428722437E-2</v>
      </c>
      <c r="Y53" s="16">
        <f>VLOOKUP(C53,台股行情!A:D,4,FALSE)</f>
        <v>83.35</v>
      </c>
      <c r="Z53" s="38">
        <f>VLOOKUP(C53,台股行情!A:E,5,FALSE)</f>
        <v>-3.75</v>
      </c>
      <c r="AA53" s="90">
        <f t="shared" ca="1" si="19"/>
        <v>4378.5264483627207</v>
      </c>
      <c r="AB53" s="103" t="s">
        <v>2266</v>
      </c>
    </row>
    <row r="54" spans="1:30" hidden="1" outlineLevel="1">
      <c r="A54" s="99">
        <v>46160</v>
      </c>
      <c r="B54" s="11"/>
      <c r="C54" s="348">
        <v>830</v>
      </c>
      <c r="D54" s="189" t="str">
        <f>VLOOKUP(C54,台股行情!A:B,2,FALSE)</f>
        <v>國泰費城半導體</v>
      </c>
      <c r="E54" s="11">
        <v>123</v>
      </c>
      <c r="F54" s="11">
        <v>80.87</v>
      </c>
      <c r="G54" s="11">
        <v>9933</v>
      </c>
      <c r="H54" s="11">
        <v>1</v>
      </c>
      <c r="I54" s="104"/>
      <c r="J54" s="16"/>
      <c r="K54" s="11">
        <f>E54*J54</f>
        <v>0</v>
      </c>
      <c r="L54" s="11">
        <f>ROUND(J54*E54*0.1425%,0)</f>
        <v>0</v>
      </c>
      <c r="M54" s="11">
        <f>ROUND(J54*E54*0.3%,0)</f>
        <v>0</v>
      </c>
      <c r="N54" s="11">
        <v>0</v>
      </c>
      <c r="O54" s="13">
        <f>IF(I54="",E54*Y54,0)</f>
        <v>10252.049999999999</v>
      </c>
      <c r="P54" s="14">
        <f>IF(I54="",R54-H54,(K54-H54-SUM(L54:N54)+R54-S54-T54)-G54)+(ROUND(R54*V54,0)-ROUND(R54*(1+V54),0)*W54)</f>
        <v>-1</v>
      </c>
      <c r="Q54" s="14">
        <f>IF(I54="",(O54-G54-(O54*0.1425%*0.65)-(O54*0.3%)-S54-T54),0)</f>
        <v>278.79788868749927</v>
      </c>
      <c r="R54" s="14"/>
      <c r="S54" s="14"/>
      <c r="T54" s="14">
        <f t="shared" si="54"/>
        <v>0</v>
      </c>
      <c r="U54" s="69">
        <f>(V54*50%)/(1+50%*V54)</f>
        <v>0</v>
      </c>
      <c r="V54" s="69"/>
      <c r="W54" s="70">
        <v>0.11</v>
      </c>
      <c r="X54" s="15">
        <f>(P54+Q54)/G54</f>
        <v>2.7967168900382488E-2</v>
      </c>
      <c r="Y54" s="16">
        <f>VLOOKUP(C54,台股行情!A:D,4,FALSE)</f>
        <v>83.35</v>
      </c>
      <c r="Z54" s="38">
        <f>VLOOKUP(C54,台股行情!A:E,5,FALSE)</f>
        <v>-3.75</v>
      </c>
      <c r="AA54" s="90">
        <f t="shared" ca="1" si="19"/>
        <v>4079.3724674186833</v>
      </c>
      <c r="AB54" s="103" t="s">
        <v>2266</v>
      </c>
    </row>
    <row r="55" spans="1:30" hidden="1" outlineLevel="1">
      <c r="A55" s="99">
        <v>46181</v>
      </c>
      <c r="B55" s="11"/>
      <c r="C55" s="348">
        <v>830</v>
      </c>
      <c r="D55" s="189" t="str">
        <f>VLOOKUP(C55,台股行情!A:B,2,FALSE)</f>
        <v>國泰費城半導體</v>
      </c>
      <c r="E55" s="11">
        <v>113</v>
      </c>
      <c r="F55" s="11">
        <v>88.08</v>
      </c>
      <c r="G55" s="11">
        <v>9953</v>
      </c>
      <c r="H55" s="11">
        <v>1</v>
      </c>
      <c r="I55" s="104"/>
      <c r="J55" s="16"/>
      <c r="K55" s="11">
        <f>E55*J55</f>
        <v>0</v>
      </c>
      <c r="L55" s="11">
        <f>ROUND(J55*E55*0.1425%,0)</f>
        <v>0</v>
      </c>
      <c r="M55" s="11">
        <f>ROUND(J55*E55*0.3%,0)</f>
        <v>0</v>
      </c>
      <c r="N55" s="11">
        <v>0</v>
      </c>
      <c r="O55" s="13">
        <f>IF(I55="",E55*Y55,0)</f>
        <v>9418.5499999999993</v>
      </c>
      <c r="P55" s="14">
        <f>IF(I55="",R55-H55,(K55-H55-SUM(L55:N55)+R55-S55-T55)-G55)+(ROUND(R55*V55,0)-ROUND(R55*(1+V55),0)*W55)</f>
        <v>-1</v>
      </c>
      <c r="Q55" s="14">
        <f>IF(I55="",(O55-G55-(O55*0.1425%*0.65)-(O55*0.3%)-S55-T55),0)</f>
        <v>-571.42958193750064</v>
      </c>
      <c r="R55" s="14"/>
      <c r="S55" s="14"/>
      <c r="T55" s="14">
        <f t="shared" ref="T55" si="63">IF(ROUND(R55*(1+V55),0)&gt;20000,ROUND(ROUND(R55*(1+V55),0)*2%,0),0)</f>
        <v>0</v>
      </c>
      <c r="U55" s="69">
        <f>(V55*50%)/(1+50%*V55)</f>
        <v>0</v>
      </c>
      <c r="V55" s="69"/>
      <c r="W55" s="70">
        <v>0.11</v>
      </c>
      <c r="X55" s="15">
        <f>(P55+Q55)/G55</f>
        <v>-5.7513270565407476E-2</v>
      </c>
      <c r="Y55" s="16">
        <f>VLOOKUP(C55,台股行情!A:D,4,FALSE)</f>
        <v>83.35</v>
      </c>
      <c r="Z55" s="38">
        <f>VLOOKUP(C55,台股行情!A:E,5,FALSE)</f>
        <v>-3.75</v>
      </c>
      <c r="AA55" s="90">
        <f ca="1">IF(I55="",((TODAY()-A55)*G55)/365.24,((I55-A55)*G55)/365.24)</f>
        <v>3515.3241704084985</v>
      </c>
      <c r="AB55" s="103" t="s">
        <v>2266</v>
      </c>
    </row>
    <row r="56" spans="1:30" hidden="1" outlineLevel="1">
      <c r="A56" s="99">
        <v>46210</v>
      </c>
      <c r="B56" s="11"/>
      <c r="C56" s="348">
        <v>830</v>
      </c>
      <c r="D56" s="189" t="str">
        <f>VLOOKUP(C56,台股行情!A:B,2,FALSE)</f>
        <v>國泰費城半導體</v>
      </c>
      <c r="E56" s="11">
        <v>110</v>
      </c>
      <c r="F56" s="11">
        <v>90.76</v>
      </c>
      <c r="G56" s="11">
        <v>9983</v>
      </c>
      <c r="H56" s="11">
        <v>1</v>
      </c>
      <c r="I56" s="104"/>
      <c r="J56" s="16"/>
      <c r="K56" s="11">
        <f>E56*J56</f>
        <v>0</v>
      </c>
      <c r="L56" s="11">
        <f>ROUND(J56*E56*0.1425%,0)</f>
        <v>0</v>
      </c>
      <c r="M56" s="11">
        <f>ROUND(J56*E56*0.3%,0)</f>
        <v>0</v>
      </c>
      <c r="N56" s="11">
        <v>0</v>
      </c>
      <c r="O56" s="13">
        <f>IF(I56="",E56*Y56,0)</f>
        <v>9168.5</v>
      </c>
      <c r="P56" s="14">
        <f>IF(I56="",R56-H56,(K56-H56-SUM(L56:N56)+R56-S56-T56)-G56)+(ROUND(R56*V56,0)-ROUND(R56*(1+V56),0)*W56)</f>
        <v>-1</v>
      </c>
      <c r="Q56" s="14">
        <f>IF(I56="",(O56-G56-(O56*0.1425%*0.65)-(O56*0.3%)-S56-T56),0)</f>
        <v>-850.49782312499997</v>
      </c>
      <c r="R56" s="14"/>
      <c r="S56" s="14"/>
      <c r="T56" s="14">
        <f>IF(ROUND(R56*(1+V56),0)&gt;20000,ROUND(ROUND(R56*(1+V56),0)*2%,0),0)</f>
        <v>0</v>
      </c>
      <c r="U56" s="69">
        <f>(V56*50%)/(1+50%*V56)</f>
        <v>0</v>
      </c>
      <c r="V56" s="69"/>
      <c r="W56" s="70">
        <v>0.11</v>
      </c>
      <c r="X56" s="15">
        <f>(P56+Q56)/G56</f>
        <v>-8.5294783444355399E-2</v>
      </c>
      <c r="Y56" s="16">
        <f>VLOOKUP(C56,台股行情!A:D,4,FALSE)</f>
        <v>83.35</v>
      </c>
      <c r="Z56" s="38">
        <f>VLOOKUP(C56,台股行情!A:E,5,FALSE)</f>
        <v>-3.75</v>
      </c>
      <c r="AA56" s="90">
        <f ca="1">IF(I56="",((TODAY()-A56)*G56)/365.24,((I56-A56)*G56)/365.24)</f>
        <v>2733.2712736830576</v>
      </c>
      <c r="AB56" s="103" t="s">
        <v>2733</v>
      </c>
      <c r="AC56" s="9"/>
    </row>
    <row r="57" spans="1:30" hidden="1" outlineLevel="1">
      <c r="A57" s="99">
        <v>46241</v>
      </c>
      <c r="B57" s="11"/>
      <c r="C57" s="348">
        <v>830</v>
      </c>
      <c r="D57" s="189" t="str">
        <f>VLOOKUP(C57,台股行情!A:B,2,FALSE)</f>
        <v>國泰費城半導體</v>
      </c>
      <c r="E57" s="11">
        <v>115</v>
      </c>
      <c r="F57" s="11">
        <v>86.26</v>
      </c>
      <c r="G57" s="11">
        <v>9919</v>
      </c>
      <c r="H57" s="11">
        <v>1</v>
      </c>
      <c r="I57" s="104"/>
      <c r="J57" s="16"/>
      <c r="K57" s="11">
        <f>E57*J57</f>
        <v>0</v>
      </c>
      <c r="L57" s="11">
        <f>ROUND(J57*E57*0.1425%,0)</f>
        <v>0</v>
      </c>
      <c r="M57" s="11">
        <f>ROUND(J57*E57*0.3%,0)</f>
        <v>0</v>
      </c>
      <c r="N57" s="11">
        <v>0</v>
      </c>
      <c r="O57" s="13">
        <f>IF(I57="",E57*Y57,0)</f>
        <v>9585.25</v>
      </c>
      <c r="P57" s="14">
        <f>IF(I57="",R57-H57,(K57-H57-SUM(L57:N57)+R57-S57-T57)-G57)+(ROUND(R57*V57,0)-ROUND(R57*(1+V57),0)*W57)</f>
        <v>-1</v>
      </c>
      <c r="Q57" s="14">
        <f>IF(I57="",(O57-G57-(O57*0.1425%*0.65)-(O57*0.3%)-S57-T57),0)</f>
        <v>-371.38408781249996</v>
      </c>
      <c r="R57" s="14"/>
      <c r="S57" s="14"/>
      <c r="T57" s="14">
        <f>IF(ROUND(R57*(1+V57),0)&gt;20000,ROUND(ROUND(R57*(1+V57),0)*2%,0),0)</f>
        <v>0</v>
      </c>
      <c r="U57" s="69">
        <f>(V57*50%)/(1+50%*V57)</f>
        <v>0</v>
      </c>
      <c r="V57" s="69"/>
      <c r="W57" s="70">
        <v>0.11</v>
      </c>
      <c r="X57" s="15">
        <f>(P57+Q57)/G57</f>
        <v>-3.7542503056003623E-2</v>
      </c>
      <c r="Y57" s="16">
        <f>VLOOKUP(C57,台股行情!A:D,4,FALSE)</f>
        <v>83.35</v>
      </c>
      <c r="Z57" s="38">
        <f>VLOOKUP(C57,台股行情!A:E,5,FALSE)</f>
        <v>-3.75</v>
      </c>
      <c r="AA57" s="90">
        <f ca="1">IF(I57="",((TODAY()-A57)*G57)/365.24,((I57-A57)*G57)/365.24)</f>
        <v>1873.8664987405541</v>
      </c>
      <c r="AB57" s="103" t="s">
        <v>2733</v>
      </c>
      <c r="AC57" s="9"/>
    </row>
    <row r="58" spans="1:30">
      <c r="A58" s="99">
        <v>46098</v>
      </c>
      <c r="B58" s="11"/>
      <c r="C58" s="11">
        <v>8086</v>
      </c>
      <c r="D58" s="189" t="str">
        <f>VLOOKUP(C58,台股行情!A:B,2,FALSE)</f>
        <v>宏捷科</v>
      </c>
      <c r="E58" s="11">
        <v>1000</v>
      </c>
      <c r="F58" s="11">
        <v>129</v>
      </c>
      <c r="G58" s="11">
        <f t="shared" ref="G58" si="64">E58*F58</f>
        <v>129000</v>
      </c>
      <c r="H58" s="11">
        <v>183</v>
      </c>
      <c r="I58" s="104"/>
      <c r="J58" s="16"/>
      <c r="K58" s="11">
        <f t="shared" si="55"/>
        <v>0</v>
      </c>
      <c r="L58" s="11">
        <f t="shared" si="56"/>
        <v>0</v>
      </c>
      <c r="M58" s="11">
        <f t="shared" si="57"/>
        <v>0</v>
      </c>
      <c r="N58" s="11">
        <v>0</v>
      </c>
      <c r="O58" s="13">
        <f t="shared" si="58"/>
        <v>130000</v>
      </c>
      <c r="P58" s="14">
        <f t="shared" si="59"/>
        <v>-183</v>
      </c>
      <c r="Q58" s="14">
        <f t="shared" si="60"/>
        <v>489.58749999999998</v>
      </c>
      <c r="R58" s="14"/>
      <c r="S58" s="14"/>
      <c r="T58" s="14">
        <f t="shared" si="54"/>
        <v>0</v>
      </c>
      <c r="U58" s="69">
        <f t="shared" si="61"/>
        <v>0</v>
      </c>
      <c r="V58" s="69"/>
      <c r="W58" s="70">
        <v>0.11</v>
      </c>
      <c r="X58" s="15">
        <f t="shared" si="62"/>
        <v>2.3766472868217052E-3</v>
      </c>
      <c r="Y58" s="16">
        <f>VLOOKUP(C58,台股行情!A:D,4,FALSE)</f>
        <v>130</v>
      </c>
      <c r="Z58" s="38">
        <f>VLOOKUP(C58,台股行情!A:E,5,FALSE)</f>
        <v>-11</v>
      </c>
      <c r="AA58" s="90">
        <f t="shared" ca="1" si="19"/>
        <v>74876.793341364581</v>
      </c>
      <c r="AB58" s="103" t="s">
        <v>209</v>
      </c>
      <c r="AD58" s="311" t="s">
        <v>3079</v>
      </c>
    </row>
    <row r="59" spans="1:30" collapsed="1">
      <c r="A59" s="99">
        <v>46140</v>
      </c>
      <c r="B59" s="11"/>
      <c r="C59" s="341">
        <v>50</v>
      </c>
      <c r="D59" s="189" t="str">
        <f>VLOOKUP(C59,台股行情!A:B,2,FALSE)</f>
        <v>元大台灣50</v>
      </c>
      <c r="E59" s="11">
        <v>53</v>
      </c>
      <c r="F59" s="11">
        <v>92.74</v>
      </c>
      <c r="G59" s="11">
        <v>4915</v>
      </c>
      <c r="H59" s="11">
        <v>1</v>
      </c>
      <c r="I59" s="104"/>
      <c r="J59" s="16"/>
      <c r="K59" s="11">
        <f t="shared" ref="K59" si="65">E59*J59</f>
        <v>0</v>
      </c>
      <c r="L59" s="11">
        <f t="shared" ref="L59" si="66">ROUND(J59*E59*0.1425%,0)</f>
        <v>0</v>
      </c>
      <c r="M59" s="11">
        <f t="shared" si="57"/>
        <v>0</v>
      </c>
      <c r="N59" s="11">
        <v>0</v>
      </c>
      <c r="O59" s="13">
        <f>IF(I59="",E59*Y59,0)</f>
        <v>5771.7000000000007</v>
      </c>
      <c r="P59" s="14">
        <f t="shared" ref="P59" si="67">IF(I59="",R59-H59,(K59-H59-SUM(L59:N59)+R59-S59-T59)-G59)+(ROUND(R59*V59,0)-ROUND(R59*(1+V59),0)*W59)</f>
        <v>-1</v>
      </c>
      <c r="Q59" s="14">
        <f>IF(I59="",(O59-G59-(O59*0.1425%*0.65)-(O59*0.3%)-S59-T59),0)</f>
        <v>834.03886287500075</v>
      </c>
      <c r="R59" s="14"/>
      <c r="S59" s="14"/>
      <c r="T59" s="14">
        <f t="shared" ref="T59:T81" si="68">IF(ROUND(R59*(1+V59),0)&gt;20000,ROUND(ROUND(R59*(1+V59),0)*2%,0),0)</f>
        <v>0</v>
      </c>
      <c r="U59" s="69">
        <f t="shared" ref="U59" si="69">(V59*50%)/(1+50%*V59)</f>
        <v>0</v>
      </c>
      <c r="V59" s="69"/>
      <c r="W59" s="70">
        <v>0.11</v>
      </c>
      <c r="X59" s="15">
        <f>(P59+Q59)/G59</f>
        <v>0.16948908705493404</v>
      </c>
      <c r="Y59" s="16">
        <f>VLOOKUP(C59,台股行情!A:D,4,FALSE)</f>
        <v>108.9</v>
      </c>
      <c r="Z59" s="38">
        <f>VLOOKUP(C59,台股行情!A:E,5,FALSE)</f>
        <v>-4.0999999999999996</v>
      </c>
      <c r="AA59" s="90">
        <f t="shared" ca="1" si="19"/>
        <v>2287.6738582849634</v>
      </c>
      <c r="AB59" s="103" t="s">
        <v>2266</v>
      </c>
    </row>
    <row r="60" spans="1:30" hidden="1" outlineLevel="1">
      <c r="A60" s="99">
        <v>46150</v>
      </c>
      <c r="B60" s="11"/>
      <c r="C60" s="348">
        <v>50</v>
      </c>
      <c r="D60" s="189" t="str">
        <f>VLOOKUP(C60,台股行情!A:B,2,FALSE)</f>
        <v>元大台灣50</v>
      </c>
      <c r="E60" s="11">
        <v>51</v>
      </c>
      <c r="F60" s="11">
        <v>97.02</v>
      </c>
      <c r="G60" s="11">
        <v>4948</v>
      </c>
      <c r="H60" s="11">
        <v>1</v>
      </c>
      <c r="I60" s="104"/>
      <c r="J60" s="16"/>
      <c r="K60" s="11">
        <f>E60*J60</f>
        <v>0</v>
      </c>
      <c r="L60" s="11">
        <f>ROUND(J60*E60*0.1425%,0)</f>
        <v>0</v>
      </c>
      <c r="M60" s="11">
        <f>ROUND(J60*E60*0.3%,0)</f>
        <v>0</v>
      </c>
      <c r="N60" s="11">
        <v>0</v>
      </c>
      <c r="O60" s="13">
        <f>IF(I60="",E60*Y60,0)</f>
        <v>5553.9000000000005</v>
      </c>
      <c r="P60" s="14">
        <f>IF(I60="",R60-H60,(K60-H60-SUM(L60:N60)+R60-S60-T60)-G60)+(ROUND(R60*V60,0)-ROUND(R60*(1+V60),0)*W60)</f>
        <v>-1</v>
      </c>
      <c r="Q60" s="14">
        <f>IF(I60="",(O60-G60-(O60*0.1425%*0.65)-(O60*0.3%)-S60-T60),0)</f>
        <v>584.09400012500055</v>
      </c>
      <c r="R60" s="14"/>
      <c r="S60" s="14"/>
      <c r="T60" s="14">
        <f>IF(ROUND(R60*(1+V60),0)&gt;20000,ROUND(ROUND(R60*(1+V60),0)*2%,0),0)</f>
        <v>0</v>
      </c>
      <c r="U60" s="69">
        <f>(V60*50%)/(1+50%*V60)</f>
        <v>0</v>
      </c>
      <c r="V60" s="69"/>
      <c r="W60" s="70">
        <v>0.11</v>
      </c>
      <c r="X60" s="15">
        <f>(P60+Q60)/G60</f>
        <v>0.11784438159357327</v>
      </c>
      <c r="Y60" s="16">
        <f>VLOOKUP(C60,台股行情!A:D,4,FALSE)</f>
        <v>108.9</v>
      </c>
      <c r="Z60" s="38">
        <f>VLOOKUP(C60,台股行情!A:E,5,FALSE)</f>
        <v>-4.0999999999999996</v>
      </c>
      <c r="AA60" s="90">
        <f t="shared" ca="1" si="19"/>
        <v>2167.5610557441682</v>
      </c>
      <c r="AB60" s="103" t="s">
        <v>2266</v>
      </c>
    </row>
    <row r="61" spans="1:30" hidden="1" outlineLevel="1">
      <c r="A61" s="99">
        <v>46160</v>
      </c>
      <c r="B61" s="11"/>
      <c r="C61" s="348">
        <v>50</v>
      </c>
      <c r="D61" s="189" t="str">
        <f>VLOOKUP(C61,台股行情!A:B,2,FALSE)</f>
        <v>元大台灣50</v>
      </c>
      <c r="E61" s="11">
        <v>52</v>
      </c>
      <c r="F61" s="11">
        <v>94.4</v>
      </c>
      <c r="G61" s="11">
        <v>4948</v>
      </c>
      <c r="H61" s="11">
        <v>1</v>
      </c>
      <c r="I61" s="104"/>
      <c r="J61" s="16"/>
      <c r="K61" s="11">
        <f>E61*J61</f>
        <v>0</v>
      </c>
      <c r="L61" s="11">
        <f>ROUND(J61*E61*0.1425%,0)</f>
        <v>0</v>
      </c>
      <c r="M61" s="11">
        <f>ROUND(J61*E61*0.3%,0)</f>
        <v>0</v>
      </c>
      <c r="N61" s="11">
        <v>0</v>
      </c>
      <c r="O61" s="13">
        <f>IF(I61="",E61*Y61,0)</f>
        <v>5662.8</v>
      </c>
      <c r="P61" s="14">
        <f>IF(I61="",R61-H61,(K61-H61-SUM(L61:N61)+R61-S61-T61)-G61)+(ROUND(R61*V61,0)-ROUND(R61*(1+V61),0)*W61)</f>
        <v>-1</v>
      </c>
      <c r="Q61" s="14">
        <f>IF(I61="",(O61-G61-(O61*0.1425%*0.65)-(O61*0.3%)-S61-T61),0)</f>
        <v>692.56643150000025</v>
      </c>
      <c r="R61" s="14"/>
      <c r="S61" s="14"/>
      <c r="T61" s="14">
        <f>IF(ROUND(R61*(1+V61),0)&gt;20000,ROUND(ROUND(R61*(1+V61),0)*2%,0),0)</f>
        <v>0</v>
      </c>
      <c r="U61" s="69">
        <f>(V61*50%)/(1+50%*V61)</f>
        <v>0</v>
      </c>
      <c r="V61" s="69"/>
      <c r="W61" s="70">
        <v>0.11</v>
      </c>
      <c r="X61" s="15">
        <f>(P61+Q61)/G61</f>
        <v>0.13976686166127733</v>
      </c>
      <c r="Y61" s="16">
        <f>VLOOKUP(C61,台股行情!A:D,4,FALSE)</f>
        <v>108.9</v>
      </c>
      <c r="Z61" s="38">
        <f>VLOOKUP(C61,台股行情!A:E,5,FALSE)</f>
        <v>-4.0999999999999996</v>
      </c>
      <c r="AA61" s="90">
        <f t="shared" ca="1" si="19"/>
        <v>2032.0884897601577</v>
      </c>
      <c r="AB61" s="103" t="s">
        <v>2266</v>
      </c>
    </row>
    <row r="62" spans="1:30" hidden="1" outlineLevel="1">
      <c r="A62" s="99">
        <v>46161</v>
      </c>
      <c r="B62" s="11"/>
      <c r="C62" s="348">
        <v>50</v>
      </c>
      <c r="D62" s="189" t="str">
        <f>VLOOKUP(C62,台股行情!A:B,2,FALSE)</f>
        <v>元大台灣50</v>
      </c>
      <c r="E62" s="11">
        <v>1000</v>
      </c>
      <c r="F62" s="11">
        <v>93.7</v>
      </c>
      <c r="G62" s="11">
        <f t="shared" ref="G62" si="70">E62*F62</f>
        <v>93700</v>
      </c>
      <c r="H62" s="11">
        <v>133</v>
      </c>
      <c r="I62" s="104"/>
      <c r="J62" s="16"/>
      <c r="K62" s="11">
        <f t="shared" ref="K62" si="71">E62*J62</f>
        <v>0</v>
      </c>
      <c r="L62" s="11">
        <f t="shared" ref="L62" si="72">ROUND(J62*E62*0.1425%,0)</f>
        <v>0</v>
      </c>
      <c r="M62" s="11">
        <f t="shared" ref="M62" si="73">ROUND(J62*E62*0.3%,0)</f>
        <v>0</v>
      </c>
      <c r="N62" s="11">
        <v>0</v>
      </c>
      <c r="O62" s="13">
        <f t="shared" ref="O62" si="74">IF(I62="",E62*Y62,0)</f>
        <v>108900</v>
      </c>
      <c r="P62" s="14">
        <f t="shared" ref="P62" si="75">IF(I62="",R62-H62,(K62-H62-SUM(L62:N62)+R62-S62-T62)-G62)+(ROUND(R62*V62,0)-ROUND(R62*(1+V62),0)*W62)</f>
        <v>-133</v>
      </c>
      <c r="Q62" s="14">
        <f t="shared" ref="Q62" si="76">IF(I62="",(O62-G62-(O62*0.1425%*0.65)-(O62*0.3%)-S62-T62),0)</f>
        <v>14772.431375</v>
      </c>
      <c r="R62" s="14"/>
      <c r="S62" s="14"/>
      <c r="T62" s="14">
        <f t="shared" ref="T62" si="77">IF(ROUND(R62*(1+V62),0)&gt;20000,ROUND(ROUND(R62*(1+V62),0)*2%,0),0)</f>
        <v>0</v>
      </c>
      <c r="U62" s="69">
        <f t="shared" ref="U62" si="78">(V62*50%)/(1+50%*V62)</f>
        <v>0</v>
      </c>
      <c r="V62" s="69"/>
      <c r="W62" s="70">
        <v>0.11</v>
      </c>
      <c r="X62" s="15">
        <f t="shared" ref="X62" si="79">(P62+Q62)/G62</f>
        <v>0.15623726120597653</v>
      </c>
      <c r="Y62" s="16">
        <f>VLOOKUP(C62,台股行情!A:D,4,FALSE)</f>
        <v>108.9</v>
      </c>
      <c r="Z62" s="38">
        <f>VLOOKUP(C62,台股行情!A:E,5,FALSE)</f>
        <v>-4.0999999999999996</v>
      </c>
      <c r="AA62" s="90">
        <f t="shared" ca="1" si="19"/>
        <v>38225.002737925744</v>
      </c>
      <c r="AB62" s="103" t="s">
        <v>2266</v>
      </c>
    </row>
    <row r="63" spans="1:30" hidden="1" outlineLevel="1">
      <c r="A63" s="99">
        <v>46170</v>
      </c>
      <c r="B63" s="11"/>
      <c r="C63" s="348">
        <v>50</v>
      </c>
      <c r="D63" s="189" t="str">
        <f>VLOOKUP(C63,台股行情!A:B,2,FALSE)</f>
        <v>元大台灣50</v>
      </c>
      <c r="E63" s="11">
        <v>96</v>
      </c>
      <c r="F63" s="11">
        <v>103.37</v>
      </c>
      <c r="G63" s="11">
        <v>9923</v>
      </c>
      <c r="H63" s="11">
        <v>1</v>
      </c>
      <c r="I63" s="104"/>
      <c r="J63" s="16"/>
      <c r="K63" s="11">
        <f>E63*J63</f>
        <v>0</v>
      </c>
      <c r="L63" s="11">
        <f>ROUND(J63*E63*0.1425%,0)</f>
        <v>0</v>
      </c>
      <c r="M63" s="11">
        <f>ROUND(J63*E63*0.3%,0)</f>
        <v>0</v>
      </c>
      <c r="N63" s="11">
        <v>0</v>
      </c>
      <c r="O63" s="13">
        <f>IF(I63="",E63*Y63,0)</f>
        <v>10454.400000000001</v>
      </c>
      <c r="P63" s="14">
        <f>IF(I63="",R63-H63,(K63-H63-SUM(L63:N63)+R63-S63-T63)-G63)+(ROUND(R63*V63,0)-ROUND(R63*(1+V63),0)*W63)</f>
        <v>-1</v>
      </c>
      <c r="Q63" s="14">
        <f>IF(I63="",(O63-G63-(O63*0.1425%*0.65)-(O63*0.3%)-S63-T63),0)</f>
        <v>490.35341200000141</v>
      </c>
      <c r="R63" s="14"/>
      <c r="S63" s="14"/>
      <c r="T63" s="14">
        <f>IF(ROUND(R63*(1+V63),0)&gt;20000,ROUND(ROUND(R63*(1+V63),0)*2%,0),0)</f>
        <v>0</v>
      </c>
      <c r="U63" s="69">
        <f>(V63*50%)/(1+50%*V63)</f>
        <v>0</v>
      </c>
      <c r="V63" s="69"/>
      <c r="W63" s="70">
        <v>0.11</v>
      </c>
      <c r="X63" s="15">
        <f>(P63+Q63)/G63</f>
        <v>4.9315067217575476E-2</v>
      </c>
      <c r="Y63" s="16">
        <f>VLOOKUP(C63,台股行情!A:D,4,FALSE)</f>
        <v>108.9</v>
      </c>
      <c r="Z63" s="38">
        <f>VLOOKUP(C63,台股行情!A:E,5,FALSE)</f>
        <v>-4.0999999999999996</v>
      </c>
      <c r="AA63" s="90">
        <f t="shared" ca="1" si="19"/>
        <v>3803.5812068776695</v>
      </c>
      <c r="AB63" s="103" t="s">
        <v>2266</v>
      </c>
    </row>
    <row r="64" spans="1:30" hidden="1" outlineLevel="1">
      <c r="A64" s="99">
        <v>46170</v>
      </c>
      <c r="B64" s="11"/>
      <c r="C64" s="348">
        <v>50</v>
      </c>
      <c r="D64" s="189" t="str">
        <f>VLOOKUP(C64,台股行情!A:B,2,FALSE)</f>
        <v>元大台灣50</v>
      </c>
      <c r="E64" s="11">
        <v>1000</v>
      </c>
      <c r="F64" s="11">
        <v>100.55</v>
      </c>
      <c r="G64" s="11">
        <f t="shared" ref="G64" si="80">E64*F64</f>
        <v>100550</v>
      </c>
      <c r="H64" s="11">
        <v>143</v>
      </c>
      <c r="I64" s="104"/>
      <c r="J64" s="16"/>
      <c r="K64" s="11">
        <f t="shared" ref="K64" si="81">E64*J64</f>
        <v>0</v>
      </c>
      <c r="L64" s="11">
        <f t="shared" ref="L64" si="82">ROUND(J64*E64*0.1425%,0)</f>
        <v>0</v>
      </c>
      <c r="M64" s="11">
        <f t="shared" ref="M64" si="83">ROUND(J64*E64*0.3%,0)</f>
        <v>0</v>
      </c>
      <c r="N64" s="11">
        <v>0</v>
      </c>
      <c r="O64" s="13">
        <f t="shared" ref="O64" si="84">IF(I64="",E64*Y64,0)</f>
        <v>108900</v>
      </c>
      <c r="P64" s="14">
        <f t="shared" ref="P64" si="85">IF(I64="",R64-H64,(K64-H64-SUM(L64:N64)+R64-S64-T64)-G64)+(ROUND(R64*V64,0)-ROUND(R64*(1+V64),0)*W64)</f>
        <v>-143</v>
      </c>
      <c r="Q64" s="14">
        <f t="shared" ref="Q64" si="86">IF(I64="",(O64-G64-(O64*0.1425%*0.65)-(O64*0.3%)-S64-T64),0)</f>
        <v>7922.431375000001</v>
      </c>
      <c r="R64" s="14"/>
      <c r="S64" s="14"/>
      <c r="T64" s="14">
        <f t="shared" ref="T64" si="87">IF(ROUND(R64*(1+V64),0)&gt;20000,ROUND(ROUND(R64*(1+V64),0)*2%,0),0)</f>
        <v>0</v>
      </c>
      <c r="U64" s="69">
        <f t="shared" ref="U64" si="88">(V64*50%)/(1+50%*V64)</f>
        <v>0</v>
      </c>
      <c r="V64" s="69"/>
      <c r="W64" s="70">
        <v>0.11</v>
      </c>
      <c r="X64" s="15">
        <f t="shared" ref="X64" si="89">(P64+Q64)/G64</f>
        <v>7.7368785430134271E-2</v>
      </c>
      <c r="Y64" s="16">
        <f>VLOOKUP(C64,台股行情!A:D,4,FALSE)</f>
        <v>108.9</v>
      </c>
      <c r="Z64" s="38">
        <f>VLOOKUP(C64,台股行情!A:E,5,FALSE)</f>
        <v>-4.0999999999999996</v>
      </c>
      <c r="AA64" s="90">
        <f t="shared" ca="1" si="19"/>
        <v>38541.780746906144</v>
      </c>
      <c r="AB64" s="103" t="s">
        <v>2266</v>
      </c>
    </row>
    <row r="65" spans="1:29" hidden="1" outlineLevel="1">
      <c r="A65" s="99">
        <v>46181</v>
      </c>
      <c r="B65" s="11"/>
      <c r="C65" s="348">
        <v>50</v>
      </c>
      <c r="D65" s="189" t="str">
        <f>VLOOKUP(C65,台股行情!A:B,2,FALSE)</f>
        <v>元大台灣50</v>
      </c>
      <c r="E65" s="11">
        <v>99</v>
      </c>
      <c r="F65" s="11">
        <v>100.56</v>
      </c>
      <c r="G65" s="11">
        <v>9955</v>
      </c>
      <c r="H65" s="11">
        <v>1</v>
      </c>
      <c r="I65" s="104"/>
      <c r="J65" s="16"/>
      <c r="K65" s="11">
        <f>E65*J65</f>
        <v>0</v>
      </c>
      <c r="L65" s="11">
        <f>ROUND(J65*E65*0.1425%,0)</f>
        <v>0</v>
      </c>
      <c r="M65" s="11">
        <f>ROUND(J65*E65*0.3%,0)</f>
        <v>0</v>
      </c>
      <c r="N65" s="11">
        <v>0</v>
      </c>
      <c r="O65" s="13">
        <f>IF(I65="",E65*Y65,0)</f>
        <v>10781.1</v>
      </c>
      <c r="P65" s="14">
        <f>IF(I65="",R65-H65,(K65-H65-SUM(L65:N65)+R65-S65-T65)-G65)+(ROUND(R65*V65,0)-ROUND(R65*(1+V65),0)*W65)</f>
        <v>-1</v>
      </c>
      <c r="Q65" s="14">
        <f>IF(I65="",(O65-G65-(O65*0.1425%*0.65)-(O65*0.3%)-S65-T65),0)</f>
        <v>783.7707061250004</v>
      </c>
      <c r="R65" s="14"/>
      <c r="S65" s="14"/>
      <c r="T65" s="14">
        <f>IF(ROUND(R65*(1+V65),0)&gt;20000,ROUND(ROUND(R65*(1+V65),0)*2%,0),0)</f>
        <v>0</v>
      </c>
      <c r="U65" s="69">
        <f>(V65*50%)/(1+50%*V65)</f>
        <v>0</v>
      </c>
      <c r="V65" s="69"/>
      <c r="W65" s="70">
        <v>0.11</v>
      </c>
      <c r="X65" s="15">
        <f>(P65+Q65)/G65</f>
        <v>7.8630909706177837E-2</v>
      </c>
      <c r="Y65" s="16">
        <f>VLOOKUP(C65,台股行情!A:D,4,FALSE)</f>
        <v>108.9</v>
      </c>
      <c r="Z65" s="38">
        <f>VLOOKUP(C65,台股行情!A:E,5,FALSE)</f>
        <v>-4.0999999999999996</v>
      </c>
      <c r="AA65" s="90">
        <f t="shared" ca="1" si="19"/>
        <v>3516.0305552513414</v>
      </c>
      <c r="AB65" s="103" t="s">
        <v>2266</v>
      </c>
    </row>
    <row r="66" spans="1:29" hidden="1" outlineLevel="1">
      <c r="A66" s="99">
        <v>46183</v>
      </c>
      <c r="B66" s="11"/>
      <c r="C66" s="348">
        <v>50</v>
      </c>
      <c r="D66" s="189" t="str">
        <f>VLOOKUP(C66,台股行情!A:B,2,FALSE)</f>
        <v>元大台灣50</v>
      </c>
      <c r="E66" s="11">
        <v>1000</v>
      </c>
      <c r="F66" s="11">
        <v>100.65</v>
      </c>
      <c r="G66" s="11">
        <f t="shared" ref="G66" si="90">E66*F66</f>
        <v>100650</v>
      </c>
      <c r="H66" s="11">
        <v>143</v>
      </c>
      <c r="I66" s="104"/>
      <c r="J66" s="16"/>
      <c r="K66" s="11">
        <f>E66*J66</f>
        <v>0</v>
      </c>
      <c r="L66" s="11">
        <f>ROUND(J66*E66*0.1425%,0)</f>
        <v>0</v>
      </c>
      <c r="M66" s="11">
        <f>ROUND(J66*E66*0.3%,0)</f>
        <v>0</v>
      </c>
      <c r="N66" s="11">
        <v>0</v>
      </c>
      <c r="O66" s="13">
        <f>IF(I66="",E66*Y66,0)</f>
        <v>108900</v>
      </c>
      <c r="P66" s="14">
        <f t="shared" ref="P66" si="91">IF(I66="",R66-H66,(K66-H66-SUM(L66:N66)+R66-S66-T66)-G66)+(ROUND(R66*V66,0)-ROUND(R66*(1+V66),0)*W66)</f>
        <v>-143</v>
      </c>
      <c r="Q66" s="14">
        <f>IF(I66="",(O66-G66-(O66*0.1425%*0.65)-(O66*0.3%)-S66-T66),0)</f>
        <v>7822.4313750000001</v>
      </c>
      <c r="R66" s="14"/>
      <c r="S66" s="14"/>
      <c r="T66" s="14">
        <f>IF(ROUND(R66*(1+V66),0)&gt;20000,ROUND(ROUND(R66*(1+V66),0)*2%,0),0)</f>
        <v>0</v>
      </c>
      <c r="U66" s="69">
        <f>(V66*50%)/(1+50%*V66)</f>
        <v>0</v>
      </c>
      <c r="V66" s="69"/>
      <c r="W66" s="70">
        <v>0.11</v>
      </c>
      <c r="X66" s="15">
        <f>(P66+Q66)/G66</f>
        <v>7.6298374316939893E-2</v>
      </c>
      <c r="Y66" s="16">
        <f>VLOOKUP(C66,台股行情!A:D,4,FALSE)</f>
        <v>108.9</v>
      </c>
      <c r="Z66" s="38">
        <f>VLOOKUP(C66,台股行情!A:E,5,FALSE)</f>
        <v>-4.0999999999999996</v>
      </c>
      <c r="AA66" s="90">
        <f t="shared" ca="1" si="19"/>
        <v>34997.672763114664</v>
      </c>
      <c r="AB66" s="103" t="s">
        <v>2266</v>
      </c>
    </row>
    <row r="67" spans="1:29" hidden="1" outlineLevel="1">
      <c r="A67" s="99">
        <v>46191</v>
      </c>
      <c r="B67" s="11"/>
      <c r="C67" s="348">
        <v>50</v>
      </c>
      <c r="D67" s="189" t="str">
        <f>VLOOKUP(C67,台股行情!A:B,2,FALSE)</f>
        <v>元大台灣50</v>
      </c>
      <c r="E67" s="11">
        <v>93</v>
      </c>
      <c r="F67" s="11">
        <v>107.13</v>
      </c>
      <c r="G67" s="11">
        <v>9963</v>
      </c>
      <c r="H67" s="11">
        <v>1</v>
      </c>
      <c r="I67" s="104"/>
      <c r="J67" s="16"/>
      <c r="K67" s="11">
        <f>E67*J67</f>
        <v>0</v>
      </c>
      <c r="L67" s="11">
        <f>ROUND(J67*E67*0.1425%,0)</f>
        <v>0</v>
      </c>
      <c r="M67" s="11">
        <f>ROUND(J67*E67*0.3%,0)</f>
        <v>0</v>
      </c>
      <c r="N67" s="11">
        <v>0</v>
      </c>
      <c r="O67" s="13">
        <f>IF(I67="",E67*Y67,0)</f>
        <v>10127.700000000001</v>
      </c>
      <c r="P67" s="14">
        <f>IF(I67="",R67-H67,(K67-H67-SUM(L67:N67)+R67-S67-T67)-G67)+(ROUND(R67*V67,0)-ROUND(R67*(1+V67),0)*W67)</f>
        <v>-1</v>
      </c>
      <c r="Q67" s="14">
        <f>IF(I67="",(O67-G67-(O67*0.1425%*0.65)-(O67*0.3%)-S67-T67),0)</f>
        <v>124.93611787500073</v>
      </c>
      <c r="R67" s="14"/>
      <c r="S67" s="14"/>
      <c r="T67" s="14">
        <f>IF(ROUND(R67*(1+V67),0)&gt;20000,ROUND(ROUND(R67*(1+V67),0)*2%,0),0)</f>
        <v>0</v>
      </c>
      <c r="U67" s="69">
        <f>(V67*50%)/(1+50%*V67)</f>
        <v>0</v>
      </c>
      <c r="V67" s="69"/>
      <c r="W67" s="70">
        <v>0.11</v>
      </c>
      <c r="X67" s="15">
        <f>(P67+Q67)/G67</f>
        <v>1.2439638449764201E-2</v>
      </c>
      <c r="Y67" s="16">
        <f>VLOOKUP(C67,台股行情!A:D,4,FALSE)</f>
        <v>108.9</v>
      </c>
      <c r="Z67" s="38">
        <f>VLOOKUP(C67,台股行情!A:E,5,FALSE)</f>
        <v>-4.0999999999999996</v>
      </c>
      <c r="AA67" s="90">
        <f t="shared" ca="1" si="19"/>
        <v>3246.0765524038989</v>
      </c>
      <c r="AB67" s="103" t="s">
        <v>2266</v>
      </c>
    </row>
    <row r="68" spans="1:29" hidden="1" outlineLevel="1">
      <c r="A68" s="99">
        <v>46202</v>
      </c>
      <c r="B68" s="11"/>
      <c r="C68" s="348">
        <v>50</v>
      </c>
      <c r="D68" s="189" t="str">
        <f>VLOOKUP(C68,台股行情!A:B,2,FALSE)</f>
        <v>元大台灣50</v>
      </c>
      <c r="E68" s="11">
        <v>95</v>
      </c>
      <c r="F68" s="11">
        <v>104.58</v>
      </c>
      <c r="G68" s="11">
        <v>9936</v>
      </c>
      <c r="H68" s="11">
        <v>1</v>
      </c>
      <c r="I68" s="104"/>
      <c r="J68" s="16"/>
      <c r="K68" s="11">
        <f>E68*J68</f>
        <v>0</v>
      </c>
      <c r="L68" s="11">
        <f>ROUND(J68*E68*0.1425%,0)</f>
        <v>0</v>
      </c>
      <c r="M68" s="11">
        <f>ROUND(J68*E68*0.3%,0)</f>
        <v>0</v>
      </c>
      <c r="N68" s="11">
        <v>0</v>
      </c>
      <c r="O68" s="13">
        <f>IF(I68="",E68*Y68,0)</f>
        <v>10345.5</v>
      </c>
      <c r="P68" s="14">
        <f t="shared" ref="P68:P72" si="92">IF(I68="",R68-H68,(K68-H68-SUM(L68:N68)+R68-S68-T68)-G68)+(ROUND(R68*V68,0)-ROUND(R68*(1+V68),0)*W68)</f>
        <v>-1</v>
      </c>
      <c r="Q68" s="14">
        <f>IF(I68="",(O68-G68-(O68*0.1425%*0.65)-(O68*0.3%)-S68-T68),0)</f>
        <v>368.88098062500001</v>
      </c>
      <c r="R68" s="14"/>
      <c r="S68" s="14"/>
      <c r="T68" s="14">
        <f>IF(ROUND(R68*(1+V68),0)&gt;20000,ROUND(ROUND(R68*(1+V68),0)*2%,0),0)</f>
        <v>0</v>
      </c>
      <c r="U68" s="69">
        <f>(V68*50%)/(1+50%*V68)</f>
        <v>0</v>
      </c>
      <c r="V68" s="69"/>
      <c r="W68" s="70">
        <v>0.11</v>
      </c>
      <c r="X68" s="15">
        <f>(P68+Q68)/G68</f>
        <v>3.7025058436493556E-2</v>
      </c>
      <c r="Y68" s="16">
        <f>VLOOKUP(C68,台股行情!A:D,4,FALSE)</f>
        <v>108.9</v>
      </c>
      <c r="Z68" s="38">
        <f>VLOOKUP(C68,台股行情!A:E,5,FALSE)</f>
        <v>-4.0999999999999996</v>
      </c>
      <c r="AA68" s="90">
        <f ca="1">IF(I68="",((TODAY()-A68)*G68)/365.24,((I68-A68)*G68)/365.24)</f>
        <v>2938.0352644836271</v>
      </c>
      <c r="AB68" s="103" t="s">
        <v>2266</v>
      </c>
    </row>
    <row r="69" spans="1:29" hidden="1" outlineLevel="1">
      <c r="A69" s="99">
        <v>46210</v>
      </c>
      <c r="B69" s="11"/>
      <c r="C69" s="348">
        <v>50</v>
      </c>
      <c r="D69" s="189" t="str">
        <f>VLOOKUP(C69,台股行情!A:B,2,FALSE)</f>
        <v>元大台灣50</v>
      </c>
      <c r="E69" s="11">
        <v>1000</v>
      </c>
      <c r="F69" s="11">
        <v>106.05</v>
      </c>
      <c r="G69" s="11">
        <f t="shared" ref="G69" si="93">E69*F69</f>
        <v>106050</v>
      </c>
      <c r="H69" s="11">
        <v>151</v>
      </c>
      <c r="I69" s="104"/>
      <c r="J69" s="16"/>
      <c r="K69" s="11">
        <f t="shared" ref="K69" si="94">E69*J69</f>
        <v>0</v>
      </c>
      <c r="L69" s="11">
        <f t="shared" ref="L69" si="95">ROUND(J69*E69*0.1425%,0)</f>
        <v>0</v>
      </c>
      <c r="M69" s="11">
        <f t="shared" ref="M69" si="96">ROUND(J69*E69*0.3%,0)</f>
        <v>0</v>
      </c>
      <c r="N69" s="11">
        <v>0</v>
      </c>
      <c r="O69" s="13">
        <f t="shared" ref="O69" si="97">IF(I69="",E69*Y69,0)</f>
        <v>108900</v>
      </c>
      <c r="P69" s="14">
        <f t="shared" si="92"/>
        <v>-151</v>
      </c>
      <c r="Q69" s="14">
        <f t="shared" ref="Q69" si="98">IF(I69="",(O69-G69-(O69*0.1425%*0.65)-(O69*0.3%)-S69-T69),0)</f>
        <v>2422.4313750000001</v>
      </c>
      <c r="R69" s="14"/>
      <c r="S69" s="14"/>
      <c r="T69" s="14">
        <f t="shared" ref="T69" si="99">IF(ROUND(R69*(1+V69),0)&gt;20000,ROUND(ROUND(R69*(1+V69),0)*2%,0),0)</f>
        <v>0</v>
      </c>
      <c r="U69" s="69">
        <f t="shared" ref="U69" si="100">(V69*50%)/(1+50%*V69)</f>
        <v>0</v>
      </c>
      <c r="V69" s="69"/>
      <c r="W69" s="70">
        <v>0.11</v>
      </c>
      <c r="X69" s="15">
        <f t="shared" ref="X69" si="101">(P69+Q69)/G69</f>
        <v>2.1418494813767092E-2</v>
      </c>
      <c r="Y69" s="16">
        <f>VLOOKUP(C69,台股行情!A:D,4,FALSE)</f>
        <v>108.9</v>
      </c>
      <c r="Z69" s="38">
        <f>VLOOKUP(C69,台股行情!A:E,5,FALSE)</f>
        <v>-4.0999999999999996</v>
      </c>
      <c r="AA69" s="90">
        <f ca="1">IF(I69="",((TODAY()-A69)*G69)/365.24,((I69-A69)*G69)/365.24)</f>
        <v>29035.702551746796</v>
      </c>
      <c r="AB69" s="103" t="s">
        <v>2733</v>
      </c>
      <c r="AC69" s="9"/>
    </row>
    <row r="70" spans="1:29" hidden="1" outlineLevel="1">
      <c r="A70" s="99">
        <v>46211</v>
      </c>
      <c r="B70" s="11"/>
      <c r="C70" s="348">
        <v>50</v>
      </c>
      <c r="D70" s="189" t="str">
        <f>VLOOKUP(C70,台股行情!A:B,2,FALSE)</f>
        <v>元大台灣50</v>
      </c>
      <c r="E70" s="11">
        <v>94</v>
      </c>
      <c r="F70" s="11">
        <v>105.87</v>
      </c>
      <c r="G70" s="11">
        <v>9951</v>
      </c>
      <c r="H70" s="11">
        <v>1</v>
      </c>
      <c r="I70" s="104"/>
      <c r="J70" s="16"/>
      <c r="K70" s="11">
        <f>E70*J70</f>
        <v>0</v>
      </c>
      <c r="L70" s="11">
        <f>ROUND(J70*E70*0.1425%,0)</f>
        <v>0</v>
      </c>
      <c r="M70" s="11">
        <f>ROUND(J70*E70*0.3%,0)</f>
        <v>0</v>
      </c>
      <c r="N70" s="11">
        <v>0</v>
      </c>
      <c r="O70" s="13">
        <f>IF(I70="",E70*Y70,0)</f>
        <v>10236.6</v>
      </c>
      <c r="P70" s="14">
        <f t="shared" si="92"/>
        <v>3059.71</v>
      </c>
      <c r="Q70" s="14">
        <f>IF(I70="",(O70-G70-(O70*0.1425%*0.65)-(O70*0.3%)-S70-T70),0)</f>
        <v>245.40854925000039</v>
      </c>
      <c r="R70" s="14">
        <v>3439</v>
      </c>
      <c r="S70" s="14"/>
      <c r="T70" s="14">
        <f>IF(ROUND(R70*(1+V70),0)&gt;20000,ROUND(ROUND(R70*(1+V70),0)*2%,0),0)</f>
        <v>0</v>
      </c>
      <c r="U70" s="69">
        <f>(V70*50%)/(1+50%*V70)</f>
        <v>0</v>
      </c>
      <c r="V70" s="69"/>
      <c r="W70" s="70">
        <v>0.11</v>
      </c>
      <c r="X70" s="15">
        <f>(P70+Q70)/G70</f>
        <v>0.33213933767963022</v>
      </c>
      <c r="Y70" s="16">
        <f>VLOOKUP(C70,台股行情!A:D,4,FALSE)</f>
        <v>108.9</v>
      </c>
      <c r="Z70" s="38">
        <f>VLOOKUP(C70,台股行情!A:E,5,FALSE)</f>
        <v>-4.0999999999999996</v>
      </c>
      <c r="AA70" s="90">
        <f ca="1">IF(I70="",((TODAY()-A70)*G70)/365.24,((I70-A70)*G70)/365.24)</f>
        <v>2697.2648121782936</v>
      </c>
      <c r="AB70" s="103" t="s">
        <v>2733</v>
      </c>
    </row>
    <row r="71" spans="1:29" hidden="1" outlineLevel="1">
      <c r="A71" s="99">
        <v>46220</v>
      </c>
      <c r="B71" s="11"/>
      <c r="C71" s="348">
        <v>50</v>
      </c>
      <c r="D71" s="189" t="str">
        <f>VLOOKUP(C71,台股行情!A:B,2,FALSE)</f>
        <v>元大台灣50</v>
      </c>
      <c r="E71" s="11">
        <v>1000</v>
      </c>
      <c r="F71" s="11">
        <v>100.35</v>
      </c>
      <c r="G71" s="11">
        <f t="shared" ref="G71" si="102">E71*F71</f>
        <v>100350</v>
      </c>
      <c r="H71" s="11">
        <v>142</v>
      </c>
      <c r="I71" s="104"/>
      <c r="J71" s="16"/>
      <c r="K71" s="11">
        <f t="shared" ref="K71" si="103">E71*J71</f>
        <v>0</v>
      </c>
      <c r="L71" s="11">
        <f t="shared" ref="L71" si="104">ROUND(J71*E71*0.1425%,0)</f>
        <v>0</v>
      </c>
      <c r="M71" s="11">
        <f t="shared" ref="M71" si="105">ROUND(J71*E71*0.3%,0)</f>
        <v>0</v>
      </c>
      <c r="N71" s="11">
        <v>0</v>
      </c>
      <c r="O71" s="13">
        <f t="shared" ref="O71" si="106">IF(I71="",E71*Y71,0)</f>
        <v>108900</v>
      </c>
      <c r="P71" s="14">
        <f t="shared" si="92"/>
        <v>-142</v>
      </c>
      <c r="Q71" s="14">
        <f t="shared" ref="Q71" si="107">IF(I71="",(O71-G71-(O71*0.1425%*0.65)-(O71*0.3%)-S71-T71),0)</f>
        <v>8122.431375000001</v>
      </c>
      <c r="R71" s="14"/>
      <c r="S71" s="14"/>
      <c r="T71" s="14">
        <f t="shared" ref="T71" si="108">IF(ROUND(R71*(1+V71),0)&gt;20000,ROUND(ROUND(R71*(1+V71),0)*2%,0),0)</f>
        <v>0</v>
      </c>
      <c r="U71" s="69">
        <f t="shared" ref="U71" si="109">(V71*50%)/(1+50%*V71)</f>
        <v>0</v>
      </c>
      <c r="V71" s="69"/>
      <c r="W71" s="70">
        <v>0.11</v>
      </c>
      <c r="X71" s="15">
        <f t="shared" ref="X71" si="110">(P71+Q71)/G71</f>
        <v>7.9525972845042356E-2</v>
      </c>
      <c r="Y71" s="16">
        <f>VLOOKUP(C71,台股行情!A:D,4,FALSE)</f>
        <v>108.9</v>
      </c>
      <c r="Z71" s="38">
        <f>VLOOKUP(C71,台股行情!A:E,5,FALSE)</f>
        <v>-4.0999999999999996</v>
      </c>
      <c r="AA71" s="90">
        <f ca="1">IF(I71="",((TODAY()-A71)*G71)/365.24,((I71-A71)*G71)/365.24)</f>
        <v>24727.576388128353</v>
      </c>
      <c r="AB71" s="103" t="s">
        <v>2733</v>
      </c>
      <c r="AC71" s="9"/>
    </row>
    <row r="72" spans="1:29" hidden="1" outlineLevel="1">
      <c r="A72" s="99">
        <v>46223</v>
      </c>
      <c r="B72" s="11"/>
      <c r="C72" s="348">
        <v>50</v>
      </c>
      <c r="D72" s="189" t="str">
        <f>VLOOKUP(C72,台股行情!A:B,2,FALSE)</f>
        <v>元大台灣50</v>
      </c>
      <c r="E72" s="11">
        <v>100</v>
      </c>
      <c r="F72" s="11">
        <v>99.66</v>
      </c>
      <c r="G72" s="11">
        <v>9951</v>
      </c>
      <c r="H72" s="11">
        <v>1</v>
      </c>
      <c r="I72" s="104"/>
      <c r="J72" s="16"/>
      <c r="K72" s="11">
        <f>E72*J72</f>
        <v>0</v>
      </c>
      <c r="L72" s="11">
        <f>ROUND(J72*E72*0.1425%,0)</f>
        <v>0</v>
      </c>
      <c r="M72" s="11">
        <f>ROUND(J72*E72*0.3%,0)</f>
        <v>0</v>
      </c>
      <c r="N72" s="11">
        <v>0</v>
      </c>
      <c r="O72" s="13">
        <f>IF(I72="",E72*Y72,0)</f>
        <v>10890</v>
      </c>
      <c r="P72" s="14">
        <f t="shared" si="92"/>
        <v>-1</v>
      </c>
      <c r="Q72" s="14">
        <f>IF(I72="",(O72-G72-(O72*0.1425%*0.65)-(O72*0.3%)-S72-T72),0)</f>
        <v>896.24313749999999</v>
      </c>
      <c r="R72" s="14"/>
      <c r="S72" s="14"/>
      <c r="T72" s="14">
        <f>IF(ROUND(R72*(1+V72),0)&gt;20000,ROUND(ROUND(R72*(1+V72),0)*2%,0),0)</f>
        <v>0</v>
      </c>
      <c r="U72" s="69">
        <f>(V72*50%)/(1+50%*V72)</f>
        <v>0</v>
      </c>
      <c r="V72" s="69"/>
      <c r="W72" s="70">
        <v>0.11</v>
      </c>
      <c r="X72" s="15">
        <f>(P72+Q72)/G72</f>
        <v>8.9965142950457239E-2</v>
      </c>
      <c r="Y72" s="16">
        <f>VLOOKUP(C72,台股行情!A:D,4,FALSE)</f>
        <v>108.9</v>
      </c>
      <c r="Z72" s="38">
        <f>VLOOKUP(C72,台股行情!A:E,5,FALSE)</f>
        <v>-4.0999999999999996</v>
      </c>
      <c r="AA72" s="90">
        <f ca="1">IF(I72="",((TODAY()-A72)*G72)/365.24,((I72-A72)*G72)/365.24)</f>
        <v>2370.3236228233491</v>
      </c>
      <c r="AB72" s="103" t="s">
        <v>2733</v>
      </c>
    </row>
    <row r="73" spans="1:29" hidden="1" outlineLevel="1">
      <c r="A73" s="99">
        <v>46231</v>
      </c>
      <c r="B73" s="11"/>
      <c r="C73" s="348">
        <v>50</v>
      </c>
      <c r="D73" s="189" t="str">
        <f>VLOOKUP(C73,台股行情!A:B,2,FALSE)</f>
        <v>元大台灣50</v>
      </c>
      <c r="E73" s="11">
        <v>102</v>
      </c>
      <c r="F73" s="11">
        <v>97.64</v>
      </c>
      <c r="G73" s="11">
        <v>9951</v>
      </c>
      <c r="H73" s="11">
        <v>1</v>
      </c>
      <c r="I73" s="104"/>
      <c r="J73" s="16"/>
      <c r="K73" s="11">
        <f>E73*J73</f>
        <v>0</v>
      </c>
      <c r="L73" s="11">
        <f>ROUND(J73*E73*0.1425%,0)</f>
        <v>0</v>
      </c>
      <c r="M73" s="11">
        <f>ROUND(J73*E73*0.3%,0)</f>
        <v>0</v>
      </c>
      <c r="N73" s="11">
        <v>0</v>
      </c>
      <c r="O73" s="13">
        <f>IF(I73="",E73*Y73,0)</f>
        <v>11107.800000000001</v>
      </c>
      <c r="P73" s="14">
        <f>IF(I73="",R73-H73,(K73-H73-SUM(L73:N73)+R73-S73-T73)-G73)+(ROUND(R73*V73,0)-ROUND(R73*(1+V73),0)*W73)</f>
        <v>-1</v>
      </c>
      <c r="Q73" s="14">
        <f>IF(I73="",(O73-G73-(O73*0.1425%*0.65)-(O73*0.3%)-S73-T73),0)</f>
        <v>1113.1880002500011</v>
      </c>
      <c r="R73" s="14"/>
      <c r="S73" s="14"/>
      <c r="T73" s="14">
        <f>IF(ROUND(R73*(1+V73),0)&gt;20000,ROUND(ROUND(R73*(1+V73),0)*2%,0),0)</f>
        <v>0</v>
      </c>
      <c r="U73" s="69">
        <f>(V73*50%)/(1+50%*V73)</f>
        <v>0</v>
      </c>
      <c r="V73" s="69"/>
      <c r="W73" s="70">
        <v>0.11</v>
      </c>
      <c r="X73" s="15">
        <f>(P73+Q73)/G73</f>
        <v>0.11176645565772295</v>
      </c>
      <c r="Y73" s="16">
        <f>VLOOKUP(C73,台股行情!A:D,4,FALSE)</f>
        <v>108.9</v>
      </c>
      <c r="Z73" s="38">
        <f>VLOOKUP(C73,台股行情!A:E,5,FALSE)</f>
        <v>-4.0999999999999996</v>
      </c>
      <c r="AA73" s="90">
        <f t="shared" ref="AA73:AA77" ca="1" si="111">IF(I73="",((TODAY()-A73)*G73)/365.24,((I73-A73)*G73)/365.24)</f>
        <v>2152.3628299200527</v>
      </c>
      <c r="AB73" s="103" t="s">
        <v>2733</v>
      </c>
    </row>
    <row r="74" spans="1:29" hidden="1" outlineLevel="1">
      <c r="A74" s="99">
        <v>46232</v>
      </c>
      <c r="B74" s="11"/>
      <c r="C74" s="348">
        <v>50</v>
      </c>
      <c r="D74" s="189" t="str">
        <f>VLOOKUP(C74,台股行情!A:B,2,FALSE)</f>
        <v>元大台灣50</v>
      </c>
      <c r="E74" s="11">
        <v>1000</v>
      </c>
      <c r="F74" s="11">
        <v>92.2</v>
      </c>
      <c r="G74" s="11">
        <f t="shared" ref="G74" si="112">E74*F74</f>
        <v>92200</v>
      </c>
      <c r="H74" s="11">
        <v>131</v>
      </c>
      <c r="I74" s="104"/>
      <c r="J74" s="16"/>
      <c r="K74" s="11">
        <f t="shared" ref="K74" si="113">E74*J74</f>
        <v>0</v>
      </c>
      <c r="L74" s="11">
        <f t="shared" ref="L74" si="114">ROUND(J74*E74*0.1425%,0)</f>
        <v>0</v>
      </c>
      <c r="M74" s="11">
        <f t="shared" ref="M74" si="115">ROUND(J74*E74*0.3%,0)</f>
        <v>0</v>
      </c>
      <c r="N74" s="11">
        <v>0</v>
      </c>
      <c r="O74" s="13">
        <f t="shared" ref="O74" si="116">IF(I74="",E74*Y74,0)</f>
        <v>108900</v>
      </c>
      <c r="P74" s="14">
        <f>IF(I74="",R74-H74,(K74-H74-SUM(L74:N74)+R74-S74-T74)-G74)+(ROUND(R74*V74,0)-ROUND(R74*(1+V74),0)*W74)</f>
        <v>-131</v>
      </c>
      <c r="Q74" s="14">
        <f t="shared" ref="Q74" si="117">IF(I74="",(O74-G74-(O74*0.1425%*0.65)-(O74*0.3%)-S74-T74),0)</f>
        <v>16272.431375</v>
      </c>
      <c r="R74" s="14"/>
      <c r="S74" s="14"/>
      <c r="T74" s="14">
        <f t="shared" ref="T74" si="118">IF(ROUND(R74*(1+V74),0)&gt;20000,ROUND(ROUND(R74*(1+V74),0)*2%,0),0)</f>
        <v>0</v>
      </c>
      <c r="U74" s="69">
        <f t="shared" ref="U74" si="119">(V74*50%)/(1+50%*V74)</f>
        <v>0</v>
      </c>
      <c r="V74" s="69"/>
      <c r="W74" s="70">
        <v>0.11</v>
      </c>
      <c r="X74" s="15">
        <f t="shared" ref="X74" si="120">(P74+Q74)/G74</f>
        <v>0.17506975460954446</v>
      </c>
      <c r="Y74" s="16">
        <f>VLOOKUP(C74,台股行情!A:D,4,FALSE)</f>
        <v>108.9</v>
      </c>
      <c r="Z74" s="38">
        <f>VLOOKUP(C74,台股行情!A:E,5,FALSE)</f>
        <v>-4.0999999999999996</v>
      </c>
      <c r="AA74" s="90">
        <f t="shared" ca="1" si="111"/>
        <v>19690.066805388236</v>
      </c>
      <c r="AB74" s="103" t="s">
        <v>2733</v>
      </c>
      <c r="AC74" s="9"/>
    </row>
    <row r="75" spans="1:29" hidden="1" outlineLevel="1">
      <c r="A75" s="99">
        <v>46244</v>
      </c>
      <c r="B75" s="11"/>
      <c r="C75" s="348">
        <v>50</v>
      </c>
      <c r="D75" s="189" t="str">
        <f>VLOOKUP(C75,台股行情!A:B,2,FALSE)</f>
        <v>元大台灣50</v>
      </c>
      <c r="E75" s="11">
        <v>95</v>
      </c>
      <c r="F75" s="11">
        <v>104.37</v>
      </c>
      <c r="G75" s="11">
        <v>9915</v>
      </c>
      <c r="H75" s="11">
        <v>1</v>
      </c>
      <c r="I75" s="104"/>
      <c r="J75" s="16"/>
      <c r="K75" s="11">
        <f>E75*J75</f>
        <v>0</v>
      </c>
      <c r="L75" s="11">
        <f>ROUND(J75*E75*0.1425%,0)</f>
        <v>0</v>
      </c>
      <c r="M75" s="11">
        <f>ROUND(J75*E75*0.3%,0)</f>
        <v>0</v>
      </c>
      <c r="N75" s="11">
        <v>0</v>
      </c>
      <c r="O75" s="13">
        <f>IF(I75="",E75*Y75,0)</f>
        <v>10345.5</v>
      </c>
      <c r="P75" s="14">
        <f>IF(I75="",R75-H75,(K75-H75-SUM(L75:N75)+R75-S75-T75)-G75)+(ROUND(R75*V75,0)-ROUND(R75*(1+V75),0)*W75)</f>
        <v>-1</v>
      </c>
      <c r="Q75" s="14">
        <f>IF(I75="",(O75-G75-(O75*0.1425%*0.65)-(O75*0.3%)-S75-T75),0)</f>
        <v>389.88098062500001</v>
      </c>
      <c r="R75" s="14"/>
      <c r="S75" s="14"/>
      <c r="T75" s="14">
        <f>IF(ROUND(R75*(1+V75),0)&gt;20000,ROUND(ROUND(R75*(1+V75),0)*2%,0),0)</f>
        <v>0</v>
      </c>
      <c r="U75" s="69">
        <f>(V75*50%)/(1+50%*V75)</f>
        <v>0</v>
      </c>
      <c r="V75" s="69"/>
      <c r="W75" s="70">
        <v>0.11</v>
      </c>
      <c r="X75" s="15">
        <f>(P75+Q75)/G75</f>
        <v>3.9221480648008067E-2</v>
      </c>
      <c r="Y75" s="16">
        <f>VLOOKUP(C75,台股行情!A:D,4,FALSE)</f>
        <v>108.9</v>
      </c>
      <c r="Z75" s="38">
        <f>VLOOKUP(C75,台股行情!A:E,5,FALSE)</f>
        <v>-4.0999999999999996</v>
      </c>
      <c r="AA75" s="90">
        <f t="shared" ca="1" si="111"/>
        <v>1791.6712298762457</v>
      </c>
      <c r="AB75" s="103" t="s">
        <v>2733</v>
      </c>
    </row>
    <row r="76" spans="1:29" hidden="1" outlineLevel="1">
      <c r="A76" s="99">
        <v>46252</v>
      </c>
      <c r="B76" s="11"/>
      <c r="C76" s="348">
        <v>50</v>
      </c>
      <c r="D76" s="189" t="str">
        <f>VLOOKUP(C76,台股行情!A:B,2,FALSE)</f>
        <v>元大台灣50</v>
      </c>
      <c r="E76" s="11">
        <v>94</v>
      </c>
      <c r="F76" s="11">
        <v>105.57</v>
      </c>
      <c r="G76" s="11">
        <v>9923</v>
      </c>
      <c r="H76" s="11">
        <v>1</v>
      </c>
      <c r="I76" s="104"/>
      <c r="J76" s="16"/>
      <c r="K76" s="11">
        <f>E76*J76</f>
        <v>0</v>
      </c>
      <c r="L76" s="11">
        <f>ROUND(J76*E76*0.1425%,0)</f>
        <v>0</v>
      </c>
      <c r="M76" s="11">
        <f>ROUND(J76*E76*0.3%,0)</f>
        <v>0</v>
      </c>
      <c r="N76" s="11">
        <v>0</v>
      </c>
      <c r="O76" s="13">
        <f>IF(I76="",E76*Y76,0)</f>
        <v>10236.6</v>
      </c>
      <c r="P76" s="14">
        <f>IF(I76="",R76-H76,(K76-H76-SUM(L76:N76)+R76-S76-T76)-G76)+(ROUND(R76*V76,0)-ROUND(R76*(1+V76),0)*W76)</f>
        <v>-1</v>
      </c>
      <c r="Q76" s="14">
        <f>IF(I76="",(O76-G76-(O76*0.1425%*0.65)-(O76*0.3%)-S76-T76),0)</f>
        <v>273.40854925000042</v>
      </c>
      <c r="R76" s="14"/>
      <c r="S76" s="14"/>
      <c r="T76" s="14">
        <f>IF(ROUND(R76*(1+V76),0)&gt;20000,ROUND(ROUND(R76*(1+V76),0)*2%,0),0)</f>
        <v>0</v>
      </c>
      <c r="U76" s="69">
        <f>(V76*50%)/(1+50%*V76)</f>
        <v>0</v>
      </c>
      <c r="V76" s="69"/>
      <c r="W76" s="70">
        <v>0.11</v>
      </c>
      <c r="X76" s="15">
        <f>(P76+Q76)/G76</f>
        <v>2.7452237151063229E-2</v>
      </c>
      <c r="Y76" s="16">
        <f>VLOOKUP(C76,台股行情!A:D,4,FALSE)</f>
        <v>108.9</v>
      </c>
      <c r="Z76" s="38">
        <f>VLOOKUP(C76,台股行情!A:E,5,FALSE)</f>
        <v>-4.0999999999999996</v>
      </c>
      <c r="AA76" s="90">
        <f t="shared" ca="1" si="111"/>
        <v>1575.7693571350344</v>
      </c>
      <c r="AB76" s="103" t="s">
        <v>2733</v>
      </c>
    </row>
    <row r="77" spans="1:29" hidden="1" outlineLevel="1">
      <c r="A77" s="99">
        <v>46262</v>
      </c>
      <c r="B77" s="11"/>
      <c r="C77" s="348">
        <v>50</v>
      </c>
      <c r="D77" s="189" t="str">
        <f>VLOOKUP(C77,台股行情!A:B,2,FALSE)</f>
        <v>元大台灣50</v>
      </c>
      <c r="E77" s="11">
        <v>93</v>
      </c>
      <c r="F77" s="11">
        <v>107.06</v>
      </c>
      <c r="G77" s="11">
        <v>9956</v>
      </c>
      <c r="H77" s="11">
        <v>1</v>
      </c>
      <c r="I77" s="104"/>
      <c r="J77" s="16"/>
      <c r="K77" s="11">
        <f>E77*J77</f>
        <v>0</v>
      </c>
      <c r="L77" s="11">
        <f>ROUND(J77*E77*0.1425%,0)</f>
        <v>0</v>
      </c>
      <c r="M77" s="11">
        <f>ROUND(J77*E77*0.3%,0)</f>
        <v>0</v>
      </c>
      <c r="N77" s="11">
        <v>0</v>
      </c>
      <c r="O77" s="13">
        <f>IF(I77="",E77*Y77,0)</f>
        <v>10127.700000000001</v>
      </c>
      <c r="P77" s="14">
        <f>IF(I77="",R77-H77,(K77-H77-SUM(L77:N77)+R77-S77-T77)-G77)+(ROUND(R77*V77,0)-ROUND(R77*(1+V77),0)*W77)</f>
        <v>-1</v>
      </c>
      <c r="Q77" s="14">
        <f>IF(I77="",(O77-G77-(O77*0.1425%*0.65)-(O77*0.3%)-S77-T77),0)</f>
        <v>131.93611787500072</v>
      </c>
      <c r="R77" s="14"/>
      <c r="S77" s="14"/>
      <c r="T77" s="14">
        <f>IF(ROUND(R77*(1+V77),0)&gt;20000,ROUND(ROUND(R77*(1+V77),0)*2%,0),0)</f>
        <v>0</v>
      </c>
      <c r="U77" s="69">
        <f>(V77*50%)/(1+50%*V77)</f>
        <v>0</v>
      </c>
      <c r="V77" s="69"/>
      <c r="W77" s="70">
        <v>0.11</v>
      </c>
      <c r="X77" s="15">
        <f>(P77+Q77)/G77</f>
        <v>1.3151478291984806E-2</v>
      </c>
      <c r="Y77" s="16">
        <f>VLOOKUP(C77,台股行情!A:D,4,FALSE)</f>
        <v>108.9</v>
      </c>
      <c r="Z77" s="38">
        <f>VLOOKUP(C77,台股行情!A:E,5,FALSE)</f>
        <v>-4.0999999999999996</v>
      </c>
      <c r="AA77" s="90">
        <f t="shared" ca="1" si="111"/>
        <v>1308.4218595991676</v>
      </c>
      <c r="AB77" s="103" t="s">
        <v>2733</v>
      </c>
    </row>
    <row r="78" spans="1:29" hidden="1" outlineLevel="1">
      <c r="A78" s="99">
        <v>46273</v>
      </c>
      <c r="B78" s="11"/>
      <c r="C78" s="348">
        <v>50</v>
      </c>
      <c r="D78" s="189" t="str">
        <f>VLOOKUP(C78,台股行情!A:B,2,FALSE)</f>
        <v>元大台灣50</v>
      </c>
      <c r="E78" s="11">
        <v>90</v>
      </c>
      <c r="F78" s="11">
        <v>110.23</v>
      </c>
      <c r="G78" s="11">
        <v>9920</v>
      </c>
      <c r="H78" s="11">
        <v>1</v>
      </c>
      <c r="I78" s="104"/>
      <c r="J78" s="16"/>
      <c r="K78" s="11">
        <f>E78*J78</f>
        <v>0</v>
      </c>
      <c r="L78" s="11">
        <f>ROUND(J78*E78*0.1425%,0)</f>
        <v>0</v>
      </c>
      <c r="M78" s="11">
        <f>ROUND(J78*E78*0.3%,0)</f>
        <v>0</v>
      </c>
      <c r="N78" s="11">
        <v>0</v>
      </c>
      <c r="O78" s="13">
        <f>IF(I78="",E78*Y78,0)</f>
        <v>9801</v>
      </c>
      <c r="P78" s="14">
        <f t="shared" ref="P78" si="121">IF(I78="",R78-H78,(K78-H78-SUM(L78:N78)+R78-S78-T78)-G78)+(ROUND(R78*V78,0)-ROUND(R78*(1+V78),0)*W78)</f>
        <v>-1</v>
      </c>
      <c r="Q78" s="14">
        <f>IF(I78="",(O78-G78-(O78*0.1425%*0.65)-(O78*0.3%)-S78-T78),0)</f>
        <v>-157.48117625</v>
      </c>
      <c r="R78" s="14"/>
      <c r="S78" s="14"/>
      <c r="T78" s="14">
        <f>IF(ROUND(R78*(1+V78),0)&gt;20000,ROUND(ROUND(R78*(1+V78),0)*2%,0),0)</f>
        <v>0</v>
      </c>
      <c r="U78" s="69">
        <f>(V78*50%)/(1+50%*V78)</f>
        <v>0</v>
      </c>
      <c r="V78" s="69"/>
      <c r="W78" s="70">
        <v>0.11</v>
      </c>
      <c r="X78" s="15">
        <f>(P78+Q78)/G78</f>
        <v>-1.5975925025201614E-2</v>
      </c>
      <c r="Y78" s="16">
        <f>VLOOKUP(C78,台股行情!A:D,4,FALSE)</f>
        <v>108.9</v>
      </c>
      <c r="Z78" s="38">
        <f>VLOOKUP(C78,台股行情!A:E,5,FALSE)</f>
        <v>-4.0999999999999996</v>
      </c>
      <c r="AA78" s="90">
        <f t="shared" ref="AA78" ca="1" si="122">IF(I78="",((TODAY()-A78)*G78)/365.24,((I78-A78)*G78)/365.24)</f>
        <v>1004.9282663454167</v>
      </c>
      <c r="AB78" s="103" t="s">
        <v>2733</v>
      </c>
    </row>
    <row r="79" spans="1:29" hidden="1" outlineLevel="1">
      <c r="A79" s="99">
        <v>46283</v>
      </c>
      <c r="B79" s="11"/>
      <c r="C79" s="348">
        <v>50</v>
      </c>
      <c r="D79" s="189" t="str">
        <f>VLOOKUP(C79,台股行情!A:B,2,FALSE)</f>
        <v>元大台灣50</v>
      </c>
      <c r="E79" s="11">
        <v>91</v>
      </c>
      <c r="F79" s="11">
        <v>109.12</v>
      </c>
      <c r="G79" s="11">
        <v>9920</v>
      </c>
      <c r="H79" s="11">
        <v>1</v>
      </c>
      <c r="I79" s="104"/>
      <c r="J79" s="16"/>
      <c r="K79" s="11">
        <f>E79*J79</f>
        <v>0</v>
      </c>
      <c r="L79" s="11">
        <f>ROUND(J79*E79*0.1425%,0)</f>
        <v>0</v>
      </c>
      <c r="M79" s="11">
        <f>ROUND(J79*E79*0.3%,0)</f>
        <v>0</v>
      </c>
      <c r="N79" s="11">
        <v>0</v>
      </c>
      <c r="O79" s="13">
        <f>IF(I79="",E79*Y79,0)</f>
        <v>9909.9</v>
      </c>
      <c r="P79" s="14">
        <f t="shared" ref="P79" si="123">IF(I79="",R79-H79,(K79-H79-SUM(L79:N79)+R79-S79-T79)-G79)+(ROUND(R79*V79,0)-ROUND(R79*(1+V79),0)*W79)</f>
        <v>-1</v>
      </c>
      <c r="Q79" s="14">
        <f>IF(I79="",(O79-G79-(O79*0.1425%*0.65)-(O79*0.3%)-S79-T79),0)</f>
        <v>-49.00874487500036</v>
      </c>
      <c r="R79" s="14"/>
      <c r="S79" s="14"/>
      <c r="T79" s="14">
        <f>IF(ROUND(R79*(1+V79),0)&gt;20000,ROUND(ROUND(R79*(1+V79),0)*2%,0),0)</f>
        <v>0</v>
      </c>
      <c r="U79" s="69">
        <f>(V79*50%)/(1+50%*V79)</f>
        <v>0</v>
      </c>
      <c r="V79" s="69"/>
      <c r="W79" s="70">
        <v>0.11</v>
      </c>
      <c r="X79" s="15">
        <f>(P79+Q79)/G79</f>
        <v>-5.0412041204637463E-3</v>
      </c>
      <c r="Y79" s="16">
        <f>VLOOKUP(C79,台股行情!A:D,4,FALSE)</f>
        <v>108.9</v>
      </c>
      <c r="Z79" s="38">
        <f>VLOOKUP(C79,台股行情!A:E,5,FALSE)</f>
        <v>-4.0999999999999996</v>
      </c>
      <c r="AA79" s="90">
        <f t="shared" ref="AA79" ca="1" si="124">IF(I79="",((TODAY()-A79)*G79)/365.24,((I79-A79)*G79)/365.24)</f>
        <v>733.32603219800683</v>
      </c>
      <c r="AB79" s="103" t="s">
        <v>2733</v>
      </c>
    </row>
    <row r="80" spans="1:29" hidden="1" outlineLevel="1">
      <c r="A80" s="99">
        <v>46294</v>
      </c>
      <c r="B80" s="11"/>
      <c r="C80" s="348">
        <v>50</v>
      </c>
      <c r="D80" s="189" t="str">
        <f>VLOOKUP(C80,台股行情!A:B,2,FALSE)</f>
        <v>元大台灣50</v>
      </c>
      <c r="E80" s="11">
        <v>89</v>
      </c>
      <c r="F80" s="11">
        <v>111.75</v>
      </c>
      <c r="G80" s="11">
        <v>9920</v>
      </c>
      <c r="H80" s="11">
        <v>1</v>
      </c>
      <c r="I80" s="104"/>
      <c r="J80" s="16"/>
      <c r="K80" s="11">
        <f>E80*J80</f>
        <v>0</v>
      </c>
      <c r="L80" s="11">
        <f>ROUND(J80*E80*0.1425%,0)</f>
        <v>0</v>
      </c>
      <c r="M80" s="11">
        <f>ROUND(J80*E80*0.3%,0)</f>
        <v>0</v>
      </c>
      <c r="N80" s="11">
        <v>0</v>
      </c>
      <c r="O80" s="13">
        <f>IF(I80="",E80*Y80,0)</f>
        <v>9692.1</v>
      </c>
      <c r="P80" s="14">
        <f>IF(I80="",R80-H80,(K80-H80-SUM(L80:N80)+R80-S80-T80)-G80)+(ROUND(R80*V80,0)-ROUND(R80*(1+V80),0)*W80)</f>
        <v>-1</v>
      </c>
      <c r="Q80" s="14">
        <f>IF(I80="",(O80-G80-(O80*0.1425%*0.65)-(O80*0.3%)-S80-T80),0)</f>
        <v>-265.95360762499968</v>
      </c>
      <c r="R80" s="14"/>
      <c r="S80" s="14"/>
      <c r="T80" s="14">
        <f>IF(ROUND(R80*(1+V80),0)&gt;20000,ROUND(ROUND(R80*(1+V80),0)*2%,0),0)</f>
        <v>0</v>
      </c>
      <c r="U80" s="69">
        <f>(V80*50%)/(1+50%*V80)</f>
        <v>0</v>
      </c>
      <c r="V80" s="69"/>
      <c r="W80" s="70">
        <v>0.11</v>
      </c>
      <c r="X80" s="15">
        <f>(P80+Q80)/G80</f>
        <v>-2.6910645929939483E-2</v>
      </c>
      <c r="Y80" s="16">
        <f>VLOOKUP(C80,台股行情!A:D,4,FALSE)</f>
        <v>108.9</v>
      </c>
      <c r="Z80" s="38">
        <f>VLOOKUP(C80,台股行情!A:E,5,FALSE)</f>
        <v>-4.0999999999999996</v>
      </c>
      <c r="AA80" s="90">
        <f ca="1">IF(I80="",((TODAY()-A80)*G80)/365.24,((I80-A80)*G80)/365.24)</f>
        <v>434.56357463585584</v>
      </c>
      <c r="AB80" s="103" t="s">
        <v>2733</v>
      </c>
    </row>
    <row r="81" spans="1:30">
      <c r="A81" s="99">
        <v>46148</v>
      </c>
      <c r="B81" s="11"/>
      <c r="C81" s="11">
        <v>2855</v>
      </c>
      <c r="D81" s="189" t="str">
        <f>VLOOKUP(C81,台股行情!A:B,2,FALSE)</f>
        <v>統一證</v>
      </c>
      <c r="E81" s="11">
        <v>2000</v>
      </c>
      <c r="F81" s="11">
        <v>39.5</v>
      </c>
      <c r="G81" s="11">
        <f t="shared" ref="G81" si="125">E81*F81</f>
        <v>79000</v>
      </c>
      <c r="H81" s="11">
        <v>112</v>
      </c>
      <c r="I81" s="104"/>
      <c r="J81" s="16"/>
      <c r="K81" s="11">
        <f t="shared" ref="K81" si="126">E81*J81</f>
        <v>0</v>
      </c>
      <c r="L81" s="11">
        <f t="shared" ref="L81" si="127">ROUND(J81*E81*0.1425%,0)</f>
        <v>0</v>
      </c>
      <c r="M81" s="11">
        <f t="shared" ref="M81" si="128">ROUND(J81*E81*0.3%,0)</f>
        <v>0</v>
      </c>
      <c r="N81" s="11">
        <v>0</v>
      </c>
      <c r="O81" s="13">
        <f t="shared" ref="O81" si="129">IF(I81="",E81*Y81,0)</f>
        <v>118200</v>
      </c>
      <c r="P81" s="14">
        <f t="shared" ref="P81:P82" si="130">IF(I81="",R81-H81,(K81-H81-SUM(L81:N81)+R81-S81-T81)-G81)+(ROUND(R81*V81,0)-ROUND(R81*(1+V81),0)*W81)</f>
        <v>3643.8</v>
      </c>
      <c r="Q81" s="14">
        <f t="shared" ref="Q81" si="131">IF(I81="",(O81-G81-(O81*0.1425%*0.65)-(O81*0.3%)-S81-T81),0)</f>
        <v>38725.917249999999</v>
      </c>
      <c r="R81" s="14">
        <v>4220</v>
      </c>
      <c r="S81" s="14">
        <v>10</v>
      </c>
      <c r="T81" s="14">
        <f t="shared" si="68"/>
        <v>0</v>
      </c>
      <c r="U81" s="69">
        <f t="shared" ref="U81" si="132">(V81*50%)/(1+50%*V81)</f>
        <v>0</v>
      </c>
      <c r="V81" s="69"/>
      <c r="W81" s="70">
        <v>0.11</v>
      </c>
      <c r="X81" s="15">
        <f t="shared" ref="X81" si="133">(P81+Q81)/G81</f>
        <v>0.53632553481012657</v>
      </c>
      <c r="Y81" s="16">
        <f>VLOOKUP(C81,台股行情!A:D,4,FALSE)</f>
        <v>59.1</v>
      </c>
      <c r="Z81" s="38">
        <f>VLOOKUP(C81,台股行情!A:E,5,FALSE)</f>
        <v>-1.1000000000000001</v>
      </c>
      <c r="AA81" s="90">
        <f t="shared" ca="1" si="19"/>
        <v>35039.973715912827</v>
      </c>
      <c r="AB81" s="103" t="s">
        <v>3170</v>
      </c>
    </row>
    <row r="82" spans="1:30">
      <c r="A82" s="99">
        <v>46149</v>
      </c>
      <c r="B82" s="11"/>
      <c r="C82" s="11">
        <v>2357</v>
      </c>
      <c r="D82" s="189" t="str">
        <f>VLOOKUP(C82,台股行情!A:B,2,FALSE)</f>
        <v>華碩</v>
      </c>
      <c r="E82" s="11">
        <v>1000</v>
      </c>
      <c r="F82" s="11">
        <v>639</v>
      </c>
      <c r="G82" s="11">
        <f>E82*F82</f>
        <v>639000</v>
      </c>
      <c r="H82" s="11">
        <v>910</v>
      </c>
      <c r="I82" s="104"/>
      <c r="J82" s="16"/>
      <c r="K82" s="11">
        <f t="shared" ref="K82" si="134">E82*J82</f>
        <v>0</v>
      </c>
      <c r="L82" s="11">
        <f t="shared" ref="L82" si="135">ROUND(J82*E82*0.1425%,0)</f>
        <v>0</v>
      </c>
      <c r="M82" s="11">
        <f t="shared" ref="M82" si="136">ROUND(J82*E82*0.3%,0)</f>
        <v>0</v>
      </c>
      <c r="N82" s="11">
        <v>0</v>
      </c>
      <c r="O82" s="13">
        <f t="shared" ref="O82" si="137">IF(I82="",E82*Y82,0)</f>
        <v>975000</v>
      </c>
      <c r="P82" s="14">
        <f t="shared" si="130"/>
        <v>36470</v>
      </c>
      <c r="Q82" s="14">
        <f t="shared" ref="Q82" si="138">IF(I82="",(O82-G82-(O82*0.1425%*0.65)-(O82*0.3%)-S82-T82),0)</f>
        <v>331331.90625</v>
      </c>
      <c r="R82" s="14">
        <v>42000</v>
      </c>
      <c r="S82" s="14"/>
      <c r="T82" s="14">
        <f t="shared" ref="T82" si="139">IF(ROUND(R82*(1+V82),0)&gt;20000,ROUND(ROUND(R82*(1+V82),0)*2%,0),0)</f>
        <v>840</v>
      </c>
      <c r="U82" s="69">
        <f t="shared" ref="U82" si="140">(V82*50%)/(1+50%*V82)</f>
        <v>0</v>
      </c>
      <c r="V82" s="69"/>
      <c r="W82" s="70">
        <v>0.11</v>
      </c>
      <c r="X82" s="15">
        <f t="shared" ref="X82" si="141">(P82+Q82)/G82</f>
        <v>0.57558983763693272</v>
      </c>
      <c r="Y82" s="16">
        <f>VLOOKUP(C82,台股行情!A:D,4,FALSE)</f>
        <v>975</v>
      </c>
      <c r="Z82" s="38">
        <f>VLOOKUP(C82,台股行情!A:E,5,FALSE)</f>
        <v>-15</v>
      </c>
      <c r="AA82" s="90">
        <f t="shared" ca="1" si="19"/>
        <v>281675.06297229219</v>
      </c>
      <c r="AB82" s="103" t="s">
        <v>2332</v>
      </c>
    </row>
    <row r="83" spans="1:30">
      <c r="A83" s="99">
        <v>46150</v>
      </c>
      <c r="B83" s="11"/>
      <c r="C83" s="11">
        <v>3443</v>
      </c>
      <c r="D83" s="189" t="str">
        <f>VLOOKUP(C83,台股行情!A:B,2,FALSE)</f>
        <v>創意</v>
      </c>
      <c r="E83" s="11">
        <v>25</v>
      </c>
      <c r="F83" s="11">
        <v>5420</v>
      </c>
      <c r="G83" s="11">
        <f t="shared" ref="G83" si="142">E83*F83</f>
        <v>135500</v>
      </c>
      <c r="H83" s="11">
        <v>193</v>
      </c>
      <c r="I83" s="104"/>
      <c r="J83" s="16"/>
      <c r="K83" s="11">
        <f t="shared" ref="K83:K85" si="143">E83*J83</f>
        <v>0</v>
      </c>
      <c r="L83" s="11">
        <f t="shared" ref="L83:L85" si="144">ROUND(J83*E83*0.1425%,0)</f>
        <v>0</v>
      </c>
      <c r="M83" s="11">
        <f t="shared" ref="M83:M85" si="145">ROUND(J83*E83*0.3%,0)</f>
        <v>0</v>
      </c>
      <c r="N83" s="11">
        <v>0</v>
      </c>
      <c r="O83" s="13">
        <f t="shared" ref="O83:O85" si="146">IF(I83="",E83*Y83,0)</f>
        <v>191750</v>
      </c>
      <c r="P83" s="14">
        <f t="shared" ref="P83:P85" si="147">IF(I83="",R83-H83,(K83-H83-SUM(L83:N83)+R83-S83-T83)-G83)+(ROUND(R83*V83,0)-ROUND(R83*(1+V83),0)*W83)</f>
        <v>252</v>
      </c>
      <c r="Q83" s="14">
        <f t="shared" ref="Q83:Q85" si="148">IF(I83="",(O83-G83-(O83*0.1425%*0.65)-(O83*0.3%)-S83-T83),0)</f>
        <v>55487.141562500001</v>
      </c>
      <c r="R83" s="14">
        <v>500</v>
      </c>
      <c r="S83" s="14">
        <v>10</v>
      </c>
      <c r="T83" s="14">
        <f t="shared" ref="T83:T85" si="149">IF(ROUND(R83*(1+V83),0)&gt;20000,ROUND(ROUND(R83*(1+V83),0)*2%,0),0)</f>
        <v>0</v>
      </c>
      <c r="U83" s="69">
        <f t="shared" ref="U83:U85" si="150">(V83*50%)/(1+50%*V83)</f>
        <v>0</v>
      </c>
      <c r="V83" s="69"/>
      <c r="W83" s="70">
        <v>0.11</v>
      </c>
      <c r="X83" s="15">
        <f t="shared" ref="X83:X85" si="151">(P83+Q83)/G83</f>
        <v>0.41135897832103324</v>
      </c>
      <c r="Y83" s="16">
        <f>VLOOKUP(C83,台股行情!A:D,4,FALSE)</f>
        <v>7670</v>
      </c>
      <c r="Z83" s="38">
        <f>VLOOKUP(C83,台股行情!A:E,5,FALSE)</f>
        <v>-575</v>
      </c>
      <c r="AA83" s="90">
        <f t="shared" ca="1" si="19"/>
        <v>59358.230204796848</v>
      </c>
      <c r="AB83" s="103" t="s">
        <v>3168</v>
      </c>
    </row>
    <row r="84" spans="1:30">
      <c r="A84" s="99">
        <v>46150</v>
      </c>
      <c r="B84" s="11"/>
      <c r="C84" s="11">
        <v>3324</v>
      </c>
      <c r="D84" s="189" t="str">
        <f>VLOOKUP(C84,台股行情!A:B,2,FALSE)</f>
        <v>雙鴻</v>
      </c>
      <c r="E84" s="11">
        <v>100</v>
      </c>
      <c r="F84" s="11">
        <v>1075</v>
      </c>
      <c r="G84" s="11">
        <f>E84*F84</f>
        <v>107500</v>
      </c>
      <c r="H84" s="11">
        <v>153</v>
      </c>
      <c r="I84" s="104"/>
      <c r="J84" s="16"/>
      <c r="K84" s="11">
        <f t="shared" si="143"/>
        <v>0</v>
      </c>
      <c r="L84" s="11">
        <f t="shared" si="144"/>
        <v>0</v>
      </c>
      <c r="M84" s="11">
        <f t="shared" si="145"/>
        <v>0</v>
      </c>
      <c r="N84" s="11">
        <v>0</v>
      </c>
      <c r="O84" s="13">
        <f t="shared" si="146"/>
        <v>141000</v>
      </c>
      <c r="P84" s="14">
        <f t="shared" si="147"/>
        <v>906.1</v>
      </c>
      <c r="Q84" s="14">
        <f t="shared" si="148"/>
        <v>32936.39875</v>
      </c>
      <c r="R84" s="14">
        <v>1190</v>
      </c>
      <c r="S84" s="14">
        <v>10</v>
      </c>
      <c r="T84" s="14">
        <f t="shared" si="149"/>
        <v>0</v>
      </c>
      <c r="U84" s="69">
        <f t="shared" si="150"/>
        <v>0</v>
      </c>
      <c r="V84" s="69"/>
      <c r="W84" s="70">
        <v>0.11</v>
      </c>
      <c r="X84" s="15">
        <f t="shared" si="151"/>
        <v>0.31481394186046513</v>
      </c>
      <c r="Y84" s="16">
        <f>VLOOKUP(C84,台股行情!A:D,4,FALSE)</f>
        <v>1410</v>
      </c>
      <c r="Z84" s="38">
        <f>VLOOKUP(C84,台股行情!A:E,5,FALSE)</f>
        <v>-80</v>
      </c>
      <c r="AA84" s="90">
        <f t="shared" ca="1" si="19"/>
        <v>47092.32285620414</v>
      </c>
      <c r="AB84" s="103" t="s">
        <v>3168</v>
      </c>
    </row>
    <row r="85" spans="1:30">
      <c r="A85" s="99">
        <v>46154</v>
      </c>
      <c r="B85" s="11"/>
      <c r="C85" s="11">
        <v>3481</v>
      </c>
      <c r="D85" s="189" t="str">
        <f>VLOOKUP(C85,台股行情!A:B,2,FALSE)</f>
        <v>群創</v>
      </c>
      <c r="E85" s="11">
        <v>3000</v>
      </c>
      <c r="F85" s="11">
        <v>35</v>
      </c>
      <c r="G85" s="11">
        <f t="shared" ref="G85" si="152">E85*F85</f>
        <v>105000</v>
      </c>
      <c r="H85" s="11">
        <v>149</v>
      </c>
      <c r="I85" s="104"/>
      <c r="J85" s="16"/>
      <c r="K85" s="11">
        <f t="shared" si="143"/>
        <v>0</v>
      </c>
      <c r="L85" s="11">
        <f t="shared" si="144"/>
        <v>0</v>
      </c>
      <c r="M85" s="11">
        <f t="shared" si="145"/>
        <v>0</v>
      </c>
      <c r="N85" s="11">
        <v>0</v>
      </c>
      <c r="O85" s="13">
        <f t="shared" si="146"/>
        <v>144900</v>
      </c>
      <c r="P85" s="14">
        <f t="shared" si="147"/>
        <v>3411</v>
      </c>
      <c r="Q85" s="14">
        <f t="shared" si="148"/>
        <v>39321.086375000006</v>
      </c>
      <c r="R85" s="14">
        <v>4000</v>
      </c>
      <c r="S85" s="14">
        <v>10</v>
      </c>
      <c r="T85" s="14">
        <f t="shared" si="149"/>
        <v>0</v>
      </c>
      <c r="U85" s="69">
        <f t="shared" si="150"/>
        <v>0</v>
      </c>
      <c r="V85" s="69"/>
      <c r="W85" s="70">
        <v>0.11</v>
      </c>
      <c r="X85" s="15">
        <f t="shared" si="151"/>
        <v>0.40697225119047625</v>
      </c>
      <c r="Y85" s="16">
        <f>VLOOKUP(C85,台股行情!A:D,4,FALSE)</f>
        <v>48.3</v>
      </c>
      <c r="Z85" s="38">
        <f>VLOOKUP(C85,台股行情!A:E,5,FALSE)</f>
        <v>-2.6</v>
      </c>
      <c r="AA85" s="90">
        <f t="shared" ca="1" si="19"/>
        <v>44847.223743292081</v>
      </c>
      <c r="AB85" s="103" t="s">
        <v>3168</v>
      </c>
      <c r="AD85" s="311"/>
    </row>
    <row r="86" spans="1:30">
      <c r="A86" s="99">
        <v>46269</v>
      </c>
      <c r="B86" s="11"/>
      <c r="C86" s="348">
        <v>9828</v>
      </c>
      <c r="D86" s="189" t="str">
        <f>VLOOKUP(C86,台股行情!A:B,2,FALSE)</f>
        <v>中信台日韓PCB</v>
      </c>
      <c r="E86" s="11">
        <v>2000</v>
      </c>
      <c r="F86" s="11">
        <v>9.31</v>
      </c>
      <c r="G86" s="11">
        <f t="shared" ref="G86" si="153">E86*F86</f>
        <v>18620</v>
      </c>
      <c r="H86" s="11">
        <v>26</v>
      </c>
      <c r="I86" s="104"/>
      <c r="J86" s="16"/>
      <c r="K86" s="11">
        <f t="shared" ref="K86" si="154">E86*J86</f>
        <v>0</v>
      </c>
      <c r="L86" s="11">
        <f t="shared" ref="L86" si="155">ROUND(J86*E86*0.1425%,0)</f>
        <v>0</v>
      </c>
      <c r="M86" s="11">
        <f t="shared" ref="M86" si="156">ROUND(J86*E86*0.3%,0)</f>
        <v>0</v>
      </c>
      <c r="N86" s="11">
        <v>0</v>
      </c>
      <c r="O86" s="13">
        <f t="shared" ref="O86" si="157">IF(I86="",E86*Y86,0)</f>
        <v>19980</v>
      </c>
      <c r="P86" s="14">
        <f t="shared" ref="P86" si="158">IF(I86="",R86-H86,(K86-H86-SUM(L86:N86)+R86-S86-T86)-G86)+(ROUND(R86*V86,0)-ROUND(R86*(1+V86),0)*W86)</f>
        <v>-26</v>
      </c>
      <c r="Q86" s="14">
        <f t="shared" ref="Q86" si="159">IF(I86="",(O86-G86-(O86*0.1425%*0.65)-(O86*0.3%)-S86-T86),0)</f>
        <v>1281.553525</v>
      </c>
      <c r="R86" s="14"/>
      <c r="S86" s="14"/>
      <c r="T86" s="14">
        <f t="shared" ref="T86" si="160">IF(ROUND(R86*(1+V86),0)&gt;20000,ROUND(ROUND(R86*(1+V86),0)*2%,0),0)</f>
        <v>0</v>
      </c>
      <c r="U86" s="69">
        <f t="shared" ref="U86" si="161">(V86*50%)/(1+50%*V86)</f>
        <v>0</v>
      </c>
      <c r="V86" s="69"/>
      <c r="W86" s="70">
        <v>0.11</v>
      </c>
      <c r="X86" s="15">
        <f t="shared" ref="X86" si="162">(P86+Q86)/G86</f>
        <v>6.7430371911922665E-2</v>
      </c>
      <c r="Y86" s="16">
        <f>VLOOKUP(C86,台股行情!A:D,4,FALSE)</f>
        <v>9.99</v>
      </c>
      <c r="Z86" s="38">
        <f>VLOOKUP(C86,台股行情!A:E,5,FALSE)</f>
        <v>-0.72</v>
      </c>
      <c r="AA86" s="90">
        <f t="shared" ref="AA86:AA92" ca="1" si="163">IF(I86="",((TODAY()-A86)*G86)/365.24,((I86-A86)*G86)/365.24)</f>
        <v>2090.1872741211259</v>
      </c>
      <c r="AB86" s="103" t="s">
        <v>2733</v>
      </c>
    </row>
    <row r="87" spans="1:30">
      <c r="A87" s="99">
        <v>46272</v>
      </c>
      <c r="B87" s="11"/>
      <c r="C87" s="348">
        <v>830</v>
      </c>
      <c r="D87" s="189" t="str">
        <f>VLOOKUP(C87,台股行情!A:B,2,FALSE)</f>
        <v>國泰費城半導體</v>
      </c>
      <c r="E87" s="11">
        <v>121</v>
      </c>
      <c r="F87" s="11">
        <v>82.55</v>
      </c>
      <c r="G87" s="11">
        <v>9986</v>
      </c>
      <c r="H87" s="11">
        <v>1</v>
      </c>
      <c r="I87" s="104"/>
      <c r="J87" s="16"/>
      <c r="K87" s="11">
        <f>E87*J87</f>
        <v>0</v>
      </c>
      <c r="L87" s="11">
        <f>ROUND(J87*E87*0.1425%,0)</f>
        <v>0</v>
      </c>
      <c r="M87" s="11">
        <f>ROUND(J87*E87*0.3%,0)</f>
        <v>0</v>
      </c>
      <c r="N87" s="11">
        <v>0</v>
      </c>
      <c r="O87" s="13">
        <f>IF(I87="",E87*Y87,0)</f>
        <v>10085.349999999999</v>
      </c>
      <c r="P87" s="14">
        <f t="shared" ref="P87:P88" si="164">IF(I87="",R87-H87,(K87-H87-SUM(L87:N87)+R87-S87-T87)-G87)+(ROUND(R87*V87,0)-ROUND(R87*(1+V87),0)*W87)</f>
        <v>-1</v>
      </c>
      <c r="Q87" s="14">
        <f>IF(I87="",(O87-G87-(O87*0.1425%*0.65)-(O87*0.3%)-S87-T87),0)</f>
        <v>59.752394562498544</v>
      </c>
      <c r="R87" s="14"/>
      <c r="S87" s="14"/>
      <c r="T87" s="14">
        <f>IF(ROUND(R87*(1+V87),0)&gt;20000,ROUND(ROUND(R87*(1+V87),0)*2%,0),0)</f>
        <v>0</v>
      </c>
      <c r="U87" s="69">
        <f>(V87*50%)/(1+50%*V87)</f>
        <v>0</v>
      </c>
      <c r="V87" s="69"/>
      <c r="W87" s="70">
        <v>0.11</v>
      </c>
      <c r="X87" s="15">
        <f>(P87+Q87)/G87</f>
        <v>5.8834763231021972E-3</v>
      </c>
      <c r="Y87" s="16">
        <f>VLOOKUP(C87,台股行情!A:D,4,FALSE)</f>
        <v>83.35</v>
      </c>
      <c r="Z87" s="38">
        <f>VLOOKUP(C87,台股行情!A:E,5,FALSE)</f>
        <v>-3.75</v>
      </c>
      <c r="AA87" s="90">
        <f t="shared" ca="1" si="163"/>
        <v>1038.9552075347717</v>
      </c>
      <c r="AB87" s="103" t="s">
        <v>2733</v>
      </c>
      <c r="AC87" s="9"/>
    </row>
    <row r="88" spans="1:30">
      <c r="A88" s="99">
        <v>46272</v>
      </c>
      <c r="B88" s="11"/>
      <c r="C88" s="11" t="s">
        <v>2812</v>
      </c>
      <c r="D88" s="189" t="str">
        <f>VLOOKUP(C88,台股行情!A:B,2,FALSE)</f>
        <v>主動統一台股增長</v>
      </c>
      <c r="E88" s="11">
        <v>331</v>
      </c>
      <c r="F88" s="11">
        <v>30.2</v>
      </c>
      <c r="G88" s="11">
        <v>9996</v>
      </c>
      <c r="H88" s="11">
        <v>1</v>
      </c>
      <c r="I88" s="104"/>
      <c r="J88" s="16"/>
      <c r="K88" s="11">
        <f>E88*J88</f>
        <v>0</v>
      </c>
      <c r="L88" s="11">
        <f>ROUND(J88*E88*0.1425%,0)</f>
        <v>0</v>
      </c>
      <c r="M88" s="11">
        <f>ROUND(J88*E88*0.3%,0)</f>
        <v>0</v>
      </c>
      <c r="N88" s="11">
        <v>0</v>
      </c>
      <c r="O88" s="13">
        <f>IF(I88="",E88*Y88,0)</f>
        <v>9731.4</v>
      </c>
      <c r="P88" s="14">
        <f t="shared" si="164"/>
        <v>-1</v>
      </c>
      <c r="Q88" s="14">
        <f>IF(I88="",(O88-G88-(O88*0.1425%*0.65)-(O88*0.3%)-S88-T88),0)</f>
        <v>-302.80790925000036</v>
      </c>
      <c r="R88" s="14"/>
      <c r="S88" s="14"/>
      <c r="T88" s="14">
        <f t="shared" ref="T88" si="165">IF(ROUND(R88*(1+V88),0)&gt;20000,ROUND(ROUND(R88*(1+V88),0)*2%,0),0)</f>
        <v>0</v>
      </c>
      <c r="U88" s="69">
        <f>(V88*50%)/(1+50%*V88)</f>
        <v>0</v>
      </c>
      <c r="V88" s="69"/>
      <c r="W88" s="70">
        <v>0.11</v>
      </c>
      <c r="X88" s="15">
        <f>(P88+Q88)/G88</f>
        <v>-3.0392948104241733E-2</v>
      </c>
      <c r="Y88" s="16">
        <f>VLOOKUP(C88,台股行情!A:D,4,FALSE)</f>
        <v>29.4</v>
      </c>
      <c r="Z88" s="38">
        <f>VLOOKUP(C88,台股行情!A:E,5,FALSE)</f>
        <v>-1.79</v>
      </c>
      <c r="AA88" s="90">
        <f t="shared" ca="1" si="163"/>
        <v>1039.9956193188041</v>
      </c>
      <c r="AB88" s="103" t="s">
        <v>2733</v>
      </c>
    </row>
    <row r="89" spans="1:30">
      <c r="A89" s="99">
        <v>46301</v>
      </c>
      <c r="B89" s="11"/>
      <c r="C89" s="11" t="s">
        <v>2812</v>
      </c>
      <c r="D89" s="189" t="str">
        <f>VLOOKUP(C89,台股行情!A:B,2,FALSE)</f>
        <v>主動統一台股增長</v>
      </c>
      <c r="E89" s="11">
        <v>306</v>
      </c>
      <c r="F89" s="11">
        <v>32.590000000000003</v>
      </c>
      <c r="G89" s="11">
        <v>9973</v>
      </c>
      <c r="H89" s="11">
        <v>1</v>
      </c>
      <c r="I89" s="104"/>
      <c r="J89" s="16"/>
      <c r="K89" s="11">
        <f>E89*J89</f>
        <v>0</v>
      </c>
      <c r="L89" s="11">
        <f>ROUND(J89*E89*0.1425%,0)</f>
        <v>0</v>
      </c>
      <c r="M89" s="11">
        <f>ROUND(J89*E89*0.3%,0)</f>
        <v>0</v>
      </c>
      <c r="N89" s="11">
        <v>0</v>
      </c>
      <c r="O89" s="13">
        <f>IF(I89="",E89*Y89,0)</f>
        <v>8996.4</v>
      </c>
      <c r="P89" s="14">
        <f t="shared" ref="P89:P92" si="166">IF(I89="",R89-H89,(K89-H89-SUM(L89:N89)+R89-S89-T89)-G89)+(ROUND(R89*V89,0)-ROUND(R89*(1+V89),0)*W89)</f>
        <v>-1</v>
      </c>
      <c r="Q89" s="14">
        <f>IF(I89="",(O89-G89-(O89*0.1425%*0.65)-(O89*0.3%)-S89-T89),0)</f>
        <v>-1011.9221155000004</v>
      </c>
      <c r="R89" s="14"/>
      <c r="S89" s="14"/>
      <c r="T89" s="14">
        <f t="shared" ref="T89" si="167">IF(ROUND(R89*(1+V89),0)&gt;20000,ROUND(ROUND(R89*(1+V89),0)*2%,0),0)</f>
        <v>0</v>
      </c>
      <c r="U89" s="69">
        <f>(V89*50%)/(1+50%*V89)</f>
        <v>0</v>
      </c>
      <c r="V89" s="69"/>
      <c r="W89" s="70">
        <v>0.11</v>
      </c>
      <c r="X89" s="15">
        <f>(P89+Q89)/G89</f>
        <v>-0.10156644094053949</v>
      </c>
      <c r="Y89" s="16">
        <f>VLOOKUP(C89,台股行情!A:D,4,FALSE)</f>
        <v>29.4</v>
      </c>
      <c r="Z89" s="38">
        <f>VLOOKUP(C89,台股行情!A:E,5,FALSE)</f>
        <v>-1.79</v>
      </c>
      <c r="AA89" s="90">
        <f t="shared" ca="1" si="163"/>
        <v>245.74800131420434</v>
      </c>
      <c r="AB89" s="103" t="s">
        <v>2733</v>
      </c>
    </row>
    <row r="90" spans="1:30">
      <c r="A90" s="99">
        <v>46302</v>
      </c>
      <c r="B90" s="11"/>
      <c r="C90" s="348">
        <v>830</v>
      </c>
      <c r="D90" s="189" t="str">
        <f>VLOOKUP(C90,台股行情!A:B,2,FALSE)</f>
        <v>國泰費城半導體</v>
      </c>
      <c r="E90" s="11">
        <v>107</v>
      </c>
      <c r="F90" s="11">
        <v>92.77</v>
      </c>
      <c r="G90" s="11">
        <v>9919</v>
      </c>
      <c r="H90" s="11">
        <v>1</v>
      </c>
      <c r="I90" s="104"/>
      <c r="J90" s="16"/>
      <c r="K90" s="11">
        <f>E90*J90</f>
        <v>0</v>
      </c>
      <c r="L90" s="11">
        <f>ROUND(J90*E90*0.1425%,0)</f>
        <v>0</v>
      </c>
      <c r="M90" s="11">
        <f>ROUND(J90*E90*0.3%,0)</f>
        <v>0</v>
      </c>
      <c r="N90" s="11">
        <v>0</v>
      </c>
      <c r="O90" s="13">
        <f>IF(I90="",E90*Y90,0)</f>
        <v>8918.4499999999989</v>
      </c>
      <c r="P90" s="14">
        <f t="shared" si="166"/>
        <v>-1</v>
      </c>
      <c r="Q90" s="14">
        <f>IF(I90="",(O90-G90-(O90*0.1425%*0.65)-(O90*0.3%)-S90-T90),0)</f>
        <v>-1035.5660643125011</v>
      </c>
      <c r="R90" s="14"/>
      <c r="S90" s="14"/>
      <c r="T90" s="14">
        <f>IF(ROUND(R90*(1+V90),0)&gt;20000,ROUND(ROUND(R90*(1+V90),0)*2%,0),0)</f>
        <v>0</v>
      </c>
      <c r="U90" s="69">
        <f>(V90*50%)/(1+50%*V90)</f>
        <v>0</v>
      </c>
      <c r="V90" s="69"/>
      <c r="W90" s="70">
        <v>0.11</v>
      </c>
      <c r="X90" s="15">
        <f>(P90+Q90)/G90</f>
        <v>-0.10450308139051327</v>
      </c>
      <c r="Y90" s="16">
        <f>VLOOKUP(C90,台股行情!A:D,4,FALSE)</f>
        <v>83.35</v>
      </c>
      <c r="Z90" s="38">
        <f>VLOOKUP(C90,台股行情!A:E,5,FALSE)</f>
        <v>-3.75</v>
      </c>
      <c r="AA90" s="90">
        <f t="shared" ca="1" si="163"/>
        <v>217.25988391194829</v>
      </c>
      <c r="AB90" s="103" t="s">
        <v>2733</v>
      </c>
      <c r="AC90" s="9"/>
    </row>
    <row r="91" spans="1:30">
      <c r="A91" s="99">
        <v>46303</v>
      </c>
      <c r="B91" s="11"/>
      <c r="C91" s="348">
        <v>50</v>
      </c>
      <c r="D91" s="189" t="str">
        <f>VLOOKUP(C91,台股行情!A:B,2,FALSE)</f>
        <v>元大台灣50</v>
      </c>
      <c r="E91" s="11">
        <v>86</v>
      </c>
      <c r="F91" s="11">
        <v>115.25</v>
      </c>
      <c r="G91" s="11">
        <v>9915</v>
      </c>
      <c r="H91" s="11">
        <v>1</v>
      </c>
      <c r="I91" s="104"/>
      <c r="J91" s="16"/>
      <c r="K91" s="11">
        <f>E91*J91</f>
        <v>0</v>
      </c>
      <c r="L91" s="11">
        <f>ROUND(J91*E91*0.1425%,0)</f>
        <v>0</v>
      </c>
      <c r="M91" s="11">
        <f>ROUND(J91*E91*0.3%,0)</f>
        <v>0</v>
      </c>
      <c r="N91" s="11">
        <v>0</v>
      </c>
      <c r="O91" s="13">
        <f>IF(I91="",E91*Y91,0)</f>
        <v>9365.4</v>
      </c>
      <c r="P91" s="14">
        <f t="shared" si="166"/>
        <v>-1</v>
      </c>
      <c r="Q91" s="14">
        <f>IF(I91="",(O91-G91-(O91*0.1425%*0.65)-(O91*0.3%)-S91-T91),0)</f>
        <v>-586.37090175000037</v>
      </c>
      <c r="R91" s="14"/>
      <c r="S91" s="14"/>
      <c r="T91" s="14">
        <f>IF(ROUND(R91*(1+V91),0)&gt;20000,ROUND(ROUND(R91*(1+V91),0)*2%,0),0)</f>
        <v>0</v>
      </c>
      <c r="U91" s="69">
        <f>(V91*50%)/(1+50%*V91)</f>
        <v>0</v>
      </c>
      <c r="V91" s="69"/>
      <c r="W91" s="70">
        <v>0.11</v>
      </c>
      <c r="X91" s="15">
        <f>(P91+Q91)/G91</f>
        <v>-5.9240635577408003E-2</v>
      </c>
      <c r="Y91" s="16">
        <f>VLOOKUP(C91,台股行情!A:D,4,FALSE)</f>
        <v>108.9</v>
      </c>
      <c r="Z91" s="38">
        <f>VLOOKUP(C91,台股行情!A:E,5,FALSE)</f>
        <v>-4.0999999999999996</v>
      </c>
      <c r="AA91" s="90">
        <f t="shared" ca="1" si="163"/>
        <v>190.02573650202606</v>
      </c>
      <c r="AB91" s="103" t="s">
        <v>2733</v>
      </c>
    </row>
    <row r="92" spans="1:30">
      <c r="A92" s="99">
        <v>46310</v>
      </c>
      <c r="B92" s="11"/>
      <c r="C92" s="348">
        <v>50</v>
      </c>
      <c r="D92" s="189" t="str">
        <f>VLOOKUP(C92,台股行情!A:B,2,FALSE)</f>
        <v>元大台灣50</v>
      </c>
      <c r="E92" s="11">
        <v>1000</v>
      </c>
      <c r="F92" s="11">
        <v>109.1</v>
      </c>
      <c r="G92" s="11">
        <f t="shared" ref="G92" si="168">E92*F92</f>
        <v>109100</v>
      </c>
      <c r="H92" s="11">
        <v>155</v>
      </c>
      <c r="I92" s="104"/>
      <c r="J92" s="16"/>
      <c r="K92" s="11">
        <f t="shared" ref="K92" si="169">E92*J92</f>
        <v>0</v>
      </c>
      <c r="L92" s="11">
        <f t="shared" ref="L92" si="170">ROUND(J92*E92*0.1425%,0)</f>
        <v>0</v>
      </c>
      <c r="M92" s="11">
        <f t="shared" ref="M92" si="171">ROUND(J92*E92*0.3%,0)</f>
        <v>0</v>
      </c>
      <c r="N92" s="11">
        <v>0</v>
      </c>
      <c r="O92" s="13">
        <f t="shared" ref="O92" si="172">IF(I92="",E92*Y92,0)</f>
        <v>108900</v>
      </c>
      <c r="P92" s="14">
        <f t="shared" si="166"/>
        <v>-155</v>
      </c>
      <c r="Q92" s="14">
        <f t="shared" ref="Q92" si="173">IF(I92="",(O92-G92-(O92*0.1425%*0.65)-(O92*0.3%)-S92-T92),0)</f>
        <v>-627.568625</v>
      </c>
      <c r="R92" s="14"/>
      <c r="S92" s="14"/>
      <c r="T92" s="14">
        <f t="shared" ref="T92" si="174">IF(ROUND(R92*(1+V92),0)&gt;20000,ROUND(ROUND(R92*(1+V92),0)*2%,0),0)</f>
        <v>0</v>
      </c>
      <c r="U92" s="69">
        <f t="shared" ref="U92" si="175">(V92*50%)/(1+50%*V92)</f>
        <v>0</v>
      </c>
      <c r="V92" s="69"/>
      <c r="W92" s="70">
        <v>0.11</v>
      </c>
      <c r="X92" s="15">
        <f t="shared" ref="X92" si="176">(P92+Q92)/G92</f>
        <v>-7.1729479835013748E-3</v>
      </c>
      <c r="Y92" s="16">
        <f>VLOOKUP(C92,台股行情!A:D,4,FALSE)</f>
        <v>108.9</v>
      </c>
      <c r="Z92" s="38">
        <f>VLOOKUP(C92,台股行情!A:E,5,FALSE)</f>
        <v>-4.0999999999999996</v>
      </c>
      <c r="AA92" s="90">
        <f t="shared" ca="1" si="163"/>
        <v>0</v>
      </c>
      <c r="AB92" s="103" t="s">
        <v>2733</v>
      </c>
      <c r="AC92" s="9"/>
    </row>
    <row r="93" spans="1:30" ht="17.25" thickBot="1">
      <c r="A93" s="48"/>
      <c r="B93" s="49"/>
      <c r="C93" s="49"/>
      <c r="D93" s="193"/>
      <c r="E93" s="49"/>
      <c r="F93" s="49"/>
      <c r="G93" s="49"/>
      <c r="H93" s="49"/>
      <c r="I93" s="50"/>
      <c r="J93" s="51"/>
      <c r="K93" s="49"/>
      <c r="L93" s="52"/>
      <c r="M93" s="49"/>
      <c r="N93" s="49"/>
      <c r="O93" s="53"/>
      <c r="P93" s="54"/>
      <c r="Q93" s="54"/>
      <c r="R93" s="54"/>
      <c r="S93" s="54"/>
      <c r="T93" s="60"/>
      <c r="U93" s="54"/>
      <c r="V93" s="54"/>
      <c r="W93" s="78"/>
      <c r="X93" s="55"/>
      <c r="Y93" s="51"/>
      <c r="Z93" s="56"/>
      <c r="AA93" s="90"/>
    </row>
    <row r="94" spans="1:30" ht="17.25" thickBot="1">
      <c r="A94" s="29"/>
      <c r="D94" s="28"/>
      <c r="I94" s="30"/>
      <c r="J94" s="31"/>
      <c r="L94" s="32"/>
      <c r="O94" s="33"/>
      <c r="P94" s="34"/>
      <c r="Q94" s="34"/>
      <c r="R94" s="34"/>
      <c r="S94" s="34"/>
      <c r="T94" s="34"/>
      <c r="U94" s="34"/>
      <c r="V94" s="34"/>
      <c r="W94" s="34"/>
      <c r="X94" s="35" t="s">
        <v>2877</v>
      </c>
      <c r="Y94" s="31"/>
      <c r="Z94" s="31"/>
      <c r="AA94" s="90"/>
    </row>
    <row r="95" spans="1:30" ht="17.25" thickBot="1">
      <c r="A95" s="427"/>
      <c r="B95" s="404"/>
      <c r="C95" s="404"/>
      <c r="D95" s="238" t="s">
        <v>21</v>
      </c>
      <c r="E95" s="427"/>
      <c r="F95" s="429"/>
      <c r="G95" s="62">
        <f>SUM(G27:G93)</f>
        <v>3590449.88</v>
      </c>
      <c r="H95" s="62">
        <f>SUM(H27:H93)</f>
        <v>4539</v>
      </c>
      <c r="I95" s="432"/>
      <c r="J95" s="432"/>
      <c r="K95" s="436"/>
      <c r="L95" s="437"/>
      <c r="M95" s="437"/>
      <c r="N95" s="438"/>
      <c r="O95" s="62">
        <f>SUM(O27:O93)</f>
        <v>4561190.540000001</v>
      </c>
      <c r="P95" s="101">
        <f>SUM(P27:P93)</f>
        <v>267833.92999999993</v>
      </c>
      <c r="Q95" s="101">
        <f>SUM(Q27:Q93)</f>
        <v>947492.28564232518</v>
      </c>
      <c r="R95" s="62">
        <f>SUM(R27:R93)</f>
        <v>306037</v>
      </c>
      <c r="S95" s="71"/>
      <c r="T95" s="71"/>
      <c r="U95" s="71"/>
      <c r="V95" s="71"/>
      <c r="W95" s="71"/>
      <c r="X95" s="67">
        <f>(P95+Q95)/G95</f>
        <v>0.33848856167359315</v>
      </c>
      <c r="Y95" s="419" t="s">
        <v>23</v>
      </c>
      <c r="Z95" s="84">
        <f ca="1">IF(AA95=0,0,(P95+Q95)/(AA95))</f>
        <v>0.17557494755287117</v>
      </c>
      <c r="AA95" s="90">
        <f ca="1">SUM(AA27:AA93)</f>
        <v>6921979.6592925191</v>
      </c>
    </row>
    <row r="96" spans="1:30" s="36" customFormat="1" ht="17.25" thickBot="1">
      <c r="A96" s="409"/>
      <c r="B96" s="407"/>
      <c r="C96" s="407"/>
      <c r="D96" s="238" t="s">
        <v>2973</v>
      </c>
      <c r="E96" s="409"/>
      <c r="F96" s="430"/>
      <c r="G96" s="63">
        <f>SUM(G2:G24,G34:G93)</f>
        <v>3265447.88</v>
      </c>
      <c r="H96" s="63">
        <f>SUM(H4:H93)</f>
        <v>5528</v>
      </c>
      <c r="I96" s="434"/>
      <c r="J96" s="434"/>
      <c r="K96" s="63">
        <f>SUM(K25:K93)</f>
        <v>0</v>
      </c>
      <c r="L96" s="63">
        <f>SUM(L25:L93)</f>
        <v>0</v>
      </c>
      <c r="M96" s="63">
        <f>SUM(M25:M93)</f>
        <v>0</v>
      </c>
      <c r="N96" s="63">
        <f>SUM(N25:N93)</f>
        <v>0</v>
      </c>
      <c r="O96" s="63">
        <f>SUM(O4:O93)</f>
        <v>4561190.540000001</v>
      </c>
      <c r="P96" s="63">
        <f>SUM(P4:P93)</f>
        <v>308348.51</v>
      </c>
      <c r="Q96" s="101">
        <f>SUM(Q4:Q93)</f>
        <v>947492.28564232518</v>
      </c>
      <c r="R96" s="63">
        <f>SUM(R4:R93)</f>
        <v>312618</v>
      </c>
      <c r="S96" s="72"/>
      <c r="T96" s="72"/>
      <c r="U96" s="72"/>
      <c r="V96" s="72"/>
      <c r="W96" s="72"/>
      <c r="X96" s="67">
        <f>(P96+Q96)/G96</f>
        <v>0.38458454760035099</v>
      </c>
      <c r="Y96" s="420"/>
      <c r="Z96" s="84">
        <f ca="1">IF(AA96=0,0,(P96+Q96)/(AA96))</f>
        <v>0.17784972102560578</v>
      </c>
      <c r="AA96" s="90">
        <f ca="1">SUM(AA2:AA25,AA2:AA93)</f>
        <v>7061246.9246522821</v>
      </c>
      <c r="AB96" s="87"/>
      <c r="AC96" s="88"/>
    </row>
    <row r="97" spans="1:29" s="36" customFormat="1" ht="17.25" thickBot="1">
      <c r="A97" s="410"/>
      <c r="B97" s="411"/>
      <c r="C97" s="411"/>
      <c r="D97" s="238" t="s">
        <v>20</v>
      </c>
      <c r="E97" s="410"/>
      <c r="F97" s="431"/>
      <c r="G97" s="63">
        <f>SUM(G2:G24,G34:G93)</f>
        <v>3265447.88</v>
      </c>
      <c r="H97" s="63">
        <f>SUM(H2:H93)</f>
        <v>5592</v>
      </c>
      <c r="I97" s="435"/>
      <c r="J97" s="435"/>
      <c r="K97" s="63">
        <f>SUM(K25:K93)</f>
        <v>0</v>
      </c>
      <c r="L97" s="63">
        <f>SUM(L25:L93)</f>
        <v>0</v>
      </c>
      <c r="M97" s="63">
        <f>SUM(M25:M93)</f>
        <v>0</v>
      </c>
      <c r="N97" s="63">
        <f>SUM(N25:N93)</f>
        <v>0</v>
      </c>
      <c r="O97" s="63">
        <f>SUM(O2:O93)</f>
        <v>4561190.540000001</v>
      </c>
      <c r="P97" s="102">
        <f>SUM(P2:P93)</f>
        <v>310500.51</v>
      </c>
      <c r="Q97" s="101">
        <f>SUM(Q2:Q93)</f>
        <v>947492.28564232518</v>
      </c>
      <c r="R97" s="63">
        <f>SUM(R2:R93)</f>
        <v>312618</v>
      </c>
      <c r="S97" s="72"/>
      <c r="T97" s="72"/>
      <c r="U97" s="72"/>
      <c r="V97" s="72"/>
      <c r="W97" s="72"/>
      <c r="X97" s="67">
        <f>(P97+Q97)/G97</f>
        <v>0.38524356899009066</v>
      </c>
      <c r="Y97" s="420"/>
      <c r="Z97" s="84">
        <f ca="1">IF(AA97=0,0,(P97+Q97)/(AA97))</f>
        <v>0.18173887494071342</v>
      </c>
      <c r="AA97" s="90">
        <f ca="1">AA95</f>
        <v>6921979.6592925191</v>
      </c>
      <c r="AB97" s="87"/>
      <c r="AC97" s="87"/>
    </row>
    <row r="98" spans="1:29" ht="17.25" thickBot="1">
      <c r="B98" s="37"/>
      <c r="C98" s="37"/>
      <c r="D98" s="28"/>
    </row>
    <row r="99" spans="1:29" s="8" customFormat="1" ht="17.25" thickBot="1">
      <c r="A99" s="421" t="s">
        <v>2660</v>
      </c>
      <c r="B99" s="439"/>
      <c r="C99" s="439"/>
      <c r="D99" s="251" t="s">
        <v>2658</v>
      </c>
      <c r="E99" s="421"/>
      <c r="F99" s="439"/>
      <c r="G99" s="251" t="s">
        <v>2652</v>
      </c>
      <c r="H99" s="251" t="s">
        <v>25</v>
      </c>
      <c r="I99" s="421"/>
      <c r="J99" s="246"/>
      <c r="K99" s="246"/>
      <c r="L99" s="246"/>
      <c r="M99" s="246"/>
      <c r="N99" s="246"/>
      <c r="O99" s="251" t="s">
        <v>2653</v>
      </c>
      <c r="P99" s="251" t="s">
        <v>2654</v>
      </c>
      <c r="Q99" s="251" t="s">
        <v>2655</v>
      </c>
      <c r="R99" s="251" t="s">
        <v>2656</v>
      </c>
      <c r="S99" s="246" t="s">
        <v>25</v>
      </c>
      <c r="T99" s="246" t="s">
        <v>26</v>
      </c>
      <c r="U99" s="421"/>
      <c r="V99" s="246" t="s">
        <v>28</v>
      </c>
      <c r="W99" s="246" t="s">
        <v>27</v>
      </c>
      <c r="X99" s="251" t="s">
        <v>2657</v>
      </c>
      <c r="Y99" s="251" t="s">
        <v>23</v>
      </c>
      <c r="Z99" s="251" t="s">
        <v>168</v>
      </c>
      <c r="AA99" s="89"/>
      <c r="AB99" s="86"/>
      <c r="AC99" s="309"/>
    </row>
    <row r="100" spans="1:29" outlineLevel="1">
      <c r="A100" s="422"/>
      <c r="B100" s="440"/>
      <c r="C100" s="440"/>
      <c r="D100" s="247" t="s">
        <v>3168</v>
      </c>
      <c r="E100" s="422"/>
      <c r="F100" s="440"/>
      <c r="G100" s="265">
        <f>SUMIF(AB$2:AB$94,D100,G$2:G$94)</f>
        <v>348000</v>
      </c>
      <c r="H100" s="265">
        <f>SUMIF(AB$2:AB$94,D100,H$2:H$94)</f>
        <v>495</v>
      </c>
      <c r="I100" s="422"/>
      <c r="J100" s="249"/>
      <c r="K100" s="257"/>
      <c r="L100" s="257"/>
      <c r="M100" s="257"/>
      <c r="N100" s="257"/>
      <c r="O100" s="265">
        <f>SUMIF(AB$2:AB$94,D100,O$2:O$94)</f>
        <v>477650</v>
      </c>
      <c r="P100" s="266">
        <f>SUMIF(AB$2:AB$94,D100,P$2:P$94)</f>
        <v>4569.1000000000004</v>
      </c>
      <c r="Q100" s="266">
        <f>SUMIF(AB$2:AB$94,"*"&amp;D100&amp;"*",Q$2:Q$94)</f>
        <v>127744.62668750001</v>
      </c>
      <c r="R100" s="265">
        <f>SUMIF(AB$2:AB$94,D100,R$2:R$94)</f>
        <v>5690</v>
      </c>
      <c r="S100" s="257"/>
      <c r="T100" s="257"/>
      <c r="U100" s="422"/>
      <c r="V100" s="257"/>
      <c r="W100" s="257"/>
      <c r="X100" s="267">
        <f>(SUMIF(AB$2:AB$94,D100,P$2:P$94)+SUMIF(AB$2:AB$94,"*"&amp;D100&amp;"*",Q$2:Q$94))/SUMIF(AB$2:AB$94,D100,G$2:G$94)</f>
        <v>0.38021185829741383</v>
      </c>
      <c r="Y100" s="267">
        <f t="shared" ref="Y100:Y104" ca="1" si="177">(P100+Q100)/(AA100)</f>
        <v>0.87452525398737802</v>
      </c>
      <c r="Z100" s="268">
        <f>COUNTIFS(X$2:X$94,"&gt;0",AB$2:AB$94,D100)/COUNTIF(AB$2:AB$94,D100)</f>
        <v>1</v>
      </c>
      <c r="AA100" s="9">
        <f ca="1">SUMIF(AB$2:AB$94,D100,AA$2:AA$94)</f>
        <v>151297.77680429307</v>
      </c>
    </row>
    <row r="101" spans="1:29" ht="17.25" outlineLevel="1" thickBot="1">
      <c r="A101" s="422"/>
      <c r="B101" s="440"/>
      <c r="C101" s="440"/>
      <c r="D101" s="247" t="s">
        <v>209</v>
      </c>
      <c r="E101" s="422"/>
      <c r="F101" s="440"/>
      <c r="G101" s="265">
        <f>SUMIF(AB$2:AB$94,D101,G$2:G$94)</f>
        <v>2044700</v>
      </c>
      <c r="H101" s="265">
        <f>SUMIF(AB$2:AB$94,D101,H$2:H$94)</f>
        <v>2824</v>
      </c>
      <c r="I101" s="422"/>
      <c r="J101" s="249"/>
      <c r="K101" s="257"/>
      <c r="L101" s="257"/>
      <c r="M101" s="257"/>
      <c r="N101" s="257"/>
      <c r="O101" s="265">
        <f>SUMIF(AB$2:AB$94,D101,O$2:O$94)</f>
        <v>2550900</v>
      </c>
      <c r="P101" s="266">
        <f>SUMIF(AB$2:AB$94,D101,P$2:P$94)</f>
        <v>266882.41000000003</v>
      </c>
      <c r="Q101" s="266">
        <f>SUMIF(AB$2:AB$94,"*"&amp;D101&amp;"*",Q$2:Q$94)</f>
        <v>631954.52887500008</v>
      </c>
      <c r="R101" s="265">
        <f>SUMIF(AB$2:AB$94,D101,R$2:R$94)</f>
        <v>281369</v>
      </c>
      <c r="S101" s="261"/>
      <c r="T101" s="261"/>
      <c r="U101" s="422"/>
      <c r="V101" s="261"/>
      <c r="W101" s="261"/>
      <c r="X101" s="267">
        <f>(SUMIF(AB$2:AB$94,D101,P$2:P$94)+SUMIF(AB$2:AB$94,"*"&amp;D101&amp;"*",Q$2:Q$94))/SUMIF(AB$2:AB$94,D101,G$2:G$94)</f>
        <v>0.43959355351640833</v>
      </c>
      <c r="Y101" s="267">
        <f t="shared" ca="1" si="177"/>
        <v>0.14552450447188661</v>
      </c>
      <c r="Z101" s="268">
        <f>COUNTIFS(X$2:X$94,"&gt;0",AB$2:AB$94,D101)/COUNTIF(AB$2:AB$94,D101)</f>
        <v>0.7142857142857143</v>
      </c>
      <c r="AA101" s="9">
        <f ca="1">SUMIF(AB$2:AB$94,D101,AA$2:AA$94)</f>
        <v>6176533.2384185744</v>
      </c>
    </row>
    <row r="102" spans="1:29" outlineLevel="1">
      <c r="A102" s="441"/>
      <c r="B102" s="441"/>
      <c r="C102" s="441"/>
      <c r="D102" s="247" t="s">
        <v>3107</v>
      </c>
      <c r="E102" s="441"/>
      <c r="F102" s="441"/>
      <c r="G102" s="265">
        <f>SUMIF(AB$2:AB$94,D102,G$2:G$94)</f>
        <v>111510</v>
      </c>
      <c r="H102" s="265">
        <f>SUMIF(AB$2:AB$94,D102,H$2:H$94)</f>
        <v>155</v>
      </c>
      <c r="I102" s="441"/>
      <c r="J102" s="249"/>
      <c r="K102" s="257"/>
      <c r="L102" s="257"/>
      <c r="M102" s="257"/>
      <c r="N102" s="257"/>
      <c r="O102" s="265">
        <f>SUMIF(AB$2:AB$94,D102,O$2:O$94)</f>
        <v>0</v>
      </c>
      <c r="P102" s="266">
        <f>SUMIF(AB$2:AB$94,D102,P$2:P$94)</f>
        <v>3659</v>
      </c>
      <c r="Q102" s="266">
        <f>SUMIF(AB$2:AB$94,"*"&amp;D102&amp;"*",Q$2:Q$94)</f>
        <v>0</v>
      </c>
      <c r="R102" s="265">
        <f>SUMIF(AB$2:AB$94,D102,R$2:R$94)</f>
        <v>0</v>
      </c>
      <c r="S102" s="257"/>
      <c r="T102" s="257"/>
      <c r="U102" s="423"/>
      <c r="V102" s="257"/>
      <c r="W102" s="257"/>
      <c r="X102" s="267">
        <f>(SUMIF(AB$2:AB$94,D102,P$2:P$94)+SUMIF(AB$2:AB$94,"*"&amp;D102&amp;"*",Q$2:Q$94))/SUMIF(AB$2:AB$94,D102,G$2:G$94)</f>
        <v>3.2813200609810779E-2</v>
      </c>
      <c r="Y102" s="267">
        <f t="shared" ca="1" si="177"/>
        <v>2.5885433485705431</v>
      </c>
      <c r="Z102" s="268">
        <f>COUNTIFS(X$2:X$94,"&gt;0",AB$2:AB$94,D102)/COUNTIF(AB$2:AB$94,D102)</f>
        <v>1</v>
      </c>
      <c r="AA102" s="9">
        <f ca="1">SUMIF(AB$2:AB$94,D102,AA$2:AA$94)</f>
        <v>1413.5363048954111</v>
      </c>
    </row>
    <row r="103" spans="1:29" ht="17.25" outlineLevel="1" thickBot="1">
      <c r="A103" s="442"/>
      <c r="B103" s="442"/>
      <c r="C103" s="442"/>
      <c r="D103" s="247" t="s">
        <v>2664</v>
      </c>
      <c r="E103" s="442"/>
      <c r="F103" s="442"/>
      <c r="G103" s="265">
        <f>SUMIF(AB$2:AB$94,D103,G$2:G$94)</f>
        <v>784746.88</v>
      </c>
      <c r="H103" s="265">
        <f>SUMIF(AB$2:AB$94,D103,H$2:H$94)</f>
        <v>712</v>
      </c>
      <c r="I103" s="442"/>
      <c r="J103" s="249"/>
      <c r="K103" s="257"/>
      <c r="L103" s="257"/>
      <c r="M103" s="257"/>
      <c r="N103" s="257"/>
      <c r="O103" s="265">
        <f>SUMIF(AB$2:AB$94,D103,O$2:O$94)</f>
        <v>742131.39</v>
      </c>
      <c r="P103" s="266">
        <f>SUMIF(AB$2:AB$94,D103,P$2:P$94)</f>
        <v>16948.710000000003</v>
      </c>
      <c r="Q103" s="266">
        <f>SUMIF(AB$2:AB$94,"*"&amp;D103&amp;"*",Q$2:Q$94)</f>
        <v>109873.71663001251</v>
      </c>
      <c r="R103" s="265">
        <f>SUMIF(AB$2:AB$94,D103,R$2:R$94)</f>
        <v>14498</v>
      </c>
      <c r="S103" s="261"/>
      <c r="T103" s="261"/>
      <c r="U103" s="444"/>
      <c r="V103" s="261"/>
      <c r="W103" s="261"/>
      <c r="X103" s="267">
        <f>(SUMIF(AB$2:AB$94,D103,P$2:P$94)+SUMIF(AB$2:AB$94,"*"&amp;D103&amp;"*",Q$2:Q$94))/SUMIF(AB$2:AB$94,D103,G$2:G$94)</f>
        <v>0.16160934163894033</v>
      </c>
      <c r="Y103" s="267">
        <f t="shared" ca="1" si="177"/>
        <v>0.43080042866426266</v>
      </c>
      <c r="Z103" s="268">
        <f>COUNTIFS(X$2:X$94,"&gt;0",AB$2:AB$94,D103)/COUNTIF(AB$2:AB$94,D103)</f>
        <v>0.79545454545454541</v>
      </c>
      <c r="AA103" s="9">
        <f ca="1">SUMIF(AB$2:AB$94,D103,AA$2:AA$94)</f>
        <v>294387.88402146538</v>
      </c>
    </row>
    <row r="104" spans="1:29" ht="17.25" outlineLevel="1" thickBot="1">
      <c r="A104" s="443"/>
      <c r="B104" s="443"/>
      <c r="C104" s="443"/>
      <c r="D104" s="248" t="s">
        <v>2667</v>
      </c>
      <c r="E104" s="443"/>
      <c r="F104" s="443"/>
      <c r="G104" s="252">
        <f>SUMIF(AB$2:AB$94,D104,G$2:G$94)</f>
        <v>0</v>
      </c>
      <c r="H104" s="252">
        <f>SUMIF(AB$2:AB$94,D104,H$2:H$94)</f>
        <v>0</v>
      </c>
      <c r="I104" s="443"/>
      <c r="J104" s="250"/>
      <c r="K104" s="261"/>
      <c r="L104" s="261"/>
      <c r="M104" s="261"/>
      <c r="N104" s="261"/>
      <c r="O104" s="252">
        <f>SUMIF(AB$2:AB$94,D104,O$2:O$94)</f>
        <v>0</v>
      </c>
      <c r="P104" s="253">
        <f>SUMIF(AB$2:AB$94,D104,P$2:P$94)</f>
        <v>0</v>
      </c>
      <c r="Q104" s="253">
        <f>SUMIF(AB$2:AB$94,"*"&amp;D104&amp;"*",Q$2:Q$94)</f>
        <v>0</v>
      </c>
      <c r="R104" s="252">
        <f>SUMIF(AB$2:AB$94,D104,R$2:R$94)</f>
        <v>0</v>
      </c>
      <c r="S104" s="261"/>
      <c r="T104" s="261"/>
      <c r="U104" s="424"/>
      <c r="V104" s="261"/>
      <c r="W104" s="261"/>
      <c r="X104" s="254" t="e">
        <f>(SUMIF(AB$2:AB$94,D104,P$2:P$94)+SUMIF(AB$2:AB$94,"*"&amp;D104&amp;"*",Q$2:Q$94))/SUMIF(AB$2:AB$94,D104,G$2:G$94)</f>
        <v>#DIV/0!</v>
      </c>
      <c r="Y104" s="254" t="e">
        <f t="shared" si="177"/>
        <v>#DIV/0!</v>
      </c>
      <c r="Z104" s="255" t="e">
        <f>COUNTIFS(X$2:X$94,"&gt;0",AB$2:AB$94,D104)/COUNTIF(AB$2:AB$94,D104)</f>
        <v>#DIV/0!</v>
      </c>
      <c r="AA104" s="9">
        <f>SUMIF(AB$2:AB$94,D104,AA$2:AA$94)</f>
        <v>0</v>
      </c>
    </row>
    <row r="105" spans="1:29" ht="17.25" thickBot="1">
      <c r="B105" s="37"/>
      <c r="C105" s="37"/>
      <c r="D105" s="28"/>
    </row>
    <row r="106" spans="1:29" s="8" customFormat="1">
      <c r="A106" s="1" t="s">
        <v>0</v>
      </c>
      <c r="B106" s="2" t="s">
        <v>1</v>
      </c>
      <c r="C106" s="3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5" t="s">
        <v>7</v>
      </c>
      <c r="I106" s="140" t="s">
        <v>8</v>
      </c>
      <c r="J106" s="4" t="s">
        <v>9</v>
      </c>
      <c r="K106" s="4" t="s">
        <v>6</v>
      </c>
      <c r="L106" s="5" t="s">
        <v>7</v>
      </c>
      <c r="M106" s="5" t="s">
        <v>10</v>
      </c>
      <c r="N106" s="3" t="s">
        <v>11</v>
      </c>
      <c r="O106" s="4" t="s">
        <v>12</v>
      </c>
      <c r="P106" s="6" t="s">
        <v>13</v>
      </c>
      <c r="Q106" s="4" t="s">
        <v>14</v>
      </c>
      <c r="R106" s="4" t="s">
        <v>15</v>
      </c>
      <c r="S106" s="68" t="s">
        <v>25</v>
      </c>
      <c r="T106" s="68" t="s">
        <v>26</v>
      </c>
      <c r="U106" s="68" t="s">
        <v>29</v>
      </c>
      <c r="V106" s="68" t="s">
        <v>28</v>
      </c>
      <c r="W106" s="68" t="s">
        <v>27</v>
      </c>
      <c r="X106" s="4" t="s">
        <v>16</v>
      </c>
      <c r="Y106" s="4" t="s">
        <v>17</v>
      </c>
      <c r="Z106" s="7" t="s">
        <v>18</v>
      </c>
      <c r="AA106" s="86"/>
      <c r="AC106" s="309"/>
    </row>
    <row r="107" spans="1:29">
      <c r="A107" s="18">
        <f>MIN(A110:A110)</f>
        <v>0</v>
      </c>
      <c r="B107" s="19"/>
      <c r="C107" s="20"/>
      <c r="D107" s="19"/>
      <c r="E107" s="19"/>
      <c r="F107" s="19"/>
      <c r="G107" s="19"/>
      <c r="H107" s="19"/>
      <c r="I107" s="21"/>
      <c r="J107" s="22"/>
      <c r="K107" s="19"/>
      <c r="L107" s="23"/>
      <c r="M107" s="19"/>
      <c r="N107" s="19"/>
      <c r="O107" s="24"/>
      <c r="P107" s="25"/>
      <c r="Q107" s="25"/>
      <c r="R107" s="25"/>
      <c r="S107" s="25"/>
      <c r="T107" s="25"/>
      <c r="U107" s="25"/>
      <c r="V107" s="74"/>
      <c r="W107" s="77"/>
      <c r="X107" s="26"/>
      <c r="Y107" s="22"/>
      <c r="Z107" s="27"/>
      <c r="AA107" s="28"/>
      <c r="AB107" s="9"/>
      <c r="AC107" s="312"/>
    </row>
    <row r="108" spans="1:29">
      <c r="A108" s="224">
        <v>45550</v>
      </c>
      <c r="B108" s="11" t="s">
        <v>19</v>
      </c>
      <c r="C108" s="313" t="s">
        <v>2874</v>
      </c>
      <c r="D108" s="189" t="str">
        <f>VLOOKUP(C108,美股行情!A:C,2,FALSE)</f>
        <v>Synopsys Inc</v>
      </c>
      <c r="E108" s="11">
        <v>1</v>
      </c>
      <c r="F108" s="11">
        <v>432.3</v>
      </c>
      <c r="G108" s="11">
        <f>E108*F108</f>
        <v>432.3</v>
      </c>
      <c r="H108" s="315">
        <f>G108*0.25%</f>
        <v>1.0807500000000001</v>
      </c>
      <c r="I108" s="104">
        <v>46087</v>
      </c>
      <c r="J108" s="16">
        <v>433.82</v>
      </c>
      <c r="K108" s="11">
        <f>E108*J108</f>
        <v>433.82</v>
      </c>
      <c r="L108" s="17">
        <v>1.08</v>
      </c>
      <c r="M108" s="11"/>
      <c r="N108" s="11">
        <v>0</v>
      </c>
      <c r="O108" s="13">
        <f>IF(I108="",E108*Y108,0)</f>
        <v>0</v>
      </c>
      <c r="P108" s="14">
        <f>IF(I108="",R108-H108,(K108-H108-SUM(L108:N108)+R108-S108-T108)-G108)+(ROUND(R108*V108,0)-ROUND(R108*(1+V108),0)*W108)</f>
        <v>-0.64075000000002547</v>
      </c>
      <c r="Q108" s="14">
        <f>IF(I108="",(O108-G108-(O108*0.1425%*0.65)-(O108*0.3%)-S108-T108),0)</f>
        <v>0</v>
      </c>
      <c r="R108" s="14"/>
      <c r="S108" s="14">
        <v>0</v>
      </c>
      <c r="T108" s="14">
        <f>IF(ROUND(R108*(1+V108),0)&gt;20000,ROUND(ROUND(R108*(1+V108),0)*2%,0),0)</f>
        <v>0</v>
      </c>
      <c r="U108" s="69">
        <f>(V108*50%)/(1+50%*V108)</f>
        <v>0</v>
      </c>
      <c r="V108" s="69"/>
      <c r="W108" s="70">
        <v>0.11</v>
      </c>
      <c r="X108" s="15">
        <f>(P108+Q108)/G108</f>
        <v>-1.4821882951654532E-3</v>
      </c>
      <c r="Y108" s="16">
        <f>VLOOKUP(C108,美股行情!A:C,3,FALSE)</f>
        <v>485.87</v>
      </c>
      <c r="Z108" s="38">
        <f>VLOOKUP(C108,美股行情!A:G,7,FALSE)</f>
        <v>-8.64</v>
      </c>
      <c r="AA108" s="103"/>
      <c r="AB108" s="9"/>
      <c r="AC108" s="312"/>
    </row>
    <row r="109" spans="1:29">
      <c r="A109" s="224">
        <v>45442</v>
      </c>
      <c r="B109" s="11" t="s">
        <v>19</v>
      </c>
      <c r="C109" s="225" t="s">
        <v>2560</v>
      </c>
      <c r="D109" s="189" t="str">
        <f>VLOOKUP(C109,美股行情!A:C,2,FALSE)</f>
        <v>英偉達公司</v>
      </c>
      <c r="E109" s="11">
        <v>80</v>
      </c>
      <c r="F109" s="11">
        <v>114.6</v>
      </c>
      <c r="G109" s="11">
        <f>E109*F109</f>
        <v>9168</v>
      </c>
      <c r="H109" s="314">
        <f>G109*0.25%</f>
        <v>22.92</v>
      </c>
      <c r="I109" s="104"/>
      <c r="J109" s="16"/>
      <c r="K109" s="11">
        <f>E109*J109</f>
        <v>0</v>
      </c>
      <c r="L109" s="17"/>
      <c r="M109" s="11"/>
      <c r="N109" s="11">
        <v>0</v>
      </c>
      <c r="O109" s="13">
        <f>IF(I109="",E109*Y109,0)</f>
        <v>17996</v>
      </c>
      <c r="P109" s="14">
        <f>IF(I109="",R109-H109,(K109-H109-SUM(L109:N109)+R109-S109-T109)-G109)+(ROUND(R109*V109,0)-ROUND(R109*(1+V109),0)*W109)</f>
        <v>-21.46</v>
      </c>
      <c r="Q109" s="14">
        <f>IF(I109="",(O109-G109-(O109*0.1425%*0.65)-(O109*0.3%)-S109-T109),0)</f>
        <v>8757.343205000001</v>
      </c>
      <c r="R109" s="14">
        <f>0.56+0.56+0.56</f>
        <v>1.6800000000000002</v>
      </c>
      <c r="S109" s="14">
        <v>0</v>
      </c>
      <c r="T109" s="14">
        <f>IF(ROUND(R109*(1+V109),0)&gt;20000,ROUND(ROUND(R109*(1+V109),0)*2%,0),0)</f>
        <v>0</v>
      </c>
      <c r="U109" s="69">
        <f>(V109*50%)/(1+50%*V109)</f>
        <v>0</v>
      </c>
      <c r="V109" s="69"/>
      <c r="W109" s="70">
        <v>0.11</v>
      </c>
      <c r="X109" s="15">
        <f>(P109+Q109)/G109</f>
        <v>0.95286684173211189</v>
      </c>
      <c r="Y109" s="16">
        <f>VLOOKUP(C109,美股行情!A:C,3,FALSE)</f>
        <v>224.95</v>
      </c>
      <c r="Z109" s="38">
        <f>VLOOKUP(C109,美股行情!A:G,7,FALSE)</f>
        <v>-3.57</v>
      </c>
      <c r="AA109" s="103"/>
      <c r="AB109" s="9"/>
      <c r="AC109" s="312"/>
    </row>
    <row r="110" spans="1:29" ht="17.25" thickBot="1">
      <c r="A110" s="48"/>
      <c r="B110" s="49"/>
      <c r="C110" s="49"/>
      <c r="D110" s="49"/>
      <c r="E110" s="49"/>
      <c r="F110" s="49"/>
      <c r="G110" s="49"/>
      <c r="H110" s="49"/>
      <c r="I110" s="50"/>
      <c r="J110" s="51"/>
      <c r="K110" s="49"/>
      <c r="L110" s="52"/>
      <c r="M110" s="49"/>
      <c r="N110" s="49"/>
      <c r="O110" s="53"/>
      <c r="P110" s="54"/>
      <c r="Q110" s="54"/>
      <c r="R110" s="54"/>
      <c r="S110" s="54"/>
      <c r="T110" s="60"/>
      <c r="U110" s="54"/>
      <c r="V110" s="54"/>
      <c r="W110" s="78"/>
      <c r="X110" s="55"/>
      <c r="Y110" s="51"/>
      <c r="Z110" s="56"/>
      <c r="AA110" s="28"/>
      <c r="AB110" s="9"/>
      <c r="AC110" s="312"/>
    </row>
    <row r="111" spans="1:29" s="36" customFormat="1" ht="17.25" thickBot="1">
      <c r="A111" s="9"/>
      <c r="B111" s="9"/>
      <c r="C111" s="9"/>
      <c r="D111" s="179" t="s">
        <v>2563</v>
      </c>
      <c r="E111" s="425"/>
      <c r="F111" s="426"/>
      <c r="G111" s="63">
        <f>SUM(G107:G110)</f>
        <v>9600.2999999999993</v>
      </c>
      <c r="H111" s="63">
        <f>SUM(H107:H110)</f>
        <v>24.000750000000004</v>
      </c>
      <c r="I111" s="425"/>
      <c r="J111" s="426"/>
      <c r="K111" s="63">
        <f t="shared" ref="K111:R111" si="178">SUM(K107:K110)</f>
        <v>433.82</v>
      </c>
      <c r="L111" s="63">
        <f t="shared" si="178"/>
        <v>1.08</v>
      </c>
      <c r="M111" s="63">
        <f t="shared" si="178"/>
        <v>0</v>
      </c>
      <c r="N111" s="63">
        <f t="shared" si="178"/>
        <v>0</v>
      </c>
      <c r="O111" s="63">
        <f t="shared" si="178"/>
        <v>17996</v>
      </c>
      <c r="P111" s="102">
        <f t="shared" si="178"/>
        <v>-22.100750000000026</v>
      </c>
      <c r="Q111" s="101">
        <f t="shared" si="178"/>
        <v>8757.343205000001</v>
      </c>
      <c r="R111" s="63">
        <f t="shared" si="178"/>
        <v>1.6800000000000002</v>
      </c>
      <c r="S111" s="72"/>
      <c r="T111" s="72"/>
      <c r="U111" s="72"/>
      <c r="V111" s="72"/>
      <c r="W111" s="72"/>
      <c r="X111" s="180">
        <f>(P111+Q111)/G111</f>
        <v>0.90989265491703408</v>
      </c>
      <c r="Y111" s="9"/>
      <c r="Z111" s="9"/>
      <c r="AA111" s="87"/>
    </row>
    <row r="112" spans="1:29" s="36" customFormat="1" ht="17.25" thickBot="1">
      <c r="A112" s="9"/>
      <c r="B112" s="9"/>
      <c r="C112" s="9"/>
      <c r="D112" s="179" t="s">
        <v>2575</v>
      </c>
      <c r="E112" s="425"/>
      <c r="F112" s="426"/>
      <c r="G112" s="63">
        <f>G111*匯率!B3</f>
        <v>303715.09079999995</v>
      </c>
      <c r="H112" s="63">
        <f>H111*匯率!B3</f>
        <v>759.28772700000013</v>
      </c>
      <c r="I112" s="425"/>
      <c r="J112" s="426"/>
      <c r="K112" s="63">
        <f>SUM(K107:K111)</f>
        <v>867.64</v>
      </c>
      <c r="L112" s="63">
        <f>SUM(L107:L111)</f>
        <v>2.16</v>
      </c>
      <c r="M112" s="63">
        <f>SUM(M107:M111)</f>
        <v>0</v>
      </c>
      <c r="N112" s="63">
        <f>SUM(N107:N111)</f>
        <v>0</v>
      </c>
      <c r="O112" s="63">
        <f>O111*匯率!B3</f>
        <v>569321.45600000001</v>
      </c>
      <c r="P112" s="102">
        <f>P111*匯率!B3</f>
        <v>-699.17932700000085</v>
      </c>
      <c r="Q112" s="63">
        <f>Q111*匯率!B3</f>
        <v>277047.30963338003</v>
      </c>
      <c r="R112" s="63">
        <f>R111*匯率!B3</f>
        <v>53.148480000000006</v>
      </c>
      <c r="S112" s="72"/>
      <c r="T112" s="72"/>
      <c r="U112" s="72"/>
      <c r="V112" s="72"/>
      <c r="W112" s="72"/>
      <c r="X112" s="180">
        <f>(P112+Q112)/G112</f>
        <v>0.90989265491703419</v>
      </c>
      <c r="Y112" s="9"/>
      <c r="Z112" s="9"/>
      <c r="AA112" s="87"/>
    </row>
    <row r="113" spans="1:7">
      <c r="A113" s="37"/>
      <c r="B113" s="37"/>
      <c r="C113" s="37"/>
      <c r="D113" s="28"/>
    </row>
    <row r="121" spans="1:7">
      <c r="E121" s="9">
        <f>SUM(E4:E6,E7:E9)</f>
        <v>1107</v>
      </c>
      <c r="F121" s="9">
        <f>SUM('25'!E36:E45)</f>
        <v>1761</v>
      </c>
      <c r="G121" s="9">
        <f>E121+F121</f>
        <v>2868</v>
      </c>
    </row>
  </sheetData>
  <autoFilter ref="A1:AA115" xr:uid="{00000000-0009-0000-0000-000001000000}"/>
  <mergeCells count="14">
    <mergeCell ref="Y95:Y97"/>
    <mergeCell ref="U99:U104"/>
    <mergeCell ref="E111:F111"/>
    <mergeCell ref="I111:J111"/>
    <mergeCell ref="A95:C97"/>
    <mergeCell ref="E95:F97"/>
    <mergeCell ref="I95:I97"/>
    <mergeCell ref="J95:J97"/>
    <mergeCell ref="K95:N95"/>
    <mergeCell ref="E112:F112"/>
    <mergeCell ref="I112:J112"/>
    <mergeCell ref="A99:C104"/>
    <mergeCell ref="E99:F104"/>
    <mergeCell ref="I99:I104"/>
  </mergeCells>
  <phoneticPr fontId="74" type="noConversion"/>
  <conditionalFormatting sqref="I25:I27 I93:I94 I107">
    <cfRule type="expression" dxfId="2294" priority="361">
      <formula>$I25&gt;(TODAY()-7)</formula>
    </cfRule>
    <cfRule type="expression" dxfId="2293" priority="362">
      <formula>$I25&gt;(TODAY()-30)</formula>
    </cfRule>
  </conditionalFormatting>
  <conditionalFormatting sqref="I110">
    <cfRule type="expression" dxfId="2292" priority="349">
      <formula>$I110&gt;(TODAY()-7)</formula>
    </cfRule>
    <cfRule type="expression" dxfId="2291" priority="350">
      <formula>$I110&gt;(TODAY()-30)</formula>
    </cfRule>
  </conditionalFormatting>
  <conditionalFormatting sqref="Z2:Z27 Z32 Z107:Z110 Z34:Z85">
    <cfRule type="cellIs" dxfId="2290" priority="359" operator="lessThan">
      <formula>0</formula>
    </cfRule>
    <cfRule type="cellIs" dxfId="2289" priority="360" operator="greaterThan">
      <formula>0</formula>
    </cfRule>
  </conditionalFormatting>
  <conditionalFormatting sqref="Z4:Z23">
    <cfRule type="cellIs" dxfId="2288" priority="263" operator="lessThan">
      <formula>0</formula>
    </cfRule>
    <cfRule type="cellIs" dxfId="2287" priority="264" operator="greaterThan">
      <formula>0</formula>
    </cfRule>
  </conditionalFormatting>
  <conditionalFormatting sqref="Z7:Z23">
    <cfRule type="cellIs" dxfId="2286" priority="251" operator="lessThan">
      <formula>0</formula>
    </cfRule>
    <cfRule type="cellIs" dxfId="2285" priority="252" operator="greaterThan">
      <formula>0</formula>
    </cfRule>
  </conditionalFormatting>
  <conditionalFormatting sqref="Z14">
    <cfRule type="cellIs" dxfId="2284" priority="213" operator="lessThan">
      <formula>0</formula>
    </cfRule>
    <cfRule type="cellIs" dxfId="2283" priority="214" operator="greaterThan">
      <formula>0</formula>
    </cfRule>
    <cfRule type="containsText" dxfId="2282" priority="219" operator="containsText" text="▲">
      <formula>NOT(ISERROR(SEARCH("▲",Z14)))</formula>
    </cfRule>
    <cfRule type="containsText" dxfId="2281" priority="220" operator="containsText" text="▼">
      <formula>NOT(ISERROR(SEARCH("▼",Z14)))</formula>
    </cfRule>
  </conditionalFormatting>
  <conditionalFormatting sqref="Z21:Z23">
    <cfRule type="cellIs" dxfId="2280" priority="109" operator="lessThan">
      <formula>0</formula>
    </cfRule>
    <cfRule type="cellIs" dxfId="2279" priority="110" operator="greaterThan">
      <formula>0</formula>
    </cfRule>
    <cfRule type="containsText" dxfId="2278" priority="111" operator="containsText" text="▲">
      <formula>NOT(ISERROR(SEARCH("▲",Z21)))</formula>
    </cfRule>
    <cfRule type="containsText" dxfId="2277" priority="112" operator="containsText" text="▼">
      <formula>NOT(ISERROR(SEARCH("▼",Z21)))</formula>
    </cfRule>
  </conditionalFormatting>
  <conditionalFormatting sqref="Z23">
    <cfRule type="containsText" dxfId="2276" priority="101" operator="containsText" text="▲">
      <formula>NOT(ISERROR(SEARCH("▲",Z23)))</formula>
    </cfRule>
    <cfRule type="containsText" dxfId="2275" priority="102" operator="containsText" text="▼">
      <formula>NOT(ISERROR(SEARCH("▼",Z23)))</formula>
    </cfRule>
    <cfRule type="containsText" dxfId="2274" priority="103" operator="containsText" text="▲">
      <formula>NOT(ISERROR(SEARCH("▲",Z23)))</formula>
    </cfRule>
    <cfRule type="containsText" dxfId="2273" priority="104" operator="containsText" text="▼">
      <formula>NOT(ISERROR(SEARCH("▼",Z23)))</formula>
    </cfRule>
    <cfRule type="cellIs" dxfId="2272" priority="105" operator="lessThan">
      <formula>0</formula>
    </cfRule>
    <cfRule type="cellIs" dxfId="2271" priority="106" operator="greaterThan">
      <formula>0</formula>
    </cfRule>
  </conditionalFormatting>
  <conditionalFormatting sqref="Z28:Z31">
    <cfRule type="cellIs" dxfId="2270" priority="303" operator="lessThan">
      <formula>0</formula>
    </cfRule>
    <cfRule type="cellIs" dxfId="2269" priority="304" operator="greaterThan">
      <formula>0</formula>
    </cfRule>
    <cfRule type="containsText" dxfId="2268" priority="337" operator="containsText" text="▲">
      <formula>NOT(ISERROR(SEARCH("▲",Z28)))</formula>
    </cfRule>
    <cfRule type="containsText" dxfId="2267" priority="338" operator="containsText" text="▼">
      <formula>NOT(ISERROR(SEARCH("▼",Z28)))</formula>
    </cfRule>
  </conditionalFormatting>
  <conditionalFormatting sqref="Z37:Z57 AA35:AA54 Z55:AA57 Z48:AA48 Z40:AA41 Z59:Z70 AA58:AA77 AA81:AA92 Z75:Z88 Z78:AA80">
    <cfRule type="containsText" dxfId="2266" priority="235" operator="containsText" text="▲">
      <formula>NOT(ISERROR(SEARCH("▲",Z35)))</formula>
    </cfRule>
    <cfRule type="containsText" dxfId="2265" priority="236" operator="containsText" text="▼">
      <formula>NOT(ISERROR(SEARCH("▼",Z35)))</formula>
    </cfRule>
  </conditionalFormatting>
  <conditionalFormatting sqref="Z38:Z41">
    <cfRule type="containsText" dxfId="2264" priority="175" operator="containsText" text="▲">
      <formula>NOT(ISERROR(SEARCH("▲",Z38)))</formula>
    </cfRule>
    <cfRule type="containsText" dxfId="2263" priority="176" operator="containsText" text="▼">
      <formula>NOT(ISERROR(SEARCH("▼",Z38)))</formula>
    </cfRule>
  </conditionalFormatting>
  <conditionalFormatting sqref="Z39:Z41">
    <cfRule type="containsText" dxfId="2262" priority="167" operator="containsText" text="▲">
      <formula>NOT(ISERROR(SEARCH("▲",Z39)))</formula>
    </cfRule>
    <cfRule type="containsText" dxfId="2261" priority="168" operator="containsText" text="▼">
      <formula>NOT(ISERROR(SEARCH("▼",Z39)))</formula>
    </cfRule>
  </conditionalFormatting>
  <conditionalFormatting sqref="Z43:Z48">
    <cfRule type="containsText" dxfId="2260" priority="233" operator="containsText" text="▲">
      <formula>NOT(ISERROR(SEARCH("▲",Z43)))</formula>
    </cfRule>
    <cfRule type="containsText" dxfId="2259" priority="234" operator="containsText" text="▼">
      <formula>NOT(ISERROR(SEARCH("▼",Z43)))</formula>
    </cfRule>
  </conditionalFormatting>
  <conditionalFormatting sqref="Z44:Z48">
    <cfRule type="containsText" dxfId="2258" priority="205" operator="containsText" text="▲">
      <formula>NOT(ISERROR(SEARCH("▲",Z44)))</formula>
    </cfRule>
    <cfRule type="containsText" dxfId="2257" priority="206" operator="containsText" text="▼">
      <formula>NOT(ISERROR(SEARCH("▼",Z44)))</formula>
    </cfRule>
  </conditionalFormatting>
  <conditionalFormatting sqref="Z45:Z48">
    <cfRule type="containsText" dxfId="2256" priority="191" operator="containsText" text="▲">
      <formula>NOT(ISERROR(SEARCH("▲",Z45)))</formula>
    </cfRule>
    <cfRule type="containsText" dxfId="2255" priority="192" operator="containsText" text="▼">
      <formula>NOT(ISERROR(SEARCH("▼",Z45)))</formula>
    </cfRule>
  </conditionalFormatting>
  <conditionalFormatting sqref="Z46:Z48">
    <cfRule type="containsText" dxfId="2254" priority="173" operator="containsText" text="▲">
      <formula>NOT(ISERROR(SEARCH("▲",Z46)))</formula>
    </cfRule>
    <cfRule type="containsText" dxfId="2253" priority="174" operator="containsText" text="▼">
      <formula>NOT(ISERROR(SEARCH("▼",Z46)))</formula>
    </cfRule>
  </conditionalFormatting>
  <conditionalFormatting sqref="Z51:Z58 AA21">
    <cfRule type="containsText" dxfId="2252" priority="193" operator="containsText" text="▲">
      <formula>NOT(ISERROR(SEARCH("▲",Z21)))</formula>
    </cfRule>
  </conditionalFormatting>
  <conditionalFormatting sqref="Z52:Z57">
    <cfRule type="containsText" dxfId="2251" priority="189" operator="containsText" text="▲">
      <formula>NOT(ISERROR(SEARCH("▲",Z52)))</formula>
    </cfRule>
    <cfRule type="containsText" dxfId="2250" priority="190" operator="containsText" text="▼">
      <formula>NOT(ISERROR(SEARCH("▼",Z52)))</formula>
    </cfRule>
  </conditionalFormatting>
  <conditionalFormatting sqref="Z53:Z57">
    <cfRule type="containsText" dxfId="2249" priority="171" operator="containsText" text="▲">
      <formula>NOT(ISERROR(SEARCH("▲",Z53)))</formula>
    </cfRule>
    <cfRule type="containsText" dxfId="2248" priority="172" operator="containsText" text="▼">
      <formula>NOT(ISERROR(SEARCH("▼",Z53)))</formula>
    </cfRule>
  </conditionalFormatting>
  <conditionalFormatting sqref="Z60:Z80">
    <cfRule type="containsText" dxfId="2247" priority="161" operator="containsText" text="▲">
      <formula>NOT(ISERROR(SEARCH("▲",Z60)))</formula>
    </cfRule>
    <cfRule type="containsText" dxfId="2246" priority="162" operator="containsText" text="▼">
      <formula>NOT(ISERROR(SEARCH("▼",Z60)))</formula>
    </cfRule>
  </conditionalFormatting>
  <conditionalFormatting sqref="Z61:Z80">
    <cfRule type="containsText" dxfId="2245" priority="155" operator="containsText" text="▲">
      <formula>NOT(ISERROR(SEARCH("▲",Z61)))</formula>
    </cfRule>
    <cfRule type="containsText" dxfId="2244" priority="156" operator="containsText" text="▼">
      <formula>NOT(ISERROR(SEARCH("▼",Z61)))</formula>
    </cfRule>
  </conditionalFormatting>
  <conditionalFormatting sqref="Z63">
    <cfRule type="containsText" dxfId="2243" priority="145" operator="containsText" text="▲">
      <formula>NOT(ISERROR(SEARCH("▲",Z63)))</formula>
    </cfRule>
    <cfRule type="containsText" dxfId="2242" priority="146" operator="containsText" text="▼">
      <formula>NOT(ISERROR(SEARCH("▼",Z63)))</formula>
    </cfRule>
  </conditionalFormatting>
  <conditionalFormatting sqref="Z63:Z80">
    <cfRule type="containsText" dxfId="2241" priority="141" operator="containsText" text="▲">
      <formula>NOT(ISERROR(SEARCH("▲",Z63)))</formula>
    </cfRule>
    <cfRule type="containsText" dxfId="2240" priority="142" operator="containsText" text="▼">
      <formula>NOT(ISERROR(SEARCH("▼",Z63)))</formula>
    </cfRule>
  </conditionalFormatting>
  <conditionalFormatting sqref="Z65 Z67:Z80">
    <cfRule type="containsText" dxfId="2239" priority="133" operator="containsText" text="▲">
      <formula>NOT(ISERROR(SEARCH("▲",Z65)))</formula>
    </cfRule>
    <cfRule type="containsText" dxfId="2238" priority="134" operator="containsText" text="▼">
      <formula>NOT(ISERROR(SEARCH("▼",Z65)))</formula>
    </cfRule>
  </conditionalFormatting>
  <conditionalFormatting sqref="Z65:Z80">
    <cfRule type="containsText" dxfId="2237" priority="123" operator="containsText" text="▲">
      <formula>NOT(ISERROR(SEARCH("▲",Z65)))</formula>
    </cfRule>
    <cfRule type="containsText" dxfId="2236" priority="124" operator="containsText" text="▼">
      <formula>NOT(ISERROR(SEARCH("▼",Z65)))</formula>
    </cfRule>
  </conditionalFormatting>
  <conditionalFormatting sqref="Z66">
    <cfRule type="containsText" dxfId="2235" priority="119" operator="containsText" text="▲">
      <formula>NOT(ISERROR(SEARCH("▲",Z66)))</formula>
    </cfRule>
    <cfRule type="containsText" dxfId="2234" priority="120" operator="containsText" text="▼">
      <formula>NOT(ISERROR(SEARCH("▼",Z66)))</formula>
    </cfRule>
    <cfRule type="containsText" dxfId="2233" priority="121" operator="containsText" text="▲">
      <formula>NOT(ISERROR(SEARCH("▲",Z66)))</formula>
    </cfRule>
    <cfRule type="containsText" dxfId="2232" priority="122" operator="containsText" text="▼">
      <formula>NOT(ISERROR(SEARCH("▼",Z66)))</formula>
    </cfRule>
    <cfRule type="cellIs" dxfId="2231" priority="127" operator="lessThan">
      <formula>0</formula>
    </cfRule>
    <cfRule type="cellIs" dxfId="2230" priority="128" operator="greaterThan">
      <formula>0</formula>
    </cfRule>
  </conditionalFormatting>
  <conditionalFormatting sqref="Z40:Z41">
    <cfRule type="containsText" dxfId="2229" priority="93" operator="containsText" text="▲">
      <formula>NOT(ISERROR(SEARCH("▲",Z40)))</formula>
    </cfRule>
    <cfRule type="containsText" dxfId="2228" priority="94" operator="containsText" text="▼">
      <formula>NOT(ISERROR(SEARCH("▼",Z40)))</formula>
    </cfRule>
  </conditionalFormatting>
  <conditionalFormatting sqref="Z70:Z74">
    <cfRule type="containsText" dxfId="2227" priority="71" operator="containsText" text="▲">
      <formula>NOT(ISERROR(SEARCH("▲",Z70)))</formula>
    </cfRule>
    <cfRule type="containsText" dxfId="2226" priority="72" operator="containsText" text="▼">
      <formula>NOT(ISERROR(SEARCH("▼",Z70)))</formula>
    </cfRule>
  </conditionalFormatting>
  <conditionalFormatting sqref="Z72:Z73">
    <cfRule type="containsText" dxfId="2225" priority="63" operator="containsText" text="▲">
      <formula>NOT(ISERROR(SEARCH("▲",Z72)))</formula>
    </cfRule>
    <cfRule type="containsText" dxfId="2224" priority="64" operator="containsText" text="▼">
      <formula>NOT(ISERROR(SEARCH("▼",Z72)))</formula>
    </cfRule>
  </conditionalFormatting>
  <conditionalFormatting sqref="Z41">
    <cfRule type="containsText" dxfId="2223" priority="55" operator="containsText" text="▲">
      <formula>NOT(ISERROR(SEARCH("▲",Z41)))</formula>
    </cfRule>
    <cfRule type="containsText" dxfId="2222" priority="56" operator="containsText" text="▼">
      <formula>NOT(ISERROR(SEARCH("▼",Z41)))</formula>
    </cfRule>
    <cfRule type="containsText" dxfId="2221" priority="57" operator="containsText" text="▲">
      <formula>NOT(ISERROR(SEARCH("▲",Z41)))</formula>
    </cfRule>
    <cfRule type="containsText" dxfId="2220" priority="58" operator="containsText" text="▼">
      <formula>NOT(ISERROR(SEARCH("▼",Z41)))</formula>
    </cfRule>
  </conditionalFormatting>
  <conditionalFormatting sqref="Z75:Z80">
    <cfRule type="containsText" dxfId="2219" priority="41" operator="containsText" text="▲">
      <formula>NOT(ISERROR(SEARCH("▲",Z75)))</formula>
    </cfRule>
    <cfRule type="containsText" dxfId="2218" priority="42" operator="containsText" text="▼">
      <formula>NOT(ISERROR(SEARCH("▼",Z75)))</formula>
    </cfRule>
  </conditionalFormatting>
  <conditionalFormatting sqref="Z86:Z88">
    <cfRule type="cellIs" dxfId="2217" priority="29" operator="lessThan">
      <formula>0</formula>
    </cfRule>
    <cfRule type="cellIs" dxfId="2216" priority="30" operator="greaterThan">
      <formula>0</formula>
    </cfRule>
  </conditionalFormatting>
  <conditionalFormatting sqref="Z88">
    <cfRule type="containsText" dxfId="2215" priority="25" operator="containsText" text="▲">
      <formula>NOT(ISERROR(SEARCH("▲",Z88)))</formula>
    </cfRule>
    <cfRule type="containsText" dxfId="2214" priority="26" operator="containsText" text="▼">
      <formula>NOT(ISERROR(SEARCH("▼",Z88)))</formula>
    </cfRule>
    <cfRule type="containsText" dxfId="2213" priority="27" operator="containsText" text="▲">
      <formula>NOT(ISERROR(SEARCH("▲",Z88)))</formula>
    </cfRule>
    <cfRule type="containsText" dxfId="2212" priority="28" operator="containsText" text="▼">
      <formula>NOT(ISERROR(SEARCH("▼",Z88)))</formula>
    </cfRule>
  </conditionalFormatting>
  <conditionalFormatting sqref="Z78:Z80">
    <cfRule type="containsText" dxfId="2211" priority="17" operator="containsText" text="▲">
      <formula>NOT(ISERROR(SEARCH("▲",Z78)))</formula>
    </cfRule>
    <cfRule type="containsText" dxfId="2210" priority="18" operator="containsText" text="▼">
      <formula>NOT(ISERROR(SEARCH("▼",Z78)))</formula>
    </cfRule>
  </conditionalFormatting>
  <conditionalFormatting sqref="Z78:Z80 Z93">
    <cfRule type="cellIs" dxfId="2209" priority="19" operator="lessThan">
      <formula>0</formula>
    </cfRule>
    <cfRule type="cellIs" dxfId="2208" priority="20" operator="greaterThan">
      <formula>0</formula>
    </cfRule>
  </conditionalFormatting>
  <conditionalFormatting sqref="Z108:Z109 Z28:AA32 Z2:AA24">
    <cfRule type="containsText" dxfId="2207" priority="355" operator="containsText" text="▲">
      <formula>NOT(ISERROR(SEARCH("▲",Z2)))</formula>
    </cfRule>
  </conditionalFormatting>
  <conditionalFormatting sqref="Z110:Z112">
    <cfRule type="containsText" dxfId="2206" priority="345" operator="containsText" text="△">
      <formula>NOT(ISERROR(SEARCH("△",Z110)))</formula>
    </cfRule>
    <cfRule type="containsText" dxfId="2205" priority="346" operator="containsText" text="▽">
      <formula>NOT(ISERROR(SEARCH("▽",Z110)))</formula>
    </cfRule>
  </conditionalFormatting>
  <conditionalFormatting sqref="Z1:AA27 Z93:AA98 Z105:AA105 Z113:AA1048576">
    <cfRule type="containsText" dxfId="2204" priority="363" operator="containsText" text="△">
      <formula>NOT(ISERROR(SEARCH("△",Z1)))</formula>
    </cfRule>
    <cfRule type="containsText" dxfId="2203" priority="364" operator="containsText" text="▽">
      <formula>NOT(ISERROR(SEARCH("▽",Z1)))</formula>
    </cfRule>
  </conditionalFormatting>
  <conditionalFormatting sqref="Z2:AA24 Z28:AA32 Z108:Z109">
    <cfRule type="containsText" dxfId="2202" priority="356" operator="containsText" text="▼">
      <formula>NOT(ISERROR(SEARCH("▼",Z2)))</formula>
    </cfRule>
  </conditionalFormatting>
  <conditionalFormatting sqref="Z4:AA23 Z47:Z48 Z54:Z57 Z62:Z63 Z65:Z80">
    <cfRule type="containsText" dxfId="2201" priority="261" operator="containsText" text="▲">
      <formula>NOT(ISERROR(SEARCH("▲",Z4)))</formula>
    </cfRule>
    <cfRule type="containsText" dxfId="2200" priority="262" operator="containsText" text="▼">
      <formula>NOT(ISERROR(SEARCH("▼",Z4)))</formula>
    </cfRule>
  </conditionalFormatting>
  <conditionalFormatting sqref="Z7:AA8">
    <cfRule type="containsText" dxfId="2199" priority="239" operator="containsText" text="▲">
      <formula>NOT(ISERROR(SEARCH("▲",Z7)))</formula>
    </cfRule>
    <cfRule type="containsText" dxfId="2198" priority="240" operator="containsText" text="▼">
      <formula>NOT(ISERROR(SEARCH("▼",Z7)))</formula>
    </cfRule>
  </conditionalFormatting>
  <conditionalFormatting sqref="Z9:AA23">
    <cfRule type="containsText" dxfId="2197" priority="249" operator="containsText" text="▲">
      <formula>NOT(ISERROR(SEARCH("▲",Z9)))</formula>
    </cfRule>
    <cfRule type="containsText" dxfId="2196" priority="250" operator="containsText" text="▼">
      <formula>NOT(ISERROR(SEARCH("▼",Z9)))</formula>
    </cfRule>
  </conditionalFormatting>
  <conditionalFormatting sqref="Z11:AA23">
    <cfRule type="containsText" dxfId="2195" priority="229" operator="containsText" text="▲">
      <formula>NOT(ISERROR(SEARCH("▲",Z11)))</formula>
    </cfRule>
    <cfRule type="containsText" dxfId="2194" priority="230" operator="containsText" text="▼">
      <formula>NOT(ISERROR(SEARCH("▼",Z11)))</formula>
    </cfRule>
  </conditionalFormatting>
  <conditionalFormatting sqref="Z12:AA14">
    <cfRule type="containsText" dxfId="2193" priority="221" operator="containsText" text="▲">
      <formula>NOT(ISERROR(SEARCH("▲",Z12)))</formula>
    </cfRule>
    <cfRule type="containsText" dxfId="2192" priority="222" operator="containsText" text="▼">
      <formula>NOT(ISERROR(SEARCH("▼",Z12)))</formula>
    </cfRule>
  </conditionalFormatting>
  <conditionalFormatting sqref="Z15:AA23">
    <cfRule type="containsText" dxfId="2191" priority="211" operator="containsText" text="▲">
      <formula>NOT(ISERROR(SEARCH("▲",Z15)))</formula>
    </cfRule>
    <cfRule type="containsText" dxfId="2190" priority="212" operator="containsText" text="▼">
      <formula>NOT(ISERROR(SEARCH("▼",Z15)))</formula>
    </cfRule>
  </conditionalFormatting>
  <conditionalFormatting sqref="Z16:AA23">
    <cfRule type="containsText" dxfId="2189" priority="241" operator="containsText" text="▲">
      <formula>NOT(ISERROR(SEARCH("▲",Z16)))</formula>
    </cfRule>
    <cfRule type="containsText" dxfId="2188" priority="242" operator="containsText" text="▼">
      <formula>NOT(ISERROR(SEARCH("▼",Z16)))</formula>
    </cfRule>
  </conditionalFormatting>
  <conditionalFormatting sqref="Z17:AA23">
    <cfRule type="containsText" dxfId="2187" priority="237" operator="containsText" text="▲">
      <formula>NOT(ISERROR(SEARCH("▲",Z17)))</formula>
    </cfRule>
    <cfRule type="containsText" dxfId="2186" priority="238" operator="containsText" text="▼">
      <formula>NOT(ISERROR(SEARCH("▼",Z17)))</formula>
    </cfRule>
  </conditionalFormatting>
  <conditionalFormatting sqref="Z18:AA23">
    <cfRule type="containsText" dxfId="2185" priority="209" operator="containsText" text="▲">
      <formula>NOT(ISERROR(SEARCH("▲",Z18)))</formula>
    </cfRule>
    <cfRule type="containsText" dxfId="2184" priority="210" operator="containsText" text="▼">
      <formula>NOT(ISERROR(SEARCH("▼",Z18)))</formula>
    </cfRule>
  </conditionalFormatting>
  <conditionalFormatting sqref="Z19:AA23">
    <cfRule type="containsText" dxfId="2183" priority="163" operator="containsText" text="▲">
      <formula>NOT(ISERROR(SEARCH("▲",Z19)))</formula>
    </cfRule>
    <cfRule type="containsText" dxfId="2182" priority="164" operator="containsText" text="▼">
      <formula>NOT(ISERROR(SEARCH("▼",Z19)))</formula>
    </cfRule>
  </conditionalFormatting>
  <conditionalFormatting sqref="Z20:AA23">
    <cfRule type="containsText" dxfId="2181" priority="185" operator="containsText" text="▲">
      <formula>NOT(ISERROR(SEARCH("▲",Z20)))</formula>
    </cfRule>
    <cfRule type="containsText" dxfId="2180" priority="186" operator="containsText" text="▼">
      <formula>NOT(ISERROR(SEARCH("▼",Z20)))</formula>
    </cfRule>
  </conditionalFormatting>
  <conditionalFormatting sqref="Z23:AA23">
    <cfRule type="containsText" dxfId="2179" priority="107" operator="containsText" text="▲">
      <formula>NOT(ISERROR(SEARCH("▲",Z23)))</formula>
    </cfRule>
    <cfRule type="containsText" dxfId="2178" priority="108" operator="containsText" text="▼">
      <formula>NOT(ISERROR(SEARCH("▼",Z23)))</formula>
    </cfRule>
  </conditionalFormatting>
  <conditionalFormatting sqref="Z32:AA32">
    <cfRule type="containsText" dxfId="2177" priority="297" operator="containsText" text="▲">
      <formula>NOT(ISERROR(SEARCH("▲",Z32)))</formula>
    </cfRule>
    <cfRule type="containsText" dxfId="2176" priority="298" operator="containsText" text="▼">
      <formula>NOT(ISERROR(SEARCH("▼",Z32)))</formula>
    </cfRule>
  </conditionalFormatting>
  <conditionalFormatting sqref="Z34:AA34 Z35:Z36">
    <cfRule type="containsText" dxfId="2175" priority="227" operator="containsText" text="▲">
      <formula>NOT(ISERROR(SEARCH("▲",Z34)))</formula>
    </cfRule>
    <cfRule type="containsText" dxfId="2174" priority="228" operator="containsText" text="▼">
      <formula>NOT(ISERROR(SEARCH("▼",Z34)))</formula>
    </cfRule>
  </conditionalFormatting>
  <conditionalFormatting sqref="AA14">
    <cfRule type="containsText" dxfId="2173" priority="215" operator="containsText" text="△">
      <formula>NOT(ISERROR(SEARCH("△",AA14)))</formula>
    </cfRule>
    <cfRule type="containsText" dxfId="2172" priority="216" operator="containsText" text="▽">
      <formula>NOT(ISERROR(SEARCH("▽",AA14)))</formula>
    </cfRule>
    <cfRule type="containsText" dxfId="2171" priority="217" operator="containsText" text="△">
      <formula>NOT(ISERROR(SEARCH("△",AA14)))</formula>
    </cfRule>
    <cfRule type="containsText" dxfId="2170" priority="218" operator="containsText" text="▽">
      <formula>NOT(ISERROR(SEARCH("▽",AA14)))</formula>
    </cfRule>
  </conditionalFormatting>
  <conditionalFormatting sqref="AA21 Z51:Z58">
    <cfRule type="containsText" dxfId="2169" priority="194" operator="containsText" text="▼">
      <formula>NOT(ISERROR(SEARCH("▼",Z21)))</formula>
    </cfRule>
  </conditionalFormatting>
  <conditionalFormatting sqref="AA22:AA23">
    <cfRule type="containsText" dxfId="2168" priority="165" operator="containsText" text="▲">
      <formula>NOT(ISERROR(SEARCH("▲",AA22)))</formula>
    </cfRule>
    <cfRule type="containsText" dxfId="2167" priority="166" operator="containsText" text="▼">
      <formula>NOT(ISERROR(SEARCH("▼",AA22)))</formula>
    </cfRule>
  </conditionalFormatting>
  <conditionalFormatting sqref="AA28">
    <cfRule type="containsText" dxfId="2166" priority="335" operator="containsText" text="△">
      <formula>NOT(ISERROR(SEARCH("△",AA28)))</formula>
    </cfRule>
    <cfRule type="containsText" dxfId="2165" priority="336" operator="containsText" text="▽">
      <formula>NOT(ISERROR(SEARCH("▽",AA28)))</formula>
    </cfRule>
  </conditionalFormatting>
  <conditionalFormatting sqref="AA28:AA30">
    <cfRule type="containsText" dxfId="2164" priority="323" operator="containsText" text="△">
      <formula>NOT(ISERROR(SEARCH("△",AA28)))</formula>
    </cfRule>
    <cfRule type="containsText" dxfId="2163" priority="324" operator="containsText" text="▽">
      <formula>NOT(ISERROR(SEARCH("▽",AA28)))</formula>
    </cfRule>
  </conditionalFormatting>
  <conditionalFormatting sqref="AA29">
    <cfRule type="containsText" dxfId="2162" priority="321" operator="containsText" text="△">
      <formula>NOT(ISERROR(SEARCH("△",AA29)))</formula>
    </cfRule>
    <cfRule type="containsText" dxfId="2161" priority="322" operator="containsText" text="▽">
      <formula>NOT(ISERROR(SEARCH("▽",AA29)))</formula>
    </cfRule>
  </conditionalFormatting>
  <conditionalFormatting sqref="AA30">
    <cfRule type="containsText" dxfId="2160" priority="331" operator="containsText" text="△">
      <formula>NOT(ISERROR(SEARCH("△",AA30)))</formula>
    </cfRule>
    <cfRule type="containsText" dxfId="2159" priority="332" operator="containsText" text="▽">
      <formula>NOT(ISERROR(SEARCH("▽",AA30)))</formula>
    </cfRule>
  </conditionalFormatting>
  <conditionalFormatting sqref="AA31">
    <cfRule type="containsText" dxfId="2158" priority="309" operator="containsText" text="△">
      <formula>NOT(ISERROR(SEARCH("△",AA31)))</formula>
    </cfRule>
    <cfRule type="containsText" dxfId="2157" priority="310" operator="containsText" text="▽">
      <formula>NOT(ISERROR(SEARCH("▽",AA31)))</formula>
    </cfRule>
    <cfRule type="containsText" dxfId="2156" priority="311" operator="containsText" text="△">
      <formula>NOT(ISERROR(SEARCH("△",AA31)))</formula>
    </cfRule>
    <cfRule type="containsText" dxfId="2155" priority="312" operator="containsText" text="▽">
      <formula>NOT(ISERROR(SEARCH("▽",AA31)))</formula>
    </cfRule>
  </conditionalFormatting>
  <conditionalFormatting sqref="AA99:AA104 Z106:Z108">
    <cfRule type="containsText" dxfId="2154" priority="351" operator="containsText" text="△">
      <formula>NOT(ISERROR(SEARCH("△",Z99)))</formula>
    </cfRule>
    <cfRule type="containsText" dxfId="2153" priority="352" operator="containsText" text="▽">
      <formula>NOT(ISERROR(SEARCH("▽",Z99)))</formula>
    </cfRule>
  </conditionalFormatting>
  <conditionalFormatting sqref="Z89">
    <cfRule type="cellIs" dxfId="2152" priority="15" operator="lessThan">
      <formula>0</formula>
    </cfRule>
    <cfRule type="cellIs" dxfId="2151" priority="16" operator="greaterThan">
      <formula>0</formula>
    </cfRule>
  </conditionalFormatting>
  <conditionalFormatting sqref="Z89">
    <cfRule type="containsText" dxfId="2150" priority="11" operator="containsText" text="▲">
      <formula>NOT(ISERROR(SEARCH("▲",Z89)))</formula>
    </cfRule>
    <cfRule type="containsText" dxfId="2149" priority="12" operator="containsText" text="▼">
      <formula>NOT(ISERROR(SEARCH("▼",Z89)))</formula>
    </cfRule>
    <cfRule type="containsText" dxfId="2148" priority="13" operator="containsText" text="▲">
      <formula>NOT(ISERROR(SEARCH("▲",Z89)))</formula>
    </cfRule>
    <cfRule type="containsText" dxfId="2147" priority="14" operator="containsText" text="▼">
      <formula>NOT(ISERROR(SEARCH("▼",Z89)))</formula>
    </cfRule>
  </conditionalFormatting>
  <conditionalFormatting sqref="Z89:Z91">
    <cfRule type="containsText" dxfId="2146" priority="9" operator="containsText" text="▲">
      <formula>NOT(ISERROR(SEARCH("▲",Z89)))</formula>
    </cfRule>
    <cfRule type="containsText" dxfId="2145" priority="10" operator="containsText" text="▼">
      <formula>NOT(ISERROR(SEARCH("▼",Z89)))</formula>
    </cfRule>
  </conditionalFormatting>
  <conditionalFormatting sqref="Z90:Z91">
    <cfRule type="cellIs" dxfId="2144" priority="7" operator="lessThan">
      <formula>0</formula>
    </cfRule>
    <cfRule type="cellIs" dxfId="2143" priority="8" operator="greaterThan">
      <formula>0</formula>
    </cfRule>
  </conditionalFormatting>
  <conditionalFormatting sqref="Z91">
    <cfRule type="containsText" dxfId="2142" priority="5" operator="containsText" text="▲">
      <formula>NOT(ISERROR(SEARCH("▲",Z91)))</formula>
    </cfRule>
    <cfRule type="containsText" dxfId="2141" priority="6" operator="containsText" text="▼">
      <formula>NOT(ISERROR(SEARCH("▼",Z91)))</formula>
    </cfRule>
  </conditionalFormatting>
  <conditionalFormatting sqref="Z92">
    <cfRule type="containsText" dxfId="2140" priority="3" operator="containsText" text="▲">
      <formula>NOT(ISERROR(SEARCH("▲",Z92)))</formula>
    </cfRule>
    <cfRule type="containsText" dxfId="2139" priority="4" operator="containsText" text="▼">
      <formula>NOT(ISERROR(SEARCH("▼",Z92)))</formula>
    </cfRule>
  </conditionalFormatting>
  <conditionalFormatting sqref="Z92">
    <cfRule type="cellIs" dxfId="2138" priority="1" operator="lessThan">
      <formula>0</formula>
    </cfRule>
    <cfRule type="cellIs" dxfId="2137" priority="2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638B-764B-4DE4-8FC9-357BDF8C016A}">
  <sheetPr codeName="Sheet20">
    <tabColor rgb="FF92D050"/>
    <outlinePr summaryBelow="0" summaryRight="0"/>
  </sheetPr>
  <dimension ref="A1:AD73"/>
  <sheetViews>
    <sheetView zoomScale="85" zoomScaleNormal="85" workbookViewId="0">
      <pane xSplit="4" ySplit="1" topLeftCell="E41" activePane="bottomRight" state="frozen"/>
      <selection activeCell="F42" sqref="F42"/>
      <selection pane="topRight" activeCell="F42" sqref="F42"/>
      <selection pane="bottomLeft" activeCell="F42" sqref="F42"/>
      <selection pane="bottomRight" activeCell="A72" sqref="A72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6.87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/>
    <col min="10" max="10" width="9.375" style="9" customWidth="1" outlineLevel="1"/>
    <col min="11" max="11" width="13" style="9" customWidth="1" outlineLevel="1"/>
    <col min="12" max="13" width="9.625" style="9" customWidth="1" outlineLevel="1"/>
    <col min="14" max="14" width="9.125" style="9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4.5" style="28" bestFit="1" customWidth="1"/>
    <col min="29" max="29" width="37.75" style="311" customWidth="1"/>
    <col min="30" max="30" width="22.625" style="9" bestFit="1" customWidth="1"/>
    <col min="31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309" t="s">
        <v>33</v>
      </c>
    </row>
    <row r="2" spans="1:29">
      <c r="A2" s="99">
        <v>45695</v>
      </c>
      <c r="B2" s="11"/>
      <c r="C2" s="11">
        <v>6438</v>
      </c>
      <c r="D2" s="189" t="s">
        <v>281</v>
      </c>
      <c r="E2" s="11">
        <v>1000</v>
      </c>
      <c r="F2" s="11">
        <v>248.5</v>
      </c>
      <c r="G2" s="11">
        <v>248500</v>
      </c>
      <c r="H2" s="11">
        <v>354</v>
      </c>
      <c r="I2" s="104">
        <v>45702</v>
      </c>
      <c r="J2" s="16">
        <v>216.5</v>
      </c>
      <c r="K2" s="11">
        <v>216500</v>
      </c>
      <c r="L2" s="11">
        <v>308</v>
      </c>
      <c r="M2" s="11">
        <v>649</v>
      </c>
      <c r="N2" s="11">
        <v>0</v>
      </c>
      <c r="O2" s="13">
        <v>0</v>
      </c>
      <c r="P2" s="14">
        <v>-33311</v>
      </c>
      <c r="Q2" s="14">
        <v>0</v>
      </c>
      <c r="R2" s="14"/>
      <c r="S2" s="14"/>
      <c r="T2" s="14"/>
      <c r="U2" s="69">
        <v>0</v>
      </c>
      <c r="V2" s="69"/>
      <c r="W2" s="70">
        <v>0.11</v>
      </c>
      <c r="X2" s="15">
        <v>-0.13404828973843058</v>
      </c>
      <c r="Y2" s="16">
        <f>VLOOKUP(C2,台股行情!A:D,4,FALSE)</f>
        <v>180</v>
      </c>
      <c r="Z2" s="38">
        <f>VLOOKUP(C2,台股行情!A:E,5,FALSE)</f>
        <v>-2</v>
      </c>
      <c r="AA2" s="90">
        <f t="shared" ref="AA2:AA24" ca="1" si="0">IF(I2="",((TODAY()-A2)*G2)/365.24,((I2-A2)*G2)/365.24)</f>
        <v>4762.6218376957613</v>
      </c>
      <c r="AB2" s="103" t="s">
        <v>2721</v>
      </c>
      <c r="AC2" s="310" t="s">
        <v>2735</v>
      </c>
    </row>
    <row r="3" spans="1:29">
      <c r="A3" s="99">
        <v>45696</v>
      </c>
      <c r="B3" s="11"/>
      <c r="C3" s="11">
        <v>6245</v>
      </c>
      <c r="D3" s="189" t="s">
        <v>1442</v>
      </c>
      <c r="E3" s="11">
        <v>1000</v>
      </c>
      <c r="F3" s="11">
        <v>114</v>
      </c>
      <c r="G3" s="11">
        <v>114000</v>
      </c>
      <c r="H3" s="11">
        <v>162</v>
      </c>
      <c r="I3" s="104">
        <v>45705</v>
      </c>
      <c r="J3" s="16">
        <v>108.5</v>
      </c>
      <c r="K3" s="11">
        <v>108500</v>
      </c>
      <c r="L3" s="11">
        <v>154</v>
      </c>
      <c r="M3" s="11">
        <v>325</v>
      </c>
      <c r="N3" s="11">
        <v>0</v>
      </c>
      <c r="O3" s="13">
        <v>0</v>
      </c>
      <c r="P3" s="14">
        <v>-6141</v>
      </c>
      <c r="Q3" s="14">
        <v>0</v>
      </c>
      <c r="R3" s="14"/>
      <c r="S3" s="14"/>
      <c r="T3" s="14"/>
      <c r="U3" s="69">
        <v>0</v>
      </c>
      <c r="V3" s="69"/>
      <c r="W3" s="70">
        <v>0.11</v>
      </c>
      <c r="X3" s="15">
        <v>-5.3868421052631579E-2</v>
      </c>
      <c r="Y3" s="16">
        <f>VLOOKUP(C3,台股行情!A:D,4,FALSE)</f>
        <v>87.7</v>
      </c>
      <c r="Z3" s="38">
        <f>VLOOKUP(C3,台股行情!A:E,5,FALSE)</f>
        <v>-2</v>
      </c>
      <c r="AA3" s="90">
        <f t="shared" ca="1" si="0"/>
        <v>2809.1118168875259</v>
      </c>
      <c r="AB3" s="103" t="s">
        <v>2721</v>
      </c>
      <c r="AC3" s="310" t="s">
        <v>2735</v>
      </c>
    </row>
    <row r="4" spans="1:29">
      <c r="A4" s="99">
        <v>45707</v>
      </c>
      <c r="B4" s="11"/>
      <c r="C4" s="11">
        <v>2377</v>
      </c>
      <c r="D4" s="189" t="s">
        <v>703</v>
      </c>
      <c r="E4" s="11">
        <v>1000</v>
      </c>
      <c r="F4" s="11">
        <v>202.5</v>
      </c>
      <c r="G4" s="11">
        <v>202500</v>
      </c>
      <c r="H4" s="11">
        <v>288</v>
      </c>
      <c r="I4" s="104">
        <v>45713</v>
      </c>
      <c r="J4" s="16">
        <v>195</v>
      </c>
      <c r="K4" s="11">
        <v>195000</v>
      </c>
      <c r="L4" s="11">
        <v>277</v>
      </c>
      <c r="M4" s="11">
        <v>585</v>
      </c>
      <c r="N4" s="11">
        <v>0</v>
      </c>
      <c r="O4" s="13">
        <v>0</v>
      </c>
      <c r="P4" s="14">
        <v>-8650</v>
      </c>
      <c r="Q4" s="14">
        <v>0</v>
      </c>
      <c r="R4" s="14"/>
      <c r="S4" s="14"/>
      <c r="T4" s="14"/>
      <c r="U4" s="69">
        <v>0</v>
      </c>
      <c r="V4" s="69"/>
      <c r="W4" s="70">
        <v>0.11</v>
      </c>
      <c r="X4" s="15">
        <v>-4.2716049382716052E-2</v>
      </c>
      <c r="Y4" s="16">
        <f>VLOOKUP(C4,台股行情!A:D,4,FALSE)</f>
        <v>158</v>
      </c>
      <c r="Z4" s="38">
        <f>VLOOKUP(C4,台股行情!A:E,5,FALSE)</f>
        <v>-1</v>
      </c>
      <c r="AA4" s="90">
        <f t="shared" ca="1" si="0"/>
        <v>3326.5797831562809</v>
      </c>
      <c r="AB4" s="103" t="s">
        <v>2721</v>
      </c>
      <c r="AC4" s="310" t="s">
        <v>2735</v>
      </c>
    </row>
    <row r="5" spans="1:29">
      <c r="A5" s="99">
        <v>45702</v>
      </c>
      <c r="B5" s="11"/>
      <c r="C5" s="11">
        <v>2301</v>
      </c>
      <c r="D5" s="189" t="s">
        <v>669</v>
      </c>
      <c r="E5" s="11">
        <v>1000</v>
      </c>
      <c r="F5" s="11">
        <v>110</v>
      </c>
      <c r="G5" s="11">
        <v>110000</v>
      </c>
      <c r="H5" s="11">
        <v>156</v>
      </c>
      <c r="I5" s="104">
        <v>45715</v>
      </c>
      <c r="J5" s="16">
        <v>110</v>
      </c>
      <c r="K5" s="11">
        <v>110000</v>
      </c>
      <c r="L5" s="11">
        <v>156</v>
      </c>
      <c r="M5" s="11">
        <v>330</v>
      </c>
      <c r="N5" s="11">
        <v>0</v>
      </c>
      <c r="O5" s="13">
        <v>0</v>
      </c>
      <c r="P5" s="14">
        <v>-642</v>
      </c>
      <c r="Q5" s="14">
        <v>0</v>
      </c>
      <c r="R5" s="14"/>
      <c r="S5" s="14"/>
      <c r="T5" s="14"/>
      <c r="U5" s="69">
        <v>0</v>
      </c>
      <c r="V5" s="69"/>
      <c r="W5" s="70">
        <v>0.11</v>
      </c>
      <c r="X5" s="15">
        <v>-5.8363636363636361E-3</v>
      </c>
      <c r="Y5" s="16">
        <f>VLOOKUP(C5,台股行情!A:D,4,FALSE)</f>
        <v>268</v>
      </c>
      <c r="Z5" s="38">
        <f>VLOOKUP(C5,台股行情!A:E,5,FALSE)</f>
        <v>-15</v>
      </c>
      <c r="AA5" s="90">
        <f t="shared" ca="1" si="0"/>
        <v>3915.2338188588324</v>
      </c>
      <c r="AB5" s="103" t="s">
        <v>2721</v>
      </c>
      <c r="AC5" s="310" t="s">
        <v>2735</v>
      </c>
    </row>
    <row r="6" spans="1:29">
      <c r="A6" s="99">
        <v>45696</v>
      </c>
      <c r="B6" s="11"/>
      <c r="C6" s="11">
        <v>6206</v>
      </c>
      <c r="D6" s="189" t="s">
        <v>1692</v>
      </c>
      <c r="E6" s="11">
        <v>1000</v>
      </c>
      <c r="F6" s="11">
        <v>117</v>
      </c>
      <c r="G6" s="11">
        <v>117000</v>
      </c>
      <c r="H6" s="11">
        <v>166</v>
      </c>
      <c r="I6" s="104">
        <v>45715</v>
      </c>
      <c r="J6" s="16">
        <v>162.5</v>
      </c>
      <c r="K6" s="11">
        <v>162500</v>
      </c>
      <c r="L6" s="11">
        <v>231</v>
      </c>
      <c r="M6" s="11">
        <v>487</v>
      </c>
      <c r="N6" s="11">
        <v>0</v>
      </c>
      <c r="O6" s="13">
        <v>0</v>
      </c>
      <c r="P6" s="14">
        <v>44616</v>
      </c>
      <c r="Q6" s="14">
        <v>0</v>
      </c>
      <c r="R6" s="14"/>
      <c r="S6" s="14"/>
      <c r="T6" s="14"/>
      <c r="U6" s="69">
        <v>0</v>
      </c>
      <c r="V6" s="69"/>
      <c r="W6" s="70">
        <v>0.11</v>
      </c>
      <c r="X6" s="15">
        <v>0.38133333333333336</v>
      </c>
      <c r="Y6" s="16">
        <f>VLOOKUP(C6,台股行情!A:D,4,FALSE)</f>
        <v>36.159999999999997</v>
      </c>
      <c r="Z6" s="38">
        <f>VLOOKUP(C6,台股行情!A:E,5,FALSE)</f>
        <v>-0.59</v>
      </c>
      <c r="AA6" s="90">
        <f t="shared" ca="1" si="0"/>
        <v>6086.4089365896398</v>
      </c>
      <c r="AB6" s="103" t="s">
        <v>2721</v>
      </c>
      <c r="AC6" s="311" t="s">
        <v>2789</v>
      </c>
    </row>
    <row r="7" spans="1:29">
      <c r="A7" s="99">
        <v>45702</v>
      </c>
      <c r="B7" s="11"/>
      <c r="C7" s="11">
        <v>1605</v>
      </c>
      <c r="D7" s="189" t="s">
        <v>560</v>
      </c>
      <c r="E7" s="11">
        <v>1000</v>
      </c>
      <c r="F7" s="11">
        <v>26.85</v>
      </c>
      <c r="G7" s="11">
        <v>26850</v>
      </c>
      <c r="H7" s="11">
        <v>38</v>
      </c>
      <c r="I7" s="104">
        <v>45720</v>
      </c>
      <c r="J7" s="16">
        <v>27.6</v>
      </c>
      <c r="K7" s="11">
        <v>27600</v>
      </c>
      <c r="L7" s="11">
        <v>39</v>
      </c>
      <c r="M7" s="11">
        <v>83</v>
      </c>
      <c r="N7" s="11">
        <v>0</v>
      </c>
      <c r="O7" s="13">
        <v>0</v>
      </c>
      <c r="P7" s="14">
        <v>590</v>
      </c>
      <c r="Q7" s="14">
        <v>0</v>
      </c>
      <c r="R7" s="14"/>
      <c r="S7" s="14"/>
      <c r="T7" s="14"/>
      <c r="U7" s="69">
        <v>0</v>
      </c>
      <c r="V7" s="69"/>
      <c r="W7" s="70">
        <v>0.11</v>
      </c>
      <c r="X7" s="15">
        <v>2.197392923649907E-2</v>
      </c>
      <c r="Y7" s="16">
        <f>VLOOKUP(C7,台股行情!A:D,4,FALSE)</f>
        <v>37.700000000000003</v>
      </c>
      <c r="Z7" s="38">
        <f>VLOOKUP(C7,台股行情!A:E,5,FALSE)</f>
        <v>-3</v>
      </c>
      <c r="AA7" s="90">
        <f t="shared" ca="1" si="0"/>
        <v>1323.2395137443873</v>
      </c>
      <c r="AB7" s="103" t="s">
        <v>2721</v>
      </c>
      <c r="AC7" s="311" t="s">
        <v>2789</v>
      </c>
    </row>
    <row r="8" spans="1:29">
      <c r="A8" s="99">
        <v>45702</v>
      </c>
      <c r="B8" s="11"/>
      <c r="C8" s="11">
        <v>1605</v>
      </c>
      <c r="D8" s="189" t="s">
        <v>560</v>
      </c>
      <c r="E8" s="11">
        <v>1000</v>
      </c>
      <c r="F8" s="11">
        <v>26.75</v>
      </c>
      <c r="G8" s="11">
        <v>26750</v>
      </c>
      <c r="H8" s="11">
        <v>38</v>
      </c>
      <c r="I8" s="104">
        <v>45720</v>
      </c>
      <c r="J8" s="16">
        <v>27.6</v>
      </c>
      <c r="K8" s="11">
        <v>27600</v>
      </c>
      <c r="L8" s="11">
        <v>39</v>
      </c>
      <c r="M8" s="11">
        <v>82</v>
      </c>
      <c r="N8" s="11">
        <v>0</v>
      </c>
      <c r="O8" s="13">
        <v>0</v>
      </c>
      <c r="P8" s="14">
        <v>691</v>
      </c>
      <c r="Q8" s="14">
        <v>0</v>
      </c>
      <c r="R8" s="14"/>
      <c r="S8" s="14"/>
      <c r="T8" s="14"/>
      <c r="U8" s="69">
        <v>0</v>
      </c>
      <c r="V8" s="69"/>
      <c r="W8" s="70">
        <v>0.11</v>
      </c>
      <c r="X8" s="15">
        <v>2.5831775700934579E-2</v>
      </c>
      <c r="Y8" s="16">
        <f>VLOOKUP(C8,台股行情!A:D,4,FALSE)</f>
        <v>37.700000000000003</v>
      </c>
      <c r="Z8" s="38">
        <f>VLOOKUP(C8,台股行情!A:E,5,FALSE)</f>
        <v>-3</v>
      </c>
      <c r="AA8" s="90">
        <f t="shared" ca="1" si="0"/>
        <v>1318.3112473989704</v>
      </c>
      <c r="AB8" s="103" t="s">
        <v>2721</v>
      </c>
      <c r="AC8" s="311" t="s">
        <v>2789</v>
      </c>
    </row>
    <row r="9" spans="1:29">
      <c r="A9" s="99">
        <v>45706</v>
      </c>
      <c r="B9" s="11"/>
      <c r="C9" s="11">
        <v>1536</v>
      </c>
      <c r="D9" s="189" t="s">
        <v>398</v>
      </c>
      <c r="E9" s="11">
        <v>1000</v>
      </c>
      <c r="F9" s="11">
        <v>81.400000000000006</v>
      </c>
      <c r="G9" s="11">
        <v>81400</v>
      </c>
      <c r="H9" s="11">
        <v>115</v>
      </c>
      <c r="I9" s="104">
        <v>45720</v>
      </c>
      <c r="J9" s="16">
        <v>77.900000000000006</v>
      </c>
      <c r="K9" s="11">
        <v>77900</v>
      </c>
      <c r="L9" s="11">
        <v>111</v>
      </c>
      <c r="M9" s="11">
        <v>233</v>
      </c>
      <c r="N9" s="11">
        <v>0</v>
      </c>
      <c r="O9" s="13">
        <v>0</v>
      </c>
      <c r="P9" s="14">
        <v>-3959</v>
      </c>
      <c r="Q9" s="14">
        <v>0</v>
      </c>
      <c r="R9" s="14"/>
      <c r="S9" s="14"/>
      <c r="T9" s="14"/>
      <c r="U9" s="69">
        <v>0</v>
      </c>
      <c r="V9" s="69"/>
      <c r="W9" s="70">
        <v>0.11</v>
      </c>
      <c r="X9" s="15">
        <v>-4.8636363636363637E-2</v>
      </c>
      <c r="Y9" s="16">
        <f>VLOOKUP(C9,台股行情!A:D,4,FALSE)</f>
        <v>44.3</v>
      </c>
      <c r="Z9" s="38">
        <f>VLOOKUP(C9,台股行情!A:E,5,FALSE)</f>
        <v>-0.9</v>
      </c>
      <c r="AA9" s="90">
        <f t="shared" ca="1" si="0"/>
        <v>3120.1401817982696</v>
      </c>
      <c r="AB9" s="103" t="s">
        <v>2721</v>
      </c>
      <c r="AC9" s="310" t="s">
        <v>2735</v>
      </c>
    </row>
    <row r="10" spans="1:29">
      <c r="A10" s="99">
        <v>45702</v>
      </c>
      <c r="B10" s="11"/>
      <c r="C10" s="11">
        <v>2884</v>
      </c>
      <c r="D10" s="189" t="s">
        <v>397</v>
      </c>
      <c r="E10" s="11">
        <v>2000</v>
      </c>
      <c r="F10" s="11">
        <v>29.1</v>
      </c>
      <c r="G10" s="11">
        <v>58200</v>
      </c>
      <c r="H10" s="11">
        <v>82</v>
      </c>
      <c r="I10" s="104">
        <v>45721</v>
      </c>
      <c r="J10" s="16">
        <v>29.15</v>
      </c>
      <c r="K10" s="11">
        <v>58300</v>
      </c>
      <c r="L10" s="11">
        <v>83</v>
      </c>
      <c r="M10" s="11">
        <v>174</v>
      </c>
      <c r="N10" s="11">
        <v>0</v>
      </c>
      <c r="O10" s="13">
        <v>0</v>
      </c>
      <c r="P10" s="14">
        <v>-239</v>
      </c>
      <c r="Q10" s="14">
        <v>0</v>
      </c>
      <c r="R10" s="14"/>
      <c r="S10" s="14"/>
      <c r="T10" s="14"/>
      <c r="U10" s="69">
        <v>0</v>
      </c>
      <c r="V10" s="69"/>
      <c r="W10" s="70">
        <v>0.11</v>
      </c>
      <c r="X10" s="15">
        <v>-4.1065292096219928E-3</v>
      </c>
      <c r="Y10" s="16">
        <f>VLOOKUP(C10,台股行情!A:D,4,FALSE)</f>
        <v>48.8</v>
      </c>
      <c r="Z10" s="38">
        <f>VLOOKUP(C10,台股行情!A:E,5,FALSE)</f>
        <v>1.5</v>
      </c>
      <c r="AA10" s="90">
        <f t="shared" ca="1" si="0"/>
        <v>3027.5982915343334</v>
      </c>
      <c r="AB10" s="103" t="s">
        <v>2721</v>
      </c>
      <c r="AC10" s="310" t="s">
        <v>2735</v>
      </c>
    </row>
    <row r="11" spans="1:29">
      <c r="A11" s="99">
        <v>45722</v>
      </c>
      <c r="B11" s="11"/>
      <c r="C11" s="11">
        <v>6104</v>
      </c>
      <c r="D11" s="189" t="s">
        <v>1348</v>
      </c>
      <c r="E11" s="11">
        <v>1000</v>
      </c>
      <c r="F11" s="11">
        <v>177.5</v>
      </c>
      <c r="G11" s="11">
        <v>177500</v>
      </c>
      <c r="H11" s="11">
        <v>252</v>
      </c>
      <c r="I11" s="104">
        <v>45726</v>
      </c>
      <c r="J11" s="16">
        <v>160.5</v>
      </c>
      <c r="K11" s="11">
        <v>160500</v>
      </c>
      <c r="L11" s="11">
        <v>228</v>
      </c>
      <c r="M11" s="11">
        <v>481</v>
      </c>
      <c r="N11" s="11">
        <v>0</v>
      </c>
      <c r="O11" s="13">
        <v>0</v>
      </c>
      <c r="P11" s="14">
        <v>-17961</v>
      </c>
      <c r="Q11" s="14">
        <v>0</v>
      </c>
      <c r="R11" s="14"/>
      <c r="S11" s="14"/>
      <c r="T11" s="14"/>
      <c r="U11" s="69">
        <v>0</v>
      </c>
      <c r="V11" s="69"/>
      <c r="W11" s="70">
        <v>0.11</v>
      </c>
      <c r="X11" s="15">
        <v>-0.1011887323943662</v>
      </c>
      <c r="Y11" s="16">
        <f>VLOOKUP(C11,台股行情!A:D,4,FALSE)</f>
        <v>85.9</v>
      </c>
      <c r="Z11" s="38">
        <f>VLOOKUP(C11,台股行情!A:E,5,FALSE)</f>
        <v>-2.1</v>
      </c>
      <c r="AA11" s="90">
        <f ca="1">IF(I11="",((TODAY()-A11)*G11)/365.24,((I11-A11)*G11)/365.24)</f>
        <v>1943.9272806921476</v>
      </c>
      <c r="AB11" s="103" t="s">
        <v>2721</v>
      </c>
      <c r="AC11" s="310" t="s">
        <v>2735</v>
      </c>
    </row>
    <row r="12" spans="1:29">
      <c r="A12" s="99">
        <v>45702</v>
      </c>
      <c r="B12" s="11"/>
      <c r="C12" s="11">
        <v>2606</v>
      </c>
      <c r="D12" s="189" t="s">
        <v>804</v>
      </c>
      <c r="E12" s="11">
        <v>1000</v>
      </c>
      <c r="F12" s="11">
        <v>69.5</v>
      </c>
      <c r="G12" s="11">
        <v>69500</v>
      </c>
      <c r="H12" s="11">
        <v>99</v>
      </c>
      <c r="I12" s="104">
        <v>45728</v>
      </c>
      <c r="J12" s="16">
        <v>71.3</v>
      </c>
      <c r="K12" s="11">
        <v>71300</v>
      </c>
      <c r="L12" s="11">
        <v>101</v>
      </c>
      <c r="M12" s="11">
        <v>213</v>
      </c>
      <c r="N12" s="11">
        <v>0</v>
      </c>
      <c r="O12" s="13">
        <v>0</v>
      </c>
      <c r="P12" s="14">
        <v>1387</v>
      </c>
      <c r="Q12" s="14">
        <v>0</v>
      </c>
      <c r="R12" s="14"/>
      <c r="S12" s="14"/>
      <c r="T12" s="14"/>
      <c r="U12" s="69">
        <v>0</v>
      </c>
      <c r="V12" s="69"/>
      <c r="W12" s="70">
        <v>0.11</v>
      </c>
      <c r="X12" s="15">
        <v>1.9956834532374099E-2</v>
      </c>
      <c r="Y12" s="16">
        <f>VLOOKUP(C12,台股行情!A:D,4,FALSE)</f>
        <v>76</v>
      </c>
      <c r="Z12" s="38">
        <f>VLOOKUP(C12,台股行情!A:E,5,FALSE)</f>
        <v>-2.2000000000000002</v>
      </c>
      <c r="AA12" s="90">
        <f t="shared" ca="1" si="0"/>
        <v>4947.4318256488887</v>
      </c>
      <c r="AB12" s="103" t="s">
        <v>2721</v>
      </c>
      <c r="AC12" s="311" t="s">
        <v>2789</v>
      </c>
    </row>
    <row r="13" spans="1:29">
      <c r="A13" s="99">
        <v>45713</v>
      </c>
      <c r="B13" s="11"/>
      <c r="C13" s="11">
        <v>2637</v>
      </c>
      <c r="D13" s="189" t="s">
        <v>1554</v>
      </c>
      <c r="E13" s="11">
        <v>1000</v>
      </c>
      <c r="F13" s="11">
        <v>84.4</v>
      </c>
      <c r="G13" s="11">
        <v>84400</v>
      </c>
      <c r="H13" s="11">
        <v>120</v>
      </c>
      <c r="I13" s="104">
        <v>45728</v>
      </c>
      <c r="J13" s="16">
        <v>82.8</v>
      </c>
      <c r="K13" s="11">
        <v>82800</v>
      </c>
      <c r="L13" s="11">
        <v>117</v>
      </c>
      <c r="M13" s="11">
        <v>248</v>
      </c>
      <c r="N13" s="11">
        <v>0</v>
      </c>
      <c r="O13" s="13">
        <v>0</v>
      </c>
      <c r="P13" s="14">
        <v>-2085</v>
      </c>
      <c r="Q13" s="14">
        <v>0</v>
      </c>
      <c r="R13" s="14"/>
      <c r="S13" s="14"/>
      <c r="T13" s="14"/>
      <c r="U13" s="69">
        <v>0</v>
      </c>
      <c r="V13" s="69"/>
      <c r="W13" s="70">
        <v>0.11</v>
      </c>
      <c r="X13" s="15">
        <v>-2.4703791469194311E-2</v>
      </c>
      <c r="Y13" s="16">
        <f>VLOOKUP(C13,台股行情!A:D,4,FALSE)</f>
        <v>101</v>
      </c>
      <c r="Z13" s="38">
        <f>VLOOKUP(C13,台股行情!A:E,5,FALSE)</f>
        <v>-2.5</v>
      </c>
      <c r="AA13" s="90">
        <f t="shared" ca="1" si="0"/>
        <v>3466.2139962764209</v>
      </c>
      <c r="AB13" s="103" t="s">
        <v>2721</v>
      </c>
      <c r="AC13" s="310" t="s">
        <v>2735</v>
      </c>
    </row>
    <row r="14" spans="1:29">
      <c r="A14" s="99">
        <v>45722</v>
      </c>
      <c r="B14" s="11"/>
      <c r="C14" s="11">
        <v>2014</v>
      </c>
      <c r="D14" s="189" t="s">
        <v>626</v>
      </c>
      <c r="E14" s="11">
        <v>2000</v>
      </c>
      <c r="F14" s="11">
        <v>24.9</v>
      </c>
      <c r="G14" s="11">
        <v>49800</v>
      </c>
      <c r="H14" s="11">
        <v>70</v>
      </c>
      <c r="I14" s="104">
        <v>45729</v>
      </c>
      <c r="J14" s="16">
        <v>24.2</v>
      </c>
      <c r="K14" s="11">
        <v>48400</v>
      </c>
      <c r="L14" s="11">
        <v>68</v>
      </c>
      <c r="M14" s="11">
        <v>145</v>
      </c>
      <c r="N14" s="11">
        <v>0</v>
      </c>
      <c r="O14" s="13">
        <v>0</v>
      </c>
      <c r="P14" s="14">
        <v>-1683</v>
      </c>
      <c r="Q14" s="14">
        <v>0</v>
      </c>
      <c r="R14" s="14"/>
      <c r="S14" s="14"/>
      <c r="T14" s="14"/>
      <c r="U14" s="69">
        <v>0</v>
      </c>
      <c r="V14" s="69"/>
      <c r="W14" s="70">
        <v>0.11</v>
      </c>
      <c r="X14" s="15">
        <v>-3.3795180722891567E-2</v>
      </c>
      <c r="Y14" s="16">
        <f>VLOOKUP(C14,台股行情!A:D,4,FALSE)</f>
        <v>16.850000000000001</v>
      </c>
      <c r="Z14" s="38">
        <f>VLOOKUP(C14,台股行情!A:E,5,FALSE)</f>
        <v>-0.35</v>
      </c>
      <c r="AA14" s="90">
        <f t="shared" ca="1" si="0"/>
        <v>954.44091556236992</v>
      </c>
      <c r="AB14" s="103" t="s">
        <v>2721</v>
      </c>
      <c r="AC14" s="310" t="s">
        <v>2735</v>
      </c>
    </row>
    <row r="15" spans="1:29">
      <c r="A15" s="99">
        <v>45713</v>
      </c>
      <c r="B15" s="11"/>
      <c r="C15" s="11">
        <v>9958</v>
      </c>
      <c r="D15" s="189" t="s">
        <v>2257</v>
      </c>
      <c r="E15" s="11">
        <v>1000</v>
      </c>
      <c r="F15" s="11">
        <v>187</v>
      </c>
      <c r="G15" s="11">
        <v>187000</v>
      </c>
      <c r="H15" s="11">
        <v>266</v>
      </c>
      <c r="I15" s="104">
        <v>45742</v>
      </c>
      <c r="J15" s="16">
        <v>184.5</v>
      </c>
      <c r="K15" s="11">
        <v>184500</v>
      </c>
      <c r="L15" s="11">
        <v>262</v>
      </c>
      <c r="M15" s="11">
        <v>553</v>
      </c>
      <c r="N15" s="11">
        <v>0</v>
      </c>
      <c r="O15" s="13">
        <v>0</v>
      </c>
      <c r="P15" s="14">
        <v>-3581</v>
      </c>
      <c r="Q15" s="14">
        <v>0</v>
      </c>
      <c r="R15" s="14"/>
      <c r="S15" s="14"/>
      <c r="T15" s="14"/>
      <c r="U15" s="69">
        <v>0</v>
      </c>
      <c r="V15" s="69"/>
      <c r="W15" s="70">
        <v>0.11</v>
      </c>
      <c r="X15" s="15">
        <v>-1.9149732620320856E-2</v>
      </c>
      <c r="Y15" s="16">
        <f>VLOOKUP(C15,台股行情!A:D,4,FALSE)</f>
        <v>88.5</v>
      </c>
      <c r="Z15" s="38">
        <f>VLOOKUP(C15,台股行情!A:E,5,FALSE)</f>
        <v>-2</v>
      </c>
      <c r="AA15" s="90">
        <f t="shared" ca="1" si="0"/>
        <v>14847.771328441573</v>
      </c>
      <c r="AB15" s="103" t="s">
        <v>2721</v>
      </c>
      <c r="AC15" s="310" t="s">
        <v>2735</v>
      </c>
    </row>
    <row r="16" spans="1:29">
      <c r="A16" s="99">
        <v>45835</v>
      </c>
      <c r="B16" s="11"/>
      <c r="C16" s="11">
        <v>3265</v>
      </c>
      <c r="D16" s="189" t="s">
        <v>951</v>
      </c>
      <c r="E16" s="11">
        <v>1000</v>
      </c>
      <c r="F16" s="11">
        <v>100.5</v>
      </c>
      <c r="G16" s="11">
        <v>100500</v>
      </c>
      <c r="H16" s="11">
        <v>143</v>
      </c>
      <c r="I16" s="104">
        <v>45855</v>
      </c>
      <c r="J16" s="16">
        <v>102.5</v>
      </c>
      <c r="K16" s="11">
        <v>102500</v>
      </c>
      <c r="L16" s="11">
        <v>146</v>
      </c>
      <c r="M16" s="11">
        <v>307</v>
      </c>
      <c r="N16" s="11">
        <v>0</v>
      </c>
      <c r="O16" s="13">
        <v>0</v>
      </c>
      <c r="P16" s="14">
        <v>5488</v>
      </c>
      <c r="Q16" s="14">
        <v>0</v>
      </c>
      <c r="R16" s="14">
        <v>4600</v>
      </c>
      <c r="S16" s="14">
        <v>10</v>
      </c>
      <c r="T16" s="14"/>
      <c r="U16" s="69">
        <v>0</v>
      </c>
      <c r="V16" s="69"/>
      <c r="W16" s="70">
        <v>0.11</v>
      </c>
      <c r="X16" s="15">
        <v>5.460696517412935E-2</v>
      </c>
      <c r="Y16" s="16">
        <f>VLOOKUP(C16,台股行情!A:D,4,FALSE)</f>
        <v>278</v>
      </c>
      <c r="Z16" s="38">
        <f>VLOOKUP(C16,台股行情!A:E,5,FALSE)</f>
        <v>-14.5</v>
      </c>
      <c r="AA16" s="90">
        <f t="shared" ca="1" si="0"/>
        <v>5503.2307523819954</v>
      </c>
      <c r="AB16" s="103" t="s">
        <v>169</v>
      </c>
      <c r="AC16" s="311" t="s">
        <v>2845</v>
      </c>
    </row>
    <row r="17" spans="1:29">
      <c r="A17" s="99">
        <v>45835</v>
      </c>
      <c r="B17" s="11"/>
      <c r="C17" s="11">
        <v>2317</v>
      </c>
      <c r="D17" s="189" t="s">
        <v>245</v>
      </c>
      <c r="E17" s="11">
        <v>1000</v>
      </c>
      <c r="F17" s="11">
        <v>164.5</v>
      </c>
      <c r="G17" s="11">
        <v>164500</v>
      </c>
      <c r="H17" s="11">
        <v>234</v>
      </c>
      <c r="I17" s="104">
        <v>228482</v>
      </c>
      <c r="J17" s="16">
        <v>165.5</v>
      </c>
      <c r="K17" s="11">
        <v>165500</v>
      </c>
      <c r="L17" s="11">
        <v>235</v>
      </c>
      <c r="M17" s="11">
        <v>496</v>
      </c>
      <c r="N17" s="11">
        <v>0</v>
      </c>
      <c r="O17" s="13">
        <v>0</v>
      </c>
      <c r="P17" s="14">
        <v>5187</v>
      </c>
      <c r="Q17" s="14">
        <v>0</v>
      </c>
      <c r="R17" s="14">
        <v>5800</v>
      </c>
      <c r="S17" s="14">
        <v>10</v>
      </c>
      <c r="T17" s="14"/>
      <c r="U17" s="69">
        <v>0</v>
      </c>
      <c r="V17" s="69"/>
      <c r="W17" s="70">
        <v>0.11</v>
      </c>
      <c r="X17" s="15">
        <v>3.1531914893617022E-2</v>
      </c>
      <c r="Y17" s="16">
        <f>VLOOKUP(C17,台股行情!A:D,4,FALSE)</f>
        <v>239.5</v>
      </c>
      <c r="Z17" s="38">
        <f>VLOOKUP(C17,台股行情!A:E,5,FALSE)</f>
        <v>-3.5</v>
      </c>
      <c r="AA17" s="90">
        <f ca="1">IF(I17="",((TODAY()-A17)*G17)/365.24,((I17-A17)*G17)/365.24)</f>
        <v>82262160.497207314</v>
      </c>
      <c r="AB17" s="103" t="s">
        <v>169</v>
      </c>
      <c r="AC17" s="311" t="s">
        <v>129</v>
      </c>
    </row>
    <row r="18" spans="1:29">
      <c r="A18" s="99">
        <v>45835</v>
      </c>
      <c r="B18" s="11"/>
      <c r="C18" s="11">
        <v>9935</v>
      </c>
      <c r="D18" s="189" t="s">
        <v>2242</v>
      </c>
      <c r="E18" s="11">
        <v>2000</v>
      </c>
      <c r="F18" s="11">
        <v>23.95</v>
      </c>
      <c r="G18" s="11">
        <v>47900</v>
      </c>
      <c r="H18" s="11">
        <v>68</v>
      </c>
      <c r="I18" s="104">
        <v>45862</v>
      </c>
      <c r="J18" s="16">
        <v>20.75</v>
      </c>
      <c r="K18" s="11">
        <v>41500</v>
      </c>
      <c r="L18" s="11">
        <v>59</v>
      </c>
      <c r="M18" s="11">
        <v>124</v>
      </c>
      <c r="N18" s="11">
        <v>0</v>
      </c>
      <c r="O18" s="13">
        <v>0</v>
      </c>
      <c r="P18" s="14">
        <v>-3457</v>
      </c>
      <c r="Q18" s="14">
        <v>0</v>
      </c>
      <c r="R18" s="14">
        <v>3600</v>
      </c>
      <c r="S18" s="14">
        <v>10</v>
      </c>
      <c r="T18" s="14"/>
      <c r="U18" s="69">
        <v>0</v>
      </c>
      <c r="V18" s="69"/>
      <c r="W18" s="70">
        <v>0.11</v>
      </c>
      <c r="X18" s="15">
        <v>-7.2171189979123168E-2</v>
      </c>
      <c r="Y18" s="16">
        <f>VLOOKUP(C18,台股行情!A:D,4,FALSE)</f>
        <v>18.649999999999999</v>
      </c>
      <c r="Z18" s="38">
        <f>VLOOKUP(C18,台股行情!A:E,5,FALSE)</f>
        <v>-0.2</v>
      </c>
      <c r="AA18" s="90">
        <f t="shared" ca="1" si="0"/>
        <v>3540.9593691819077</v>
      </c>
      <c r="AB18" s="103" t="s">
        <v>169</v>
      </c>
      <c r="AC18" s="310" t="s">
        <v>2849</v>
      </c>
    </row>
    <row r="19" spans="1:29">
      <c r="A19" s="99">
        <v>45747</v>
      </c>
      <c r="B19" s="11"/>
      <c r="C19" s="11">
        <v>3661</v>
      </c>
      <c r="D19" s="189" t="s">
        <v>1067</v>
      </c>
      <c r="E19" s="11">
        <v>10</v>
      </c>
      <c r="F19" s="11">
        <v>2840</v>
      </c>
      <c r="G19" s="11">
        <v>28400</v>
      </c>
      <c r="H19" s="11">
        <v>40</v>
      </c>
      <c r="I19" s="104">
        <v>45863</v>
      </c>
      <c r="J19" s="16">
        <v>3945</v>
      </c>
      <c r="K19" s="11">
        <v>39450</v>
      </c>
      <c r="L19" s="11">
        <v>56</v>
      </c>
      <c r="M19" s="11">
        <v>118</v>
      </c>
      <c r="N19" s="11">
        <v>0</v>
      </c>
      <c r="O19" s="13">
        <v>0</v>
      </c>
      <c r="P19" s="14">
        <v>10836</v>
      </c>
      <c r="Q19" s="14">
        <v>0</v>
      </c>
      <c r="R19" s="14"/>
      <c r="S19" s="14"/>
      <c r="T19" s="14"/>
      <c r="U19" s="69">
        <v>0</v>
      </c>
      <c r="V19" s="69"/>
      <c r="W19" s="70">
        <v>0.11</v>
      </c>
      <c r="X19" s="15">
        <v>0.38154929577464791</v>
      </c>
      <c r="Y19" s="16">
        <f>VLOOKUP(C19,台股行情!A:D,4,FALSE)</f>
        <v>3705</v>
      </c>
      <c r="Z19" s="38">
        <f>VLOOKUP(C19,台股行情!A:E,5,FALSE)</f>
        <v>-235</v>
      </c>
      <c r="AA19" s="90">
        <f t="shared" ca="1" si="0"/>
        <v>9019.8225824115652</v>
      </c>
      <c r="AB19" s="103" t="s">
        <v>2266</v>
      </c>
      <c r="AC19" s="311" t="s">
        <v>2850</v>
      </c>
    </row>
    <row r="20" spans="1:29">
      <c r="A20" s="99">
        <v>45849</v>
      </c>
      <c r="B20" s="11"/>
      <c r="C20" s="11">
        <v>2355</v>
      </c>
      <c r="D20" s="189" t="s">
        <v>63</v>
      </c>
      <c r="E20" s="11">
        <v>2000</v>
      </c>
      <c r="F20" s="11">
        <v>32.35</v>
      </c>
      <c r="G20" s="11">
        <v>64700</v>
      </c>
      <c r="H20" s="11">
        <v>92</v>
      </c>
      <c r="I20" s="104">
        <v>45866</v>
      </c>
      <c r="J20" s="16">
        <v>32.950000000000003</v>
      </c>
      <c r="K20" s="11">
        <v>65900</v>
      </c>
      <c r="L20" s="11">
        <v>93</v>
      </c>
      <c r="M20" s="11">
        <v>197</v>
      </c>
      <c r="N20" s="11">
        <v>0</v>
      </c>
      <c r="O20" s="13">
        <v>0</v>
      </c>
      <c r="P20" s="14">
        <v>4101</v>
      </c>
      <c r="Q20" s="14">
        <v>0</v>
      </c>
      <c r="R20" s="14">
        <v>3700</v>
      </c>
      <c r="S20" s="14">
        <v>10</v>
      </c>
      <c r="T20" s="14"/>
      <c r="U20" s="69">
        <v>0</v>
      </c>
      <c r="V20" s="69"/>
      <c r="W20" s="70">
        <v>0.11</v>
      </c>
      <c r="X20" s="15">
        <v>6.3384853168469854E-2</v>
      </c>
      <c r="Y20" s="16">
        <f>VLOOKUP(C20,台股行情!A:D,4,FALSE)</f>
        <v>53.6</v>
      </c>
      <c r="Z20" s="38">
        <f>VLOOKUP(C20,台股行情!A:E,5,FALSE)</f>
        <v>1.7</v>
      </c>
      <c r="AA20" s="90">
        <f t="shared" ca="1" si="0"/>
        <v>3011.4445296243566</v>
      </c>
      <c r="AB20" s="103" t="s">
        <v>169</v>
      </c>
      <c r="AC20" s="311" t="s">
        <v>129</v>
      </c>
    </row>
    <row r="21" spans="1:29">
      <c r="A21" s="99">
        <v>45849</v>
      </c>
      <c r="B21" s="11"/>
      <c r="C21" s="11">
        <v>2634</v>
      </c>
      <c r="D21" s="189" t="s">
        <v>249</v>
      </c>
      <c r="E21" s="11">
        <v>2000</v>
      </c>
      <c r="F21" s="11">
        <v>42.1</v>
      </c>
      <c r="G21" s="11">
        <v>84200</v>
      </c>
      <c r="H21" s="11">
        <v>119</v>
      </c>
      <c r="I21" s="104">
        <v>45866</v>
      </c>
      <c r="J21" s="16">
        <v>42.35</v>
      </c>
      <c r="K21" s="11">
        <v>84700</v>
      </c>
      <c r="L21" s="11">
        <v>120</v>
      </c>
      <c r="M21" s="11">
        <v>254</v>
      </c>
      <c r="N21" s="11">
        <v>0</v>
      </c>
      <c r="O21" s="13">
        <v>0</v>
      </c>
      <c r="P21" s="14">
        <v>7</v>
      </c>
      <c r="Q21" s="14">
        <v>0</v>
      </c>
      <c r="R21" s="14"/>
      <c r="S21" s="14"/>
      <c r="T21" s="14"/>
      <c r="U21" s="69">
        <v>0</v>
      </c>
      <c r="V21" s="69"/>
      <c r="W21" s="70">
        <v>0.11</v>
      </c>
      <c r="X21" s="15">
        <v>8.3135391923990504E-5</v>
      </c>
      <c r="Y21" s="16">
        <f>VLOOKUP(C21,台股行情!A:D,4,FALSE)</f>
        <v>60.7</v>
      </c>
      <c r="Z21" s="38">
        <f>VLOOKUP(C21,台股行情!A:E,5,FALSE)</f>
        <v>-1.4</v>
      </c>
      <c r="AA21" s="90">
        <f t="shared" ca="1" si="0"/>
        <v>3919.0669149052678</v>
      </c>
      <c r="AB21" s="103" t="s">
        <v>169</v>
      </c>
      <c r="AC21" s="311" t="s">
        <v>129</v>
      </c>
    </row>
    <row r="22" spans="1:29">
      <c r="A22" s="99">
        <v>45695</v>
      </c>
      <c r="B22" s="11"/>
      <c r="C22" s="11">
        <v>3661</v>
      </c>
      <c r="D22" s="189" t="s">
        <v>1067</v>
      </c>
      <c r="E22" s="11">
        <v>10</v>
      </c>
      <c r="F22" s="11">
        <v>3455</v>
      </c>
      <c r="G22" s="11">
        <v>34550</v>
      </c>
      <c r="H22" s="11">
        <v>49</v>
      </c>
      <c r="I22" s="104">
        <v>45869</v>
      </c>
      <c r="J22" s="16">
        <v>3870</v>
      </c>
      <c r="K22" s="11">
        <v>38700</v>
      </c>
      <c r="L22" s="11">
        <v>55</v>
      </c>
      <c r="M22" s="11">
        <v>116</v>
      </c>
      <c r="N22" s="11">
        <v>0</v>
      </c>
      <c r="O22" s="13">
        <v>0</v>
      </c>
      <c r="P22" s="14">
        <v>3930</v>
      </c>
      <c r="Q22" s="14">
        <v>0</v>
      </c>
      <c r="R22" s="14"/>
      <c r="S22" s="14"/>
      <c r="T22" s="14"/>
      <c r="U22" s="69">
        <v>0</v>
      </c>
      <c r="V22" s="69"/>
      <c r="W22" s="70">
        <v>0.11</v>
      </c>
      <c r="X22" s="15">
        <v>0.11374819102749638</v>
      </c>
      <c r="Y22" s="16">
        <f>VLOOKUP(C22,台股行情!A:D,4,FALSE)</f>
        <v>3705</v>
      </c>
      <c r="Z22" s="38">
        <f>VLOOKUP(C22,台股行情!A:E,5,FALSE)</f>
        <v>-235</v>
      </c>
      <c r="AA22" s="90">
        <f t="shared" ca="1" si="0"/>
        <v>16459.588215967582</v>
      </c>
      <c r="AB22" s="103" t="s">
        <v>2266</v>
      </c>
      <c r="AC22" s="311" t="s">
        <v>2854</v>
      </c>
    </row>
    <row r="23" spans="1:29">
      <c r="A23" s="99">
        <v>45868</v>
      </c>
      <c r="B23" s="11"/>
      <c r="C23" s="11">
        <v>3661</v>
      </c>
      <c r="D23" s="189" t="s">
        <v>1067</v>
      </c>
      <c r="E23" s="11">
        <v>10</v>
      </c>
      <c r="F23" s="11">
        <v>3760</v>
      </c>
      <c r="G23" s="11">
        <v>37600</v>
      </c>
      <c r="H23" s="11">
        <v>53</v>
      </c>
      <c r="I23" s="104">
        <v>45869</v>
      </c>
      <c r="J23" s="16">
        <v>3870</v>
      </c>
      <c r="K23" s="11">
        <v>38700</v>
      </c>
      <c r="L23" s="11">
        <v>55</v>
      </c>
      <c r="M23" s="11">
        <v>116</v>
      </c>
      <c r="N23" s="11">
        <v>0</v>
      </c>
      <c r="O23" s="13">
        <v>0</v>
      </c>
      <c r="P23" s="14">
        <v>876</v>
      </c>
      <c r="Q23" s="14">
        <v>0</v>
      </c>
      <c r="R23" s="14"/>
      <c r="S23" s="14"/>
      <c r="T23" s="14"/>
      <c r="U23" s="69">
        <v>0</v>
      </c>
      <c r="V23" s="69"/>
      <c r="W23" s="70">
        <v>0.11</v>
      </c>
      <c r="X23" s="15">
        <v>2.3297872340425532E-2</v>
      </c>
      <c r="Y23" s="16">
        <f>VLOOKUP(C23,台股行情!A:D,4,FALSE)</f>
        <v>3705</v>
      </c>
      <c r="Z23" s="38">
        <f>VLOOKUP(C23,台股行情!A:E,5,FALSE)</f>
        <v>-235</v>
      </c>
      <c r="AA23" s="90">
        <f t="shared" ca="1" si="0"/>
        <v>102.94600810426022</v>
      </c>
      <c r="AB23" s="103" t="s">
        <v>2266</v>
      </c>
      <c r="AC23" s="311" t="s">
        <v>2854</v>
      </c>
    </row>
    <row r="24" spans="1:29">
      <c r="A24" s="99">
        <v>45695</v>
      </c>
      <c r="B24" s="11"/>
      <c r="C24" s="11">
        <v>3661</v>
      </c>
      <c r="D24" s="189" t="s">
        <v>1067</v>
      </c>
      <c r="E24" s="11">
        <v>10</v>
      </c>
      <c r="F24" s="11">
        <v>3455</v>
      </c>
      <c r="G24" s="11">
        <v>34550</v>
      </c>
      <c r="H24" s="11">
        <v>49</v>
      </c>
      <c r="I24" s="104">
        <v>45881</v>
      </c>
      <c r="J24" s="16">
        <v>4055</v>
      </c>
      <c r="K24" s="11">
        <v>40550</v>
      </c>
      <c r="L24" s="11">
        <v>57</v>
      </c>
      <c r="M24" s="11">
        <v>121</v>
      </c>
      <c r="N24" s="11">
        <v>0</v>
      </c>
      <c r="O24" s="13">
        <v>0</v>
      </c>
      <c r="P24" s="14">
        <v>5773</v>
      </c>
      <c r="Q24" s="14">
        <v>0</v>
      </c>
      <c r="R24" s="14"/>
      <c r="S24" s="14"/>
      <c r="T24" s="14"/>
      <c r="U24" s="69">
        <v>0</v>
      </c>
      <c r="V24" s="69"/>
      <c r="W24" s="70">
        <v>0.11</v>
      </c>
      <c r="X24" s="15">
        <v>0.16709117221418235</v>
      </c>
      <c r="Y24" s="16">
        <f>VLOOKUP(C24,台股行情!A:D,4,FALSE)</f>
        <v>3705</v>
      </c>
      <c r="Z24" s="38">
        <f>VLOOKUP(C24,台股行情!A:E,5,FALSE)</f>
        <v>-235</v>
      </c>
      <c r="AA24" s="90">
        <f t="shared" ca="1" si="0"/>
        <v>17594.732230861897</v>
      </c>
      <c r="AB24" s="103" t="s">
        <v>2266</v>
      </c>
      <c r="AC24" s="311" t="s">
        <v>2854</v>
      </c>
    </row>
    <row r="25" spans="1:29">
      <c r="A25" s="99">
        <v>45695</v>
      </c>
      <c r="B25" s="11"/>
      <c r="C25" s="11">
        <v>3661</v>
      </c>
      <c r="D25" s="189" t="s">
        <v>1067</v>
      </c>
      <c r="E25" s="11">
        <v>20</v>
      </c>
      <c r="F25" s="11">
        <v>3455</v>
      </c>
      <c r="G25" s="11">
        <v>69100</v>
      </c>
      <c r="H25" s="11">
        <v>98</v>
      </c>
      <c r="I25" s="104">
        <v>45898</v>
      </c>
      <c r="J25" s="16">
        <v>4120</v>
      </c>
      <c r="K25" s="11">
        <v>82400</v>
      </c>
      <c r="L25" s="11">
        <v>117</v>
      </c>
      <c r="M25" s="11">
        <v>247</v>
      </c>
      <c r="N25" s="11">
        <v>0</v>
      </c>
      <c r="O25" s="13">
        <v>0</v>
      </c>
      <c r="P25" s="14">
        <v>12838</v>
      </c>
      <c r="Q25" s="14">
        <v>0</v>
      </c>
      <c r="R25" s="14"/>
      <c r="S25" s="14"/>
      <c r="T25" s="14"/>
      <c r="U25" s="69">
        <v>0</v>
      </c>
      <c r="V25" s="69"/>
      <c r="W25" s="70">
        <v>0.11</v>
      </c>
      <c r="X25" s="15">
        <v>0.18578871201157743</v>
      </c>
      <c r="Y25" s="16">
        <f>VLOOKUP(C25,台股行情!A:D,4,FALSE)</f>
        <v>3705</v>
      </c>
      <c r="Z25" s="38">
        <f>VLOOKUP(C25,台股行情!A:E,5,FALSE)</f>
        <v>-235</v>
      </c>
      <c r="AA25" s="90">
        <f t="shared" ref="AA25" ca="1" si="1">IF(I25="",((TODAY()-A25)*G25)/365.24,((I25-A25)*G25)/365.24)</f>
        <v>38405.705837257694</v>
      </c>
      <c r="AB25" s="103" t="s">
        <v>2266</v>
      </c>
      <c r="AC25" s="311" t="s">
        <v>2854</v>
      </c>
    </row>
    <row r="26" spans="1:29">
      <c r="A26" s="99">
        <v>45695</v>
      </c>
      <c r="B26" s="11"/>
      <c r="C26" s="11">
        <v>3661</v>
      </c>
      <c r="D26" s="189" t="s">
        <v>1067</v>
      </c>
      <c r="E26" s="11">
        <v>20</v>
      </c>
      <c r="F26" s="11">
        <v>3455</v>
      </c>
      <c r="G26" s="11">
        <v>69100</v>
      </c>
      <c r="H26" s="11">
        <v>98</v>
      </c>
      <c r="I26" s="104">
        <v>45909</v>
      </c>
      <c r="J26" s="16">
        <v>3930</v>
      </c>
      <c r="K26" s="11">
        <v>78600</v>
      </c>
      <c r="L26" s="11">
        <v>112</v>
      </c>
      <c r="M26" s="11">
        <v>235</v>
      </c>
      <c r="N26" s="11">
        <v>0</v>
      </c>
      <c r="O26" s="13">
        <v>0</v>
      </c>
      <c r="P26" s="14">
        <v>9055</v>
      </c>
      <c r="Q26" s="14">
        <v>0</v>
      </c>
      <c r="R26" s="14"/>
      <c r="S26" s="14"/>
      <c r="T26" s="14"/>
      <c r="U26" s="69">
        <v>0</v>
      </c>
      <c r="V26" s="69"/>
      <c r="W26" s="70">
        <v>0.11</v>
      </c>
      <c r="X26" s="15">
        <v>0.13104196816208394</v>
      </c>
      <c r="Y26" s="16">
        <f>VLOOKUP(C26,台股行情!A:D,4,FALSE)</f>
        <v>3705</v>
      </c>
      <c r="Z26" s="38">
        <f>VLOOKUP(C26,台股行情!A:E,5,FALSE)</f>
        <v>-235</v>
      </c>
      <c r="AA26" s="90">
        <f t="shared" ref="AA26:AA27" ca="1" si="2">IF(I26="",((TODAY()-A26)*G26)/365.24,((I26-A26)*G26)/365.24)</f>
        <v>40486.803197897272</v>
      </c>
      <c r="AB26" s="103" t="s">
        <v>2266</v>
      </c>
      <c r="AC26" s="311" t="s">
        <v>2854</v>
      </c>
    </row>
    <row r="27" spans="1:29">
      <c r="A27" s="99">
        <v>45695</v>
      </c>
      <c r="B27" s="11"/>
      <c r="C27" s="11">
        <v>3661</v>
      </c>
      <c r="D27" s="189" t="s">
        <v>1067</v>
      </c>
      <c r="E27" s="11">
        <v>10</v>
      </c>
      <c r="F27" s="11">
        <v>3455</v>
      </c>
      <c r="G27" s="11">
        <v>34550</v>
      </c>
      <c r="H27" s="11">
        <v>49</v>
      </c>
      <c r="I27" s="104">
        <v>45909</v>
      </c>
      <c r="J27" s="16">
        <v>3975</v>
      </c>
      <c r="K27" s="11">
        <v>39750</v>
      </c>
      <c r="L27" s="11">
        <v>56</v>
      </c>
      <c r="M27" s="11">
        <v>119</v>
      </c>
      <c r="N27" s="11">
        <v>0</v>
      </c>
      <c r="O27" s="13">
        <v>0</v>
      </c>
      <c r="P27" s="14">
        <v>4976</v>
      </c>
      <c r="Q27" s="14">
        <v>0</v>
      </c>
      <c r="R27" s="14"/>
      <c r="S27" s="14"/>
      <c r="T27" s="14"/>
      <c r="U27" s="69">
        <v>0</v>
      </c>
      <c r="V27" s="69"/>
      <c r="W27" s="70">
        <v>0.11</v>
      </c>
      <c r="X27" s="15">
        <v>0.14402315484804631</v>
      </c>
      <c r="Y27" s="16">
        <f>VLOOKUP(C27,台股行情!A:D,4,FALSE)</f>
        <v>3705</v>
      </c>
      <c r="Z27" s="38">
        <f>VLOOKUP(C27,台股行情!A:E,5,FALSE)</f>
        <v>-235</v>
      </c>
      <c r="AA27" s="90">
        <f t="shared" ca="1" si="2"/>
        <v>20243.401598948636</v>
      </c>
      <c r="AB27" s="103" t="s">
        <v>2266</v>
      </c>
      <c r="AC27" s="311" t="s">
        <v>2854</v>
      </c>
    </row>
    <row r="28" spans="1:29">
      <c r="A28" s="99">
        <v>45917</v>
      </c>
      <c r="B28" s="11"/>
      <c r="C28" s="11">
        <v>2542</v>
      </c>
      <c r="D28" s="189" t="s">
        <v>795</v>
      </c>
      <c r="E28" s="11">
        <v>2000</v>
      </c>
      <c r="F28" s="11">
        <v>46.2</v>
      </c>
      <c r="G28" s="11">
        <v>92400</v>
      </c>
      <c r="H28" s="11">
        <v>131</v>
      </c>
      <c r="I28" s="104">
        <v>45923</v>
      </c>
      <c r="J28" s="16">
        <v>44.8</v>
      </c>
      <c r="K28" s="11">
        <v>89600</v>
      </c>
      <c r="L28" s="11">
        <v>127</v>
      </c>
      <c r="M28" s="11">
        <v>268</v>
      </c>
      <c r="N28" s="11">
        <v>0</v>
      </c>
      <c r="O28" s="13">
        <v>0</v>
      </c>
      <c r="P28" s="14">
        <v>-3326</v>
      </c>
      <c r="Q28" s="14">
        <v>0</v>
      </c>
      <c r="R28" s="14"/>
      <c r="S28" s="14"/>
      <c r="T28" s="14"/>
      <c r="U28" s="69">
        <v>0</v>
      </c>
      <c r="V28" s="69"/>
      <c r="W28" s="70">
        <v>0.11</v>
      </c>
      <c r="X28" s="15">
        <v>-3.5995670995670997E-2</v>
      </c>
      <c r="Y28" s="16">
        <f>VLOOKUP(C28,台股行情!A:D,4,FALSE)</f>
        <v>39.35</v>
      </c>
      <c r="Z28" s="38">
        <f>VLOOKUP(C28,台股行情!A:E,5,FALSE)</f>
        <v>-0.35</v>
      </c>
      <c r="AA28" s="90">
        <f ca="1">IF(I28="",((TODAY()-A28)*G28)/365.24,((I28-A28)*G28)/365.24)</f>
        <v>1517.9060343883473</v>
      </c>
      <c r="AB28" s="103" t="s">
        <v>219</v>
      </c>
    </row>
    <row r="29" spans="1:29">
      <c r="A29" s="99">
        <v>45889</v>
      </c>
      <c r="B29" s="11"/>
      <c r="C29" s="11">
        <v>3661</v>
      </c>
      <c r="D29" s="189" t="s">
        <v>1067</v>
      </c>
      <c r="E29" s="11">
        <v>10</v>
      </c>
      <c r="F29" s="11">
        <v>3800</v>
      </c>
      <c r="G29" s="11">
        <v>38000</v>
      </c>
      <c r="H29" s="11">
        <v>54</v>
      </c>
      <c r="I29" s="104">
        <v>45939</v>
      </c>
      <c r="J29" s="16">
        <v>3485</v>
      </c>
      <c r="K29" s="11">
        <v>34850</v>
      </c>
      <c r="L29" s="11">
        <v>49</v>
      </c>
      <c r="M29" s="11">
        <v>104</v>
      </c>
      <c r="N29" s="11">
        <v>0</v>
      </c>
      <c r="O29" s="13">
        <v>0</v>
      </c>
      <c r="P29" s="14">
        <v>-3357</v>
      </c>
      <c r="Q29" s="14">
        <v>0</v>
      </c>
      <c r="R29" s="14"/>
      <c r="S29" s="14"/>
      <c r="T29" s="14"/>
      <c r="U29" s="69">
        <v>0</v>
      </c>
      <c r="V29" s="69"/>
      <c r="W29" s="70">
        <v>0.11</v>
      </c>
      <c r="X29" s="15">
        <v>-8.8342105263157888E-2</v>
      </c>
      <c r="Y29" s="16">
        <f>VLOOKUP(C29,台股行情!A:D,4,FALSE)</f>
        <v>3705</v>
      </c>
      <c r="Z29" s="38">
        <f>VLOOKUP(C29,台股行情!A:E,5,FALSE)</f>
        <v>-235</v>
      </c>
      <c r="AA29" s="90">
        <f ca="1">IF(I29="",((TODAY()-A29)*G29)/365.24,((I29-A29)*G29)/365.24)</f>
        <v>5202.0589201620851</v>
      </c>
      <c r="AB29" s="103" t="s">
        <v>2266</v>
      </c>
      <c r="AC29" s="310" t="s">
        <v>2913</v>
      </c>
    </row>
    <row r="30" spans="1:29">
      <c r="A30" s="99">
        <v>45924</v>
      </c>
      <c r="B30" s="11"/>
      <c r="C30" s="11">
        <v>3661</v>
      </c>
      <c r="D30" s="189" t="s">
        <v>1067</v>
      </c>
      <c r="E30" s="11">
        <v>20</v>
      </c>
      <c r="F30" s="11">
        <v>3415</v>
      </c>
      <c r="G30" s="11">
        <v>68300</v>
      </c>
      <c r="H30" s="11">
        <v>97</v>
      </c>
      <c r="I30" s="104">
        <v>45968</v>
      </c>
      <c r="J30" s="16">
        <v>3610</v>
      </c>
      <c r="K30" s="11">
        <v>72200</v>
      </c>
      <c r="L30" s="11">
        <v>102</v>
      </c>
      <c r="M30" s="11">
        <v>216</v>
      </c>
      <c r="N30" s="11">
        <v>0</v>
      </c>
      <c r="O30" s="13">
        <v>0</v>
      </c>
      <c r="P30" s="14">
        <v>3485</v>
      </c>
      <c r="Q30" s="14">
        <v>0</v>
      </c>
      <c r="R30" s="14"/>
      <c r="S30" s="14"/>
      <c r="T30" s="14"/>
      <c r="U30" s="69">
        <v>0</v>
      </c>
      <c r="V30" s="69"/>
      <c r="W30" s="70">
        <v>0.11</v>
      </c>
      <c r="X30" s="15">
        <v>5.102489019033675E-2</v>
      </c>
      <c r="Y30" s="16">
        <f>VLOOKUP(C30,台股行情!A:D,4,FALSE)</f>
        <v>3705</v>
      </c>
      <c r="Z30" s="38">
        <f>VLOOKUP(C30,台股行情!A:E,5,FALSE)</f>
        <v>-235</v>
      </c>
      <c r="AA30" s="90">
        <f ca="1">IF(I30="",((TODAY()-A30)*G30)/365.24,((I30-A30)*G30)/365.24)</f>
        <v>8228.0144562479472</v>
      </c>
      <c r="AB30" s="103" t="s">
        <v>2266</v>
      </c>
      <c r="AC30" s="311" t="s">
        <v>2854</v>
      </c>
    </row>
    <row r="31" spans="1:29">
      <c r="A31" s="99">
        <v>45695</v>
      </c>
      <c r="B31" s="11"/>
      <c r="C31" s="11">
        <v>3661</v>
      </c>
      <c r="D31" s="189" t="s">
        <v>1067</v>
      </c>
      <c r="E31" s="11">
        <v>10</v>
      </c>
      <c r="F31" s="11">
        <v>3455</v>
      </c>
      <c r="G31" s="11">
        <v>34550</v>
      </c>
      <c r="H31" s="11">
        <v>49</v>
      </c>
      <c r="I31" s="104">
        <v>45972</v>
      </c>
      <c r="J31" s="16">
        <v>3680</v>
      </c>
      <c r="K31" s="11">
        <v>36800</v>
      </c>
      <c r="L31" s="11">
        <v>52</v>
      </c>
      <c r="M31" s="11">
        <v>110</v>
      </c>
      <c r="N31" s="11">
        <v>0</v>
      </c>
      <c r="O31" s="13">
        <v>0</v>
      </c>
      <c r="P31" s="14">
        <v>2039</v>
      </c>
      <c r="Q31" s="14">
        <v>0</v>
      </c>
      <c r="R31" s="14"/>
      <c r="S31" s="14"/>
      <c r="T31" s="14"/>
      <c r="U31" s="69">
        <v>0</v>
      </c>
      <c r="V31" s="69"/>
      <c r="W31" s="70">
        <v>0.11</v>
      </c>
      <c r="X31" s="15">
        <v>5.9015918958031835E-2</v>
      </c>
      <c r="Y31" s="16">
        <f>VLOOKUP(C31,台股行情!A:D,4,FALSE)</f>
        <v>3705</v>
      </c>
      <c r="Z31" s="38">
        <f>VLOOKUP(C31,台股行情!A:E,5,FALSE)</f>
        <v>-235</v>
      </c>
      <c r="AA31" s="90">
        <f t="shared" ref="AA31" ca="1" si="3">IF(I31="",((TODAY()-A31)*G31)/365.24,((I31-A31)*G31)/365.24)</f>
        <v>26202.907677143794</v>
      </c>
      <c r="AB31" s="103" t="s">
        <v>2266</v>
      </c>
      <c r="AC31" s="311" t="s">
        <v>2854</v>
      </c>
    </row>
    <row r="32" spans="1:29">
      <c r="A32" s="99">
        <v>45944</v>
      </c>
      <c r="B32" s="11"/>
      <c r="C32" s="11">
        <v>3661</v>
      </c>
      <c r="D32" s="189" t="s">
        <v>1067</v>
      </c>
      <c r="E32" s="11">
        <v>10</v>
      </c>
      <c r="F32" s="11">
        <v>3170</v>
      </c>
      <c r="G32" s="11">
        <v>31700</v>
      </c>
      <c r="H32" s="11">
        <v>45</v>
      </c>
      <c r="I32" s="104">
        <v>45978</v>
      </c>
      <c r="J32" s="16">
        <v>3615</v>
      </c>
      <c r="K32" s="11">
        <v>36150</v>
      </c>
      <c r="L32" s="11">
        <v>51</v>
      </c>
      <c r="M32" s="11">
        <v>108</v>
      </c>
      <c r="N32" s="11">
        <v>0</v>
      </c>
      <c r="O32" s="13">
        <v>0</v>
      </c>
      <c r="P32" s="14">
        <v>4246</v>
      </c>
      <c r="Q32" s="14">
        <v>0</v>
      </c>
      <c r="R32" s="14"/>
      <c r="S32" s="14"/>
      <c r="T32" s="14"/>
      <c r="U32" s="69">
        <v>0</v>
      </c>
      <c r="V32" s="69"/>
      <c r="W32" s="70">
        <v>0.11</v>
      </c>
      <c r="X32" s="15">
        <v>0.13394321766561515</v>
      </c>
      <c r="Y32" s="16">
        <f>VLOOKUP(C32,台股行情!A:D,4,FALSE)</f>
        <v>3705</v>
      </c>
      <c r="Z32" s="38">
        <f>VLOOKUP(C32,台股行情!A:E,5,FALSE)</f>
        <v>-235</v>
      </c>
      <c r="AA32" s="90">
        <f ca="1">IF(I32="",((TODAY()-A32)*G32)/365.24,((I32-A32)*G32)/365.24)</f>
        <v>2950.9363706056292</v>
      </c>
      <c r="AB32" s="103" t="s">
        <v>2266</v>
      </c>
      <c r="AC32" s="311" t="s">
        <v>2854</v>
      </c>
    </row>
    <row r="33" spans="1:30">
      <c r="A33" s="99">
        <v>45695</v>
      </c>
      <c r="B33" s="11"/>
      <c r="C33" s="11">
        <v>3661</v>
      </c>
      <c r="D33" s="189" t="s">
        <v>1067</v>
      </c>
      <c r="E33" s="11">
        <v>20</v>
      </c>
      <c r="F33" s="11">
        <v>3455</v>
      </c>
      <c r="G33" s="11">
        <v>69100</v>
      </c>
      <c r="H33" s="11">
        <v>100</v>
      </c>
      <c r="I33" s="104">
        <v>46001</v>
      </c>
      <c r="J33" s="16">
        <v>3360</v>
      </c>
      <c r="K33" s="11">
        <v>67200</v>
      </c>
      <c r="L33" s="11">
        <v>96</v>
      </c>
      <c r="M33" s="11">
        <v>202</v>
      </c>
      <c r="N33" s="11">
        <v>0</v>
      </c>
      <c r="O33" s="13">
        <v>0</v>
      </c>
      <c r="P33" s="14">
        <v>-25.829999999999984</v>
      </c>
      <c r="Q33" s="14">
        <v>0</v>
      </c>
      <c r="R33" s="14">
        <v>2553</v>
      </c>
      <c r="S33" s="14"/>
      <c r="T33" s="14"/>
      <c r="U33" s="69">
        <v>0</v>
      </c>
      <c r="V33" s="69"/>
      <c r="W33" s="70">
        <v>0.11</v>
      </c>
      <c r="X33" s="15">
        <v>-3.7380607814761194E-4</v>
      </c>
      <c r="Y33" s="16">
        <f>VLOOKUP(C33,台股行情!A:D,4,FALSE)</f>
        <v>3705</v>
      </c>
      <c r="Z33" s="38">
        <f>VLOOKUP(C33,台股行情!A:E,5,FALSE)</f>
        <v>-235</v>
      </c>
      <c r="AA33" s="90">
        <f t="shared" ref="AA33" ca="1" si="4">IF(I33="",((TODAY()-A33)*G33)/365.24,((I33-A33)*G33)/365.24)</f>
        <v>57892.344759610118</v>
      </c>
      <c r="AB33" s="103" t="s">
        <v>2266</v>
      </c>
      <c r="AC33" s="310" t="s">
        <v>2913</v>
      </c>
    </row>
    <row r="34" spans="1:30">
      <c r="A34" s="99">
        <v>45666</v>
      </c>
      <c r="B34" s="11"/>
      <c r="C34" s="11">
        <v>926</v>
      </c>
      <c r="D34" s="189" t="s">
        <v>2016</v>
      </c>
      <c r="E34" s="11">
        <v>4000</v>
      </c>
      <c r="F34" s="11">
        <v>22.11</v>
      </c>
      <c r="G34" s="11">
        <v>88440</v>
      </c>
      <c r="H34" s="11">
        <v>126</v>
      </c>
      <c r="I34" s="104">
        <v>46003</v>
      </c>
      <c r="J34" s="16">
        <v>24.66</v>
      </c>
      <c r="K34" s="11">
        <v>98640</v>
      </c>
      <c r="L34" s="11">
        <v>140</v>
      </c>
      <c r="M34" s="11">
        <v>98</v>
      </c>
      <c r="N34" s="11">
        <v>0</v>
      </c>
      <c r="O34" s="13">
        <v>0</v>
      </c>
      <c r="P34" s="14">
        <v>9836</v>
      </c>
      <c r="Q34" s="14">
        <v>0</v>
      </c>
      <c r="R34" s="14"/>
      <c r="S34" s="14"/>
      <c r="T34" s="14"/>
      <c r="U34" s="69">
        <v>0</v>
      </c>
      <c r="V34" s="69"/>
      <c r="W34" s="70">
        <v>0.11</v>
      </c>
      <c r="X34" s="15">
        <v>0.11121664405246495</v>
      </c>
      <c r="Y34" s="16">
        <f>VLOOKUP(C34,台股行情!A:D,4,FALSE)</f>
        <v>27.25</v>
      </c>
      <c r="Z34" s="38">
        <f>VLOOKUP(C34,台股行情!A:E,5,FALSE)</f>
        <v>-0.22</v>
      </c>
      <c r="AA34" s="90">
        <f ca="1">IF(I34="",((TODAY()-A34)*G34)/365.24,((I34-A34)*G34)/365.24)</f>
        <v>81601.905596320226</v>
      </c>
      <c r="AB34" s="103" t="s">
        <v>2266</v>
      </c>
    </row>
    <row r="35" spans="1:30">
      <c r="A35" s="99">
        <v>45915</v>
      </c>
      <c r="B35" s="11"/>
      <c r="C35" s="11">
        <v>3661</v>
      </c>
      <c r="D35" s="189" t="s">
        <v>1067</v>
      </c>
      <c r="E35" s="11">
        <v>10</v>
      </c>
      <c r="F35" s="11">
        <v>3740</v>
      </c>
      <c r="G35" s="11">
        <v>37400</v>
      </c>
      <c r="H35" s="11">
        <v>53</v>
      </c>
      <c r="I35" s="308">
        <v>46024</v>
      </c>
      <c r="J35" s="16">
        <v>3655</v>
      </c>
      <c r="K35" s="11">
        <v>36550</v>
      </c>
      <c r="L35" s="11">
        <v>52</v>
      </c>
      <c r="M35" s="11">
        <v>109</v>
      </c>
      <c r="N35" s="11">
        <v>0</v>
      </c>
      <c r="O35" s="13">
        <v>0</v>
      </c>
      <c r="P35" s="14">
        <v>-1064</v>
      </c>
      <c r="Q35" s="14">
        <v>0</v>
      </c>
      <c r="R35" s="14"/>
      <c r="S35" s="14"/>
      <c r="T35" s="14"/>
      <c r="U35" s="69">
        <v>0</v>
      </c>
      <c r="V35" s="69"/>
      <c r="W35" s="70">
        <v>0.11</v>
      </c>
      <c r="X35" s="15">
        <v>-2.8449197860962568E-2</v>
      </c>
      <c r="Y35" s="16">
        <f>VLOOKUP(C35,台股行情!A:D,4,FALSE)</f>
        <v>3705</v>
      </c>
      <c r="Z35" s="38">
        <f>VLOOKUP(C35,台股行情!A:E,5,FALSE)</f>
        <v>-235</v>
      </c>
      <c r="AA35" s="90">
        <f ca="1">IF(I35="",((TODAY()-A35)*G35)/365.24,((I35-A35)*G35)/365.24)</f>
        <v>11161.428102069871</v>
      </c>
      <c r="AB35" s="103" t="s">
        <v>2266</v>
      </c>
      <c r="AC35" s="310" t="s">
        <v>2972</v>
      </c>
    </row>
    <row r="36" spans="1:30">
      <c r="A36" s="99">
        <v>45925</v>
      </c>
      <c r="B36" s="11"/>
      <c r="C36" s="11">
        <v>770</v>
      </c>
      <c r="D36" s="189" t="str">
        <f>VLOOKUP(C36,台股行情!A:B,2,FALSE)</f>
        <v>國泰北美科技</v>
      </c>
      <c r="E36" s="11">
        <v>185</v>
      </c>
      <c r="F36" s="11">
        <v>53.8</v>
      </c>
      <c r="G36" s="11">
        <f t="shared" ref="G36" si="5">E36*F36</f>
        <v>9953</v>
      </c>
      <c r="H36" s="11">
        <v>1</v>
      </c>
      <c r="I36" s="308">
        <v>46090</v>
      </c>
      <c r="J36" s="16">
        <v>50.2</v>
      </c>
      <c r="K36" s="11">
        <f t="shared" ref="K36" si="6">E36*J36</f>
        <v>9287</v>
      </c>
      <c r="L36" s="11">
        <f t="shared" ref="L36" si="7">ROUND(J36*E36*0.1425%,0)</f>
        <v>13</v>
      </c>
      <c r="M36" s="11">
        <f t="shared" ref="M36" si="8">ROUND(J36*E36*0.3%,0)</f>
        <v>28</v>
      </c>
      <c r="N36" s="11">
        <v>0</v>
      </c>
      <c r="O36" s="13">
        <f t="shared" ref="O36" si="9">IF(I36="",E36*Y36,0)</f>
        <v>0</v>
      </c>
      <c r="P36" s="14">
        <f t="shared" ref="P36" si="10">IF(I36="",R36-H36,(K36-H36-SUM(L36:N36)+R36-S36-T36)-G36)+(ROUND(R36*V36,0)-ROUND(R36*(1+V36),0)*W36)</f>
        <v>-16.47</v>
      </c>
      <c r="Q36" s="14">
        <f t="shared" ref="Q36" si="11">IF(I36="",(O36-G36-(O36*0.1425%*0.65)-(O36*0.3%)-S36-T36),0)</f>
        <v>0</v>
      </c>
      <c r="R36" s="14">
        <v>777</v>
      </c>
      <c r="S36" s="14"/>
      <c r="T36" s="14"/>
      <c r="U36" s="69">
        <f t="shared" ref="U36" si="12">(V36*50%)/(1+50%*V36)</f>
        <v>0</v>
      </c>
      <c r="V36" s="69"/>
      <c r="W36" s="70">
        <v>0.11</v>
      </c>
      <c r="X36" s="15">
        <f t="shared" ref="X36" si="13">(P36+Q36)/G36</f>
        <v>-1.6547774540339596E-3</v>
      </c>
      <c r="Y36" s="16">
        <f>VLOOKUP(C36,台股行情!A:D,4,FALSE)</f>
        <v>64.349999999999994</v>
      </c>
      <c r="Z36" s="38">
        <f>VLOOKUP(C36,台股行情!A:E,5,FALSE)</f>
        <v>-2.2000000000000002</v>
      </c>
      <c r="AA36" s="90">
        <f t="shared" ref="AA36" ca="1" si="14">IF(I36="",((TODAY()-A36)*G36)/365.24,((I36-A36)*G36)/365.24)</f>
        <v>4496.3448691271487</v>
      </c>
      <c r="AB36" s="103" t="s">
        <v>2266</v>
      </c>
      <c r="AC36" s="310" t="s">
        <v>3074</v>
      </c>
    </row>
    <row r="37" spans="1:30" outlineLevel="1">
      <c r="A37" s="99">
        <v>45937</v>
      </c>
      <c r="B37" s="11"/>
      <c r="C37" s="11">
        <v>770</v>
      </c>
      <c r="D37" s="189" t="str">
        <f>VLOOKUP(C37,台股行情!A:B,2,FALSE)</f>
        <v>國泰北美科技</v>
      </c>
      <c r="E37" s="11">
        <v>181</v>
      </c>
      <c r="F37" s="11">
        <v>54.96</v>
      </c>
      <c r="G37" s="11">
        <v>9947</v>
      </c>
      <c r="H37" s="11">
        <v>1</v>
      </c>
      <c r="I37" s="308">
        <v>46090</v>
      </c>
      <c r="J37" s="16">
        <v>50.2</v>
      </c>
      <c r="K37" s="11">
        <f t="shared" ref="K37:K44" si="15">E37*J37</f>
        <v>9086.2000000000007</v>
      </c>
      <c r="L37" s="11">
        <f t="shared" ref="L37:L44" si="16">ROUND(J37*E37*0.1425%,0)</f>
        <v>13</v>
      </c>
      <c r="M37" s="11">
        <f t="shared" ref="M37:M44" si="17">ROUND(J37*E37*0.3%,0)</f>
        <v>27</v>
      </c>
      <c r="N37" s="11">
        <v>0</v>
      </c>
      <c r="O37" s="13">
        <f t="shared" ref="O37" si="18">IF(I37="",E37*Y37,0)</f>
        <v>0</v>
      </c>
      <c r="P37" s="14">
        <f t="shared" ref="P37:P44" si="19">IF(I37="",R37-H37,(K37-H37-SUM(L37:N37)+R37-S37-T37)-G37)+(ROUND(R37*V37,0)-ROUND(R37*(1+V37),0)*W37)</f>
        <v>-225.19999999999854</v>
      </c>
      <c r="Q37" s="14">
        <f t="shared" ref="Q37:Q44" si="20">IF(I37="",(O37-G37-(O37*0.1425%*0.65)-(O37*0.3%)-S37-T37),0)</f>
        <v>0</v>
      </c>
      <c r="R37" s="14">
        <v>760.2</v>
      </c>
      <c r="S37" s="14"/>
      <c r="T37" s="14"/>
      <c r="U37" s="69">
        <f t="shared" ref="U37:U44" si="21">(V37*50%)/(1+50%*V37)</f>
        <v>0</v>
      </c>
      <c r="V37" s="69"/>
      <c r="W37" s="70">
        <v>0.11</v>
      </c>
      <c r="X37" s="15">
        <f t="shared" ref="X37:X44" si="22">(P37+Q37)/G37</f>
        <v>-2.2639991957373935E-2</v>
      </c>
      <c r="Y37" s="16">
        <f>VLOOKUP(C37,台股行情!A:D,4,FALSE)</f>
        <v>64.349999999999994</v>
      </c>
      <c r="Z37" s="38">
        <f>VLOOKUP(C37,台股行情!A:E,5,FALSE)</f>
        <v>-2.2000000000000002</v>
      </c>
      <c r="AA37" s="90">
        <f t="shared" ref="AA37:AA44" ca="1" si="23">IF(I37="",((TODAY()-A37)*G37)/365.24,((I37-A37)*G37)/365.24)</f>
        <v>4166.8245537181028</v>
      </c>
      <c r="AB37" s="103" t="s">
        <v>2266</v>
      </c>
      <c r="AC37" s="310" t="s">
        <v>3074</v>
      </c>
    </row>
    <row r="38" spans="1:30" outlineLevel="1">
      <c r="A38" s="99">
        <v>45945</v>
      </c>
      <c r="B38" s="11"/>
      <c r="C38" s="11">
        <v>770</v>
      </c>
      <c r="D38" s="189" t="str">
        <f>VLOOKUP(C38,台股行情!A:B,2,FALSE)</f>
        <v>國泰北美科技</v>
      </c>
      <c r="E38" s="11">
        <v>182</v>
      </c>
      <c r="F38" s="11">
        <v>54.88</v>
      </c>
      <c r="G38" s="11">
        <v>9988</v>
      </c>
      <c r="H38" s="11">
        <v>1</v>
      </c>
      <c r="I38" s="308">
        <v>46090</v>
      </c>
      <c r="J38" s="16">
        <v>50.2</v>
      </c>
      <c r="K38" s="11">
        <f t="shared" si="15"/>
        <v>9136.4</v>
      </c>
      <c r="L38" s="11">
        <f t="shared" si="16"/>
        <v>13</v>
      </c>
      <c r="M38" s="11">
        <f t="shared" si="17"/>
        <v>27</v>
      </c>
      <c r="N38" s="11">
        <v>0</v>
      </c>
      <c r="O38" s="13">
        <f t="shared" ref="O38:O44" si="24">IF(I38="",E38*Y38,0)</f>
        <v>0</v>
      </c>
      <c r="P38" s="14">
        <f t="shared" si="19"/>
        <v>-212.24000000000075</v>
      </c>
      <c r="Q38" s="14">
        <f t="shared" si="20"/>
        <v>0</v>
      </c>
      <c r="R38" s="14">
        <v>764.4</v>
      </c>
      <c r="S38" s="14"/>
      <c r="T38" s="14"/>
      <c r="U38" s="69">
        <f t="shared" si="21"/>
        <v>0</v>
      </c>
      <c r="V38" s="69"/>
      <c r="W38" s="70">
        <v>0.11</v>
      </c>
      <c r="X38" s="15">
        <f t="shared" si="22"/>
        <v>-2.1249499399279208E-2</v>
      </c>
      <c r="Y38" s="16">
        <f>VLOOKUP(C38,台股行情!A:D,4,FALSE)</f>
        <v>64.349999999999994</v>
      </c>
      <c r="Z38" s="38">
        <f>VLOOKUP(C38,台股行情!A:E,5,FALSE)</f>
        <v>-2.2000000000000002</v>
      </c>
      <c r="AA38" s="90">
        <f t="shared" ca="1" si="23"/>
        <v>3965.2283430073376</v>
      </c>
      <c r="AB38" s="103" t="s">
        <v>2266</v>
      </c>
      <c r="AC38" s="310" t="s">
        <v>3074</v>
      </c>
    </row>
    <row r="39" spans="1:30" outlineLevel="1">
      <c r="A39" s="99">
        <v>45957</v>
      </c>
      <c r="B39" s="11"/>
      <c r="C39" s="11">
        <v>770</v>
      </c>
      <c r="D39" s="189" t="str">
        <f>VLOOKUP(C39,台股行情!A:B,2,FALSE)</f>
        <v>國泰北美科技</v>
      </c>
      <c r="E39" s="11">
        <v>174</v>
      </c>
      <c r="F39" s="11">
        <v>57.41</v>
      </c>
      <c r="G39" s="11">
        <v>9989</v>
      </c>
      <c r="H39" s="11">
        <v>1</v>
      </c>
      <c r="I39" s="308">
        <v>46090</v>
      </c>
      <c r="J39" s="16">
        <v>50.2</v>
      </c>
      <c r="K39" s="11">
        <f t="shared" si="15"/>
        <v>8734.8000000000011</v>
      </c>
      <c r="L39" s="11">
        <f t="shared" si="16"/>
        <v>12</v>
      </c>
      <c r="M39" s="11">
        <f t="shared" si="17"/>
        <v>26</v>
      </c>
      <c r="N39" s="11">
        <v>0</v>
      </c>
      <c r="O39" s="13">
        <f t="shared" si="24"/>
        <v>0</v>
      </c>
      <c r="P39" s="14">
        <f t="shared" si="19"/>
        <v>-642.8099999999996</v>
      </c>
      <c r="Q39" s="14">
        <f t="shared" si="20"/>
        <v>0</v>
      </c>
      <c r="R39" s="14">
        <v>730.80000000000007</v>
      </c>
      <c r="S39" s="14"/>
      <c r="T39" s="14"/>
      <c r="U39" s="69">
        <f t="shared" si="21"/>
        <v>0</v>
      </c>
      <c r="V39" s="69"/>
      <c r="W39" s="70">
        <v>0.11</v>
      </c>
      <c r="X39" s="15">
        <f t="shared" si="22"/>
        <v>-6.4351786965662183E-2</v>
      </c>
      <c r="Y39" s="16">
        <f>VLOOKUP(C39,台股行情!A:D,4,FALSE)</f>
        <v>64.349999999999994</v>
      </c>
      <c r="Z39" s="38">
        <f>VLOOKUP(C39,台股行情!A:E,5,FALSE)</f>
        <v>-2.2000000000000002</v>
      </c>
      <c r="AA39" s="90">
        <f t="shared" ca="1" si="23"/>
        <v>3637.4356587449347</v>
      </c>
      <c r="AB39" s="103" t="s">
        <v>2266</v>
      </c>
      <c r="AC39" s="310" t="s">
        <v>3074</v>
      </c>
    </row>
    <row r="40" spans="1:30" outlineLevel="1">
      <c r="A40" s="99">
        <v>45966</v>
      </c>
      <c r="B40" s="11"/>
      <c r="C40" s="11">
        <v>770</v>
      </c>
      <c r="D40" s="189" t="str">
        <f>VLOOKUP(C40,台股行情!A:B,2,FALSE)</f>
        <v>國泰北美科技</v>
      </c>
      <c r="E40" s="11">
        <v>174</v>
      </c>
      <c r="F40" s="11">
        <v>56.6</v>
      </c>
      <c r="G40" s="11">
        <v>9961</v>
      </c>
      <c r="H40" s="11">
        <v>1</v>
      </c>
      <c r="I40" s="308">
        <v>46090</v>
      </c>
      <c r="J40" s="16">
        <v>50.2</v>
      </c>
      <c r="K40" s="11">
        <f t="shared" si="15"/>
        <v>8734.8000000000011</v>
      </c>
      <c r="L40" s="11">
        <f t="shared" si="16"/>
        <v>12</v>
      </c>
      <c r="M40" s="11">
        <f t="shared" si="17"/>
        <v>26</v>
      </c>
      <c r="N40" s="11">
        <v>0</v>
      </c>
      <c r="O40" s="13">
        <f t="shared" si="24"/>
        <v>0</v>
      </c>
      <c r="P40" s="14">
        <f t="shared" si="19"/>
        <v>-614.8099999999996</v>
      </c>
      <c r="Q40" s="14">
        <f t="shared" si="20"/>
        <v>0</v>
      </c>
      <c r="R40" s="14">
        <v>730.80000000000007</v>
      </c>
      <c r="S40" s="14"/>
      <c r="T40" s="14"/>
      <c r="U40" s="69">
        <f t="shared" si="21"/>
        <v>0</v>
      </c>
      <c r="V40" s="69"/>
      <c r="W40" s="70">
        <v>0.11</v>
      </c>
      <c r="X40" s="15">
        <f t="shared" si="22"/>
        <v>-6.1721714687280355E-2</v>
      </c>
      <c r="Y40" s="16">
        <f>VLOOKUP(C40,台股行情!A:D,4,FALSE)</f>
        <v>64.349999999999994</v>
      </c>
      <c r="Z40" s="38">
        <f>VLOOKUP(C40,台股行情!A:E,5,FALSE)</f>
        <v>-2.2000000000000002</v>
      </c>
      <c r="AA40" s="90">
        <f t="shared" ca="1" si="23"/>
        <v>3381.7873179279377</v>
      </c>
      <c r="AB40" s="103" t="s">
        <v>2266</v>
      </c>
      <c r="AC40" s="310" t="s">
        <v>3074</v>
      </c>
    </row>
    <row r="41" spans="1:30" outlineLevel="1">
      <c r="A41" s="99">
        <v>45978</v>
      </c>
      <c r="B41" s="11"/>
      <c r="C41" s="11">
        <v>770</v>
      </c>
      <c r="D41" s="189" t="str">
        <f>VLOOKUP(C41,台股行情!A:B,2,FALSE)</f>
        <v>國泰北美科技</v>
      </c>
      <c r="E41" s="11">
        <v>176</v>
      </c>
      <c r="F41" s="11">
        <v>56.51</v>
      </c>
      <c r="G41" s="11">
        <v>9945</v>
      </c>
      <c r="H41" s="11">
        <v>1</v>
      </c>
      <c r="I41" s="308">
        <v>46090</v>
      </c>
      <c r="J41" s="16">
        <v>50.2</v>
      </c>
      <c r="K41" s="11">
        <f t="shared" ref="K41" si="25">E41*J41</f>
        <v>8835.2000000000007</v>
      </c>
      <c r="L41" s="11">
        <f t="shared" ref="L41" si="26">ROUND(J41*E41*0.1425%,0)</f>
        <v>13</v>
      </c>
      <c r="M41" s="11">
        <f t="shared" ref="M41" si="27">ROUND(J41*E41*0.3%,0)</f>
        <v>27</v>
      </c>
      <c r="N41" s="11">
        <v>0</v>
      </c>
      <c r="O41" s="13">
        <f t="shared" ref="O41" si="28">IF(I41="",E41*Y41,0)</f>
        <v>0</v>
      </c>
      <c r="P41" s="14">
        <f t="shared" ref="P41" si="29">IF(I41="",R41-H41,(K41-H41-SUM(L41:N41)+R41-S41-T41)-G41)+(ROUND(R41*V41,0)-ROUND(R41*(1+V41),0)*W41)</f>
        <v>-492.88999999999857</v>
      </c>
      <c r="Q41" s="14">
        <f t="shared" ref="Q41" si="30">IF(I41="",(O41-G41-(O41*0.1425%*0.65)-(O41*0.3%)-S41-T41),0)</f>
        <v>0</v>
      </c>
      <c r="R41" s="14">
        <v>739.2</v>
      </c>
      <c r="S41" s="14"/>
      <c r="T41" s="14"/>
      <c r="U41" s="69">
        <f t="shared" ref="U41" si="31">(V41*50%)/(1+50%*V41)</f>
        <v>0</v>
      </c>
      <c r="V41" s="69"/>
      <c r="W41" s="70">
        <v>0.11</v>
      </c>
      <c r="X41" s="15">
        <f t="shared" ref="X41" si="32">(P41+Q41)/G41</f>
        <v>-4.956158873805918E-2</v>
      </c>
      <c r="Y41" s="16">
        <f>VLOOKUP(C41,台股行情!A:D,4,FALSE)</f>
        <v>64.349999999999994</v>
      </c>
      <c r="Z41" s="38">
        <f>VLOOKUP(C41,台股行情!A:E,5,FALSE)</f>
        <v>-2.2000000000000002</v>
      </c>
      <c r="AA41" s="90">
        <f t="shared" ref="AA41" ca="1" si="33">IF(I41="",((TODAY()-A41)*G41)/365.24,((I41-A41)*G41)/365.24)</f>
        <v>3049.6112145438615</v>
      </c>
      <c r="AB41" s="103" t="s">
        <v>2266</v>
      </c>
      <c r="AC41" s="310" t="s">
        <v>3074</v>
      </c>
    </row>
    <row r="42" spans="1:30" outlineLevel="1">
      <c r="A42" s="99">
        <v>45986</v>
      </c>
      <c r="B42" s="11"/>
      <c r="C42" s="11">
        <v>770</v>
      </c>
      <c r="D42" s="189" t="str">
        <f>VLOOKUP(C42,台股行情!A:B,2,FALSE)</f>
        <v>國泰北美科技</v>
      </c>
      <c r="E42" s="11">
        <v>176</v>
      </c>
      <c r="F42" s="11">
        <v>56.56</v>
      </c>
      <c r="G42" s="11">
        <v>9954</v>
      </c>
      <c r="H42" s="11">
        <v>1</v>
      </c>
      <c r="I42" s="308">
        <v>46090</v>
      </c>
      <c r="J42" s="16">
        <v>50.2</v>
      </c>
      <c r="K42" s="11">
        <f t="shared" si="15"/>
        <v>8835.2000000000007</v>
      </c>
      <c r="L42" s="11">
        <f t="shared" si="16"/>
        <v>13</v>
      </c>
      <c r="M42" s="11">
        <f t="shared" si="17"/>
        <v>27</v>
      </c>
      <c r="N42" s="11">
        <v>0</v>
      </c>
      <c r="O42" s="13">
        <f t="shared" si="24"/>
        <v>0</v>
      </c>
      <c r="P42" s="14">
        <f t="shared" si="19"/>
        <v>-501.88999999999857</v>
      </c>
      <c r="Q42" s="14">
        <f t="shared" si="20"/>
        <v>0</v>
      </c>
      <c r="R42" s="14">
        <v>739.2</v>
      </c>
      <c r="S42" s="14"/>
      <c r="T42" s="14"/>
      <c r="U42" s="69">
        <f t="shared" si="21"/>
        <v>0</v>
      </c>
      <c r="V42" s="69"/>
      <c r="W42" s="70">
        <v>0.11</v>
      </c>
      <c r="X42" s="15">
        <f t="shared" si="22"/>
        <v>-5.042093630701211E-2</v>
      </c>
      <c r="Y42" s="16">
        <f>VLOOKUP(C42,台股行情!A:D,4,FALSE)</f>
        <v>64.349999999999994</v>
      </c>
      <c r="Z42" s="38">
        <f>VLOOKUP(C42,台股行情!A:E,5,FALSE)</f>
        <v>-2.2000000000000002</v>
      </c>
      <c r="AA42" s="90">
        <f t="shared" ca="1" si="23"/>
        <v>2834.3445405760594</v>
      </c>
      <c r="AB42" s="103" t="s">
        <v>2266</v>
      </c>
      <c r="AC42" s="310" t="s">
        <v>3074</v>
      </c>
    </row>
    <row r="43" spans="1:30" outlineLevel="1">
      <c r="A43" s="99">
        <v>45996</v>
      </c>
      <c r="B43" s="11"/>
      <c r="C43" s="11">
        <v>770</v>
      </c>
      <c r="D43" s="189" t="str">
        <f>VLOOKUP(C43,台股行情!A:B,2,FALSE)</f>
        <v>國泰北美科技</v>
      </c>
      <c r="E43" s="11">
        <v>170</v>
      </c>
      <c r="F43" s="11">
        <v>58.51</v>
      </c>
      <c r="G43" s="11">
        <v>9946</v>
      </c>
      <c r="H43" s="11">
        <v>1</v>
      </c>
      <c r="I43" s="308">
        <v>46090</v>
      </c>
      <c r="J43" s="16">
        <v>50.2</v>
      </c>
      <c r="K43" s="11">
        <f t="shared" si="15"/>
        <v>8534</v>
      </c>
      <c r="L43" s="11">
        <f t="shared" si="16"/>
        <v>12</v>
      </c>
      <c r="M43" s="11">
        <f t="shared" si="17"/>
        <v>26</v>
      </c>
      <c r="N43" s="11">
        <v>0</v>
      </c>
      <c r="O43" s="13">
        <f t="shared" si="24"/>
        <v>0</v>
      </c>
      <c r="P43" s="14">
        <f t="shared" si="19"/>
        <v>-815.54</v>
      </c>
      <c r="Q43" s="14">
        <f t="shared" si="20"/>
        <v>0</v>
      </c>
      <c r="R43" s="14">
        <v>714</v>
      </c>
      <c r="S43" s="14"/>
      <c r="T43" s="14"/>
      <c r="U43" s="69">
        <f t="shared" si="21"/>
        <v>0</v>
      </c>
      <c r="V43" s="69"/>
      <c r="W43" s="70">
        <v>0.11</v>
      </c>
      <c r="X43" s="15">
        <f t="shared" si="22"/>
        <v>-8.1996782626181375E-2</v>
      </c>
      <c r="Y43" s="16">
        <f>VLOOKUP(C43,台股行情!A:D,4,FALSE)</f>
        <v>64.349999999999994</v>
      </c>
      <c r="Z43" s="38">
        <f>VLOOKUP(C43,台股行情!A:E,5,FALSE)</f>
        <v>-2.2000000000000002</v>
      </c>
      <c r="AA43" s="90">
        <f t="shared" ca="1" si="23"/>
        <v>2559.75249151243</v>
      </c>
      <c r="AB43" s="103" t="s">
        <v>2266</v>
      </c>
      <c r="AC43" s="310" t="s">
        <v>3074</v>
      </c>
    </row>
    <row r="44" spans="1:30" outlineLevel="1">
      <c r="A44" s="99">
        <v>46006</v>
      </c>
      <c r="B44" s="11"/>
      <c r="C44" s="11">
        <v>770</v>
      </c>
      <c r="D44" s="189" t="str">
        <f>VLOOKUP(C44,台股行情!A:B,2,FALSE)</f>
        <v>國泰北美科技</v>
      </c>
      <c r="E44" s="11">
        <v>173</v>
      </c>
      <c r="F44" s="11">
        <v>57.54</v>
      </c>
      <c r="G44" s="11">
        <v>9954</v>
      </c>
      <c r="H44" s="11">
        <v>1</v>
      </c>
      <c r="I44" s="308">
        <v>46090</v>
      </c>
      <c r="J44" s="16">
        <v>50.2</v>
      </c>
      <c r="K44" s="11">
        <f t="shared" si="15"/>
        <v>8684.6</v>
      </c>
      <c r="L44" s="11">
        <f t="shared" si="16"/>
        <v>12</v>
      </c>
      <c r="M44" s="11">
        <f t="shared" si="17"/>
        <v>26</v>
      </c>
      <c r="N44" s="11">
        <v>0</v>
      </c>
      <c r="O44" s="13">
        <f t="shared" si="24"/>
        <v>0</v>
      </c>
      <c r="P44" s="14">
        <f t="shared" si="19"/>
        <v>-661.7699999999993</v>
      </c>
      <c r="Q44" s="14">
        <f t="shared" si="20"/>
        <v>0</v>
      </c>
      <c r="R44" s="14">
        <v>726.6</v>
      </c>
      <c r="S44" s="14"/>
      <c r="T44" s="14"/>
      <c r="U44" s="69">
        <f t="shared" si="21"/>
        <v>0</v>
      </c>
      <c r="V44" s="69"/>
      <c r="W44" s="70">
        <v>0.11</v>
      </c>
      <c r="X44" s="15">
        <f t="shared" si="22"/>
        <v>-6.6482820976491788E-2</v>
      </c>
      <c r="Y44" s="16">
        <f>VLOOKUP(C44,台股行情!A:D,4,FALSE)</f>
        <v>64.349999999999994</v>
      </c>
      <c r="Z44" s="38">
        <f>VLOOKUP(C44,台股行情!A:E,5,FALSE)</f>
        <v>-2.2000000000000002</v>
      </c>
      <c r="AA44" s="90">
        <f t="shared" ca="1" si="23"/>
        <v>2289.2782827729711</v>
      </c>
      <c r="AB44" s="103" t="s">
        <v>2266</v>
      </c>
      <c r="AC44" s="310" t="s">
        <v>3074</v>
      </c>
    </row>
    <row r="45" spans="1:30" outlineLevel="1">
      <c r="A45" s="99">
        <v>46017</v>
      </c>
      <c r="B45" s="11"/>
      <c r="C45" s="11">
        <v>770</v>
      </c>
      <c r="D45" s="189" t="str">
        <f>VLOOKUP(C45,台股行情!A:B,2,FALSE)</f>
        <v>國泰北美科技</v>
      </c>
      <c r="E45" s="11">
        <v>170</v>
      </c>
      <c r="F45" s="11">
        <v>58.61</v>
      </c>
      <c r="G45" s="11">
        <v>9963</v>
      </c>
      <c r="H45" s="11">
        <v>1</v>
      </c>
      <c r="I45" s="308">
        <v>46090</v>
      </c>
      <c r="J45" s="16">
        <v>50.2</v>
      </c>
      <c r="K45" s="11">
        <f t="shared" ref="K45" si="34">E45*J45</f>
        <v>8534</v>
      </c>
      <c r="L45" s="11">
        <f t="shared" ref="L45" si="35">ROUND(J45*E45*0.1425%,0)</f>
        <v>12</v>
      </c>
      <c r="M45" s="11">
        <f t="shared" ref="M45" si="36">ROUND(J45*E45*0.3%,0)</f>
        <v>26</v>
      </c>
      <c r="N45" s="11">
        <v>0</v>
      </c>
      <c r="O45" s="13">
        <f t="shared" ref="O45" si="37">IF(I45="",E45*Y45,0)</f>
        <v>0</v>
      </c>
      <c r="P45" s="14">
        <f t="shared" ref="P45" si="38">IF(I45="",R45-H45,(K45-H45-SUM(L45:N45)+R45-S45-T45)-G45)+(ROUND(R45*V45,0)-ROUND(R45*(1+V45),0)*W45)</f>
        <v>-832.54</v>
      </c>
      <c r="Q45" s="14">
        <f t="shared" ref="Q45" si="39">IF(I45="",(O45-G45-(O45*0.1425%*0.65)-(O45*0.3%)-S45-T45),0)</f>
        <v>0</v>
      </c>
      <c r="R45" s="14">
        <v>714</v>
      </c>
      <c r="S45" s="14"/>
      <c r="T45" s="14"/>
      <c r="U45" s="69">
        <f t="shared" ref="U45" si="40">(V45*50%)/(1+50%*V45)</f>
        <v>0</v>
      </c>
      <c r="V45" s="69"/>
      <c r="W45" s="70">
        <v>0.11</v>
      </c>
      <c r="X45" s="15">
        <f t="shared" ref="X45" si="41">(P45+Q45)/G45</f>
        <v>-8.356318377998595E-2</v>
      </c>
      <c r="Y45" s="16">
        <f>VLOOKUP(C45,台股行情!A:D,4,FALSE)</f>
        <v>64.349999999999994</v>
      </c>
      <c r="Z45" s="38">
        <f>VLOOKUP(C45,台股行情!A:E,5,FALSE)</f>
        <v>-2.2000000000000002</v>
      </c>
      <c r="AA45" s="90">
        <f t="shared" ref="AA45" ca="1" si="42">IF(I45="",((TODAY()-A45)*G45)/365.24,((I45-A45)*G45)/365.24)</f>
        <v>1991.2906581973496</v>
      </c>
      <c r="AB45" s="103" t="s">
        <v>2266</v>
      </c>
      <c r="AC45" s="310" t="s">
        <v>3074</v>
      </c>
    </row>
    <row r="46" spans="1:30" outlineLevel="1">
      <c r="A46" s="99">
        <v>45882</v>
      </c>
      <c r="B46" s="11"/>
      <c r="C46" s="11">
        <v>6525</v>
      </c>
      <c r="D46" s="189" t="str">
        <f>VLOOKUP(C46,台股行情!A:B,2,FALSE)</f>
        <v>捷敏-KY</v>
      </c>
      <c r="E46" s="11">
        <v>1000</v>
      </c>
      <c r="F46" s="11">
        <v>70.8</v>
      </c>
      <c r="G46" s="11">
        <f>E46*F46</f>
        <v>70800</v>
      </c>
      <c r="H46" s="11">
        <v>100</v>
      </c>
      <c r="I46" s="308">
        <v>46139</v>
      </c>
      <c r="J46" s="16">
        <v>88.8</v>
      </c>
      <c r="K46" s="11">
        <f>E46*J46</f>
        <v>88800</v>
      </c>
      <c r="L46" s="11">
        <v>126</v>
      </c>
      <c r="M46" s="11">
        <v>266</v>
      </c>
      <c r="N46" s="11">
        <v>0</v>
      </c>
      <c r="O46" s="13">
        <f>IF(I46="",E46*Y46,0)</f>
        <v>0</v>
      </c>
      <c r="P46" s="14">
        <f>IF(I46="",R46-H46,(K46-H46-SUM(L46:N46)+R46-S46-T46)-G46)+(ROUND(R46*V46,0)-ROUND(R46*(1+V46),0)*W46)</f>
        <v>17508</v>
      </c>
      <c r="Q46" s="14">
        <f>IF(I46="",(O46-G46-(O46*0.1425%*0.65)-(O46*0.3%)-S46-T46),0)</f>
        <v>0</v>
      </c>
      <c r="R46" s="14"/>
      <c r="S46" s="14"/>
      <c r="T46" s="14">
        <f>IF(ROUND(R46*(1+V46),0)&gt;20000,ROUND(ROUND(R46*(1+V46),0)*2%,0),0)</f>
        <v>0</v>
      </c>
      <c r="U46" s="69">
        <f>(V46*50%)/(1+50%*V46)</f>
        <v>0</v>
      </c>
      <c r="V46" s="69"/>
      <c r="W46" s="70">
        <v>0.11</v>
      </c>
      <c r="X46" s="15">
        <f>(P46+Q46)/G46</f>
        <v>0.24728813559322033</v>
      </c>
      <c r="Y46" s="16">
        <f>VLOOKUP(C46,台股行情!A:D,4,FALSE)</f>
        <v>128.5</v>
      </c>
      <c r="Z46" s="38">
        <f>VLOOKUP(C46,台股行情!A:E,5,FALSE)</f>
        <v>-8.5</v>
      </c>
      <c r="AA46" s="90">
        <f ca="1">IF(I46="",((TODAY()-A46)*G46)/365.24,((I46-A46)*G46)/365.24)</f>
        <v>49818.201730369074</v>
      </c>
      <c r="AB46" s="103" t="s">
        <v>2332</v>
      </c>
      <c r="AC46" s="310"/>
    </row>
    <row r="47" spans="1:30" outlineLevel="1">
      <c r="A47" s="99">
        <v>45896</v>
      </c>
      <c r="B47" s="11"/>
      <c r="C47" s="11">
        <v>2233</v>
      </c>
      <c r="D47" s="189" t="str">
        <f>VLOOKUP(C47,台股行情!A:B,2,FALSE)</f>
        <v>宇隆</v>
      </c>
      <c r="E47" s="11">
        <v>1000</v>
      </c>
      <c r="F47" s="11">
        <v>266.5</v>
      </c>
      <c r="G47" s="11">
        <f>E47*F47</f>
        <v>266500</v>
      </c>
      <c r="H47" s="11">
        <v>379</v>
      </c>
      <c r="I47" s="308">
        <v>46198</v>
      </c>
      <c r="J47" s="16">
        <v>237</v>
      </c>
      <c r="K47" s="11">
        <f>E47*J47</f>
        <v>237000</v>
      </c>
      <c r="L47" s="11">
        <v>337</v>
      </c>
      <c r="M47" s="11">
        <f>ROUND(J47*E47*0.3%,0)</f>
        <v>711</v>
      </c>
      <c r="N47" s="11">
        <v>0</v>
      </c>
      <c r="O47" s="13">
        <f>IF(I47="",E47*Y47,0)</f>
        <v>0</v>
      </c>
      <c r="P47" s="14">
        <f>IF(I47="",R47-H47,(K47-H47-SUM(L47:N47)+R47-S47-T47)-G47)+(ROUND(R47*V47,0)-ROUND(R47*(1+V47),0)*W47)</f>
        <v>-30927</v>
      </c>
      <c r="Q47" s="14">
        <f>IF(I47="",(O47-G47-(O47*0.1425%*0.65)-(O47*0.3%)-S47-T47),0)</f>
        <v>0</v>
      </c>
      <c r="R47" s="14"/>
      <c r="S47" s="14"/>
      <c r="T47" s="14">
        <f>IF(ROUND(R47*(1+V47),0)&gt;20000,ROUND(ROUND(R47*(1+V47),0)*2%,0),0)</f>
        <v>0</v>
      </c>
      <c r="U47" s="69">
        <f>(V47*50%)/(1+50%*V47)</f>
        <v>0</v>
      </c>
      <c r="V47" s="69"/>
      <c r="W47" s="70">
        <v>0.11</v>
      </c>
      <c r="X47" s="15">
        <f>(P47+Q47)/G47</f>
        <v>-0.11604878048780488</v>
      </c>
      <c r="Y47" s="16">
        <f>VLOOKUP(C47,台股行情!A:D,4,FALSE)</f>
        <v>154</v>
      </c>
      <c r="Z47" s="38">
        <f>VLOOKUP(C47,台股行情!A:E,5,FALSE)</f>
        <v>-8.5</v>
      </c>
      <c r="AA47" s="90">
        <f ca="1">IF(I47="",((TODAY()-A47)*G47)/365.24,((I47-A47)*G47)/365.24)</f>
        <v>220356.47793231846</v>
      </c>
      <c r="AB47" s="103" t="s">
        <v>2332</v>
      </c>
      <c r="AC47" s="310"/>
      <c r="AD47" s="9" t="s">
        <v>3008</v>
      </c>
    </row>
    <row r="48" spans="1:30">
      <c r="A48" s="99"/>
      <c r="B48" s="11"/>
      <c r="C48" s="11"/>
      <c r="D48" s="189"/>
      <c r="E48" s="11"/>
      <c r="F48" s="11"/>
      <c r="G48" s="11"/>
      <c r="H48" s="11"/>
      <c r="I48" s="104"/>
      <c r="J48" s="16"/>
      <c r="K48" s="11"/>
      <c r="L48" s="17"/>
      <c r="M48" s="11"/>
      <c r="N48" s="11"/>
      <c r="O48" s="13"/>
      <c r="P48" s="14"/>
      <c r="Q48" s="14"/>
      <c r="R48" s="14"/>
      <c r="S48" s="14"/>
      <c r="T48" s="14"/>
      <c r="U48" s="69"/>
      <c r="V48" s="69"/>
      <c r="W48" s="70"/>
      <c r="X48" s="15"/>
      <c r="Y48" s="16"/>
      <c r="Z48" s="38"/>
      <c r="AA48" s="90"/>
      <c r="AB48" s="103"/>
      <c r="AC48" s="310"/>
    </row>
    <row r="49" spans="1:29">
      <c r="A49" s="39"/>
      <c r="B49" s="40"/>
      <c r="C49" s="40"/>
      <c r="D49" s="191"/>
      <c r="E49" s="40"/>
      <c r="F49" s="40"/>
      <c r="G49" s="40"/>
      <c r="H49" s="40"/>
      <c r="I49" s="41"/>
      <c r="J49" s="42"/>
      <c r="K49" s="40"/>
      <c r="L49" s="43"/>
      <c r="M49" s="40"/>
      <c r="N49" s="40"/>
      <c r="O49" s="44"/>
      <c r="P49" s="45"/>
      <c r="Q49" s="45"/>
      <c r="R49" s="45"/>
      <c r="S49" s="45"/>
      <c r="T49" s="45"/>
      <c r="U49" s="73"/>
      <c r="V49" s="73"/>
      <c r="W49" s="76"/>
      <c r="X49" s="46"/>
      <c r="Y49" s="42"/>
      <c r="Z49" s="47"/>
      <c r="AA49" s="90"/>
    </row>
    <row r="50" spans="1:29">
      <c r="A50" s="10"/>
      <c r="B50" s="11"/>
      <c r="C50" s="11"/>
      <c r="D50" s="189"/>
      <c r="E50" s="11"/>
      <c r="F50" s="11"/>
      <c r="G50" s="11"/>
      <c r="H50" s="11"/>
      <c r="I50" s="12"/>
      <c r="J50" s="11"/>
      <c r="K50" s="11"/>
      <c r="L50" s="11"/>
      <c r="M50" s="11"/>
      <c r="N50" s="11"/>
      <c r="O50" s="13"/>
      <c r="P50" s="14"/>
      <c r="Q50" s="14"/>
      <c r="R50" s="14"/>
      <c r="S50" s="14"/>
      <c r="T50" s="14"/>
      <c r="U50" s="14"/>
      <c r="V50" s="69"/>
      <c r="W50" s="70"/>
      <c r="X50" s="15"/>
      <c r="Y50" s="16"/>
      <c r="Z50" s="38"/>
      <c r="AA50" s="90"/>
    </row>
    <row r="51" spans="1:29">
      <c r="A51" s="18">
        <f>MIN(A52:A52)</f>
        <v>0</v>
      </c>
      <c r="B51" s="19"/>
      <c r="C51" s="20"/>
      <c r="D51" s="192"/>
      <c r="E51" s="19"/>
      <c r="F51" s="19"/>
      <c r="G51" s="19"/>
      <c r="H51" s="19"/>
      <c r="I51" s="21"/>
      <c r="J51" s="22"/>
      <c r="K51" s="19"/>
      <c r="L51" s="23"/>
      <c r="M51" s="19"/>
      <c r="N51" s="19"/>
      <c r="O51" s="24"/>
      <c r="P51" s="25"/>
      <c r="Q51" s="25"/>
      <c r="R51" s="25"/>
      <c r="S51" s="25"/>
      <c r="T51" s="25"/>
      <c r="U51" s="25"/>
      <c r="V51" s="74"/>
      <c r="W51" s="77"/>
      <c r="X51" s="26"/>
      <c r="Y51" s="22"/>
      <c r="Z51" s="27"/>
      <c r="AA51" s="90"/>
    </row>
    <row r="52" spans="1:29" ht="17.25" thickBot="1">
      <c r="A52" s="48"/>
      <c r="B52" s="49"/>
      <c r="C52" s="49"/>
      <c r="D52" s="193"/>
      <c r="E52" s="49"/>
      <c r="F52" s="49"/>
      <c r="G52" s="49"/>
      <c r="H52" s="49"/>
      <c r="I52" s="50"/>
      <c r="J52" s="51"/>
      <c r="K52" s="49"/>
      <c r="L52" s="52"/>
      <c r="M52" s="49"/>
      <c r="N52" s="49"/>
      <c r="O52" s="53"/>
      <c r="P52" s="54"/>
      <c r="Q52" s="54"/>
      <c r="R52" s="54"/>
      <c r="S52" s="54"/>
      <c r="T52" s="60"/>
      <c r="U52" s="54"/>
      <c r="V52" s="54"/>
      <c r="W52" s="78"/>
      <c r="X52" s="55"/>
      <c r="Y52" s="51"/>
      <c r="Z52" s="56"/>
      <c r="AA52" s="90"/>
    </row>
    <row r="53" spans="1:29" ht="17.25" thickBot="1">
      <c r="A53" s="29"/>
      <c r="D53" s="28"/>
      <c r="I53" s="30"/>
      <c r="J53" s="31"/>
      <c r="L53" s="32"/>
      <c r="O53" s="33"/>
      <c r="P53" s="34"/>
      <c r="Q53" s="34"/>
      <c r="R53" s="34"/>
      <c r="S53" s="34"/>
      <c r="T53" s="34"/>
      <c r="U53" s="34"/>
      <c r="V53" s="34"/>
      <c r="W53" s="34"/>
      <c r="X53" s="35" t="s">
        <v>2877</v>
      </c>
      <c r="Y53" s="31"/>
      <c r="Z53" s="31"/>
      <c r="AA53" s="90"/>
    </row>
    <row r="54" spans="1:29" ht="17.25" thickBot="1">
      <c r="A54" s="427"/>
      <c r="B54" s="404"/>
      <c r="C54" s="404"/>
      <c r="D54" s="238" t="s">
        <v>21</v>
      </c>
      <c r="E54" s="427"/>
      <c r="F54" s="429"/>
      <c r="G54" s="62">
        <f>SUM(G51:G52)</f>
        <v>0</v>
      </c>
      <c r="H54" s="62">
        <f>SUM(H51:H52)</f>
        <v>0</v>
      </c>
      <c r="I54" s="432"/>
      <c r="J54" s="432"/>
      <c r="K54" s="436"/>
      <c r="L54" s="437"/>
      <c r="M54" s="437"/>
      <c r="N54" s="438"/>
      <c r="O54" s="62">
        <f>SUM(O51:O52)</f>
        <v>0</v>
      </c>
      <c r="P54" s="101">
        <f>SUM(P51:P52)</f>
        <v>0</v>
      </c>
      <c r="Q54" s="101">
        <f>SUM(Q51:Q52)</f>
        <v>0</v>
      </c>
      <c r="R54" s="62">
        <f>SUM(R51:R52)</f>
        <v>0</v>
      </c>
      <c r="S54" s="71"/>
      <c r="T54" s="71"/>
      <c r="U54" s="71"/>
      <c r="V54" s="71"/>
      <c r="W54" s="71"/>
      <c r="X54" s="67" t="e">
        <f>(P54+Q54)/G54</f>
        <v>#DIV/0!</v>
      </c>
      <c r="Y54" s="419" t="s">
        <v>23</v>
      </c>
      <c r="Z54" s="84">
        <f>IF(AA54=0,0,(P54+Q54)/(AA54))</f>
        <v>0</v>
      </c>
      <c r="AA54" s="90">
        <f>SUM(AA51:AA52)</f>
        <v>0</v>
      </c>
    </row>
    <row r="55" spans="1:29" s="36" customFormat="1" ht="17.25" thickBot="1">
      <c r="A55" s="409"/>
      <c r="B55" s="407"/>
      <c r="C55" s="407"/>
      <c r="D55" s="238" t="s">
        <v>2704</v>
      </c>
      <c r="E55" s="409"/>
      <c r="F55" s="430"/>
      <c r="G55" s="63">
        <f>SUM(G2:G48,G34:G52)</f>
        <v>3782580</v>
      </c>
      <c r="H55" s="63">
        <f>SUM(H2:H48,H34:H52)</f>
        <v>5110</v>
      </c>
      <c r="I55" s="434"/>
      <c r="J55" s="434"/>
      <c r="K55" s="63">
        <f>SUM(K48:K52)</f>
        <v>0</v>
      </c>
      <c r="L55" s="63">
        <f>SUM(L48:L52)</f>
        <v>0</v>
      </c>
      <c r="M55" s="63">
        <f>SUM(M48:M52)</f>
        <v>0</v>
      </c>
      <c r="N55" s="63">
        <f>SUM(N48:N52)</f>
        <v>0</v>
      </c>
      <c r="O55" s="63">
        <f>SUM(O2:O48,O34:O52)</f>
        <v>0</v>
      </c>
      <c r="P55" s="63">
        <f>SUM(P2:P48,P34:P52)</f>
        <v>12376.850000000006</v>
      </c>
      <c r="Q55" s="101">
        <f>SUM(Q36:Q52)</f>
        <v>0</v>
      </c>
      <c r="R55" s="63">
        <f>SUM(R2:R48,R34:R52)</f>
        <v>35045.4</v>
      </c>
      <c r="S55" s="72"/>
      <c r="T55" s="72"/>
      <c r="U55" s="72"/>
      <c r="V55" s="72"/>
      <c r="W55" s="72"/>
      <c r="X55" s="67">
        <f>(P55+Q55)/G55</f>
        <v>3.2720656271645293E-3</v>
      </c>
      <c r="Y55" s="420"/>
      <c r="Z55" s="84">
        <f ca="1">IF(AA55=0,0,(P55+Q55)/(AA55))</f>
        <v>1.4916611795537442E-4</v>
      </c>
      <c r="AA55" s="90">
        <f ca="1">SUM(AA2:AA52)</f>
        <v>82973601.308728501</v>
      </c>
      <c r="AB55" s="87"/>
      <c r="AC55" s="88"/>
    </row>
    <row r="56" spans="1:29" s="36" customFormat="1" ht="17.25" thickBot="1">
      <c r="A56" s="410"/>
      <c r="B56" s="411"/>
      <c r="C56" s="411"/>
      <c r="D56" s="238" t="s">
        <v>20</v>
      </c>
      <c r="E56" s="410"/>
      <c r="F56" s="431"/>
      <c r="G56" s="63">
        <f>SUM(G2:G52)</f>
        <v>3219840</v>
      </c>
      <c r="H56" s="63">
        <f>SUM(H2:H52)</f>
        <v>4442</v>
      </c>
      <c r="I56" s="435"/>
      <c r="J56" s="435"/>
      <c r="K56" s="63">
        <f>SUM(K48:K52)</f>
        <v>0</v>
      </c>
      <c r="L56" s="63">
        <f>SUM(L48:L52)</f>
        <v>0</v>
      </c>
      <c r="M56" s="63">
        <f>SUM(M48:M52)</f>
        <v>0</v>
      </c>
      <c r="N56" s="63">
        <f>SUM(N48:N52)</f>
        <v>0</v>
      </c>
      <c r="O56" s="63">
        <f>SUM(O2:O52)</f>
        <v>0</v>
      </c>
      <c r="P56" s="102">
        <f>SUM(P2:P52)</f>
        <v>22040.010000000009</v>
      </c>
      <c r="Q56" s="101">
        <f>SUM(Q2:Q52)</f>
        <v>0</v>
      </c>
      <c r="R56" s="63">
        <f>SUM(R2:R52)</f>
        <v>27649.200000000001</v>
      </c>
      <c r="S56" s="72"/>
      <c r="T56" s="72"/>
      <c r="U56" s="72"/>
      <c r="V56" s="72"/>
      <c r="W56" s="72"/>
      <c r="X56" s="67">
        <f>(P56+Q56)/G56</f>
        <v>6.8450637298747789E-3</v>
      </c>
      <c r="Y56" s="420"/>
      <c r="Z56" s="84">
        <f>IF(AA56=0,0,(P56+Q56)/(AA56))</f>
        <v>0</v>
      </c>
      <c r="AA56" s="90">
        <f>AA54</f>
        <v>0</v>
      </c>
      <c r="AB56" s="87"/>
      <c r="AC56" s="87"/>
    </row>
    <row r="57" spans="1:29" ht="17.25" thickBot="1">
      <c r="B57" s="37"/>
      <c r="C57" s="37"/>
      <c r="D57" s="28"/>
    </row>
    <row r="58" spans="1:29" s="8" customFormat="1" ht="17.25" thickBot="1">
      <c r="A58" s="421" t="s">
        <v>2660</v>
      </c>
      <c r="B58" s="439"/>
      <c r="C58" s="439"/>
      <c r="D58" s="251" t="s">
        <v>2658</v>
      </c>
      <c r="E58" s="421"/>
      <c r="F58" s="439"/>
      <c r="G58" s="251" t="s">
        <v>2652</v>
      </c>
      <c r="H58" s="251" t="s">
        <v>25</v>
      </c>
      <c r="I58" s="421"/>
      <c r="J58" s="246"/>
      <c r="K58" s="246"/>
      <c r="L58" s="246"/>
      <c r="M58" s="246"/>
      <c r="N58" s="246"/>
      <c r="O58" s="251" t="s">
        <v>2653</v>
      </c>
      <c r="P58" s="251" t="s">
        <v>2654</v>
      </c>
      <c r="Q58" s="251" t="s">
        <v>2655</v>
      </c>
      <c r="R58" s="251" t="s">
        <v>2656</v>
      </c>
      <c r="S58" s="246" t="s">
        <v>25</v>
      </c>
      <c r="T58" s="246" t="s">
        <v>26</v>
      </c>
      <c r="U58" s="421"/>
      <c r="V58" s="246" t="s">
        <v>28</v>
      </c>
      <c r="W58" s="246" t="s">
        <v>27</v>
      </c>
      <c r="X58" s="251" t="s">
        <v>2657</v>
      </c>
      <c r="Y58" s="251" t="s">
        <v>23</v>
      </c>
      <c r="Z58" s="251" t="s">
        <v>168</v>
      </c>
      <c r="AA58" s="89"/>
      <c r="AB58" s="86"/>
      <c r="AC58" s="309"/>
    </row>
    <row r="59" spans="1:29" outlineLevel="1">
      <c r="A59" s="422"/>
      <c r="B59" s="440"/>
      <c r="C59" s="440"/>
      <c r="D59" s="246" t="s">
        <v>219</v>
      </c>
      <c r="E59" s="422"/>
      <c r="F59" s="440"/>
      <c r="G59" s="265">
        <f>SUMIF(AB$2:AB$53,D59,G$2:G$53)</f>
        <v>92400</v>
      </c>
      <c r="H59" s="265">
        <f>SUMIF(AB$2:AB$53,D59,H$2:H$53)</f>
        <v>131</v>
      </c>
      <c r="I59" s="422"/>
      <c r="J59" s="249"/>
      <c r="K59" s="257"/>
      <c r="L59" s="257"/>
      <c r="M59" s="257"/>
      <c r="N59" s="257"/>
      <c r="O59" s="265">
        <f>SUMIF(AB$2:AB$53,D59,O$2:O$53)</f>
        <v>0</v>
      </c>
      <c r="P59" s="266">
        <f>SUMIF(AB$2:AB$53,D59,P$2:P$53)</f>
        <v>-3326</v>
      </c>
      <c r="Q59" s="266">
        <f>SUMIF(AB$2:AB$53,"*"&amp;D59&amp;"*",Q$2:Q$53)</f>
        <v>0</v>
      </c>
      <c r="R59" s="265">
        <f>SUMIF(AB$2:AB$53,D59,R$2:R$53)</f>
        <v>0</v>
      </c>
      <c r="S59" s="257"/>
      <c r="T59" s="257"/>
      <c r="U59" s="422"/>
      <c r="V59" s="257"/>
      <c r="W59" s="257"/>
      <c r="X59" s="267">
        <f>(SUMIF(AB$2:AB$53,D59,P$2:P$53)+SUMIF(AB$2:AB$53,"*"&amp;D59&amp;"*",Q$2:Q$53))/SUMIF(AB$2:AB$53,D59,G$2:G$53)</f>
        <v>-3.5995670995670997E-2</v>
      </c>
      <c r="Y59" s="267">
        <f ca="1">(P59+Q59)/(AA59)</f>
        <v>-2.1911764790764794</v>
      </c>
      <c r="Z59" s="268">
        <f>COUNTIFS(X$2:X$53,"&gt;0",AB$2:AB$53,D59)/COUNTIF(AB$2:AB$53,D59)</f>
        <v>0</v>
      </c>
      <c r="AA59" s="9">
        <f ca="1">SUMIF(AB$2:AB$53,D59,AA$2:AA$53)</f>
        <v>1517.9060343883473</v>
      </c>
    </row>
    <row r="60" spans="1:29" outlineLevel="1">
      <c r="A60" s="422"/>
      <c r="B60" s="440"/>
      <c r="C60" s="440"/>
      <c r="D60" s="247" t="s">
        <v>2721</v>
      </c>
      <c r="E60" s="422"/>
      <c r="F60" s="440"/>
      <c r="G60" s="265">
        <f>SUMIF(AB$2:AB$53,D60,G$2:G$53)</f>
        <v>1553400</v>
      </c>
      <c r="H60" s="265">
        <f>SUMIF(AB$2:AB$53,D60,H$2:H$53)</f>
        <v>2206</v>
      </c>
      <c r="I60" s="422"/>
      <c r="J60" s="249"/>
      <c r="K60" s="257"/>
      <c r="L60" s="257"/>
      <c r="M60" s="257"/>
      <c r="N60" s="257"/>
      <c r="O60" s="265">
        <f>SUMIF(AB$2:AB$53,D60,O$2:O$53)</f>
        <v>0</v>
      </c>
      <c r="P60" s="266">
        <f>SUMIF(AB$2:AB$53,D60,P$2:P$53)</f>
        <v>-30968</v>
      </c>
      <c r="Q60" s="266">
        <f>SUMIF(AB$2:AB$53,"*"&amp;D60&amp;"*",Q$2:Q$53)</f>
        <v>0</v>
      </c>
      <c r="R60" s="265">
        <f>SUMIF(AB$2:AB$53,D60,R$2:R$53)</f>
        <v>0</v>
      </c>
      <c r="S60" s="257"/>
      <c r="T60" s="257"/>
      <c r="U60" s="422"/>
      <c r="V60" s="257"/>
      <c r="W60" s="257"/>
      <c r="X60" s="267">
        <f>(SUMIF(AB$2:AB$53,D60,P$2:P$53)+SUMIF(AB$2:AB$53,"*"&amp;D60&amp;"*",Q$2:Q$53))/SUMIF(AB$2:AB$53,D60,G$2:G$53)</f>
        <v>-1.9935625080468651E-2</v>
      </c>
      <c r="Y60" s="267">
        <f t="shared" ref="Y60" ca="1" si="43">(P60+Q60)/(AA60)</f>
        <v>-0.55449485104150831</v>
      </c>
      <c r="Z60" s="268">
        <f>COUNTIFS(X$2:X$53,"&gt;0",AB$2:AB$53,D60)/COUNTIF(AB$2:AB$53,D60)</f>
        <v>0.2857142857142857</v>
      </c>
      <c r="AA60" s="9">
        <f ca="1">SUMIF(AB$2:AB$53,D60,AA$2:AA$53)</f>
        <v>55849.030774285406</v>
      </c>
    </row>
    <row r="61" spans="1:29" ht="17.25" outlineLevel="1" thickBot="1">
      <c r="A61" s="422"/>
      <c r="B61" s="440"/>
      <c r="C61" s="440"/>
      <c r="D61" s="247" t="s">
        <v>209</v>
      </c>
      <c r="E61" s="422"/>
      <c r="F61" s="440"/>
      <c r="G61" s="265">
        <f>SUMIF(AB$2:AB$53,D61,G$2:G$53)</f>
        <v>337300</v>
      </c>
      <c r="H61" s="265">
        <f>SUMIF(AB$2:AB$53,D61,H$2:H$53)</f>
        <v>479</v>
      </c>
      <c r="I61" s="422"/>
      <c r="J61" s="351"/>
      <c r="K61" s="303"/>
      <c r="L61" s="303"/>
      <c r="M61" s="303"/>
      <c r="N61" s="303"/>
      <c r="O61" s="265">
        <f>SUMIF(AB$2:AB$53,D61,O$2:O$53)</f>
        <v>0</v>
      </c>
      <c r="P61" s="266">
        <f>SUMIF(AB$2:AB$53,D61,P$2:P$53)</f>
        <v>-13419</v>
      </c>
      <c r="Q61" s="266">
        <f>SUMIF(AB$2:AB$53,"*"&amp;D61&amp;"*",Q$2:Q$53)</f>
        <v>0</v>
      </c>
      <c r="R61" s="265">
        <f>SUMIF(AB$2:AB$53,D61,R$2:R$53)</f>
        <v>0</v>
      </c>
      <c r="S61" s="261"/>
      <c r="T61" s="261"/>
      <c r="U61" s="422"/>
      <c r="V61" s="261"/>
      <c r="W61" s="261"/>
      <c r="X61" s="267">
        <f>(SUMIF(AB$2:AB$53,D61,P$2:P$53)+SUMIF(AB$2:AB$53,"*"&amp;D61&amp;"*",Q$2:Q$53))/SUMIF(AB$2:AB$53,D61,G$2:G$53)</f>
        <v>-3.9783575452119774E-2</v>
      </c>
      <c r="Y61" s="267">
        <f t="shared" ref="Y61" ca="1" si="44">(P61+Q61)/(AA61)</f>
        <v>-4.9667866791786676E-2</v>
      </c>
      <c r="Z61" s="268">
        <f>COUNTIFS(X$2:X$53,"&gt;0",AB$2:AB$53,D61)/COUNTIF(AB$2:AB$53,D61)</f>
        <v>0.5</v>
      </c>
      <c r="AA61" s="9">
        <f ca="1">SUMIF(AB$2:AB$53,D61,AA$2:AA$53)</f>
        <v>270174.67966268753</v>
      </c>
    </row>
    <row r="62" spans="1:29" outlineLevel="1">
      <c r="A62" s="441"/>
      <c r="B62" s="441"/>
      <c r="C62" s="441"/>
      <c r="D62" s="247" t="s">
        <v>2661</v>
      </c>
      <c r="E62" s="441"/>
      <c r="F62" s="441"/>
      <c r="G62" s="265">
        <f>SUMIF(AB$2:AB$53,D62,G$2:G$53)</f>
        <v>461800</v>
      </c>
      <c r="H62" s="265">
        <f>SUMIF(AB$2:AB$53,D62,H$2:H$53)</f>
        <v>656</v>
      </c>
      <c r="I62" s="441"/>
      <c r="J62" s="249"/>
      <c r="K62" s="257"/>
      <c r="L62" s="257"/>
      <c r="M62" s="257"/>
      <c r="N62" s="257"/>
      <c r="O62" s="265">
        <f>SUMIF(AB$2:AB$53,D62,O$2:O$53)</f>
        <v>0</v>
      </c>
      <c r="P62" s="266">
        <f>SUMIF(AB$2:AB$53,D62,P$2:P$53)</f>
        <v>11326</v>
      </c>
      <c r="Q62" s="266">
        <f>SUMIF(AB$2:AB$53,"*"&amp;D62&amp;"*",Q$2:Q$53)</f>
        <v>0</v>
      </c>
      <c r="R62" s="265">
        <f>SUMIF(AB$2:AB$53,D62,R$2:R$53)</f>
        <v>17700</v>
      </c>
      <c r="S62" s="257"/>
      <c r="T62" s="257"/>
      <c r="U62" s="423"/>
      <c r="V62" s="257"/>
      <c r="W62" s="257"/>
      <c r="X62" s="267">
        <f>(SUMIF(AB$2:AB$53,D62,P$2:P$53)+SUMIF(AB$2:AB$53,"*"&amp;D62&amp;"*",Q$2:Q$53))/SUMIF(AB$2:AB$53,D62,G$2:G$53)</f>
        <v>2.4525768731052403E-2</v>
      </c>
      <c r="Y62" s="267">
        <f ca="1">(P62+Q62)/(AA62)</f>
        <v>1.3765504009829392E-4</v>
      </c>
      <c r="Z62" s="268">
        <f>COUNTIFS(X$2:X$53,"&gt;0",AB$2:AB$53,D62)/COUNTIF(AB$2:AB$53,D62)</f>
        <v>0.8</v>
      </c>
      <c r="AA62" s="9">
        <f ca="1">SUMIF(AB$2:AB$53,D62,AA$2:AA$53)</f>
        <v>82278135.198773399</v>
      </c>
    </row>
    <row r="63" spans="1:29" ht="17.25" outlineLevel="1" thickBot="1">
      <c r="A63" s="443"/>
      <c r="B63" s="443"/>
      <c r="C63" s="443"/>
      <c r="D63" s="248" t="s">
        <v>2664</v>
      </c>
      <c r="E63" s="443"/>
      <c r="F63" s="443"/>
      <c r="G63" s="252">
        <f>SUMIF(AB$2:AB$53,D63,G$2:G$53)</f>
        <v>774940</v>
      </c>
      <c r="H63" s="252">
        <f>SUMIF(AB$2:AB$53,D63,H$2:H$53)</f>
        <v>970</v>
      </c>
      <c r="I63" s="443"/>
      <c r="J63" s="250"/>
      <c r="K63" s="261"/>
      <c r="L63" s="261"/>
      <c r="M63" s="261"/>
      <c r="N63" s="261"/>
      <c r="O63" s="252">
        <f>SUMIF(AB$2:AB$53,D63,O$2:O$53)</f>
        <v>0</v>
      </c>
      <c r="P63" s="253">
        <f>SUMIF(AB$2:AB$53,D63,P$2:P$53)</f>
        <v>58427.010000000009</v>
      </c>
      <c r="Q63" s="253">
        <f>SUMIF(AB$2:AB$53,"*"&amp;D63&amp;"*",Q$2:Q$53)</f>
        <v>0</v>
      </c>
      <c r="R63" s="252">
        <f>SUMIF(AB$2:AB$53,D63,R$2:R$53)</f>
        <v>9949.1999999999989</v>
      </c>
      <c r="S63" s="261"/>
      <c r="T63" s="261"/>
      <c r="U63" s="424"/>
      <c r="V63" s="261"/>
      <c r="W63" s="261"/>
      <c r="X63" s="254">
        <f>(SUMIF(AB$2:AB$53,D63,P$2:P$53)+SUMIF(AB$2:AB$53,"*"&amp;D63&amp;"*",Q$2:Q$53))/SUMIF(AB$2:AB$53,D63,G$2:G$53)</f>
        <v>7.5395527395669348E-2</v>
      </c>
      <c r="Y63" s="254">
        <f t="shared" ref="Y63" ca="1" si="45">(P63+Q63)/(AA63)</f>
        <v>0.15880163195110208</v>
      </c>
      <c r="Z63" s="255">
        <f>COUNTIFS(X$2:X$53,"&gt;0",AB$2:AB$53,D63)/COUNTIF(AB$2:AB$53,D63)</f>
        <v>0.45833333333333331</v>
      </c>
      <c r="AA63" s="9">
        <f ca="1">SUMIF(AB$2:AB$53,D63,AA$2:AA$53)</f>
        <v>367924.4934837367</v>
      </c>
    </row>
    <row r="64" spans="1:29">
      <c r="B64" s="37"/>
      <c r="C64" s="37"/>
      <c r="D64" s="28"/>
    </row>
    <row r="65" spans="1:29" ht="17.25" thickBot="1">
      <c r="B65" s="37"/>
      <c r="C65" s="37"/>
      <c r="D65" s="28"/>
    </row>
    <row r="66" spans="1:29" s="8" customFormat="1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4" t="s">
        <v>5</v>
      </c>
      <c r="G66" s="4" t="s">
        <v>6</v>
      </c>
      <c r="H66" s="5" t="s">
        <v>7</v>
      </c>
      <c r="I66" s="140" t="s">
        <v>8</v>
      </c>
      <c r="J66" s="4" t="s">
        <v>9</v>
      </c>
      <c r="K66" s="4" t="s">
        <v>6</v>
      </c>
      <c r="L66" s="5" t="s">
        <v>7</v>
      </c>
      <c r="M66" s="5" t="s">
        <v>10</v>
      </c>
      <c r="N66" s="3" t="s">
        <v>11</v>
      </c>
      <c r="O66" s="4" t="s">
        <v>12</v>
      </c>
      <c r="P66" s="6" t="s">
        <v>13</v>
      </c>
      <c r="Q66" s="4" t="s">
        <v>14</v>
      </c>
      <c r="R66" s="4" t="s">
        <v>15</v>
      </c>
      <c r="S66" s="68" t="s">
        <v>25</v>
      </c>
      <c r="T66" s="68" t="s">
        <v>26</v>
      </c>
      <c r="U66" s="68" t="s">
        <v>29</v>
      </c>
      <c r="V66" s="68" t="s">
        <v>28</v>
      </c>
      <c r="W66" s="68" t="s">
        <v>27</v>
      </c>
      <c r="X66" s="4" t="s">
        <v>16</v>
      </c>
      <c r="Y66" s="4" t="s">
        <v>17</v>
      </c>
      <c r="Z66" s="7" t="s">
        <v>18</v>
      </c>
      <c r="AA66" s="86"/>
      <c r="AC66" s="309"/>
    </row>
    <row r="67" spans="1:29">
      <c r="A67" s="18">
        <f>MIN(A70:A70)</f>
        <v>0</v>
      </c>
      <c r="B67" s="19"/>
      <c r="C67" s="20"/>
      <c r="D67" s="19"/>
      <c r="E67" s="19"/>
      <c r="F67" s="19"/>
      <c r="G67" s="19"/>
      <c r="H67" s="19"/>
      <c r="I67" s="21"/>
      <c r="J67" s="22"/>
      <c r="K67" s="19"/>
      <c r="L67" s="23"/>
      <c r="M67" s="19"/>
      <c r="N67" s="19"/>
      <c r="O67" s="24"/>
      <c r="P67" s="25"/>
      <c r="Q67" s="25"/>
      <c r="R67" s="25"/>
      <c r="S67" s="25"/>
      <c r="T67" s="25"/>
      <c r="U67" s="25"/>
      <c r="V67" s="74"/>
      <c r="W67" s="77"/>
      <c r="X67" s="26"/>
      <c r="Y67" s="22"/>
      <c r="Z67" s="27"/>
      <c r="AA67" s="28"/>
      <c r="AB67" s="9"/>
      <c r="AC67" s="312"/>
    </row>
    <row r="68" spans="1:29">
      <c r="A68" s="224">
        <v>45442</v>
      </c>
      <c r="B68" s="11" t="s">
        <v>19</v>
      </c>
      <c r="C68" s="225" t="s">
        <v>2560</v>
      </c>
      <c r="D68" s="189" t="str">
        <f>VLOOKUP(C68,美股行情!A:C,2,FALSE)</f>
        <v>英偉達公司</v>
      </c>
      <c r="E68" s="11">
        <v>80</v>
      </c>
      <c r="F68" s="11">
        <v>114.6</v>
      </c>
      <c r="G68" s="11">
        <f>E68*F68</f>
        <v>9168</v>
      </c>
      <c r="H68" s="314">
        <f>G68*0.25%</f>
        <v>22.92</v>
      </c>
      <c r="I68" s="104"/>
      <c r="J68" s="16"/>
      <c r="K68" s="11">
        <f>E68*J68</f>
        <v>0</v>
      </c>
      <c r="L68" s="17"/>
      <c r="M68" s="11"/>
      <c r="N68" s="11">
        <v>0</v>
      </c>
      <c r="O68" s="13">
        <f>IF(I68="",E68*Y68,0)</f>
        <v>17996</v>
      </c>
      <c r="P68" s="14">
        <f>IF(I68="",R68-H68,(K68-H68-SUM(L68:N68)+R68-S68-T68)-G68)+(ROUND(R68*V68,0)-ROUND(R68*(1+V68),0)*W68)</f>
        <v>-21.46</v>
      </c>
      <c r="Q68" s="14">
        <f>IF(I68="",(O68-G68-(O68*0.1425%*0.65)-(O68*0.3%)-S68-T68),0)</f>
        <v>8757.343205000001</v>
      </c>
      <c r="R68" s="14">
        <f>0.56+0.56+0.56</f>
        <v>1.6800000000000002</v>
      </c>
      <c r="S68" s="14">
        <v>0</v>
      </c>
      <c r="T68" s="14">
        <f>IF(ROUND(R68*(1+V68),0)&gt;20000,ROUND(ROUND(R68*(1+V68),0)*2%,0),0)</f>
        <v>0</v>
      </c>
      <c r="U68" s="69">
        <f>(V68*50%)/(1+50%*V68)</f>
        <v>0</v>
      </c>
      <c r="V68" s="69"/>
      <c r="W68" s="70">
        <v>0.11</v>
      </c>
      <c r="X68" s="15">
        <f>(P68+Q68)/G68</f>
        <v>0.95286684173211189</v>
      </c>
      <c r="Y68" s="16">
        <f>VLOOKUP(C68,美股行情!A:C,3,FALSE)</f>
        <v>224.95</v>
      </c>
      <c r="Z68" s="38">
        <f>VLOOKUP(C68,美股行情!A:G,7,FALSE)</f>
        <v>-3.57</v>
      </c>
      <c r="AA68" s="103"/>
      <c r="AB68" s="9"/>
      <c r="AC68" s="312"/>
    </row>
    <row r="69" spans="1:29">
      <c r="A69" s="224">
        <v>45550</v>
      </c>
      <c r="B69" s="11" t="s">
        <v>19</v>
      </c>
      <c r="C69" s="313" t="s">
        <v>2874</v>
      </c>
      <c r="D69" s="189" t="str">
        <f>VLOOKUP(C69,美股行情!A:C,2,FALSE)</f>
        <v>Synopsys Inc</v>
      </c>
      <c r="E69" s="11">
        <v>1</v>
      </c>
      <c r="F69" s="11">
        <v>432.3</v>
      </c>
      <c r="G69" s="11">
        <f>E69*F69</f>
        <v>432.3</v>
      </c>
      <c r="H69" s="315">
        <f>G69*0.25%</f>
        <v>1.0807500000000001</v>
      </c>
      <c r="I69" s="104"/>
      <c r="J69" s="16"/>
      <c r="K69" s="11">
        <f>E69*J69</f>
        <v>0</v>
      </c>
      <c r="L69" s="17"/>
      <c r="M69" s="11"/>
      <c r="N69" s="11">
        <v>0</v>
      </c>
      <c r="O69" s="13">
        <f>IF(I69="",E69*Y69,0)</f>
        <v>485.87</v>
      </c>
      <c r="P69" s="14">
        <f>IF(I69="",R69-H69,(K69-H69-SUM(L69:N69)+R69-S69-T69)-G69)+(ROUND(R69*V69,0)-ROUND(R69*(1+V69),0)*W69)</f>
        <v>-1.0807500000000001</v>
      </c>
      <c r="Q69" s="14">
        <f>IF(I69="",(O69-G69-(O69*0.1425%*0.65)-(O69*0.3%)-S69-T69),0)</f>
        <v>51.662352912499991</v>
      </c>
      <c r="R69" s="14"/>
      <c r="S69" s="14">
        <v>0</v>
      </c>
      <c r="T69" s="14">
        <f>IF(ROUND(R69*(1+V69),0)&gt;20000,ROUND(ROUND(R69*(1+V69),0)*2%,0),0)</f>
        <v>0</v>
      </c>
      <c r="U69" s="69">
        <f>(V69*50%)/(1+50%*V69)</f>
        <v>0</v>
      </c>
      <c r="V69" s="69"/>
      <c r="W69" s="70">
        <v>0.11</v>
      </c>
      <c r="X69" s="15">
        <f>(P69+Q69)/G69</f>
        <v>0.1170057897582697</v>
      </c>
      <c r="Y69" s="16">
        <f>VLOOKUP(C69,美股行情!A:C,3,FALSE)</f>
        <v>485.87</v>
      </c>
      <c r="Z69" s="38">
        <f>VLOOKUP(C69,美股行情!A:G,7,FALSE)</f>
        <v>-8.64</v>
      </c>
      <c r="AA69" s="103"/>
      <c r="AB69" s="9"/>
      <c r="AC69" s="312"/>
    </row>
    <row r="70" spans="1:29" ht="17.25" thickBot="1">
      <c r="A70" s="48"/>
      <c r="B70" s="49"/>
      <c r="C70" s="49"/>
      <c r="D70" s="49"/>
      <c r="E70" s="49"/>
      <c r="F70" s="49"/>
      <c r="G70" s="49"/>
      <c r="H70" s="49"/>
      <c r="I70" s="50"/>
      <c r="J70" s="51"/>
      <c r="K70" s="49"/>
      <c r="L70" s="52"/>
      <c r="M70" s="49"/>
      <c r="N70" s="49"/>
      <c r="O70" s="53"/>
      <c r="P70" s="54"/>
      <c r="Q70" s="54"/>
      <c r="R70" s="54"/>
      <c r="S70" s="54"/>
      <c r="T70" s="60"/>
      <c r="U70" s="54"/>
      <c r="V70" s="54"/>
      <c r="W70" s="78"/>
      <c r="X70" s="55"/>
      <c r="Y70" s="51"/>
      <c r="Z70" s="56"/>
      <c r="AA70" s="28"/>
      <c r="AB70" s="9"/>
      <c r="AC70" s="312"/>
    </row>
    <row r="71" spans="1:29" s="36" customFormat="1" ht="17.25" thickBot="1">
      <c r="A71" s="9"/>
      <c r="B71" s="9"/>
      <c r="C71" s="9"/>
      <c r="D71" s="179" t="s">
        <v>2563</v>
      </c>
      <c r="E71" s="425"/>
      <c r="F71" s="426"/>
      <c r="G71" s="63">
        <f>SUM(G67:G70)</f>
        <v>9600.2999999999993</v>
      </c>
      <c r="H71" s="63">
        <f>SUM(H67:H70)</f>
        <v>24.000750000000004</v>
      </c>
      <c r="I71" s="425"/>
      <c r="J71" s="426"/>
      <c r="K71" s="63">
        <f t="shared" ref="K71:R71" si="46">SUM(K67:K70)</f>
        <v>0</v>
      </c>
      <c r="L71" s="63">
        <f t="shared" si="46"/>
        <v>0</v>
      </c>
      <c r="M71" s="63">
        <f t="shared" si="46"/>
        <v>0</v>
      </c>
      <c r="N71" s="63">
        <f t="shared" si="46"/>
        <v>0</v>
      </c>
      <c r="O71" s="63">
        <f t="shared" si="46"/>
        <v>18481.87</v>
      </c>
      <c r="P71" s="102">
        <f t="shared" si="46"/>
        <v>-22.540750000000003</v>
      </c>
      <c r="Q71" s="101">
        <f t="shared" si="46"/>
        <v>8809.0055579125019</v>
      </c>
      <c r="R71" s="63">
        <f t="shared" si="46"/>
        <v>1.6800000000000002</v>
      </c>
      <c r="S71" s="72"/>
      <c r="T71" s="72"/>
      <c r="U71" s="72"/>
      <c r="V71" s="72"/>
      <c r="W71" s="72"/>
      <c r="X71" s="180">
        <f>(P71+Q71)/G71</f>
        <v>0.91522814994453328</v>
      </c>
      <c r="Y71" s="9"/>
      <c r="Z71" s="9"/>
      <c r="AA71" s="87"/>
    </row>
    <row r="72" spans="1:29" s="36" customFormat="1" ht="17.25" thickBot="1">
      <c r="A72" s="9"/>
      <c r="B72" s="9"/>
      <c r="C72" s="9"/>
      <c r="D72" s="179" t="s">
        <v>2575</v>
      </c>
      <c r="E72" s="425"/>
      <c r="F72" s="426"/>
      <c r="G72" s="63">
        <f>G71*匯率!B3</f>
        <v>303715.09079999995</v>
      </c>
      <c r="H72" s="63">
        <f>H71*匯率!B3</f>
        <v>759.28772700000013</v>
      </c>
      <c r="I72" s="425"/>
      <c r="J72" s="426"/>
      <c r="K72" s="63">
        <f t="shared" ref="K72:N72" si="47">SUM(K67:K71)</f>
        <v>0</v>
      </c>
      <c r="L72" s="63">
        <f t="shared" si="47"/>
        <v>0</v>
      </c>
      <c r="M72" s="63">
        <f t="shared" si="47"/>
        <v>0</v>
      </c>
      <c r="N72" s="63">
        <f t="shared" si="47"/>
        <v>0</v>
      </c>
      <c r="O72" s="63">
        <f>O71*匯率!B3</f>
        <v>584692.43932</v>
      </c>
      <c r="P72" s="102">
        <f>P71*匯率!B3</f>
        <v>-713.09916700000008</v>
      </c>
      <c r="Q72" s="63">
        <f>Q71*匯率!B3</f>
        <v>278681.69983011991</v>
      </c>
      <c r="R72" s="63">
        <f>R71*匯率!B3</f>
        <v>53.148480000000006</v>
      </c>
      <c r="S72" s="72"/>
      <c r="T72" s="72"/>
      <c r="U72" s="72"/>
      <c r="V72" s="72"/>
      <c r="W72" s="72"/>
      <c r="X72" s="180">
        <f>(P72+Q72)/G72</f>
        <v>0.91522814994453339</v>
      </c>
      <c r="Y72" s="9"/>
      <c r="Z72" s="9"/>
      <c r="AA72" s="87"/>
    </row>
    <row r="73" spans="1:29">
      <c r="A73" s="37"/>
      <c r="B73" s="37"/>
      <c r="C73" s="37"/>
      <c r="D73" s="28"/>
    </row>
  </sheetData>
  <autoFilter ref="A1:AA75" xr:uid="{00000000-0009-0000-0000-000001000000}"/>
  <mergeCells count="14">
    <mergeCell ref="Y54:Y56"/>
    <mergeCell ref="U58:U63"/>
    <mergeCell ref="E71:F71"/>
    <mergeCell ref="I71:J71"/>
    <mergeCell ref="A54:C56"/>
    <mergeCell ref="E54:F56"/>
    <mergeCell ref="I54:I56"/>
    <mergeCell ref="J54:J56"/>
    <mergeCell ref="K54:N54"/>
    <mergeCell ref="E72:F72"/>
    <mergeCell ref="I72:J72"/>
    <mergeCell ref="A58:C63"/>
    <mergeCell ref="E58:F63"/>
    <mergeCell ref="I58:I63"/>
  </mergeCells>
  <phoneticPr fontId="74" type="noConversion"/>
  <conditionalFormatting sqref="I49:I53">
    <cfRule type="expression" dxfId="2136" priority="279">
      <formula>$I49&gt;(TODAY()-7)</formula>
    </cfRule>
    <cfRule type="expression" dxfId="2135" priority="280">
      <formula>$I49&gt;(TODAY()-30)</formula>
    </cfRule>
  </conditionalFormatting>
  <conditionalFormatting sqref="I67">
    <cfRule type="expression" dxfId="2134" priority="239">
      <formula>$I67&gt;(TODAY()-7)</formula>
    </cfRule>
    <cfRule type="expression" dxfId="2133" priority="240">
      <formula>$I67&gt;(TODAY()-30)</formula>
    </cfRule>
  </conditionalFormatting>
  <conditionalFormatting sqref="I70">
    <cfRule type="expression" dxfId="2132" priority="241">
      <formula>$I70&gt;(TODAY()-7)</formula>
    </cfRule>
    <cfRule type="expression" dxfId="2131" priority="242">
      <formula>$I70&gt;(TODAY()-30)</formula>
    </cfRule>
  </conditionalFormatting>
  <conditionalFormatting sqref="Z2:Z47 Z67 Z70">
    <cfRule type="cellIs" dxfId="2130" priority="277" operator="lessThan">
      <formula>0</formula>
    </cfRule>
    <cfRule type="cellIs" dxfId="2129" priority="278" operator="greaterThan">
      <formula>0</formula>
    </cfRule>
  </conditionalFormatting>
  <conditionalFormatting sqref="Z48:Z52">
    <cfRule type="cellIs" dxfId="2128" priority="269" operator="lessThan">
      <formula>0</formula>
    </cfRule>
    <cfRule type="cellIs" dxfId="2127" priority="270" operator="greaterThan">
      <formula>0</formula>
    </cfRule>
  </conditionalFormatting>
  <conditionalFormatting sqref="Z66:Z67">
    <cfRule type="containsText" dxfId="2126" priority="243" operator="containsText" text="△">
      <formula>NOT(ISERROR(SEARCH("△",Z66)))</formula>
    </cfRule>
    <cfRule type="containsText" dxfId="2125" priority="244" operator="containsText" text="▽">
      <formula>NOT(ISERROR(SEARCH("▽",Z66)))</formula>
    </cfRule>
  </conditionalFormatting>
  <conditionalFormatting sqref="Z68:Z69">
    <cfRule type="containsText" dxfId="2124" priority="15" operator="containsText" text="▲">
      <formula>NOT(ISERROR(SEARCH("▲",Z68)))</formula>
    </cfRule>
    <cfRule type="containsText" dxfId="2123" priority="16" operator="containsText" text="▼">
      <formula>NOT(ISERROR(SEARCH("▼",Z68)))</formula>
    </cfRule>
    <cfRule type="cellIs" dxfId="2122" priority="17" operator="lessThan">
      <formula>0</formula>
    </cfRule>
    <cfRule type="cellIs" dxfId="2121" priority="18" operator="greaterThan">
      <formula>0</formula>
    </cfRule>
  </conditionalFormatting>
  <conditionalFormatting sqref="Z70:Z72">
    <cfRule type="containsText" dxfId="2120" priority="237" operator="containsText" text="△">
      <formula>NOT(ISERROR(SEARCH("△",Z70)))</formula>
    </cfRule>
    <cfRule type="containsText" dxfId="2119" priority="238" operator="containsText" text="▽">
      <formula>NOT(ISERROR(SEARCH("▽",Z70)))</formula>
    </cfRule>
  </conditionalFormatting>
  <conditionalFormatting sqref="Z1:AA25 Z64:AA65 Z73:AA1048576">
    <cfRule type="containsText" dxfId="2118" priority="281" operator="containsText" text="△">
      <formula>NOT(ISERROR(SEARCH("△",Z1)))</formula>
    </cfRule>
    <cfRule type="containsText" dxfId="2117" priority="282" operator="containsText" text="▽">
      <formula>NOT(ISERROR(SEARCH("▽",Z1)))</formula>
    </cfRule>
  </conditionalFormatting>
  <conditionalFormatting sqref="Z2:AA45 Z48:AA48">
    <cfRule type="containsText" dxfId="2116" priority="272" operator="containsText" text="▼">
      <formula>NOT(ISERROR(SEARCH("▼",Z2)))</formula>
    </cfRule>
  </conditionalFormatting>
  <conditionalFormatting sqref="Z8:AA8">
    <cfRule type="containsText" dxfId="2115" priority="43" operator="containsText" text="▲">
      <formula>NOT(ISERROR(SEARCH("▲",Z8)))</formula>
    </cfRule>
    <cfRule type="containsText" dxfId="2114" priority="44" operator="containsText" text="▼">
      <formula>NOT(ISERROR(SEARCH("▼",Z8)))</formula>
    </cfRule>
  </conditionalFormatting>
  <conditionalFormatting sqref="Z12:AA12">
    <cfRule type="containsText" dxfId="2113" priority="45" operator="containsText" text="▲">
      <formula>NOT(ISERROR(SEARCH("▲",Z12)))</formula>
    </cfRule>
    <cfRule type="containsText" dxfId="2112" priority="46" operator="containsText" text="▼">
      <formula>NOT(ISERROR(SEARCH("▼",Z12)))</formula>
    </cfRule>
    <cfRule type="containsText" dxfId="2111" priority="47" operator="containsText" text="▲">
      <formula>NOT(ISERROR(SEARCH("▲",Z12)))</formula>
    </cfRule>
    <cfRule type="containsText" dxfId="2110" priority="48" operator="containsText" text="▼">
      <formula>NOT(ISERROR(SEARCH("▼",Z12)))</formula>
    </cfRule>
  </conditionalFormatting>
  <conditionalFormatting sqref="Z19:AA25">
    <cfRule type="containsText" dxfId="2109" priority="27" operator="containsText" text="▲">
      <formula>NOT(ISERROR(SEARCH("▲",Z19)))</formula>
    </cfRule>
    <cfRule type="containsText" dxfId="2108" priority="28" operator="containsText" text="▼">
      <formula>NOT(ISERROR(SEARCH("▼",Z19)))</formula>
    </cfRule>
  </conditionalFormatting>
  <conditionalFormatting sqref="Z20:AA25">
    <cfRule type="containsText" dxfId="2107" priority="29" operator="containsText" text="▲">
      <formula>NOT(ISERROR(SEARCH("▲",Z20)))</formula>
    </cfRule>
    <cfRule type="containsText" dxfId="2106" priority="30" operator="containsText" text="▼">
      <formula>NOT(ISERROR(SEARCH("▼",Z20)))</formula>
    </cfRule>
  </conditionalFormatting>
  <conditionalFormatting sqref="Z22:AA25">
    <cfRule type="containsText" dxfId="2105" priority="117" operator="containsText" text="▲">
      <formula>NOT(ISERROR(SEARCH("▲",Z22)))</formula>
    </cfRule>
    <cfRule type="containsText" dxfId="2104" priority="118" operator="containsText" text="▼">
      <formula>NOT(ISERROR(SEARCH("▼",Z22)))</formula>
    </cfRule>
  </conditionalFormatting>
  <conditionalFormatting sqref="Z23:AA25">
    <cfRule type="containsText" dxfId="2103" priority="25" operator="containsText" text="▲">
      <formula>NOT(ISERROR(SEARCH("▲",Z23)))</formula>
    </cfRule>
    <cfRule type="containsText" dxfId="2102" priority="26" operator="containsText" text="▼">
      <formula>NOT(ISERROR(SEARCH("▼",Z23)))</formula>
    </cfRule>
  </conditionalFormatting>
  <conditionalFormatting sqref="Z46:AA47">
    <cfRule type="containsText" dxfId="2101" priority="1" operator="containsText" text="▲">
      <formula>NOT(ISERROR(SEARCH("▲",Z46)))</formula>
    </cfRule>
    <cfRule type="containsText" dxfId="2100" priority="2" operator="containsText" text="▼">
      <formula>NOT(ISERROR(SEARCH("▼",Z46)))</formula>
    </cfRule>
  </conditionalFormatting>
  <conditionalFormatting sqref="Z48:AA48 Z2:AA45">
    <cfRule type="containsText" dxfId="2099" priority="271" operator="containsText" text="▲">
      <formula>NOT(ISERROR(SEARCH("▲",Z2)))</formula>
    </cfRule>
  </conditionalFormatting>
  <conditionalFormatting sqref="Z48:AA57">
    <cfRule type="containsText" dxfId="2098" priority="273" operator="containsText" text="△">
      <formula>NOT(ISERROR(SEARCH("△",Z48)))</formula>
    </cfRule>
    <cfRule type="containsText" dxfId="2097" priority="274" operator="containsText" text="▽">
      <formula>NOT(ISERROR(SEARCH("▽",Z48)))</formula>
    </cfRule>
  </conditionalFormatting>
  <conditionalFormatting sqref="AA58:AA63">
    <cfRule type="containsText" dxfId="2096" priority="191" operator="containsText" text="△">
      <formula>NOT(ISERROR(SEARCH("△",AA58)))</formula>
    </cfRule>
    <cfRule type="containsText" dxfId="2095" priority="192" operator="containsText" text="▽">
      <formula>NOT(ISERROR(SEARCH("▽",AA58)))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496A-9190-4756-A5E5-06B521EB7B58}">
  <sheetPr codeName="Sheet19">
    <outlinePr summaryBelow="0" summaryRight="0"/>
  </sheetPr>
  <dimension ref="A1:AD63"/>
  <sheetViews>
    <sheetView zoomScale="85" zoomScaleNormal="85" workbookViewId="0">
      <pane xSplit="4" ySplit="1" topLeftCell="E11" activePane="bottomRight" state="frozen"/>
      <selection activeCell="F42" sqref="F42"/>
      <selection pane="topRight" activeCell="F42" sqref="F42"/>
      <selection pane="bottomLeft" activeCell="F42" sqref="F42"/>
      <selection pane="bottomRight" activeCell="H36" sqref="H36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37" customWidth="1"/>
    <col min="28" max="28" width="12.125" style="194" bestFit="1" customWidth="1"/>
    <col min="29" max="29" width="37.625" style="194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37" t="s">
        <v>32</v>
      </c>
      <c r="AC1" s="321" t="s">
        <v>33</v>
      </c>
    </row>
    <row r="2" spans="1:30">
      <c r="A2" s="99">
        <v>45349</v>
      </c>
      <c r="B2" s="11"/>
      <c r="C2" s="11">
        <v>3163</v>
      </c>
      <c r="D2" s="189" t="str">
        <f>VLOOKUP(C2,台股行情!A:B,2,FALSE)</f>
        <v>波若威</v>
      </c>
      <c r="E2" s="11">
        <v>1000</v>
      </c>
      <c r="F2" s="11">
        <v>105.5</v>
      </c>
      <c r="G2" s="11">
        <f t="shared" ref="G2:G33" si="0">E2*F2</f>
        <v>105500</v>
      </c>
      <c r="H2" s="11">
        <v>150</v>
      </c>
      <c r="I2" s="104">
        <v>45366</v>
      </c>
      <c r="J2" s="16">
        <v>106</v>
      </c>
      <c r="K2" s="11">
        <f t="shared" ref="K2:K33" si="1">E2*J2</f>
        <v>106000</v>
      </c>
      <c r="L2" s="17">
        <v>151</v>
      </c>
      <c r="M2" s="11">
        <v>318</v>
      </c>
      <c r="N2" s="11">
        <v>0</v>
      </c>
      <c r="O2" s="13">
        <f t="shared" ref="O2:O33" si="2">IF(I2="",E2*Y2,0)</f>
        <v>0</v>
      </c>
      <c r="P2" s="14">
        <f t="shared" ref="P2:P33" si="3">IF(I2="",R2-H2,(K2-H2-SUM(L2:N2)+R2-S2-T2)-G2)+(ROUND(R2*V2,0)-ROUND(R2*(1+V2),0)*W2)</f>
        <v>-119</v>
      </c>
      <c r="Q2" s="14">
        <f t="shared" ref="Q2:Q33" si="4">IF(I2="",(O2-G2-(O2*0.1425%*0.65)-(O2*0.3%)-S2-T2),0)</f>
        <v>0</v>
      </c>
      <c r="R2" s="14"/>
      <c r="S2" s="14"/>
      <c r="T2" s="14"/>
      <c r="U2" s="69">
        <f t="shared" ref="U2:U33" si="5">(V2*50%)/(1+50%*V2)</f>
        <v>0</v>
      </c>
      <c r="V2" s="69"/>
      <c r="W2" s="70">
        <v>0.11</v>
      </c>
      <c r="X2" s="15">
        <f t="shared" ref="X2:X33" si="6">(P2+Q2)/G2</f>
        <v>-1.1279620853080568E-3</v>
      </c>
      <c r="Y2" s="16">
        <f>VLOOKUP(C2,台股行情!A:D,4,FALSE)</f>
        <v>604</v>
      </c>
      <c r="Z2" s="38">
        <f>VLOOKUP(C2,台股行情!A:E,5,FALSE)</f>
        <v>-49</v>
      </c>
      <c r="AA2" s="90">
        <f t="shared" ref="AA2:AA33" ca="1" si="7">IF(I2="",((TODAY()-A2)*G2)/365.24,((I2-A2)*G2)/365.24)</f>
        <v>4910.4698280582634</v>
      </c>
      <c r="AB2" s="194" t="s">
        <v>219</v>
      </c>
      <c r="AC2" s="143" t="s">
        <v>1640</v>
      </c>
      <c r="AD2" s="103"/>
    </row>
    <row r="3" spans="1:30" outlineLevel="1">
      <c r="A3" s="99">
        <v>45359</v>
      </c>
      <c r="B3" s="11"/>
      <c r="C3" s="11">
        <v>6176</v>
      </c>
      <c r="D3" s="189" t="str">
        <f>VLOOKUP(C3,台股行情!A:B,2,FALSE)</f>
        <v>瑞儀</v>
      </c>
      <c r="E3" s="11">
        <v>1000</v>
      </c>
      <c r="F3" s="11">
        <v>168.5</v>
      </c>
      <c r="G3" s="11">
        <f t="shared" si="0"/>
        <v>168500</v>
      </c>
      <c r="H3" s="11">
        <v>240</v>
      </c>
      <c r="I3" s="104">
        <v>45366</v>
      </c>
      <c r="J3" s="16">
        <v>173</v>
      </c>
      <c r="K3" s="11">
        <f t="shared" si="1"/>
        <v>173000</v>
      </c>
      <c r="L3" s="17">
        <v>246</v>
      </c>
      <c r="M3" s="11">
        <v>519</v>
      </c>
      <c r="N3" s="11">
        <v>0</v>
      </c>
      <c r="O3" s="13">
        <f t="shared" si="2"/>
        <v>0</v>
      </c>
      <c r="P3" s="14">
        <f t="shared" si="3"/>
        <v>3495</v>
      </c>
      <c r="Q3" s="14">
        <f t="shared" si="4"/>
        <v>0</v>
      </c>
      <c r="R3" s="14"/>
      <c r="S3" s="14"/>
      <c r="T3" s="14"/>
      <c r="U3" s="69">
        <f t="shared" si="5"/>
        <v>0</v>
      </c>
      <c r="V3" s="69"/>
      <c r="W3" s="70">
        <v>0.11</v>
      </c>
      <c r="X3" s="15">
        <f t="shared" si="6"/>
        <v>2.0741839762611274E-2</v>
      </c>
      <c r="Y3" s="16">
        <f>VLOOKUP(C3,台股行情!A:D,4,FALSE)</f>
        <v>91</v>
      </c>
      <c r="Z3" s="38">
        <f>VLOOKUP(C3,台股行情!A:E,5,FALSE)</f>
        <v>-0.7</v>
      </c>
      <c r="AA3" s="90">
        <f t="shared" ca="1" si="7"/>
        <v>3229.3834191216733</v>
      </c>
      <c r="AB3" s="194" t="s">
        <v>219</v>
      </c>
      <c r="AC3" s="194" t="s">
        <v>1638</v>
      </c>
      <c r="AD3" s="103"/>
    </row>
    <row r="4" spans="1:30" outlineLevel="1">
      <c r="A4" s="99">
        <v>45362</v>
      </c>
      <c r="B4" s="11"/>
      <c r="C4" s="11">
        <v>3171</v>
      </c>
      <c r="D4" s="189" t="str">
        <f>VLOOKUP(C4,台股行情!A:B,2,FALSE)</f>
        <v>炎洲流通</v>
      </c>
      <c r="E4" s="11">
        <v>1000</v>
      </c>
      <c r="F4" s="11">
        <v>31.95</v>
      </c>
      <c r="G4" s="11">
        <f t="shared" si="0"/>
        <v>31950</v>
      </c>
      <c r="H4" s="11">
        <v>45</v>
      </c>
      <c r="I4" s="104">
        <v>45380</v>
      </c>
      <c r="J4" s="16">
        <v>30.4</v>
      </c>
      <c r="K4" s="11">
        <f t="shared" si="1"/>
        <v>30400</v>
      </c>
      <c r="L4" s="17">
        <v>43</v>
      </c>
      <c r="M4" s="11">
        <v>91</v>
      </c>
      <c r="N4" s="11">
        <v>0</v>
      </c>
      <c r="O4" s="13">
        <f t="shared" si="2"/>
        <v>0</v>
      </c>
      <c r="P4" s="14">
        <f t="shared" si="3"/>
        <v>-1729</v>
      </c>
      <c r="Q4" s="14">
        <f t="shared" si="4"/>
        <v>0</v>
      </c>
      <c r="R4" s="14"/>
      <c r="S4" s="14"/>
      <c r="T4" s="14"/>
      <c r="U4" s="69">
        <f t="shared" si="5"/>
        <v>0</v>
      </c>
      <c r="V4" s="69"/>
      <c r="W4" s="70">
        <v>0.11</v>
      </c>
      <c r="X4" s="15">
        <f t="shared" si="6"/>
        <v>-5.4115805946791863E-2</v>
      </c>
      <c r="Y4" s="16">
        <f>VLOOKUP(C4,台股行情!A:D,4,FALSE)</f>
        <v>57.8</v>
      </c>
      <c r="Z4" s="38">
        <f>VLOOKUP(C4,台股行情!A:E,5,FALSE)</f>
        <v>-0.7</v>
      </c>
      <c r="AA4" s="90">
        <f t="shared" ca="1" si="7"/>
        <v>1574.5810973606394</v>
      </c>
      <c r="AB4" s="194" t="s">
        <v>2336</v>
      </c>
      <c r="AC4" s="194" t="s">
        <v>2346</v>
      </c>
      <c r="AD4" s="209" t="s">
        <v>2347</v>
      </c>
    </row>
    <row r="5" spans="1:30" outlineLevel="1">
      <c r="A5" s="99">
        <v>45359</v>
      </c>
      <c r="B5" s="11"/>
      <c r="C5" s="11">
        <v>6596</v>
      </c>
      <c r="D5" s="189" t="str">
        <f>VLOOKUP(C5,台股行情!A:B,2,FALSE)</f>
        <v>寬宏藝術</v>
      </c>
      <c r="E5" s="11">
        <v>1000</v>
      </c>
      <c r="F5" s="11">
        <v>60</v>
      </c>
      <c r="G5" s="11">
        <f t="shared" si="0"/>
        <v>60000</v>
      </c>
      <c r="H5" s="11">
        <v>85</v>
      </c>
      <c r="I5" s="104">
        <v>45393</v>
      </c>
      <c r="J5" s="16">
        <v>71</v>
      </c>
      <c r="K5" s="11">
        <f t="shared" si="1"/>
        <v>71000</v>
      </c>
      <c r="L5" s="17">
        <v>101</v>
      </c>
      <c r="M5" s="11">
        <v>213</v>
      </c>
      <c r="N5" s="11">
        <v>0</v>
      </c>
      <c r="O5" s="13">
        <f t="shared" si="2"/>
        <v>0</v>
      </c>
      <c r="P5" s="14">
        <f t="shared" si="3"/>
        <v>15308</v>
      </c>
      <c r="Q5" s="14">
        <f t="shared" si="4"/>
        <v>0</v>
      </c>
      <c r="R5" s="14">
        <v>5300</v>
      </c>
      <c r="S5" s="14">
        <v>10</v>
      </c>
      <c r="T5" s="14"/>
      <c r="U5" s="69">
        <f t="shared" si="5"/>
        <v>0</v>
      </c>
      <c r="V5" s="69"/>
      <c r="W5" s="70">
        <v>0.11</v>
      </c>
      <c r="X5" s="15">
        <f t="shared" si="6"/>
        <v>0.25513333333333332</v>
      </c>
      <c r="Y5" s="16">
        <f>VLOOKUP(C5,台股行情!A:D,4,FALSE)</f>
        <v>95.3</v>
      </c>
      <c r="Z5" s="38">
        <f>VLOOKUP(C5,台股行情!A:E,5,FALSE)</f>
        <v>0</v>
      </c>
      <c r="AA5" s="90">
        <f t="shared" ca="1" si="7"/>
        <v>5585.3685248056072</v>
      </c>
      <c r="AB5" s="194" t="s">
        <v>219</v>
      </c>
      <c r="AD5" s="135"/>
    </row>
    <row r="6" spans="1:30" outlineLevel="1">
      <c r="A6" s="99">
        <v>45390</v>
      </c>
      <c r="B6" s="11"/>
      <c r="C6" s="11">
        <v>6899</v>
      </c>
      <c r="D6" s="189" t="str">
        <f>VLOOKUP(C6,台股行情!A:B,2,FALSE)</f>
        <v>創為精密</v>
      </c>
      <c r="E6" s="11">
        <v>1000</v>
      </c>
      <c r="F6" s="11">
        <v>50</v>
      </c>
      <c r="G6" s="11">
        <f t="shared" si="0"/>
        <v>50000</v>
      </c>
      <c r="H6" s="11">
        <v>50</v>
      </c>
      <c r="I6" s="104">
        <v>45393</v>
      </c>
      <c r="J6" s="16">
        <v>67.3</v>
      </c>
      <c r="K6" s="11">
        <f t="shared" si="1"/>
        <v>67300</v>
      </c>
      <c r="L6" s="17">
        <v>95</v>
      </c>
      <c r="M6" s="11">
        <v>201</v>
      </c>
      <c r="N6" s="11">
        <v>0</v>
      </c>
      <c r="O6" s="13">
        <f t="shared" si="2"/>
        <v>0</v>
      </c>
      <c r="P6" s="14">
        <f t="shared" si="3"/>
        <v>16954</v>
      </c>
      <c r="Q6" s="14">
        <f t="shared" si="4"/>
        <v>0</v>
      </c>
      <c r="R6" s="14"/>
      <c r="S6" s="14"/>
      <c r="T6" s="14"/>
      <c r="U6" s="69">
        <f t="shared" si="5"/>
        <v>0</v>
      </c>
      <c r="V6" s="69"/>
      <c r="W6" s="70">
        <v>0.11</v>
      </c>
      <c r="X6" s="15">
        <f t="shared" si="6"/>
        <v>0.33907999999999999</v>
      </c>
      <c r="Y6" s="16">
        <f>VLOOKUP(C6,台股行情!A:D,4,FALSE)</f>
        <v>48.75</v>
      </c>
      <c r="Z6" s="38">
        <f>VLOOKUP(C6,台股行情!A:E,5,FALSE)</f>
        <v>-0.1</v>
      </c>
      <c r="AA6" s="90">
        <f t="shared" ca="1" si="7"/>
        <v>410.68886211805938</v>
      </c>
      <c r="AB6" s="194" t="s">
        <v>2350</v>
      </c>
      <c r="AD6" s="209"/>
    </row>
    <row r="7" spans="1:30" outlineLevel="1">
      <c r="A7" s="99">
        <v>45383</v>
      </c>
      <c r="B7" s="11"/>
      <c r="C7" s="11">
        <v>1784</v>
      </c>
      <c r="D7" s="189" t="str">
        <f>VLOOKUP(C7,台股行情!A:B,2,FALSE)</f>
        <v>訊聯</v>
      </c>
      <c r="E7" s="11">
        <v>1000</v>
      </c>
      <c r="F7" s="11">
        <v>62.8</v>
      </c>
      <c r="G7" s="11">
        <f t="shared" si="0"/>
        <v>62800</v>
      </c>
      <c r="H7" s="11">
        <v>89</v>
      </c>
      <c r="I7" s="104">
        <v>45418</v>
      </c>
      <c r="J7" s="16">
        <v>67</v>
      </c>
      <c r="K7" s="11">
        <f t="shared" si="1"/>
        <v>67000</v>
      </c>
      <c r="L7" s="17">
        <v>95</v>
      </c>
      <c r="M7" s="11">
        <v>201</v>
      </c>
      <c r="N7" s="11">
        <v>0</v>
      </c>
      <c r="O7" s="13">
        <f t="shared" si="2"/>
        <v>0</v>
      </c>
      <c r="P7" s="14">
        <f t="shared" si="3"/>
        <v>3815</v>
      </c>
      <c r="Q7" s="14">
        <f t="shared" si="4"/>
        <v>0</v>
      </c>
      <c r="R7" s="14"/>
      <c r="S7" s="14"/>
      <c r="T7" s="14"/>
      <c r="U7" s="69">
        <f t="shared" si="5"/>
        <v>0</v>
      </c>
      <c r="V7" s="69"/>
      <c r="W7" s="70">
        <v>0.11</v>
      </c>
      <c r="X7" s="15">
        <f t="shared" si="6"/>
        <v>6.0748407643312102E-2</v>
      </c>
      <c r="Y7" s="16">
        <f>VLOOKUP(C7,台股行情!A:D,4,FALSE)</f>
        <v>56.3</v>
      </c>
      <c r="Z7" s="38">
        <f>VLOOKUP(C7,台股行情!A:E,5,FALSE)</f>
        <v>-1.5</v>
      </c>
      <c r="AA7" s="90">
        <f t="shared" ca="1" si="7"/>
        <v>6017.9607929032964</v>
      </c>
      <c r="AB7" s="194" t="s">
        <v>2336</v>
      </c>
      <c r="AC7" s="194" t="s">
        <v>2346</v>
      </c>
      <c r="AD7" s="209"/>
    </row>
    <row r="8" spans="1:30" outlineLevel="1">
      <c r="A8" s="99">
        <v>45383</v>
      </c>
      <c r="B8" s="11"/>
      <c r="C8" s="11">
        <v>4175</v>
      </c>
      <c r="D8" s="189" t="str">
        <f>VLOOKUP(C8,台股行情!A:B,2,FALSE)</f>
        <v>杏一</v>
      </c>
      <c r="E8" s="11">
        <v>1000</v>
      </c>
      <c r="F8" s="11">
        <v>79.400000000000006</v>
      </c>
      <c r="G8" s="11">
        <f t="shared" si="0"/>
        <v>79400</v>
      </c>
      <c r="H8" s="11">
        <v>113</v>
      </c>
      <c r="I8" s="104">
        <v>45418</v>
      </c>
      <c r="J8" s="16">
        <v>76.8</v>
      </c>
      <c r="K8" s="11">
        <f t="shared" si="1"/>
        <v>76800</v>
      </c>
      <c r="L8" s="17">
        <v>109</v>
      </c>
      <c r="M8" s="11">
        <v>230</v>
      </c>
      <c r="N8" s="11">
        <v>0</v>
      </c>
      <c r="O8" s="13">
        <f t="shared" si="2"/>
        <v>0</v>
      </c>
      <c r="P8" s="14">
        <f t="shared" si="3"/>
        <v>-3052</v>
      </c>
      <c r="Q8" s="14">
        <f t="shared" si="4"/>
        <v>0</v>
      </c>
      <c r="R8" s="14"/>
      <c r="S8" s="14"/>
      <c r="T8" s="14"/>
      <c r="U8" s="69">
        <f t="shared" si="5"/>
        <v>0</v>
      </c>
      <c r="V8" s="69"/>
      <c r="W8" s="70">
        <v>0.11</v>
      </c>
      <c r="X8" s="15">
        <f t="shared" si="6"/>
        <v>-3.8438287153652391E-2</v>
      </c>
      <c r="Y8" s="16">
        <f>VLOOKUP(C8,台股行情!A:D,4,FALSE)</f>
        <v>50.9</v>
      </c>
      <c r="Z8" s="38">
        <f>VLOOKUP(C8,台股行情!A:E,5,FALSE)</f>
        <v>-0.1</v>
      </c>
      <c r="AA8" s="90">
        <f t="shared" ca="1" si="7"/>
        <v>7608.695652173913</v>
      </c>
      <c r="AB8" s="194" t="s">
        <v>2336</v>
      </c>
      <c r="AC8" s="194" t="s">
        <v>2346</v>
      </c>
      <c r="AD8" s="209"/>
    </row>
    <row r="9" spans="1:30" outlineLevel="1">
      <c r="A9" s="99">
        <v>45383</v>
      </c>
      <c r="B9" s="11"/>
      <c r="C9" s="11">
        <v>6263</v>
      </c>
      <c r="D9" s="189" t="str">
        <f>VLOOKUP(C9,台股行情!A:B,2,FALSE)</f>
        <v>普萊德</v>
      </c>
      <c r="E9" s="11">
        <v>1000</v>
      </c>
      <c r="F9" s="11">
        <v>157</v>
      </c>
      <c r="G9" s="11">
        <f t="shared" si="0"/>
        <v>157000</v>
      </c>
      <c r="H9" s="11">
        <v>223</v>
      </c>
      <c r="I9" s="104">
        <v>45420</v>
      </c>
      <c r="J9" s="16">
        <v>159</v>
      </c>
      <c r="K9" s="11">
        <f t="shared" si="1"/>
        <v>159000</v>
      </c>
      <c r="L9" s="17">
        <v>226</v>
      </c>
      <c r="M9" s="11">
        <v>47</v>
      </c>
      <c r="N9" s="11">
        <v>0</v>
      </c>
      <c r="O9" s="13">
        <f t="shared" si="2"/>
        <v>0</v>
      </c>
      <c r="P9" s="14">
        <f t="shared" si="3"/>
        <v>1504</v>
      </c>
      <c r="Q9" s="14">
        <f t="shared" si="4"/>
        <v>0</v>
      </c>
      <c r="R9" s="14"/>
      <c r="S9" s="14"/>
      <c r="T9" s="14"/>
      <c r="U9" s="69">
        <f t="shared" si="5"/>
        <v>0</v>
      </c>
      <c r="V9" s="69"/>
      <c r="W9" s="70">
        <v>0.11</v>
      </c>
      <c r="X9" s="15">
        <f t="shared" si="6"/>
        <v>9.5796178343949042E-3</v>
      </c>
      <c r="Y9" s="16">
        <f>VLOOKUP(C9,台股行情!A:D,4,FALSE)</f>
        <v>173</v>
      </c>
      <c r="Z9" s="38">
        <f>VLOOKUP(C9,台股行情!A:E,5,FALSE)</f>
        <v>-4</v>
      </c>
      <c r="AA9" s="90">
        <f t="shared" ca="1" si="7"/>
        <v>15904.610666958712</v>
      </c>
      <c r="AB9" s="194" t="s">
        <v>2336</v>
      </c>
      <c r="AC9" s="194" t="s">
        <v>2346</v>
      </c>
      <c r="AD9" s="209"/>
    </row>
    <row r="10" spans="1:30" outlineLevel="1">
      <c r="A10" s="99">
        <v>45455</v>
      </c>
      <c r="B10" s="11"/>
      <c r="C10" s="11">
        <v>4588</v>
      </c>
      <c r="D10" s="189" t="str">
        <f>VLOOKUP(C10,台股行情!A:B,2,FALSE)</f>
        <v>玖鼎電力</v>
      </c>
      <c r="E10" s="11">
        <v>1000</v>
      </c>
      <c r="F10" s="11">
        <v>110.5</v>
      </c>
      <c r="G10" s="11">
        <f t="shared" si="0"/>
        <v>110500</v>
      </c>
      <c r="H10" s="11">
        <v>157</v>
      </c>
      <c r="I10" s="104">
        <v>45461</v>
      </c>
      <c r="J10" s="16">
        <v>115</v>
      </c>
      <c r="K10" s="11">
        <f t="shared" si="1"/>
        <v>115000</v>
      </c>
      <c r="L10" s="17">
        <v>163</v>
      </c>
      <c r="M10" s="11">
        <v>345</v>
      </c>
      <c r="N10" s="11">
        <v>0</v>
      </c>
      <c r="O10" s="13">
        <f t="shared" si="2"/>
        <v>0</v>
      </c>
      <c r="P10" s="14">
        <f t="shared" si="3"/>
        <v>3835</v>
      </c>
      <c r="Q10" s="14">
        <f t="shared" si="4"/>
        <v>0</v>
      </c>
      <c r="R10" s="14"/>
      <c r="S10" s="14"/>
      <c r="T10" s="14"/>
      <c r="U10" s="69">
        <f t="shared" si="5"/>
        <v>0</v>
      </c>
      <c r="V10" s="69"/>
      <c r="W10" s="70">
        <v>0.11</v>
      </c>
      <c r="X10" s="15">
        <f t="shared" si="6"/>
        <v>3.4705882352941177E-2</v>
      </c>
      <c r="Y10" s="16">
        <f>VLOOKUP(C10,台股行情!A:D,4,FALSE)</f>
        <v>56.5</v>
      </c>
      <c r="Z10" s="38">
        <f>VLOOKUP(C10,台股行情!A:E,5,FALSE)</f>
        <v>-0.2</v>
      </c>
      <c r="AA10" s="90">
        <f t="shared" ca="1" si="7"/>
        <v>1815.2447705618224</v>
      </c>
      <c r="AB10" s="194" t="s">
        <v>219</v>
      </c>
      <c r="AC10" s="194" t="s">
        <v>2572</v>
      </c>
    </row>
    <row r="11" spans="1:30" outlineLevel="1">
      <c r="A11" s="99">
        <v>45464</v>
      </c>
      <c r="B11" s="11"/>
      <c r="C11" s="11">
        <v>6651</v>
      </c>
      <c r="D11" s="189" t="str">
        <f>VLOOKUP(C11,台股行情!A:B,2,FALSE)</f>
        <v>全宇昕</v>
      </c>
      <c r="E11" s="11">
        <v>1000</v>
      </c>
      <c r="F11" s="11">
        <v>76.8</v>
      </c>
      <c r="G11" s="11">
        <f t="shared" si="0"/>
        <v>76800</v>
      </c>
      <c r="H11" s="11">
        <v>109</v>
      </c>
      <c r="I11" s="104">
        <v>45471</v>
      </c>
      <c r="J11" s="16">
        <v>72.5</v>
      </c>
      <c r="K11" s="11">
        <f t="shared" si="1"/>
        <v>72500</v>
      </c>
      <c r="L11" s="17">
        <v>103</v>
      </c>
      <c r="M11" s="11">
        <v>271</v>
      </c>
      <c r="N11" s="11">
        <v>0</v>
      </c>
      <c r="O11" s="13">
        <f t="shared" si="2"/>
        <v>0</v>
      </c>
      <c r="P11" s="14">
        <f t="shared" si="3"/>
        <v>-1233</v>
      </c>
      <c r="Q11" s="14">
        <f t="shared" si="4"/>
        <v>0</v>
      </c>
      <c r="R11" s="14">
        <v>4000</v>
      </c>
      <c r="S11" s="14">
        <v>10</v>
      </c>
      <c r="T11" s="14"/>
      <c r="U11" s="69">
        <f t="shared" si="5"/>
        <v>0</v>
      </c>
      <c r="V11" s="69"/>
      <c r="W11" s="70">
        <v>0.11</v>
      </c>
      <c r="X11" s="15">
        <f t="shared" si="6"/>
        <v>-1.6054687500000001E-2</v>
      </c>
      <c r="Y11" s="16">
        <f>VLOOKUP(C11,台股行情!A:D,4,FALSE)</f>
        <v>141</v>
      </c>
      <c r="Z11" s="38">
        <f>VLOOKUP(C11,台股行情!A:E,5,FALSE)</f>
        <v>-3</v>
      </c>
      <c r="AA11" s="90">
        <f t="shared" ca="1" si="7"/>
        <v>1471.9088818311247</v>
      </c>
      <c r="AB11" s="194" t="s">
        <v>169</v>
      </c>
      <c r="AC11" s="143" t="s">
        <v>1640</v>
      </c>
      <c r="AD11" s="209"/>
    </row>
    <row r="12" spans="1:30" outlineLevel="1">
      <c r="A12" s="99">
        <v>45469</v>
      </c>
      <c r="B12" s="11"/>
      <c r="C12" s="11">
        <v>1473</v>
      </c>
      <c r="D12" s="189" t="str">
        <f>VLOOKUP(C12,台股行情!A:B,2,FALSE)</f>
        <v>台南</v>
      </c>
      <c r="E12" s="11">
        <v>1000</v>
      </c>
      <c r="F12" s="11">
        <v>48.75</v>
      </c>
      <c r="G12" s="11">
        <f t="shared" si="0"/>
        <v>48750</v>
      </c>
      <c r="H12" s="11">
        <v>69</v>
      </c>
      <c r="I12" s="104">
        <v>45474</v>
      </c>
      <c r="J12" s="16">
        <v>44.5</v>
      </c>
      <c r="K12" s="11">
        <f t="shared" si="1"/>
        <v>44500</v>
      </c>
      <c r="L12" s="17">
        <v>62</v>
      </c>
      <c r="M12" s="11">
        <v>132</v>
      </c>
      <c r="N12" s="11">
        <v>0</v>
      </c>
      <c r="O12" s="13">
        <f t="shared" si="2"/>
        <v>0</v>
      </c>
      <c r="P12" s="14">
        <f t="shared" si="3"/>
        <v>-3455</v>
      </c>
      <c r="Q12" s="14">
        <f t="shared" si="4"/>
        <v>0</v>
      </c>
      <c r="R12" s="14">
        <v>1200</v>
      </c>
      <c r="S12" s="14">
        <v>10</v>
      </c>
      <c r="T12" s="14"/>
      <c r="U12" s="69">
        <f t="shared" si="5"/>
        <v>0</v>
      </c>
      <c r="V12" s="69"/>
      <c r="W12" s="70">
        <v>0.11</v>
      </c>
      <c r="X12" s="15">
        <f t="shared" si="6"/>
        <v>-7.0871794871794874E-2</v>
      </c>
      <c r="Y12" s="16">
        <f>VLOOKUP(C12,台股行情!A:D,4,FALSE)</f>
        <v>18.850000000000001</v>
      </c>
      <c r="Z12" s="38">
        <f>VLOOKUP(C12,台股行情!A:E,5,FALSE)</f>
        <v>-0.15</v>
      </c>
      <c r="AA12" s="90">
        <f t="shared" ca="1" si="7"/>
        <v>667.36940094184649</v>
      </c>
      <c r="AB12" s="194" t="s">
        <v>169</v>
      </c>
      <c r="AC12" s="143" t="s">
        <v>1640</v>
      </c>
      <c r="AD12" s="209"/>
    </row>
    <row r="13" spans="1:30" outlineLevel="1">
      <c r="A13" s="99">
        <v>45455</v>
      </c>
      <c r="B13" s="11"/>
      <c r="C13" s="11">
        <v>6589</v>
      </c>
      <c r="D13" s="189" t="str">
        <f>VLOOKUP(C13,台股行情!A:B,2,FALSE)</f>
        <v>台康生技</v>
      </c>
      <c r="E13" s="11">
        <v>1000</v>
      </c>
      <c r="F13" s="11">
        <v>87.1</v>
      </c>
      <c r="G13" s="11">
        <f t="shared" si="0"/>
        <v>87100</v>
      </c>
      <c r="H13" s="11">
        <v>124</v>
      </c>
      <c r="I13" s="228">
        <v>45482</v>
      </c>
      <c r="J13" s="16">
        <v>90.2</v>
      </c>
      <c r="K13" s="11">
        <f t="shared" si="1"/>
        <v>90200</v>
      </c>
      <c r="L13" s="17">
        <v>128</v>
      </c>
      <c r="M13" s="11">
        <v>270</v>
      </c>
      <c r="N13" s="11">
        <v>0</v>
      </c>
      <c r="O13" s="13">
        <f t="shared" si="2"/>
        <v>0</v>
      </c>
      <c r="P13" s="14">
        <f t="shared" si="3"/>
        <v>2578</v>
      </c>
      <c r="Q13" s="14">
        <f t="shared" si="4"/>
        <v>0</v>
      </c>
      <c r="R13" s="14"/>
      <c r="S13" s="14"/>
      <c r="T13" s="14"/>
      <c r="U13" s="69">
        <f t="shared" si="5"/>
        <v>0</v>
      </c>
      <c r="V13" s="69"/>
      <c r="W13" s="70">
        <v>0.11</v>
      </c>
      <c r="X13" s="15">
        <f t="shared" si="6"/>
        <v>2.9598163030998853E-2</v>
      </c>
      <c r="Y13" s="16">
        <f>VLOOKUP(C13,台股行情!A:D,4,FALSE)</f>
        <v>49.85</v>
      </c>
      <c r="Z13" s="38">
        <f>VLOOKUP(C13,台股行情!A:E,5,FALSE)</f>
        <v>-0.05</v>
      </c>
      <c r="AA13" s="90">
        <f t="shared" ca="1" si="7"/>
        <v>6438.779980286934</v>
      </c>
      <c r="AB13" s="194" t="s">
        <v>219</v>
      </c>
      <c r="AC13" s="194" t="s">
        <v>2577</v>
      </c>
    </row>
    <row r="14" spans="1:30" outlineLevel="1">
      <c r="A14" s="99">
        <v>45455</v>
      </c>
      <c r="B14" s="11"/>
      <c r="C14" s="11">
        <v>1325</v>
      </c>
      <c r="D14" s="189" t="str">
        <f>VLOOKUP(C14,台股行情!A:B,2,FALSE)</f>
        <v>恆大</v>
      </c>
      <c r="E14" s="11">
        <v>2000</v>
      </c>
      <c r="F14" s="11">
        <v>30.6</v>
      </c>
      <c r="G14" s="11">
        <f t="shared" si="0"/>
        <v>61200</v>
      </c>
      <c r="H14" s="11">
        <v>87</v>
      </c>
      <c r="I14" s="228">
        <v>45482</v>
      </c>
      <c r="J14" s="16">
        <v>32.1</v>
      </c>
      <c r="K14" s="11">
        <f t="shared" si="1"/>
        <v>64200</v>
      </c>
      <c r="L14" s="17">
        <v>91</v>
      </c>
      <c r="M14" s="11">
        <v>192</v>
      </c>
      <c r="N14" s="11">
        <v>0</v>
      </c>
      <c r="O14" s="13">
        <f t="shared" si="2"/>
        <v>0</v>
      </c>
      <c r="P14" s="14">
        <f t="shared" si="3"/>
        <v>2630</v>
      </c>
      <c r="Q14" s="14">
        <f t="shared" si="4"/>
        <v>0</v>
      </c>
      <c r="R14" s="14"/>
      <c r="S14" s="14"/>
      <c r="T14" s="14"/>
      <c r="U14" s="69">
        <f t="shared" si="5"/>
        <v>0</v>
      </c>
      <c r="V14" s="69"/>
      <c r="W14" s="70">
        <v>0.11</v>
      </c>
      <c r="X14" s="15">
        <f t="shared" si="6"/>
        <v>4.2973856209150327E-2</v>
      </c>
      <c r="Y14" s="16">
        <f>VLOOKUP(C14,台股行情!A:D,4,FALSE)</f>
        <v>28.65</v>
      </c>
      <c r="Z14" s="38">
        <f>VLOOKUP(C14,台股行情!A:E,5,FALSE)</f>
        <v>-0.35</v>
      </c>
      <c r="AA14" s="90">
        <f t="shared" ca="1" si="7"/>
        <v>4524.1485050925421</v>
      </c>
      <c r="AB14" s="194" t="s">
        <v>219</v>
      </c>
      <c r="AC14" s="194" t="s">
        <v>2577</v>
      </c>
      <c r="AD14" s="209"/>
    </row>
    <row r="15" spans="1:30" outlineLevel="1">
      <c r="A15" s="99">
        <v>45463</v>
      </c>
      <c r="B15" s="11"/>
      <c r="C15" s="11">
        <v>2316</v>
      </c>
      <c r="D15" s="189" t="str">
        <f>VLOOKUP(C15,台股行情!A:B,2,FALSE)</f>
        <v>楠梓電</v>
      </c>
      <c r="E15" s="11">
        <v>1000</v>
      </c>
      <c r="F15" s="11">
        <v>54.8</v>
      </c>
      <c r="G15" s="11">
        <f t="shared" si="0"/>
        <v>54800</v>
      </c>
      <c r="H15" s="11">
        <v>78</v>
      </c>
      <c r="I15" s="104">
        <v>45488</v>
      </c>
      <c r="J15" s="16">
        <v>53.9</v>
      </c>
      <c r="K15" s="11">
        <f t="shared" si="1"/>
        <v>53900</v>
      </c>
      <c r="L15" s="17">
        <v>76</v>
      </c>
      <c r="M15" s="11">
        <v>161</v>
      </c>
      <c r="N15" s="11">
        <v>0</v>
      </c>
      <c r="O15" s="13">
        <f t="shared" si="2"/>
        <v>0</v>
      </c>
      <c r="P15" s="14">
        <f t="shared" si="3"/>
        <v>-780</v>
      </c>
      <c r="Q15" s="14">
        <f t="shared" si="4"/>
        <v>0</v>
      </c>
      <c r="R15" s="14">
        <v>500</v>
      </c>
      <c r="S15" s="14">
        <v>10</v>
      </c>
      <c r="T15" s="14"/>
      <c r="U15" s="69">
        <f t="shared" si="5"/>
        <v>0</v>
      </c>
      <c r="V15" s="69"/>
      <c r="W15" s="70">
        <v>0.11</v>
      </c>
      <c r="X15" s="15">
        <f t="shared" si="6"/>
        <v>-1.4233576642335766E-2</v>
      </c>
      <c r="Y15" s="16">
        <f>VLOOKUP(C15,台股行情!A:D,4,FALSE)</f>
        <v>162.5</v>
      </c>
      <c r="Z15" s="38">
        <f>VLOOKUP(C15,台股行情!A:E,5,FALSE)</f>
        <v>-7</v>
      </c>
      <c r="AA15" s="90">
        <f t="shared" ca="1" si="7"/>
        <v>3750.9582740116089</v>
      </c>
      <c r="AB15" s="194" t="s">
        <v>219</v>
      </c>
      <c r="AC15" s="143" t="s">
        <v>1640</v>
      </c>
      <c r="AD15" s="209"/>
    </row>
    <row r="16" spans="1:30" outlineLevel="1">
      <c r="A16" s="99">
        <v>45482</v>
      </c>
      <c r="B16" s="11"/>
      <c r="C16" s="11">
        <v>9905</v>
      </c>
      <c r="D16" s="189" t="str">
        <f>VLOOKUP(C16,台股行情!A:B,2,FALSE)</f>
        <v>大華</v>
      </c>
      <c r="E16" s="11">
        <v>2000</v>
      </c>
      <c r="F16" s="11">
        <v>24.55</v>
      </c>
      <c r="G16" s="11">
        <f t="shared" si="0"/>
        <v>49100</v>
      </c>
      <c r="H16" s="11">
        <v>69</v>
      </c>
      <c r="I16" s="104">
        <v>45490</v>
      </c>
      <c r="J16" s="16">
        <v>24</v>
      </c>
      <c r="K16" s="11">
        <f t="shared" si="1"/>
        <v>48000</v>
      </c>
      <c r="L16" s="17">
        <v>68</v>
      </c>
      <c r="M16" s="11">
        <v>144</v>
      </c>
      <c r="N16" s="11">
        <v>0</v>
      </c>
      <c r="O16" s="13">
        <f t="shared" si="2"/>
        <v>0</v>
      </c>
      <c r="P16" s="14">
        <f t="shared" si="3"/>
        <v>567</v>
      </c>
      <c r="Q16" s="14">
        <f t="shared" si="4"/>
        <v>0</v>
      </c>
      <c r="R16" s="14">
        <v>2200</v>
      </c>
      <c r="S16" s="14">
        <v>10</v>
      </c>
      <c r="T16" s="14"/>
      <c r="U16" s="69">
        <f t="shared" si="5"/>
        <v>0</v>
      </c>
      <c r="V16" s="69"/>
      <c r="W16" s="70">
        <v>0.11</v>
      </c>
      <c r="X16" s="15">
        <f t="shared" si="6"/>
        <v>1.1547861507128309E-2</v>
      </c>
      <c r="Y16" s="16">
        <f>VLOOKUP(C16,台股行情!A:D,4,FALSE)</f>
        <v>21.3</v>
      </c>
      <c r="Z16" s="38">
        <f>VLOOKUP(C16,台股行情!A:E,5,FALSE)</f>
        <v>0</v>
      </c>
      <c r="AA16" s="90">
        <f t="shared" ca="1" si="7"/>
        <v>1075.4572335998248</v>
      </c>
      <c r="AB16" s="194" t="s">
        <v>169</v>
      </c>
      <c r="AC16" s="194" t="s">
        <v>2584</v>
      </c>
      <c r="AD16" s="209"/>
    </row>
    <row r="17" spans="1:30" outlineLevel="1">
      <c r="A17" s="99">
        <v>45484</v>
      </c>
      <c r="B17" s="11"/>
      <c r="C17" s="11">
        <v>2392</v>
      </c>
      <c r="D17" s="189" t="str">
        <f>VLOOKUP(C17,台股行情!A:B,2,FALSE)</f>
        <v>正崴</v>
      </c>
      <c r="E17" s="11">
        <v>1000</v>
      </c>
      <c r="F17" s="11">
        <v>91.5</v>
      </c>
      <c r="G17" s="11">
        <f t="shared" si="0"/>
        <v>91500</v>
      </c>
      <c r="H17" s="11">
        <v>130</v>
      </c>
      <c r="I17" s="104">
        <v>45490</v>
      </c>
      <c r="J17" s="16">
        <v>83.7</v>
      </c>
      <c r="K17" s="11">
        <f t="shared" si="1"/>
        <v>83700</v>
      </c>
      <c r="L17" s="17">
        <v>119</v>
      </c>
      <c r="M17" s="11">
        <v>251</v>
      </c>
      <c r="N17" s="11">
        <v>0</v>
      </c>
      <c r="O17" s="13">
        <f t="shared" si="2"/>
        <v>0</v>
      </c>
      <c r="P17" s="14">
        <f t="shared" si="3"/>
        <v>-8300</v>
      </c>
      <c r="Q17" s="14">
        <f t="shared" si="4"/>
        <v>0</v>
      </c>
      <c r="R17" s="14"/>
      <c r="S17" s="14"/>
      <c r="T17" s="14"/>
      <c r="U17" s="69">
        <f t="shared" si="5"/>
        <v>0</v>
      </c>
      <c r="V17" s="69"/>
      <c r="W17" s="70">
        <v>0.11</v>
      </c>
      <c r="X17" s="15">
        <f t="shared" si="6"/>
        <v>-9.0710382513661203E-2</v>
      </c>
      <c r="Y17" s="16">
        <f>VLOOKUP(C17,台股行情!A:D,4,FALSE)</f>
        <v>39.75</v>
      </c>
      <c r="Z17" s="38">
        <f>VLOOKUP(C17,台股行情!A:E,5,FALSE)</f>
        <v>-1.35</v>
      </c>
      <c r="AA17" s="90">
        <f t="shared" ca="1" si="7"/>
        <v>1503.1212353520973</v>
      </c>
      <c r="AB17" s="194" t="s">
        <v>219</v>
      </c>
      <c r="AC17" s="143" t="s">
        <v>1640</v>
      </c>
      <c r="AD17" s="209"/>
    </row>
    <row r="18" spans="1:30" outlineLevel="1">
      <c r="A18" s="99">
        <v>45485</v>
      </c>
      <c r="B18" s="11"/>
      <c r="C18" s="11">
        <v>6689</v>
      </c>
      <c r="D18" s="189" t="str">
        <f>VLOOKUP(C18,台股行情!A:B,2,FALSE)</f>
        <v>伊雲谷</v>
      </c>
      <c r="E18" s="11">
        <v>1000</v>
      </c>
      <c r="F18" s="11">
        <v>121.5</v>
      </c>
      <c r="G18" s="11">
        <f t="shared" si="0"/>
        <v>121500</v>
      </c>
      <c r="H18" s="11">
        <v>173</v>
      </c>
      <c r="I18" s="104">
        <v>45506</v>
      </c>
      <c r="J18" s="16">
        <v>108.5</v>
      </c>
      <c r="K18" s="11">
        <f t="shared" si="1"/>
        <v>108500</v>
      </c>
      <c r="L18" s="239">
        <v>154</v>
      </c>
      <c r="M18" s="221">
        <v>325</v>
      </c>
      <c r="N18" s="11">
        <v>0</v>
      </c>
      <c r="O18" s="13">
        <f t="shared" si="2"/>
        <v>0</v>
      </c>
      <c r="P18" s="14">
        <f t="shared" si="3"/>
        <v>-11882</v>
      </c>
      <c r="Q18" s="14">
        <f t="shared" si="4"/>
        <v>0</v>
      </c>
      <c r="R18" s="14">
        <v>2000</v>
      </c>
      <c r="S18" s="14">
        <v>10</v>
      </c>
      <c r="T18" s="14"/>
      <c r="U18" s="69">
        <f t="shared" si="5"/>
        <v>0</v>
      </c>
      <c r="V18" s="69"/>
      <c r="W18" s="70">
        <v>0.11</v>
      </c>
      <c r="X18" s="15">
        <f t="shared" si="6"/>
        <v>-9.7794238683127574E-2</v>
      </c>
      <c r="Y18" s="16">
        <f>VLOOKUP(C18,台股行情!A:D,4,FALSE)</f>
        <v>64.099999999999994</v>
      </c>
      <c r="Z18" s="38">
        <f>VLOOKUP(C18,台股行情!A:E,5,FALSE)</f>
        <v>-0.6</v>
      </c>
      <c r="AA18" s="90">
        <f t="shared" ca="1" si="7"/>
        <v>6985.8175446281894</v>
      </c>
      <c r="AB18" s="194" t="s">
        <v>219</v>
      </c>
      <c r="AC18" s="143" t="s">
        <v>1640</v>
      </c>
      <c r="AD18" s="209"/>
    </row>
    <row r="19" spans="1:30" outlineLevel="1">
      <c r="A19" s="99">
        <v>45482</v>
      </c>
      <c r="B19" s="11"/>
      <c r="C19" s="11">
        <v>2459</v>
      </c>
      <c r="D19" s="189" t="str">
        <f>VLOOKUP(C19,台股行情!A:B,2,FALSE)</f>
        <v>敦吉</v>
      </c>
      <c r="E19" s="11">
        <v>1000</v>
      </c>
      <c r="F19" s="11">
        <v>77</v>
      </c>
      <c r="G19" s="11">
        <f t="shared" si="0"/>
        <v>77000</v>
      </c>
      <c r="H19" s="11">
        <v>109</v>
      </c>
      <c r="I19" s="104">
        <v>45519</v>
      </c>
      <c r="J19" s="16">
        <v>72</v>
      </c>
      <c r="K19" s="11">
        <f t="shared" si="1"/>
        <v>72000</v>
      </c>
      <c r="L19" s="239">
        <v>102</v>
      </c>
      <c r="M19" s="221">
        <v>216</v>
      </c>
      <c r="N19" s="11">
        <v>0</v>
      </c>
      <c r="O19" s="13">
        <f t="shared" si="2"/>
        <v>0</v>
      </c>
      <c r="P19" s="14">
        <f t="shared" si="3"/>
        <v>-1877</v>
      </c>
      <c r="Q19" s="14">
        <f t="shared" si="4"/>
        <v>0</v>
      </c>
      <c r="R19" s="14">
        <v>4000</v>
      </c>
      <c r="S19" s="14">
        <v>10</v>
      </c>
      <c r="T19" s="14"/>
      <c r="U19" s="69">
        <f t="shared" si="5"/>
        <v>0</v>
      </c>
      <c r="V19" s="69"/>
      <c r="W19" s="70">
        <v>0.11</v>
      </c>
      <c r="X19" s="15">
        <f t="shared" si="6"/>
        <v>-2.4376623376623378E-2</v>
      </c>
      <c r="Y19" s="16">
        <f>VLOOKUP(C19,台股行情!A:D,4,FALSE)</f>
        <v>65.2</v>
      </c>
      <c r="Z19" s="38">
        <f>VLOOKUP(C19,台股行情!A:E,5,FALSE)</f>
        <v>-0.3</v>
      </c>
      <c r="AA19" s="90">
        <f t="shared" ca="1" si="7"/>
        <v>7800.3504544956741</v>
      </c>
      <c r="AB19" s="194" t="s">
        <v>169</v>
      </c>
      <c r="AC19" s="143" t="s">
        <v>2591</v>
      </c>
      <c r="AD19" s="209"/>
    </row>
    <row r="20" spans="1:30" outlineLevel="1">
      <c r="A20" s="99">
        <v>45485</v>
      </c>
      <c r="B20" s="11"/>
      <c r="C20" s="11">
        <v>1316</v>
      </c>
      <c r="D20" s="189" t="str">
        <f>VLOOKUP(C20,台股行情!A:B,2,FALSE)</f>
        <v>上曜</v>
      </c>
      <c r="E20" s="11">
        <v>1000</v>
      </c>
      <c r="F20" s="11">
        <v>21.6</v>
      </c>
      <c r="G20" s="11">
        <f t="shared" si="0"/>
        <v>21600</v>
      </c>
      <c r="H20" s="11">
        <v>30</v>
      </c>
      <c r="I20" s="104">
        <v>45530</v>
      </c>
      <c r="J20" s="16">
        <v>19.850000000000001</v>
      </c>
      <c r="K20" s="11">
        <f t="shared" si="1"/>
        <v>19850</v>
      </c>
      <c r="L20" s="17">
        <v>28</v>
      </c>
      <c r="M20" s="11">
        <v>59</v>
      </c>
      <c r="N20" s="11">
        <v>0</v>
      </c>
      <c r="O20" s="13">
        <f t="shared" si="2"/>
        <v>0</v>
      </c>
      <c r="P20" s="14">
        <f t="shared" si="3"/>
        <v>-1867</v>
      </c>
      <c r="Q20" s="14">
        <f t="shared" si="4"/>
        <v>0</v>
      </c>
      <c r="R20" s="14"/>
      <c r="S20" s="14"/>
      <c r="T20" s="14"/>
      <c r="U20" s="69">
        <f t="shared" si="5"/>
        <v>0</v>
      </c>
      <c r="V20" s="69"/>
      <c r="W20" s="70">
        <v>0.11</v>
      </c>
      <c r="X20" s="15">
        <f t="shared" si="6"/>
        <v>-8.6435185185185184E-2</v>
      </c>
      <c r="Y20" s="16">
        <f>VLOOKUP(C20,台股行情!A:D,4,FALSE)</f>
        <v>10.4</v>
      </c>
      <c r="Z20" s="38">
        <f>VLOOKUP(C20,台股行情!A:E,5,FALSE)</f>
        <v>-0.2</v>
      </c>
      <c r="AA20" s="90">
        <f t="shared" ca="1" si="7"/>
        <v>2661.2638265250248</v>
      </c>
      <c r="AB20" s="194" t="s">
        <v>219</v>
      </c>
      <c r="AC20" s="143" t="s">
        <v>1640</v>
      </c>
      <c r="AD20" s="209"/>
    </row>
    <row r="21" spans="1:30" outlineLevel="1">
      <c r="A21" s="99">
        <v>45490</v>
      </c>
      <c r="B21" s="11"/>
      <c r="C21" s="11">
        <v>5263</v>
      </c>
      <c r="D21" s="189" t="str">
        <f>VLOOKUP(C21,台股行情!A:B,2,FALSE)</f>
        <v>智崴</v>
      </c>
      <c r="E21" s="11">
        <v>1000</v>
      </c>
      <c r="F21" s="11">
        <v>186</v>
      </c>
      <c r="G21" s="11">
        <f t="shared" si="0"/>
        <v>186000</v>
      </c>
      <c r="H21" s="11">
        <v>265</v>
      </c>
      <c r="I21" s="104">
        <v>45534</v>
      </c>
      <c r="J21" s="16">
        <v>176.5</v>
      </c>
      <c r="K21" s="11">
        <f t="shared" si="1"/>
        <v>176500</v>
      </c>
      <c r="L21" s="17">
        <v>251</v>
      </c>
      <c r="M21" s="11">
        <v>529</v>
      </c>
      <c r="N21" s="11">
        <v>0</v>
      </c>
      <c r="O21" s="13">
        <f t="shared" si="2"/>
        <v>0</v>
      </c>
      <c r="P21" s="14">
        <f t="shared" si="3"/>
        <v>-10545</v>
      </c>
      <c r="Q21" s="14">
        <f t="shared" si="4"/>
        <v>0</v>
      </c>
      <c r="R21" s="14"/>
      <c r="S21" s="14"/>
      <c r="T21" s="14"/>
      <c r="U21" s="69">
        <f t="shared" si="5"/>
        <v>0</v>
      </c>
      <c r="V21" s="69"/>
      <c r="W21" s="70">
        <v>0.11</v>
      </c>
      <c r="X21" s="15">
        <f t="shared" si="6"/>
        <v>-5.6693548387096775E-2</v>
      </c>
      <c r="Y21" s="16">
        <f>VLOOKUP(C21,台股行情!A:D,4,FALSE)</f>
        <v>89.6</v>
      </c>
      <c r="Z21" s="38">
        <f>VLOOKUP(C21,台股行情!A:E,5,FALSE)</f>
        <v>-0.7</v>
      </c>
      <c r="AA21" s="90">
        <f t="shared" ca="1" si="7"/>
        <v>22407.184317161318</v>
      </c>
      <c r="AB21" s="194" t="s">
        <v>219</v>
      </c>
      <c r="AC21" s="143" t="s">
        <v>1640</v>
      </c>
      <c r="AD21" s="209"/>
    </row>
    <row r="22" spans="1:30" outlineLevel="1">
      <c r="A22" s="99">
        <v>45455</v>
      </c>
      <c r="B22" s="11"/>
      <c r="C22" s="11">
        <v>3374</v>
      </c>
      <c r="D22" s="189" t="str">
        <f>VLOOKUP(C22,台股行情!A:B,2,FALSE)</f>
        <v>精材</v>
      </c>
      <c r="E22" s="11">
        <v>1000</v>
      </c>
      <c r="F22" s="11">
        <v>146.5</v>
      </c>
      <c r="G22" s="11">
        <f t="shared" si="0"/>
        <v>146500</v>
      </c>
      <c r="H22" s="11">
        <v>208</v>
      </c>
      <c r="I22" s="104">
        <v>45540</v>
      </c>
      <c r="J22" s="16">
        <v>233.5</v>
      </c>
      <c r="K22" s="11">
        <f t="shared" si="1"/>
        <v>233500</v>
      </c>
      <c r="L22" s="17">
        <v>332</v>
      </c>
      <c r="M22" s="11">
        <v>700</v>
      </c>
      <c r="N22" s="11">
        <v>0</v>
      </c>
      <c r="O22" s="13">
        <f t="shared" si="2"/>
        <v>0</v>
      </c>
      <c r="P22" s="14">
        <f t="shared" si="3"/>
        <v>87530</v>
      </c>
      <c r="Q22" s="14">
        <f t="shared" si="4"/>
        <v>0</v>
      </c>
      <c r="R22" s="14">
        <v>2000</v>
      </c>
      <c r="S22" s="14">
        <v>10</v>
      </c>
      <c r="T22" s="14"/>
      <c r="U22" s="69">
        <f t="shared" si="5"/>
        <v>0</v>
      </c>
      <c r="V22" s="69"/>
      <c r="W22" s="70">
        <v>0.11</v>
      </c>
      <c r="X22" s="15">
        <f t="shared" si="6"/>
        <v>0.59747440273037544</v>
      </c>
      <c r="Y22" s="16">
        <f>VLOOKUP(C22,台股行情!A:D,4,FALSE)</f>
        <v>452.5</v>
      </c>
      <c r="Z22" s="38">
        <f>VLOOKUP(C22,台股行情!A:E,5,FALSE)</f>
        <v>-46.5</v>
      </c>
      <c r="AA22" s="90">
        <f t="shared" ca="1" si="7"/>
        <v>34094.020370167564</v>
      </c>
      <c r="AB22" s="194" t="s">
        <v>219</v>
      </c>
      <c r="AC22" s="322" t="s">
        <v>2605</v>
      </c>
      <c r="AD22" s="209"/>
    </row>
    <row r="23" spans="1:30" outlineLevel="1">
      <c r="A23" s="99">
        <v>45484</v>
      </c>
      <c r="B23" s="11"/>
      <c r="C23" s="11">
        <v>3284</v>
      </c>
      <c r="D23" s="189" t="s">
        <v>956</v>
      </c>
      <c r="E23" s="11">
        <v>2000</v>
      </c>
      <c r="F23" s="11">
        <v>45.3</v>
      </c>
      <c r="G23" s="11">
        <f t="shared" si="0"/>
        <v>90600</v>
      </c>
      <c r="H23" s="11">
        <v>129</v>
      </c>
      <c r="I23" s="104">
        <v>45544</v>
      </c>
      <c r="J23" s="16">
        <v>51.1</v>
      </c>
      <c r="K23" s="11">
        <f t="shared" si="1"/>
        <v>102200</v>
      </c>
      <c r="L23" s="17">
        <v>145</v>
      </c>
      <c r="M23" s="11">
        <v>306</v>
      </c>
      <c r="N23" s="11">
        <v>0</v>
      </c>
      <c r="O23" s="13">
        <f t="shared" si="2"/>
        <v>0</v>
      </c>
      <c r="P23" s="14">
        <f t="shared" si="3"/>
        <v>13989.72</v>
      </c>
      <c r="Q23" s="14">
        <f t="shared" si="4"/>
        <v>0</v>
      </c>
      <c r="R23" s="14">
        <f>400+2948</f>
        <v>3348</v>
      </c>
      <c r="S23" s="14">
        <v>10</v>
      </c>
      <c r="T23" s="14"/>
      <c r="U23" s="69">
        <f t="shared" si="5"/>
        <v>0</v>
      </c>
      <c r="V23" s="69"/>
      <c r="W23" s="70">
        <v>0.11</v>
      </c>
      <c r="X23" s="15">
        <f t="shared" si="6"/>
        <v>0.15441192052980132</v>
      </c>
      <c r="Y23" s="16">
        <f>VLOOKUP(C23,台股行情!A:D,4,FALSE)</f>
        <v>19.8</v>
      </c>
      <c r="Z23" s="38">
        <f>VLOOKUP(C23,台股行情!A:E,5,FALSE)</f>
        <v>-0.55000000000000004</v>
      </c>
      <c r="AA23" s="90">
        <f t="shared" ca="1" si="7"/>
        <v>14883.364363158471</v>
      </c>
      <c r="AB23" s="194" t="s">
        <v>219</v>
      </c>
      <c r="AC23" s="322" t="s">
        <v>2605</v>
      </c>
      <c r="AD23" s="209"/>
    </row>
    <row r="24" spans="1:30" outlineLevel="1">
      <c r="A24" s="99">
        <v>45499</v>
      </c>
      <c r="B24" s="11"/>
      <c r="C24" s="11">
        <v>5209</v>
      </c>
      <c r="D24" s="189" t="str">
        <f>VLOOKUP(C24,台股行情!A:B,2,FALSE)</f>
        <v>新鼎</v>
      </c>
      <c r="E24" s="11">
        <v>1000</v>
      </c>
      <c r="F24" s="11">
        <v>184</v>
      </c>
      <c r="G24" s="11">
        <f t="shared" si="0"/>
        <v>184000</v>
      </c>
      <c r="H24" s="11">
        <v>262</v>
      </c>
      <c r="I24" s="104">
        <v>45499</v>
      </c>
      <c r="J24" s="16">
        <v>183</v>
      </c>
      <c r="K24" s="11">
        <f t="shared" si="1"/>
        <v>183000</v>
      </c>
      <c r="L24" s="17">
        <v>260</v>
      </c>
      <c r="M24" s="11">
        <v>274</v>
      </c>
      <c r="N24" s="11">
        <v>0</v>
      </c>
      <c r="O24" s="13">
        <f t="shared" si="2"/>
        <v>0</v>
      </c>
      <c r="P24" s="14">
        <f t="shared" si="3"/>
        <v>-1796</v>
      </c>
      <c r="Q24" s="14">
        <f t="shared" si="4"/>
        <v>0</v>
      </c>
      <c r="R24" s="14"/>
      <c r="S24" s="14"/>
      <c r="T24" s="14"/>
      <c r="U24" s="69">
        <f t="shared" si="5"/>
        <v>0</v>
      </c>
      <c r="V24" s="69"/>
      <c r="W24" s="70">
        <v>0.11</v>
      </c>
      <c r="X24" s="15">
        <f t="shared" si="6"/>
        <v>-9.7608695652173921E-3</v>
      </c>
      <c r="Y24" s="16">
        <f>VLOOKUP(C24,台股行情!A:D,4,FALSE)</f>
        <v>185</v>
      </c>
      <c r="Z24" s="38">
        <f>VLOOKUP(C24,台股行情!A:E,5,FALSE)</f>
        <v>-0.5</v>
      </c>
      <c r="AA24" s="90">
        <f t="shared" ca="1" si="7"/>
        <v>0</v>
      </c>
      <c r="AB24" s="194" t="s">
        <v>2634</v>
      </c>
      <c r="AC24" s="143" t="s">
        <v>391</v>
      </c>
      <c r="AD24" s="209"/>
    </row>
    <row r="25" spans="1:30" outlineLevel="1">
      <c r="A25" s="99">
        <v>45499</v>
      </c>
      <c r="B25" s="11"/>
      <c r="C25" s="11">
        <v>1721</v>
      </c>
      <c r="D25" s="189" t="str">
        <f>VLOOKUP(C25,台股行情!A:B,2,FALSE)</f>
        <v>國慶科技</v>
      </c>
      <c r="E25" s="11">
        <v>1000</v>
      </c>
      <c r="F25" s="11">
        <v>25.2</v>
      </c>
      <c r="G25" s="11">
        <f t="shared" si="0"/>
        <v>25200</v>
      </c>
      <c r="H25" s="11">
        <v>35</v>
      </c>
      <c r="I25" s="104">
        <v>45607</v>
      </c>
      <c r="J25" s="16">
        <v>19.600000000000001</v>
      </c>
      <c r="K25" s="11">
        <f t="shared" si="1"/>
        <v>19600</v>
      </c>
      <c r="L25" s="17">
        <v>27</v>
      </c>
      <c r="M25" s="11">
        <v>58</v>
      </c>
      <c r="N25" s="11">
        <v>0</v>
      </c>
      <c r="O25" s="13">
        <f t="shared" si="2"/>
        <v>0</v>
      </c>
      <c r="P25" s="14">
        <f t="shared" si="3"/>
        <v>-5720</v>
      </c>
      <c r="Q25" s="14">
        <f t="shared" si="4"/>
        <v>0</v>
      </c>
      <c r="R25" s="14"/>
      <c r="S25" s="14"/>
      <c r="T25" s="14"/>
      <c r="U25" s="69">
        <f t="shared" si="5"/>
        <v>0</v>
      </c>
      <c r="V25" s="69"/>
      <c r="W25" s="70">
        <v>0.11</v>
      </c>
      <c r="X25" s="15">
        <f t="shared" si="6"/>
        <v>-0.22698412698412698</v>
      </c>
      <c r="Y25" s="16">
        <f>VLOOKUP(C25,台股行情!A:D,4,FALSE)</f>
        <v>25.4</v>
      </c>
      <c r="Z25" s="38">
        <f>VLOOKUP(C25,台股行情!A:E,5,FALSE)</f>
        <v>-1.2</v>
      </c>
      <c r="AA25" s="90">
        <f t="shared" ca="1" si="7"/>
        <v>7451.5387142700692</v>
      </c>
      <c r="AB25" s="194" t="s">
        <v>2635</v>
      </c>
      <c r="AC25" s="143" t="s">
        <v>1640</v>
      </c>
      <c r="AD25" s="209"/>
    </row>
    <row r="26" spans="1:30" outlineLevel="1">
      <c r="A26" s="99">
        <v>45499</v>
      </c>
      <c r="B26" s="11"/>
      <c r="C26" s="11">
        <v>2436</v>
      </c>
      <c r="D26" s="189" t="str">
        <f>VLOOKUP(C26,台股行情!A:B,2,FALSE)</f>
        <v>偉詮電</v>
      </c>
      <c r="E26" s="11">
        <v>1000</v>
      </c>
      <c r="F26" s="11">
        <v>67.099999999999994</v>
      </c>
      <c r="G26" s="11">
        <f t="shared" si="0"/>
        <v>67100</v>
      </c>
      <c r="H26" s="11">
        <v>95</v>
      </c>
      <c r="I26" s="104">
        <v>45607</v>
      </c>
      <c r="J26" s="16">
        <v>53.8</v>
      </c>
      <c r="K26" s="11">
        <f t="shared" si="1"/>
        <v>53800</v>
      </c>
      <c r="L26" s="17">
        <v>76</v>
      </c>
      <c r="M26" s="11">
        <v>161</v>
      </c>
      <c r="N26" s="11">
        <v>0</v>
      </c>
      <c r="O26" s="13">
        <f t="shared" si="2"/>
        <v>0</v>
      </c>
      <c r="P26" s="14">
        <f t="shared" si="3"/>
        <v>-13632</v>
      </c>
      <c r="Q26" s="14">
        <f t="shared" si="4"/>
        <v>0</v>
      </c>
      <c r="R26" s="14"/>
      <c r="S26" s="14"/>
      <c r="T26" s="14"/>
      <c r="U26" s="69">
        <f t="shared" si="5"/>
        <v>0</v>
      </c>
      <c r="V26" s="69"/>
      <c r="W26" s="70">
        <v>0.11</v>
      </c>
      <c r="X26" s="15">
        <f t="shared" si="6"/>
        <v>-0.20315946348733235</v>
      </c>
      <c r="Y26" s="16">
        <f>VLOOKUP(C26,台股行情!A:D,4,FALSE)</f>
        <v>70</v>
      </c>
      <c r="Z26" s="38">
        <f>VLOOKUP(C26,台股行情!A:E,5,FALSE)</f>
        <v>-2</v>
      </c>
      <c r="AA26" s="90">
        <f t="shared" ca="1" si="7"/>
        <v>19841.200306647683</v>
      </c>
      <c r="AB26" s="194" t="s">
        <v>2635</v>
      </c>
      <c r="AC26" s="143" t="s">
        <v>1640</v>
      </c>
      <c r="AD26" s="209"/>
    </row>
    <row r="27" spans="1:30" outlineLevel="1">
      <c r="A27" s="99">
        <v>45383</v>
      </c>
      <c r="B27" s="11"/>
      <c r="C27" s="11">
        <v>1522</v>
      </c>
      <c r="D27" s="189" t="str">
        <f>VLOOKUP(C27,台股行情!A:B,2,FALSE)</f>
        <v>堤維西</v>
      </c>
      <c r="E27" s="11">
        <v>1000</v>
      </c>
      <c r="F27" s="11">
        <v>59.5</v>
      </c>
      <c r="G27" s="11">
        <f>E27*F27</f>
        <v>59500</v>
      </c>
      <c r="H27" s="11">
        <v>85</v>
      </c>
      <c r="I27" s="104">
        <v>45481</v>
      </c>
      <c r="J27" s="16">
        <v>68.2</v>
      </c>
      <c r="K27" s="11">
        <f>E27*J27</f>
        <v>68200</v>
      </c>
      <c r="L27" s="11">
        <v>97</v>
      </c>
      <c r="M27" s="11">
        <v>204</v>
      </c>
      <c r="N27" s="11">
        <v>0</v>
      </c>
      <c r="O27" s="13">
        <f>IF(I27="",E27*Y27,0)</f>
        <v>0</v>
      </c>
      <c r="P27" s="14">
        <f>IF(I27="",R27-H27,(K27-H27-SUM(L27:N27)+R27-S27-T27)-G27)+(ROUND(R27*V27,0)-ROUND(R27*(1+V27),0)*W27)</f>
        <v>8314</v>
      </c>
      <c r="Q27" s="14">
        <f>IF(I27="",(O27-G27-(O27*0.1425%*0.65)-(O27*0.3%)-S27-T27),0)</f>
        <v>0</v>
      </c>
      <c r="R27" s="14"/>
      <c r="S27" s="14"/>
      <c r="T27" s="14"/>
      <c r="U27" s="69">
        <f>(V27*50%)/(1+50%*V27)</f>
        <v>0</v>
      </c>
      <c r="V27" s="69"/>
      <c r="W27" s="70">
        <v>0.11</v>
      </c>
      <c r="X27" s="15">
        <f>(P27+Q27)/G27</f>
        <v>0.13973109243697479</v>
      </c>
      <c r="Y27" s="16">
        <f>VLOOKUP(C27,台股行情!A:D,4,FALSE)</f>
        <v>26.85</v>
      </c>
      <c r="Z27" s="38">
        <f>VLOOKUP(C27,台股行情!A:E,5,FALSE)</f>
        <v>0.15</v>
      </c>
      <c r="AA27" s="90">
        <f ca="1">IF(I27="",((TODAY()-A27)*G27)/365.24,((I27-A27)*G27)/365.24)</f>
        <v>15964.845033402693</v>
      </c>
      <c r="AB27" s="103" t="s">
        <v>2332</v>
      </c>
      <c r="AC27" s="311"/>
      <c r="AD27" s="209"/>
    </row>
    <row r="28" spans="1:30" ht="33">
      <c r="A28" s="329">
        <v>45631</v>
      </c>
      <c r="B28" s="11"/>
      <c r="C28" s="11">
        <v>7722</v>
      </c>
      <c r="D28" s="189" t="str">
        <f>VLOOKUP(C28,台股行情!A:B,2,FALSE)</f>
        <v>LINEPAY</v>
      </c>
      <c r="E28" s="11">
        <v>1000</v>
      </c>
      <c r="F28" s="11">
        <v>508</v>
      </c>
      <c r="G28" s="11">
        <f t="shared" si="0"/>
        <v>508000</v>
      </c>
      <c r="H28" s="11">
        <v>70</v>
      </c>
      <c r="I28" s="328">
        <v>45663</v>
      </c>
      <c r="J28" s="16">
        <v>512</v>
      </c>
      <c r="K28" s="11">
        <f t="shared" si="1"/>
        <v>512000</v>
      </c>
      <c r="L28" s="17">
        <v>729</v>
      </c>
      <c r="M28" s="11">
        <v>1536</v>
      </c>
      <c r="N28" s="11">
        <v>1</v>
      </c>
      <c r="O28" s="13">
        <f t="shared" si="2"/>
        <v>0</v>
      </c>
      <c r="P28" s="14">
        <f t="shared" si="3"/>
        <v>1664</v>
      </c>
      <c r="Q28" s="14">
        <f t="shared" si="4"/>
        <v>0</v>
      </c>
      <c r="R28" s="14"/>
      <c r="S28" s="14"/>
      <c r="T28" s="14"/>
      <c r="U28" s="69">
        <f t="shared" si="5"/>
        <v>0</v>
      </c>
      <c r="V28" s="69"/>
      <c r="W28" s="70">
        <v>0.11</v>
      </c>
      <c r="X28" s="15">
        <f t="shared" si="6"/>
        <v>3.2755905511811022E-3</v>
      </c>
      <c r="Y28" s="16">
        <f>VLOOKUP(C28,台股行情!A:D,4,FALSE)</f>
        <v>258</v>
      </c>
      <c r="Z28" s="38">
        <f>VLOOKUP(C28,台股行情!A:E,5,FALSE)</f>
        <v>-2.5</v>
      </c>
      <c r="AA28" s="90">
        <f t="shared" ca="1" si="7"/>
        <v>44507.720950607822</v>
      </c>
      <c r="AB28" s="194" t="s">
        <v>2350</v>
      </c>
      <c r="AC28" s="323" t="s">
        <v>2784</v>
      </c>
      <c r="AD28" s="209"/>
    </row>
    <row r="29" spans="1:30">
      <c r="A29" s="99">
        <v>45469</v>
      </c>
      <c r="B29" s="11"/>
      <c r="C29" s="11">
        <v>5209</v>
      </c>
      <c r="D29" s="189" t="str">
        <f>VLOOKUP(C29,台股行情!A:B,2,FALSE)</f>
        <v>新鼎</v>
      </c>
      <c r="E29" s="11">
        <v>1000</v>
      </c>
      <c r="F29" s="11">
        <v>200</v>
      </c>
      <c r="G29" s="11">
        <f t="shared" si="0"/>
        <v>200000</v>
      </c>
      <c r="H29" s="11">
        <v>285</v>
      </c>
      <c r="I29" s="328">
        <v>45663</v>
      </c>
      <c r="J29" s="16">
        <v>173</v>
      </c>
      <c r="K29" s="11">
        <f t="shared" si="1"/>
        <v>173000</v>
      </c>
      <c r="L29" s="17">
        <v>246</v>
      </c>
      <c r="M29" s="11">
        <v>519</v>
      </c>
      <c r="N29" s="11">
        <v>0</v>
      </c>
      <c r="O29" s="13">
        <f t="shared" si="2"/>
        <v>0</v>
      </c>
      <c r="P29" s="14">
        <f t="shared" si="3"/>
        <v>-18705.21</v>
      </c>
      <c r="Q29" s="14">
        <f t="shared" si="4"/>
        <v>0</v>
      </c>
      <c r="R29" s="14">
        <v>10511</v>
      </c>
      <c r="S29" s="14">
        <v>10</v>
      </c>
      <c r="T29" s="14"/>
      <c r="U29" s="69">
        <f t="shared" si="5"/>
        <v>0</v>
      </c>
      <c r="V29" s="69"/>
      <c r="W29" s="70">
        <v>0.11</v>
      </c>
      <c r="X29" s="15">
        <f t="shared" si="6"/>
        <v>-9.3526049999999999E-2</v>
      </c>
      <c r="Y29" s="16">
        <f>VLOOKUP(C29,台股行情!A:D,4,FALSE)</f>
        <v>185</v>
      </c>
      <c r="Z29" s="38">
        <f>VLOOKUP(C29,台股行情!A:E,5,FALSE)</f>
        <v>-0.5</v>
      </c>
      <c r="AA29" s="90">
        <f t="shared" ca="1" si="7"/>
        <v>106231.51900120468</v>
      </c>
      <c r="AB29" s="194" t="s">
        <v>169</v>
      </c>
      <c r="AC29" s="143" t="s">
        <v>2783</v>
      </c>
      <c r="AD29" s="209"/>
    </row>
    <row r="30" spans="1:30">
      <c r="A30" s="99">
        <v>45338</v>
      </c>
      <c r="B30" s="11"/>
      <c r="C30" s="11">
        <v>929</v>
      </c>
      <c r="D30" s="189" t="str">
        <f>VLOOKUP(C30,台股行情!A:B,2,FALSE)</f>
        <v>復華台灣科技優息</v>
      </c>
      <c r="E30" s="11">
        <v>1000</v>
      </c>
      <c r="F30" s="11">
        <v>18.95</v>
      </c>
      <c r="G30" s="11">
        <f t="shared" si="0"/>
        <v>18950</v>
      </c>
      <c r="H30" s="11">
        <v>27</v>
      </c>
      <c r="I30" s="328">
        <v>45664</v>
      </c>
      <c r="J30" s="16">
        <v>18.329999999999998</v>
      </c>
      <c r="K30" s="11">
        <f t="shared" si="1"/>
        <v>18330</v>
      </c>
      <c r="L30" s="17">
        <v>26</v>
      </c>
      <c r="M30" s="11">
        <v>18</v>
      </c>
      <c r="N30" s="11">
        <v>0</v>
      </c>
      <c r="O30" s="13">
        <f t="shared" si="2"/>
        <v>0</v>
      </c>
      <c r="P30" s="14">
        <f t="shared" si="3"/>
        <v>7945.4</v>
      </c>
      <c r="Q30" s="14">
        <f t="shared" si="4"/>
        <v>0</v>
      </c>
      <c r="R30" s="14">
        <f>1600+1600+1440+1440+1280+1120+880+400</f>
        <v>9760</v>
      </c>
      <c r="S30" s="14">
        <v>50</v>
      </c>
      <c r="T30" s="14"/>
      <c r="U30" s="69">
        <f t="shared" si="5"/>
        <v>0</v>
      </c>
      <c r="V30" s="69"/>
      <c r="W30" s="70">
        <v>0.11</v>
      </c>
      <c r="X30" s="15">
        <f t="shared" si="6"/>
        <v>0.41928232189973613</v>
      </c>
      <c r="Y30" s="16">
        <f>VLOOKUP(C30,台股行情!A:D,4,FALSE)</f>
        <v>29.72</v>
      </c>
      <c r="Z30" s="38">
        <f>VLOOKUP(C30,台股行情!A:E,5,FALSE)</f>
        <v>-0.48</v>
      </c>
      <c r="AA30" s="90">
        <f t="shared" ca="1" si="7"/>
        <v>16914.083890044902</v>
      </c>
      <c r="AB30" s="194" t="s">
        <v>2266</v>
      </c>
      <c r="AC30" s="194" t="s">
        <v>2703</v>
      </c>
      <c r="AD30" s="206" t="s">
        <v>2334</v>
      </c>
    </row>
    <row r="31" spans="1:30">
      <c r="A31" s="99">
        <v>45468</v>
      </c>
      <c r="B31" s="11"/>
      <c r="C31" s="11">
        <v>2850</v>
      </c>
      <c r="D31" s="189" t="str">
        <f>VLOOKUP(C31,台股行情!A:B,2,FALSE)</f>
        <v>新產</v>
      </c>
      <c r="E31" s="11">
        <v>1000</v>
      </c>
      <c r="F31" s="11">
        <v>101</v>
      </c>
      <c r="G31" s="11">
        <f t="shared" si="0"/>
        <v>101000</v>
      </c>
      <c r="H31" s="11">
        <v>143</v>
      </c>
      <c r="I31" s="308">
        <v>45696</v>
      </c>
      <c r="J31" s="16">
        <v>102.5</v>
      </c>
      <c r="K31" s="11">
        <f t="shared" si="1"/>
        <v>102500</v>
      </c>
      <c r="L31" s="17">
        <v>146</v>
      </c>
      <c r="M31" s="11">
        <v>307</v>
      </c>
      <c r="N31" s="11">
        <v>0</v>
      </c>
      <c r="O31" s="13">
        <f t="shared" si="2"/>
        <v>0</v>
      </c>
      <c r="P31" s="14">
        <f t="shared" si="3"/>
        <v>904</v>
      </c>
      <c r="Q31" s="14">
        <f t="shared" si="4"/>
        <v>0</v>
      </c>
      <c r="R31" s="14"/>
      <c r="S31" s="14"/>
      <c r="T31" s="14"/>
      <c r="U31" s="69">
        <f t="shared" si="5"/>
        <v>0</v>
      </c>
      <c r="V31" s="69"/>
      <c r="W31" s="70">
        <v>0.11</v>
      </c>
      <c r="X31" s="15">
        <f t="shared" si="6"/>
        <v>8.9504950495049498E-3</v>
      </c>
      <c r="Y31" s="16">
        <f>VLOOKUP(C31,台股行情!A:D,4,FALSE)</f>
        <v>173</v>
      </c>
      <c r="Z31" s="38">
        <f>VLOOKUP(C31,台股行情!A:E,5,FALSE)</f>
        <v>5</v>
      </c>
      <c r="AA31" s="90">
        <f t="shared" ca="1" si="7"/>
        <v>63048.954112364474</v>
      </c>
      <c r="AB31" s="194" t="s">
        <v>219</v>
      </c>
      <c r="AC31" s="322" t="s">
        <v>2577</v>
      </c>
      <c r="AD31" s="209"/>
    </row>
    <row r="32" spans="1:30">
      <c r="A32" s="99">
        <v>45499</v>
      </c>
      <c r="B32" s="11"/>
      <c r="C32" s="11">
        <v>2615</v>
      </c>
      <c r="D32" s="189" t="str">
        <f>VLOOKUP(C32,台股行情!A:B,2,FALSE)</f>
        <v>萬海</v>
      </c>
      <c r="E32" s="11">
        <v>1000</v>
      </c>
      <c r="F32" s="11">
        <v>100.5</v>
      </c>
      <c r="G32" s="11">
        <f t="shared" si="0"/>
        <v>100500</v>
      </c>
      <c r="H32" s="11">
        <v>143</v>
      </c>
      <c r="I32" s="308">
        <v>45721</v>
      </c>
      <c r="J32" s="16">
        <v>84.6</v>
      </c>
      <c r="K32" s="11">
        <f t="shared" si="1"/>
        <v>84600</v>
      </c>
      <c r="L32" s="11">
        <v>120</v>
      </c>
      <c r="M32" s="11">
        <v>253</v>
      </c>
      <c r="N32" s="11">
        <v>0</v>
      </c>
      <c r="O32" s="13">
        <f t="shared" si="2"/>
        <v>0</v>
      </c>
      <c r="P32" s="14">
        <f t="shared" si="3"/>
        <v>-16416</v>
      </c>
      <c r="Q32" s="14">
        <f t="shared" si="4"/>
        <v>0</v>
      </c>
      <c r="R32" s="14"/>
      <c r="S32" s="14"/>
      <c r="T32" s="14"/>
      <c r="U32" s="69">
        <f t="shared" si="5"/>
        <v>0</v>
      </c>
      <c r="V32" s="69"/>
      <c r="W32" s="70">
        <v>0.11</v>
      </c>
      <c r="X32" s="15">
        <f t="shared" si="6"/>
        <v>-0.16334328358208955</v>
      </c>
      <c r="Y32" s="16">
        <f>VLOOKUP(C32,台股行情!A:D,4,FALSE)</f>
        <v>119</v>
      </c>
      <c r="Z32" s="38">
        <f>VLOOKUP(C32,台股行情!A:E,5,FALSE)</f>
        <v>-6</v>
      </c>
      <c r="AA32" s="90">
        <f t="shared" ca="1" si="7"/>
        <v>61085.861351440144</v>
      </c>
      <c r="AB32" s="194" t="s">
        <v>219</v>
      </c>
      <c r="AC32" s="143" t="s">
        <v>2735</v>
      </c>
      <c r="AD32" s="209"/>
    </row>
    <row r="33" spans="1:30">
      <c r="A33" s="99">
        <v>45469</v>
      </c>
      <c r="B33" s="11"/>
      <c r="C33" s="11">
        <v>2603</v>
      </c>
      <c r="D33" s="189" t="str">
        <f>VLOOKUP(C33,台股行情!A:B,2,FALSE)</f>
        <v>長榮</v>
      </c>
      <c r="E33" s="11">
        <v>1000</v>
      </c>
      <c r="F33" s="11">
        <v>201</v>
      </c>
      <c r="G33" s="11">
        <f t="shared" si="0"/>
        <v>201000</v>
      </c>
      <c r="H33" s="11">
        <v>286</v>
      </c>
      <c r="I33" s="308">
        <v>45868</v>
      </c>
      <c r="J33" s="16">
        <v>200</v>
      </c>
      <c r="K33" s="11">
        <f t="shared" si="1"/>
        <v>200000</v>
      </c>
      <c r="L33" s="11">
        <v>285</v>
      </c>
      <c r="M33" s="11">
        <v>600</v>
      </c>
      <c r="N33" s="11">
        <v>0</v>
      </c>
      <c r="O33" s="13">
        <f t="shared" si="2"/>
        <v>0</v>
      </c>
      <c r="P33" s="14">
        <f t="shared" si="3"/>
        <v>35602.85</v>
      </c>
      <c r="Q33" s="14">
        <f t="shared" si="4"/>
        <v>0</v>
      </c>
      <c r="R33" s="14">
        <f>9965+32500</f>
        <v>42465</v>
      </c>
      <c r="S33" s="14">
        <v>20</v>
      </c>
      <c r="T33" s="14"/>
      <c r="U33" s="69">
        <f t="shared" si="5"/>
        <v>0</v>
      </c>
      <c r="V33" s="69"/>
      <c r="W33" s="70">
        <v>0.11</v>
      </c>
      <c r="X33" s="15">
        <f t="shared" si="6"/>
        <v>0.17712860696517413</v>
      </c>
      <c r="Y33" s="16">
        <f>VLOOKUP(C33,台股行情!A:D,4,FALSE)</f>
        <v>257</v>
      </c>
      <c r="Z33" s="38">
        <f>VLOOKUP(C33,台股行情!A:E,5,FALSE)</f>
        <v>-6</v>
      </c>
      <c r="AA33" s="90">
        <f t="shared" ca="1" si="7"/>
        <v>219578.9070200416</v>
      </c>
      <c r="AB33" s="194" t="s">
        <v>169</v>
      </c>
      <c r="AC33" s="194" t="s">
        <v>129</v>
      </c>
      <c r="AD33" s="209"/>
    </row>
    <row r="34" spans="1:30">
      <c r="A34" s="99">
        <v>45463</v>
      </c>
      <c r="B34" s="11"/>
      <c r="C34" s="11">
        <v>2382</v>
      </c>
      <c r="D34" s="189" t="str">
        <f>VLOOKUP(C34,台股行情!A:B,2,FALSE)</f>
        <v>廣達</v>
      </c>
      <c r="E34" s="11">
        <v>1000</v>
      </c>
      <c r="F34" s="11">
        <v>320</v>
      </c>
      <c r="G34" s="11">
        <f>E34*F34</f>
        <v>320000</v>
      </c>
      <c r="H34" s="11">
        <v>456</v>
      </c>
      <c r="I34" s="308">
        <v>46090</v>
      </c>
      <c r="J34" s="16">
        <v>275</v>
      </c>
      <c r="K34" s="11">
        <f>E34*J34</f>
        <v>275000</v>
      </c>
      <c r="L34" s="11">
        <v>391</v>
      </c>
      <c r="M34" s="11">
        <v>825</v>
      </c>
      <c r="N34" s="11">
        <v>0</v>
      </c>
      <c r="O34" s="13">
        <f>IF(I34="",E34*Y34,0)</f>
        <v>0</v>
      </c>
      <c r="P34" s="14">
        <f>IF(I34="",R34-H34,(K34-H34-SUM(L34:N34)+R34-S34-T34)-G34)+(ROUND(R34*V34,0)-ROUND(R34*(1+V34),0)*W34)</f>
        <v>-35112</v>
      </c>
      <c r="Q34" s="14">
        <f>IF(I34="",(O34-G34-(O34*0.1425%*0.65)-(O34*0.3%)-S34-T34),0)</f>
        <v>0</v>
      </c>
      <c r="R34" s="14">
        <v>13000</v>
      </c>
      <c r="S34" s="14">
        <v>10</v>
      </c>
      <c r="T34" s="14"/>
      <c r="U34" s="69">
        <f>(V34*50%)/(1+50%*V34)</f>
        <v>0</v>
      </c>
      <c r="V34" s="69"/>
      <c r="W34" s="70">
        <v>0.11</v>
      </c>
      <c r="X34" s="15">
        <f>(P34+Q34)/G34</f>
        <v>-0.109725</v>
      </c>
      <c r="Y34" s="16">
        <f>VLOOKUP(C34,台股行情!A:D,4,FALSE)</f>
        <v>316.5</v>
      </c>
      <c r="Z34" s="38">
        <f>VLOOKUP(C34,台股行情!A:E,5,FALSE)</f>
        <v>-6.5</v>
      </c>
      <c r="AA34" s="90">
        <f ca="1">IF(I34="",((TODAY()-A34)*G34)/365.24,((I34-A34)*G34)/365.24)</f>
        <v>549337.4219691162</v>
      </c>
      <c r="AB34" s="103" t="s">
        <v>219</v>
      </c>
      <c r="AC34" s="310" t="s">
        <v>3073</v>
      </c>
      <c r="AD34" s="338" t="s">
        <v>3008</v>
      </c>
    </row>
    <row r="35" spans="1:30">
      <c r="A35" s="99">
        <v>45482</v>
      </c>
      <c r="B35" s="11"/>
      <c r="C35" s="11">
        <v>3050</v>
      </c>
      <c r="D35" s="189" t="str">
        <f>VLOOKUP(C35,台股行情!A:B,2,FALSE)</f>
        <v>鈺德</v>
      </c>
      <c r="E35" s="11">
        <v>3000</v>
      </c>
      <c r="F35" s="11">
        <v>28.7</v>
      </c>
      <c r="G35" s="11">
        <f>E35*F35</f>
        <v>86100</v>
      </c>
      <c r="H35" s="11">
        <v>122</v>
      </c>
      <c r="I35" s="308">
        <v>46133</v>
      </c>
      <c r="J35" s="16">
        <v>13.2</v>
      </c>
      <c r="K35" s="11">
        <f>E35*J35</f>
        <v>39600</v>
      </c>
      <c r="L35" s="11">
        <f>ROUND(J35*E35*0.1425%,0)</f>
        <v>56</v>
      </c>
      <c r="M35" s="11">
        <v>118</v>
      </c>
      <c r="N35" s="11">
        <v>0</v>
      </c>
      <c r="O35" s="13">
        <f>IF(I35="",E35*Y35,0)</f>
        <v>0</v>
      </c>
      <c r="P35" s="14">
        <f>IF(I35="",R35-H35,(K35-H35-SUM(L35:N35)+R35-S35-T35)-G35)+(ROUND(R35*V35,0)-ROUND(R35*(1+V35),0)*W35)</f>
        <v>-44146</v>
      </c>
      <c r="Q35" s="14">
        <f>IF(I35="",(O35-G35-(O35*0.1425%*0.65)-(O35*0.3%)-S35-T35),0)</f>
        <v>0</v>
      </c>
      <c r="R35" s="14">
        <f>1500+1500</f>
        <v>3000</v>
      </c>
      <c r="S35" s="14">
        <v>20</v>
      </c>
      <c r="T35" s="14">
        <f>IF(ROUND(R35*(1+V35),0)&gt;20000,ROUND(ROUND(R35*(1+V35),0)*2%,0),0)</f>
        <v>0</v>
      </c>
      <c r="U35" s="69">
        <f>(V35*50%)/(1+50%*V35)</f>
        <v>0</v>
      </c>
      <c r="V35" s="69"/>
      <c r="W35" s="70">
        <v>0.11</v>
      </c>
      <c r="X35" s="15">
        <f>(P35+Q35)/G35</f>
        <v>-0.51272938443670146</v>
      </c>
      <c r="Y35" s="16">
        <f>VLOOKUP(C35,台股行情!A:D,4,FALSE)</f>
        <v>11.45</v>
      </c>
      <c r="Z35" s="38">
        <f>VLOOKUP(C35,台股行情!A:E,5,FALSE)</f>
        <v>-0.25</v>
      </c>
      <c r="AA35" s="90">
        <f ca="1">IF(I35="",((TODAY()-A35)*G35)/365.24,((I35-A35)*G35)/365.24)</f>
        <v>153463.7498631037</v>
      </c>
      <c r="AB35" s="103" t="s">
        <v>2332</v>
      </c>
      <c r="AC35" s="311"/>
    </row>
    <row r="36" spans="1:30">
      <c r="A36" s="99">
        <v>45341</v>
      </c>
      <c r="B36" s="11"/>
      <c r="C36" s="11">
        <v>4909</v>
      </c>
      <c r="D36" s="189" t="str">
        <f>VLOOKUP(C36,台股行情!A:B,2,FALSE)</f>
        <v>新復興</v>
      </c>
      <c r="E36" s="11">
        <v>1000</v>
      </c>
      <c r="F36" s="11">
        <v>52.2</v>
      </c>
      <c r="G36" s="11">
        <f>E36*F36</f>
        <v>52200</v>
      </c>
      <c r="H36" s="11">
        <v>74</v>
      </c>
      <c r="I36" s="308">
        <v>46134</v>
      </c>
      <c r="J36" s="16">
        <v>64.099999999999994</v>
      </c>
      <c r="K36" s="11">
        <f>E36*J36</f>
        <v>64099.999999999993</v>
      </c>
      <c r="L36" s="11">
        <f>ROUND(J36*E36*0.1425%,0)</f>
        <v>91</v>
      </c>
      <c r="M36" s="11">
        <f>ROUND(J36*E36*0.3%,0)</f>
        <v>192</v>
      </c>
      <c r="N36" s="11">
        <v>0</v>
      </c>
      <c r="O36" s="13">
        <f>IF(I36="",E36*Y36,0)</f>
        <v>0</v>
      </c>
      <c r="P36" s="14">
        <f>IF(I36="",R36-H36,(K36-H36-SUM(L36:N36)+R36-S36-T36)-G36)+(ROUND(R36*V36,0)-ROUND(R36*(1+V36),0)*W36)</f>
        <v>17308</v>
      </c>
      <c r="Q36" s="14">
        <f>IF(I36="",(O36-G36-(O36*0.1425%*0.65)-(O36*0.3%)-S36-T36),0)</f>
        <v>0</v>
      </c>
      <c r="R36" s="14">
        <f>500+6000</f>
        <v>6500</v>
      </c>
      <c r="S36" s="14">
        <v>20</v>
      </c>
      <c r="T36" s="14">
        <f>IF(ROUND(R36*(1+V36),0)&gt;20000,ROUND(ROUND(R36*(1+V36),0)*2%,0),0)</f>
        <v>0</v>
      </c>
      <c r="U36" s="69">
        <f>(V36*50%)/(1+50%*V36)</f>
        <v>0</v>
      </c>
      <c r="V36" s="69"/>
      <c r="W36" s="70">
        <v>0.11</v>
      </c>
      <c r="X36" s="15">
        <f>(P36+Q36)/G36</f>
        <v>0.33157088122605366</v>
      </c>
      <c r="Y36" s="16">
        <f>VLOOKUP(C36,台股行情!A:D,4,FALSE)</f>
        <v>35.4</v>
      </c>
      <c r="Z36" s="38">
        <f>VLOOKUP(C36,台股行情!A:E,5,FALSE)</f>
        <v>-1.35</v>
      </c>
      <c r="AA36" s="90">
        <f ca="1">IF(I36="",((TODAY()-A36)*G36)/365.24,((I36-A36)*G36)/365.24)</f>
        <v>113335.34114554813</v>
      </c>
      <c r="AB36" s="103" t="s">
        <v>2332</v>
      </c>
      <c r="AC36" s="311"/>
    </row>
    <row r="37" spans="1:30">
      <c r="A37" s="99"/>
      <c r="B37" s="11"/>
      <c r="C37" s="11"/>
      <c r="D37" s="189"/>
      <c r="E37" s="11"/>
      <c r="F37" s="11"/>
      <c r="G37" s="11"/>
      <c r="H37" s="11"/>
      <c r="I37" s="104"/>
      <c r="J37" s="16"/>
      <c r="K37" s="11"/>
      <c r="L37" s="17"/>
      <c r="M37" s="11"/>
      <c r="N37" s="11"/>
      <c r="O37" s="13"/>
      <c r="P37" s="14"/>
      <c r="Q37" s="14"/>
      <c r="R37" s="14"/>
      <c r="S37" s="14"/>
      <c r="T37" s="14"/>
      <c r="U37" s="69"/>
      <c r="V37" s="69"/>
      <c r="W37" s="70"/>
      <c r="X37" s="15"/>
      <c r="Y37" s="16"/>
      <c r="Z37" s="38"/>
      <c r="AA37" s="90"/>
      <c r="AC37" s="143"/>
    </row>
    <row r="38" spans="1:30">
      <c r="A38" s="39"/>
      <c r="B38" s="40"/>
      <c r="C38" s="40"/>
      <c r="D38" s="191"/>
      <c r="E38" s="40"/>
      <c r="F38" s="40"/>
      <c r="G38" s="40"/>
      <c r="H38" s="40"/>
      <c r="I38" s="41"/>
      <c r="J38" s="42"/>
      <c r="K38" s="40"/>
      <c r="L38" s="43"/>
      <c r="M38" s="40"/>
      <c r="N38" s="40"/>
      <c r="O38" s="44"/>
      <c r="P38" s="45"/>
      <c r="Q38" s="45"/>
      <c r="R38" s="45"/>
      <c r="S38" s="45"/>
      <c r="T38" s="45"/>
      <c r="U38" s="73"/>
      <c r="V38" s="73"/>
      <c r="W38" s="76"/>
      <c r="X38" s="46"/>
      <c r="Y38" s="42"/>
      <c r="Z38" s="47"/>
      <c r="AA38" s="90"/>
    </row>
    <row r="39" spans="1:30">
      <c r="A39" s="10"/>
      <c r="B39" s="11"/>
      <c r="C39" s="11"/>
      <c r="D39" s="189"/>
      <c r="E39" s="11"/>
      <c r="F39" s="11"/>
      <c r="G39" s="11"/>
      <c r="H39" s="11"/>
      <c r="I39" s="12"/>
      <c r="J39" s="11"/>
      <c r="K39" s="11"/>
      <c r="L39" s="11"/>
      <c r="M39" s="11"/>
      <c r="N39" s="11"/>
      <c r="O39" s="13"/>
      <c r="P39" s="14"/>
      <c r="Q39" s="14"/>
      <c r="R39" s="14"/>
      <c r="S39" s="14"/>
      <c r="T39" s="14"/>
      <c r="U39" s="14"/>
      <c r="V39" s="69"/>
      <c r="W39" s="70"/>
      <c r="X39" s="15"/>
      <c r="Y39" s="16"/>
      <c r="Z39" s="38"/>
      <c r="AA39" s="90"/>
    </row>
    <row r="40" spans="1:30">
      <c r="A40" s="18">
        <f>MIN(A41:A41)</f>
        <v>0</v>
      </c>
      <c r="B40" s="19"/>
      <c r="C40" s="20"/>
      <c r="D40" s="192"/>
      <c r="E40" s="19"/>
      <c r="F40" s="19"/>
      <c r="G40" s="19"/>
      <c r="H40" s="19"/>
      <c r="I40" s="21"/>
      <c r="J40" s="22"/>
      <c r="K40" s="19"/>
      <c r="L40" s="23"/>
      <c r="M40" s="19"/>
      <c r="N40" s="19"/>
      <c r="O40" s="24"/>
      <c r="P40" s="25"/>
      <c r="Q40" s="25"/>
      <c r="R40" s="25"/>
      <c r="S40" s="25"/>
      <c r="T40" s="25"/>
      <c r="U40" s="25"/>
      <c r="V40" s="74"/>
      <c r="W40" s="77"/>
      <c r="X40" s="26"/>
      <c r="Y40" s="22"/>
      <c r="Z40" s="27"/>
      <c r="AA40" s="90"/>
    </row>
    <row r="41" spans="1:30" ht="17.25" thickBot="1">
      <c r="A41" s="48"/>
      <c r="B41" s="49"/>
      <c r="C41" s="49"/>
      <c r="D41" s="193"/>
      <c r="E41" s="49"/>
      <c r="F41" s="49"/>
      <c r="G41" s="49"/>
      <c r="H41" s="49"/>
      <c r="I41" s="50"/>
      <c r="J41" s="51"/>
      <c r="K41" s="49"/>
      <c r="L41" s="52"/>
      <c r="M41" s="49"/>
      <c r="N41" s="49"/>
      <c r="O41" s="53"/>
      <c r="P41" s="54"/>
      <c r="Q41" s="54"/>
      <c r="R41" s="54"/>
      <c r="S41" s="54"/>
      <c r="T41" s="60"/>
      <c r="U41" s="54"/>
      <c r="V41" s="54"/>
      <c r="W41" s="78"/>
      <c r="X41" s="55"/>
      <c r="Y41" s="51"/>
      <c r="Z41" s="56"/>
      <c r="AA41" s="90"/>
    </row>
    <row r="42" spans="1:30" ht="17.25" thickBot="1">
      <c r="A42" s="29"/>
      <c r="D42" s="28"/>
      <c r="I42" s="30"/>
      <c r="J42" s="31"/>
      <c r="L42" s="32"/>
      <c r="O42" s="33"/>
      <c r="P42" s="34"/>
      <c r="Q42" s="34"/>
      <c r="R42" s="34"/>
      <c r="S42" s="34"/>
      <c r="T42" s="34"/>
      <c r="U42" s="34"/>
      <c r="V42" s="34"/>
      <c r="W42" s="34"/>
      <c r="X42" s="35"/>
      <c r="Y42" s="31"/>
      <c r="Z42" s="31"/>
      <c r="AA42" s="90"/>
    </row>
    <row r="43" spans="1:30" ht="17.25" thickBot="1">
      <c r="A43" s="427"/>
      <c r="B43" s="404"/>
      <c r="C43" s="404"/>
      <c r="D43" s="238" t="s">
        <v>21</v>
      </c>
      <c r="E43" s="427"/>
      <c r="F43" s="429"/>
      <c r="G43" s="62">
        <f>SUM(G40:G41)</f>
        <v>0</v>
      </c>
      <c r="H43" s="62">
        <f>SUM(H40:H41)</f>
        <v>0</v>
      </c>
      <c r="I43" s="432"/>
      <c r="J43" s="432"/>
      <c r="K43" s="436"/>
      <c r="L43" s="437"/>
      <c r="M43" s="437"/>
      <c r="N43" s="438"/>
      <c r="O43" s="62">
        <f>SUM(O40:O41)</f>
        <v>0</v>
      </c>
      <c r="P43" s="101">
        <f>SUM(P40:P41)</f>
        <v>0</v>
      </c>
      <c r="Q43" s="101">
        <f>SUM(Q40:Q41)</f>
        <v>0</v>
      </c>
      <c r="R43" s="62">
        <f>SUM(R40:R41)</f>
        <v>0</v>
      </c>
      <c r="S43" s="71"/>
      <c r="T43" s="71"/>
      <c r="U43" s="71"/>
      <c r="V43" s="71"/>
      <c r="W43" s="71"/>
      <c r="X43" s="67" t="e">
        <f>(P43+Q43)/G43</f>
        <v>#DIV/0!</v>
      </c>
      <c r="Y43" s="419" t="s">
        <v>23</v>
      </c>
      <c r="Z43" s="84">
        <f>IF(AA43=0,0,(P43+Q43)/(AA43))</f>
        <v>0</v>
      </c>
      <c r="AA43" s="90">
        <f>SUM(AA40:AA41)</f>
        <v>0</v>
      </c>
    </row>
    <row r="44" spans="1:30" s="36" customFormat="1" ht="17.25" thickBot="1">
      <c r="A44" s="409"/>
      <c r="B44" s="407"/>
      <c r="C44" s="407"/>
      <c r="D44" s="238" t="s">
        <v>2333</v>
      </c>
      <c r="E44" s="409"/>
      <c r="F44" s="430"/>
      <c r="G44" s="63">
        <f>SUM(G2:G41)</f>
        <v>3861650</v>
      </c>
      <c r="H44" s="63">
        <f>SUM(H2:H41)</f>
        <v>4815</v>
      </c>
      <c r="I44" s="434"/>
      <c r="J44" s="434"/>
      <c r="K44" s="63">
        <f>SUM(K37:K41)</f>
        <v>0</v>
      </c>
      <c r="L44" s="63">
        <f>SUM(L37:L41)</f>
        <v>0</v>
      </c>
      <c r="M44" s="63">
        <f>SUM(M37:M41)</f>
        <v>0</v>
      </c>
      <c r="N44" s="63">
        <f>SUM(N37:N41)</f>
        <v>0</v>
      </c>
      <c r="O44" s="63">
        <f>SUM(O2:O41)</f>
        <v>0</v>
      </c>
      <c r="P44" s="102">
        <f>SUM(P2:P41)</f>
        <v>43577.760000000009</v>
      </c>
      <c r="Q44" s="101">
        <f>SUM(Q2:Q41)</f>
        <v>0</v>
      </c>
      <c r="R44" s="63">
        <f>SUM(R2:R41)</f>
        <v>109784</v>
      </c>
      <c r="S44" s="72"/>
      <c r="T44" s="72"/>
      <c r="U44" s="72"/>
      <c r="V44" s="72"/>
      <c r="W44" s="72"/>
      <c r="X44" s="67">
        <f>(P44+Q44)/G44</f>
        <v>1.1284751336863779E-2</v>
      </c>
      <c r="Y44" s="420"/>
      <c r="Z44" s="84">
        <f>IF(AA44=0,0,(P44+Q44)/(AA44))</f>
        <v>0</v>
      </c>
      <c r="AA44" s="90">
        <f>SUM(AA37:AA41)</f>
        <v>0</v>
      </c>
      <c r="AB44" s="324"/>
      <c r="AC44" s="325"/>
    </row>
    <row r="45" spans="1:30" s="36" customFormat="1" ht="17.25" thickBot="1">
      <c r="A45" s="410"/>
      <c r="B45" s="411"/>
      <c r="C45" s="411"/>
      <c r="D45" s="238" t="s">
        <v>20</v>
      </c>
      <c r="E45" s="410"/>
      <c r="F45" s="431"/>
      <c r="G45" s="63">
        <f>SUM(G2:G41)</f>
        <v>3861650</v>
      </c>
      <c r="H45" s="63">
        <f>SUM(H2:H41)</f>
        <v>4815</v>
      </c>
      <c r="I45" s="435"/>
      <c r="J45" s="435"/>
      <c r="K45" s="63">
        <f>SUM(K37:K41)</f>
        <v>0</v>
      </c>
      <c r="L45" s="63">
        <f>SUM(L37:L41)</f>
        <v>0</v>
      </c>
      <c r="M45" s="63">
        <f>SUM(M37:M41)</f>
        <v>0</v>
      </c>
      <c r="N45" s="63">
        <f>SUM(N37:N41)</f>
        <v>0</v>
      </c>
      <c r="O45" s="63">
        <f>SUM(O2:O41)</f>
        <v>0</v>
      </c>
      <c r="P45" s="102">
        <f>SUM(P2:P41)</f>
        <v>43577.760000000009</v>
      </c>
      <c r="Q45" s="101">
        <f>SUM(Q2:Q41)</f>
        <v>0</v>
      </c>
      <c r="R45" s="63">
        <f>SUM(R2:R41)</f>
        <v>109784</v>
      </c>
      <c r="S45" s="72"/>
      <c r="T45" s="72"/>
      <c r="U45" s="72"/>
      <c r="V45" s="72"/>
      <c r="W45" s="72"/>
      <c r="X45" s="67">
        <f>(P45+Q45)/G45</f>
        <v>1.1284751336863779E-2</v>
      </c>
      <c r="Y45" s="420"/>
      <c r="Z45" s="84">
        <f>IF(AA45=0,0,(P45+Q45)/(AA45))</f>
        <v>0</v>
      </c>
      <c r="AA45" s="90">
        <f>AA44</f>
        <v>0</v>
      </c>
      <c r="AB45" s="324"/>
      <c r="AC45" s="324"/>
    </row>
    <row r="46" spans="1:30" ht="17.25" thickBot="1">
      <c r="B46" s="37"/>
      <c r="C46" s="37"/>
      <c r="D46" s="28"/>
    </row>
    <row r="47" spans="1:30" s="8" customFormat="1" ht="17.25" thickBot="1">
      <c r="A47" s="421" t="s">
        <v>2660</v>
      </c>
      <c r="B47" s="439"/>
      <c r="C47" s="439"/>
      <c r="D47" s="251" t="s">
        <v>2658</v>
      </c>
      <c r="E47" s="421"/>
      <c r="F47" s="439"/>
      <c r="G47" s="251" t="s">
        <v>2652</v>
      </c>
      <c r="H47" s="251" t="s">
        <v>25</v>
      </c>
      <c r="I47" s="421"/>
      <c r="J47" s="246"/>
      <c r="K47" s="246"/>
      <c r="L47" s="246"/>
      <c r="M47" s="246"/>
      <c r="N47" s="246"/>
      <c r="O47" s="251" t="s">
        <v>2653</v>
      </c>
      <c r="P47" s="251" t="s">
        <v>2654</v>
      </c>
      <c r="Q47" s="251" t="s">
        <v>2655</v>
      </c>
      <c r="R47" s="251" t="s">
        <v>2656</v>
      </c>
      <c r="S47" s="246" t="s">
        <v>25</v>
      </c>
      <c r="T47" s="246" t="s">
        <v>26</v>
      </c>
      <c r="U47" s="421"/>
      <c r="V47" s="246" t="s">
        <v>28</v>
      </c>
      <c r="W47" s="246" t="s">
        <v>27</v>
      </c>
      <c r="X47" s="251" t="s">
        <v>2657</v>
      </c>
      <c r="Y47" s="251" t="s">
        <v>23</v>
      </c>
      <c r="Z47" s="251" t="s">
        <v>168</v>
      </c>
      <c r="AA47" s="89"/>
      <c r="AB47" s="37"/>
      <c r="AC47" s="321"/>
    </row>
    <row r="48" spans="1:30" outlineLevel="1">
      <c r="A48" s="422"/>
      <c r="B48" s="440"/>
      <c r="C48" s="440"/>
      <c r="D48" s="246" t="s">
        <v>219</v>
      </c>
      <c r="E48" s="422"/>
      <c r="F48" s="440"/>
      <c r="G48" s="265">
        <f t="shared" ref="G48:G54" si="8">SUMIF(AB$2:AB$42,D48,G$2:G$42)</f>
        <v>1826800</v>
      </c>
      <c r="H48" s="265">
        <f t="shared" ref="H48:H54" si="9">SUMIF(AB$2:AB$42,D48,H$2:H$42)</f>
        <v>2598</v>
      </c>
      <c r="I48" s="422"/>
      <c r="J48" s="249"/>
      <c r="K48" s="257"/>
      <c r="L48" s="257"/>
      <c r="M48" s="257"/>
      <c r="N48" s="257"/>
      <c r="O48" s="265">
        <f t="shared" ref="O48:O54" si="10">SUMIF(AB$2:AB$42,D48,O$2:O$42)</f>
        <v>0</v>
      </c>
      <c r="P48" s="266">
        <f t="shared" ref="P48:P54" si="11">SUMIF(AB$2:AB$42,D48,P$2:P$42)</f>
        <v>45248.72</v>
      </c>
      <c r="Q48" s="266">
        <f t="shared" ref="Q48:Q54" si="12">SUMIF(AB$2:AB$42,"*"&amp;D48&amp;"*",Q$2:Q$42)</f>
        <v>0</v>
      </c>
      <c r="R48" s="265">
        <f t="shared" ref="R48:R54" si="13">SUMIF(AB$2:AB$42,D48,R$2:R$42)</f>
        <v>26148</v>
      </c>
      <c r="S48" s="257"/>
      <c r="T48" s="257"/>
      <c r="U48" s="422"/>
      <c r="V48" s="257"/>
      <c r="W48" s="257"/>
      <c r="X48" s="267">
        <f t="shared" ref="X48:X54" si="14">(SUMIF(AB$2:AB$42,D48,P$2:P$42)+SUMIF(AB$2:AB$42,"*"&amp;D48&amp;"*",Q$2:Q$42))/SUMIF(AB$2:AB$42,D48,G$2:G$42)</f>
        <v>2.4769389095686448E-2</v>
      </c>
      <c r="Y48" s="267">
        <f t="shared" ref="Y48:Y54" ca="1" si="15">(P48+Q48)/(AA48)</f>
        <v>5.7549209670370693E-2</v>
      </c>
      <c r="Z48" s="268">
        <f t="shared" ref="Z48:Z54" si="16">COUNTIFS(X$2:X$42,"&gt;0",AB$2:AB$42,D48)/COUNTIF(AB$2:AB$42,D48)</f>
        <v>0.5</v>
      </c>
      <c r="AA48" s="37">
        <f t="shared" ref="AA48:AA54" ca="1" si="17">SUMIF(AB$2:AB$42,D48,AA$2:AA$42)</f>
        <v>786261.36239185196</v>
      </c>
    </row>
    <row r="49" spans="1:29" outlineLevel="1">
      <c r="A49" s="422"/>
      <c r="B49" s="440"/>
      <c r="C49" s="440"/>
      <c r="D49" s="247" t="s">
        <v>2665</v>
      </c>
      <c r="E49" s="422"/>
      <c r="F49" s="440"/>
      <c r="G49" s="265">
        <f t="shared" si="8"/>
        <v>331150</v>
      </c>
      <c r="H49" s="265">
        <f t="shared" si="9"/>
        <v>470</v>
      </c>
      <c r="I49" s="422"/>
      <c r="J49" s="249"/>
      <c r="K49" s="257"/>
      <c r="L49" s="257"/>
      <c r="M49" s="257"/>
      <c r="N49" s="257"/>
      <c r="O49" s="265">
        <f t="shared" si="10"/>
        <v>0</v>
      </c>
      <c r="P49" s="266">
        <f t="shared" si="11"/>
        <v>538</v>
      </c>
      <c r="Q49" s="266">
        <f t="shared" si="12"/>
        <v>0</v>
      </c>
      <c r="R49" s="265">
        <f t="shared" si="13"/>
        <v>0</v>
      </c>
      <c r="S49" s="257"/>
      <c r="T49" s="257"/>
      <c r="U49" s="422"/>
      <c r="V49" s="257"/>
      <c r="W49" s="257"/>
      <c r="X49" s="267">
        <f t="shared" si="14"/>
        <v>1.6246414011777141E-3</v>
      </c>
      <c r="Y49" s="267">
        <f t="shared" ca="1" si="15"/>
        <v>1.729578297876086E-2</v>
      </c>
      <c r="Z49" s="268">
        <f t="shared" si="16"/>
        <v>0.5</v>
      </c>
      <c r="AA49" s="37">
        <f t="shared" ca="1" si="17"/>
        <v>31105.848209396558</v>
      </c>
    </row>
    <row r="50" spans="1:29" ht="17.25" outlineLevel="1" thickBot="1">
      <c r="A50" s="422"/>
      <c r="B50" s="440"/>
      <c r="C50" s="440"/>
      <c r="D50" s="247" t="s">
        <v>209</v>
      </c>
      <c r="E50" s="422"/>
      <c r="F50" s="440"/>
      <c r="G50" s="265">
        <f t="shared" si="8"/>
        <v>197800</v>
      </c>
      <c r="H50" s="265">
        <f t="shared" si="9"/>
        <v>281</v>
      </c>
      <c r="I50" s="422"/>
      <c r="J50" s="250"/>
      <c r="K50" s="261"/>
      <c r="L50" s="261"/>
      <c r="M50" s="261"/>
      <c r="N50" s="261"/>
      <c r="O50" s="265">
        <f t="shared" si="10"/>
        <v>0</v>
      </c>
      <c r="P50" s="266">
        <f t="shared" si="11"/>
        <v>-18524</v>
      </c>
      <c r="Q50" s="266">
        <f t="shared" si="12"/>
        <v>0</v>
      </c>
      <c r="R50" s="265">
        <f t="shared" si="13"/>
        <v>9500</v>
      </c>
      <c r="S50" s="261"/>
      <c r="T50" s="261"/>
      <c r="U50" s="422"/>
      <c r="V50" s="261"/>
      <c r="W50" s="261"/>
      <c r="X50" s="267">
        <f t="shared" si="14"/>
        <v>-9.3650151668351875E-2</v>
      </c>
      <c r="Y50" s="267">
        <f t="shared" ca="1" si="15"/>
        <v>-6.5510475838209389E-2</v>
      </c>
      <c r="Z50" s="268">
        <f t="shared" si="16"/>
        <v>0.66666666666666663</v>
      </c>
      <c r="AA50" s="37">
        <f t="shared" ca="1" si="17"/>
        <v>282763.93604205456</v>
      </c>
    </row>
    <row r="51" spans="1:29" outlineLevel="1">
      <c r="A51" s="441"/>
      <c r="B51" s="441"/>
      <c r="C51" s="441"/>
      <c r="D51" s="247" t="s">
        <v>2661</v>
      </c>
      <c r="E51" s="441"/>
      <c r="F51" s="441"/>
      <c r="G51" s="265">
        <f t="shared" si="8"/>
        <v>652650</v>
      </c>
      <c r="H51" s="265">
        <f t="shared" si="9"/>
        <v>927</v>
      </c>
      <c r="I51" s="441"/>
      <c r="J51" s="249"/>
      <c r="K51" s="257"/>
      <c r="L51" s="257"/>
      <c r="M51" s="257"/>
      <c r="N51" s="257"/>
      <c r="O51" s="265">
        <f t="shared" si="10"/>
        <v>0</v>
      </c>
      <c r="P51" s="266">
        <f t="shared" si="11"/>
        <v>10899.64</v>
      </c>
      <c r="Q51" s="266">
        <f t="shared" si="12"/>
        <v>0</v>
      </c>
      <c r="R51" s="265">
        <f t="shared" si="13"/>
        <v>64376</v>
      </c>
      <c r="S51" s="257"/>
      <c r="T51" s="257"/>
      <c r="U51" s="423"/>
      <c r="V51" s="257"/>
      <c r="W51" s="257"/>
      <c r="X51" s="267">
        <f t="shared" si="14"/>
        <v>1.6700589902704358E-2</v>
      </c>
      <c r="Y51" s="267">
        <f t="shared" ca="1" si="15"/>
        <v>3.2359900339898141E-2</v>
      </c>
      <c r="Z51" s="268">
        <f t="shared" si="16"/>
        <v>0.33333333333333331</v>
      </c>
      <c r="AA51" s="37">
        <f t="shared" ca="1" si="17"/>
        <v>336825.51199211477</v>
      </c>
    </row>
    <row r="52" spans="1:29" outlineLevel="1">
      <c r="A52" s="441"/>
      <c r="B52" s="441"/>
      <c r="C52" s="441"/>
      <c r="D52" s="247" t="s">
        <v>2666</v>
      </c>
      <c r="E52" s="441"/>
      <c r="F52" s="441"/>
      <c r="G52" s="265">
        <f t="shared" si="8"/>
        <v>92300</v>
      </c>
      <c r="H52" s="265">
        <f t="shared" si="9"/>
        <v>130</v>
      </c>
      <c r="I52" s="441"/>
      <c r="J52" s="249"/>
      <c r="K52" s="257"/>
      <c r="L52" s="257"/>
      <c r="M52" s="257"/>
      <c r="N52" s="257"/>
      <c r="O52" s="265">
        <f t="shared" si="10"/>
        <v>0</v>
      </c>
      <c r="P52" s="266">
        <f t="shared" si="11"/>
        <v>-19352</v>
      </c>
      <c r="Q52" s="266">
        <f t="shared" si="12"/>
        <v>0</v>
      </c>
      <c r="R52" s="265">
        <f t="shared" si="13"/>
        <v>0</v>
      </c>
      <c r="S52" s="257"/>
      <c r="T52" s="257"/>
      <c r="U52" s="423"/>
      <c r="V52" s="257"/>
      <c r="W52" s="257"/>
      <c r="X52" s="267">
        <f t="shared" si="14"/>
        <v>-0.20966413867822317</v>
      </c>
      <c r="Y52" s="267">
        <f t="shared" ca="1" si="15"/>
        <v>-0.70905305565587251</v>
      </c>
      <c r="Z52" s="268">
        <f t="shared" si="16"/>
        <v>0</v>
      </c>
      <c r="AA52" s="37">
        <f t="shared" ca="1" si="17"/>
        <v>27292.739020917754</v>
      </c>
    </row>
    <row r="53" spans="1:29" ht="17.25" outlineLevel="1" thickBot="1">
      <c r="A53" s="442"/>
      <c r="B53" s="442"/>
      <c r="C53" s="442"/>
      <c r="D53" s="247" t="s">
        <v>2664</v>
      </c>
      <c r="E53" s="442"/>
      <c r="F53" s="442"/>
      <c r="G53" s="265">
        <f t="shared" si="8"/>
        <v>18950</v>
      </c>
      <c r="H53" s="265">
        <f t="shared" si="9"/>
        <v>27</v>
      </c>
      <c r="I53" s="442"/>
      <c r="J53" s="250"/>
      <c r="K53" s="261"/>
      <c r="L53" s="261"/>
      <c r="M53" s="261"/>
      <c r="N53" s="261"/>
      <c r="O53" s="265">
        <f t="shared" si="10"/>
        <v>0</v>
      </c>
      <c r="P53" s="266">
        <f t="shared" si="11"/>
        <v>7945.4</v>
      </c>
      <c r="Q53" s="266">
        <f t="shared" si="12"/>
        <v>0</v>
      </c>
      <c r="R53" s="265">
        <f t="shared" si="13"/>
        <v>9760</v>
      </c>
      <c r="S53" s="261"/>
      <c r="T53" s="261"/>
      <c r="U53" s="444"/>
      <c r="V53" s="261"/>
      <c r="W53" s="261"/>
      <c r="X53" s="267">
        <f t="shared" si="14"/>
        <v>0.41928232189973613</v>
      </c>
      <c r="Y53" s="267">
        <f t="shared" ca="1" si="15"/>
        <v>0.46975053757871049</v>
      </c>
      <c r="Z53" s="268">
        <f t="shared" si="16"/>
        <v>1</v>
      </c>
      <c r="AA53" s="37">
        <f t="shared" ca="1" si="17"/>
        <v>16914.083890044902</v>
      </c>
    </row>
    <row r="54" spans="1:29" ht="17.25" outlineLevel="1" thickBot="1">
      <c r="A54" s="443"/>
      <c r="B54" s="443"/>
      <c r="C54" s="443"/>
      <c r="D54" s="248" t="s">
        <v>2667</v>
      </c>
      <c r="E54" s="443"/>
      <c r="F54" s="443"/>
      <c r="G54" s="252">
        <f t="shared" si="8"/>
        <v>558000</v>
      </c>
      <c r="H54" s="252">
        <f t="shared" si="9"/>
        <v>120</v>
      </c>
      <c r="I54" s="443"/>
      <c r="J54" s="250"/>
      <c r="K54" s="261"/>
      <c r="L54" s="261"/>
      <c r="M54" s="261"/>
      <c r="N54" s="261"/>
      <c r="O54" s="252">
        <f t="shared" si="10"/>
        <v>0</v>
      </c>
      <c r="P54" s="253">
        <f t="shared" si="11"/>
        <v>18618</v>
      </c>
      <c r="Q54" s="253">
        <f t="shared" si="12"/>
        <v>0</v>
      </c>
      <c r="R54" s="252">
        <f t="shared" si="13"/>
        <v>0</v>
      </c>
      <c r="S54" s="261"/>
      <c r="T54" s="261"/>
      <c r="U54" s="424"/>
      <c r="V54" s="261"/>
      <c r="W54" s="261"/>
      <c r="X54" s="254">
        <f t="shared" si="14"/>
        <v>3.3365591397849462E-2</v>
      </c>
      <c r="Y54" s="254">
        <f t="shared" ca="1" si="15"/>
        <v>0.41448484213092768</v>
      </c>
      <c r="Z54" s="255">
        <f t="shared" si="16"/>
        <v>1</v>
      </c>
      <c r="AA54" s="37">
        <f t="shared" ca="1" si="17"/>
        <v>44918.409812725884</v>
      </c>
    </row>
    <row r="55" spans="1:29">
      <c r="B55" s="37"/>
      <c r="C55" s="37"/>
      <c r="D55" s="28"/>
    </row>
    <row r="56" spans="1:29" ht="17.25" thickBot="1">
      <c r="B56" s="37"/>
      <c r="C56" s="37"/>
      <c r="D56" s="28"/>
    </row>
    <row r="57" spans="1:29" s="8" customFormat="1">
      <c r="A57" s="1" t="s">
        <v>0</v>
      </c>
      <c r="B57" s="2" t="s">
        <v>1</v>
      </c>
      <c r="C57" s="3" t="s">
        <v>2</v>
      </c>
      <c r="D57" s="4" t="s">
        <v>3</v>
      </c>
      <c r="E57" s="4" t="s">
        <v>4</v>
      </c>
      <c r="F57" s="4" t="s">
        <v>5</v>
      </c>
      <c r="G57" s="4" t="s">
        <v>6</v>
      </c>
      <c r="H57" s="5" t="s">
        <v>7</v>
      </c>
      <c r="I57" s="140" t="s">
        <v>8</v>
      </c>
      <c r="J57" s="4" t="s">
        <v>9</v>
      </c>
      <c r="K57" s="4" t="s">
        <v>6</v>
      </c>
      <c r="L57" s="5" t="s">
        <v>7</v>
      </c>
      <c r="M57" s="5" t="s">
        <v>10</v>
      </c>
      <c r="N57" s="3" t="s">
        <v>11</v>
      </c>
      <c r="O57" s="4" t="s">
        <v>12</v>
      </c>
      <c r="P57" s="6" t="s">
        <v>13</v>
      </c>
      <c r="Q57" s="4" t="s">
        <v>14</v>
      </c>
      <c r="R57" s="4" t="s">
        <v>15</v>
      </c>
      <c r="S57" s="68" t="s">
        <v>25</v>
      </c>
      <c r="T57" s="68" t="s">
        <v>26</v>
      </c>
      <c r="U57" s="68" t="s">
        <v>29</v>
      </c>
      <c r="V57" s="68" t="s">
        <v>28</v>
      </c>
      <c r="W57" s="68" t="s">
        <v>27</v>
      </c>
      <c r="X57" s="4" t="s">
        <v>16</v>
      </c>
      <c r="Y57" s="4" t="s">
        <v>17</v>
      </c>
      <c r="Z57" s="7" t="s">
        <v>18</v>
      </c>
      <c r="AA57" s="37"/>
      <c r="AB57" s="321"/>
      <c r="AC57" s="321"/>
    </row>
    <row r="58" spans="1:29">
      <c r="A58" s="18">
        <f>MIN(A60:A60)</f>
        <v>0</v>
      </c>
      <c r="B58" s="19"/>
      <c r="C58" s="20"/>
      <c r="D58" s="19"/>
      <c r="E58" s="19"/>
      <c r="F58" s="19"/>
      <c r="G58" s="19"/>
      <c r="H58" s="19"/>
      <c r="I58" s="21"/>
      <c r="J58" s="22"/>
      <c r="K58" s="19"/>
      <c r="L58" s="23"/>
      <c r="M58" s="19"/>
      <c r="N58" s="19"/>
      <c r="O58" s="24"/>
      <c r="P58" s="25"/>
      <c r="Q58" s="25"/>
      <c r="R58" s="25"/>
      <c r="S58" s="25"/>
      <c r="T58" s="25"/>
      <c r="U58" s="25"/>
      <c r="V58" s="74"/>
      <c r="W58" s="77"/>
      <c r="X58" s="26"/>
      <c r="Y58" s="22"/>
      <c r="Z58" s="27"/>
      <c r="AA58" s="194"/>
      <c r="AB58" s="37"/>
      <c r="AC58" s="37"/>
    </row>
    <row r="59" spans="1:29">
      <c r="A59" s="224">
        <v>45442</v>
      </c>
      <c r="B59" s="11" t="s">
        <v>19</v>
      </c>
      <c r="C59" s="225" t="s">
        <v>2560</v>
      </c>
      <c r="D59" s="189" t="str">
        <f>VLOOKUP(C59,美股行情!A:C,2,FALSE)</f>
        <v>英偉達公司</v>
      </c>
      <c r="E59" s="11">
        <v>80</v>
      </c>
      <c r="F59" s="11">
        <v>114.6</v>
      </c>
      <c r="G59" s="11">
        <f>E59*F59</f>
        <v>9168</v>
      </c>
      <c r="H59" s="314">
        <f>G59*0.25%</f>
        <v>22.92</v>
      </c>
      <c r="I59" s="104"/>
      <c r="J59" s="16"/>
      <c r="K59" s="11">
        <f>E59*J59</f>
        <v>0</v>
      </c>
      <c r="L59" s="17"/>
      <c r="M59" s="11"/>
      <c r="N59" s="11">
        <v>0</v>
      </c>
      <c r="O59" s="13">
        <f>IF(I59="",E59*Y59,0)</f>
        <v>17996</v>
      </c>
      <c r="P59" s="14">
        <f>IF(I59="",R59-H59,(K59-H59-SUM(L59:N59)+R59-S59-T59)-G59)+(ROUND(R59*V59,0)-ROUND(R59*(1+V59),0)*W59)</f>
        <v>-21.46</v>
      </c>
      <c r="Q59" s="14">
        <f>IF(I59="",(O59-G59-(O59*0.1425%*0.65)-(O59*0.3%)-S59-T59),0)</f>
        <v>8757.343205000001</v>
      </c>
      <c r="R59" s="14">
        <f>0.56+0.56+0.56</f>
        <v>1.6800000000000002</v>
      </c>
      <c r="S59" s="14">
        <v>0</v>
      </c>
      <c r="T59" s="14">
        <f>IF(ROUND(R59*(1+V59),0)&gt;20000,ROUND(ROUND(R59*(1+V59),0)*2%,0),0)</f>
        <v>0</v>
      </c>
      <c r="U59" s="69">
        <f>(V59*50%)/(1+50%*V59)</f>
        <v>0</v>
      </c>
      <c r="V59" s="69"/>
      <c r="W59" s="70">
        <v>0.11</v>
      </c>
      <c r="X59" s="15">
        <f>(P59+Q59)/G59</f>
        <v>0.95286684173211189</v>
      </c>
      <c r="Y59" s="16">
        <f>VLOOKUP(C59,美股行情!A:C,3,FALSE)</f>
        <v>224.95</v>
      </c>
      <c r="Z59" s="38">
        <f>VLOOKUP(C59,美股行情!A:G,7,FALSE)</f>
        <v>-3.57</v>
      </c>
      <c r="AA59" s="103"/>
      <c r="AB59" s="9"/>
      <c r="AC59" s="312"/>
    </row>
    <row r="60" spans="1:29" ht="17.25" thickBot="1">
      <c r="A60" s="48"/>
      <c r="B60" s="49"/>
      <c r="C60" s="49"/>
      <c r="D60" s="49"/>
      <c r="E60" s="49"/>
      <c r="F60" s="49"/>
      <c r="G60" s="49"/>
      <c r="H60" s="49"/>
      <c r="I60" s="50"/>
      <c r="J60" s="51"/>
      <c r="K60" s="49"/>
      <c r="L60" s="52"/>
      <c r="M60" s="49"/>
      <c r="N60" s="49"/>
      <c r="O60" s="53"/>
      <c r="P60" s="54"/>
      <c r="Q60" s="54"/>
      <c r="R60" s="54"/>
      <c r="S60" s="54"/>
      <c r="T60" s="60"/>
      <c r="U60" s="54"/>
      <c r="V60" s="54"/>
      <c r="W60" s="78"/>
      <c r="X60" s="55"/>
      <c r="Y60" s="51"/>
      <c r="Z60" s="56"/>
      <c r="AA60" s="194"/>
      <c r="AB60" s="37"/>
      <c r="AC60" s="37"/>
    </row>
    <row r="61" spans="1:29" s="36" customFormat="1" ht="17.25" thickBot="1">
      <c r="A61" s="9"/>
      <c r="B61" s="9"/>
      <c r="C61" s="9"/>
      <c r="D61" s="179" t="s">
        <v>2563</v>
      </c>
      <c r="E61" s="425"/>
      <c r="F61" s="426"/>
      <c r="G61" s="63">
        <f>SUM(G58:G60)</f>
        <v>9168</v>
      </c>
      <c r="H61" s="63">
        <f>SUM(H58:H60)</f>
        <v>22.92</v>
      </c>
      <c r="I61" s="425"/>
      <c r="J61" s="426"/>
      <c r="K61" s="63">
        <f t="shared" ref="K61:R61" si="18">SUM(K58:K60)</f>
        <v>0</v>
      </c>
      <c r="L61" s="63">
        <f t="shared" si="18"/>
        <v>0</v>
      </c>
      <c r="M61" s="63">
        <f t="shared" si="18"/>
        <v>0</v>
      </c>
      <c r="N61" s="63">
        <f t="shared" si="18"/>
        <v>0</v>
      </c>
      <c r="O61" s="63">
        <f t="shared" si="18"/>
        <v>17996</v>
      </c>
      <c r="P61" s="102">
        <f t="shared" si="18"/>
        <v>-21.46</v>
      </c>
      <c r="Q61" s="101">
        <f t="shared" si="18"/>
        <v>8757.343205000001</v>
      </c>
      <c r="R61" s="63">
        <f t="shared" si="18"/>
        <v>1.6800000000000002</v>
      </c>
      <c r="S61" s="72"/>
      <c r="T61" s="72"/>
      <c r="U61" s="72"/>
      <c r="V61" s="72"/>
      <c r="W61" s="72"/>
      <c r="X61" s="180">
        <f>(P61+Q61)/G61</f>
        <v>0.95286684173211189</v>
      </c>
      <c r="Y61" s="9"/>
      <c r="Z61" s="9"/>
      <c r="AA61" s="324"/>
      <c r="AB61" s="326"/>
      <c r="AC61" s="326"/>
    </row>
    <row r="62" spans="1:29" s="36" customFormat="1" ht="17.25" thickBot="1">
      <c r="A62" s="9"/>
      <c r="B62" s="9"/>
      <c r="C62" s="9"/>
      <c r="D62" s="179" t="s">
        <v>2575</v>
      </c>
      <c r="E62" s="425"/>
      <c r="F62" s="426"/>
      <c r="G62" s="63">
        <f>G61*匯率!B3</f>
        <v>290038.848</v>
      </c>
      <c r="H62" s="63">
        <f>H61*匯率!B3</f>
        <v>725.09712000000002</v>
      </c>
      <c r="I62" s="425"/>
      <c r="J62" s="426"/>
      <c r="K62" s="63">
        <f>SUM(K58:K61)</f>
        <v>0</v>
      </c>
      <c r="L62" s="63">
        <f>SUM(L58:L61)</f>
        <v>0</v>
      </c>
      <c r="M62" s="63">
        <f>SUM(M58:M61)</f>
        <v>0</v>
      </c>
      <c r="N62" s="63">
        <f>SUM(N58:N61)</f>
        <v>0</v>
      </c>
      <c r="O62" s="63">
        <f>O61*匯率!B3</f>
        <v>569321.45600000001</v>
      </c>
      <c r="P62" s="102">
        <f>P61*匯率!B3</f>
        <v>-678.90855999999997</v>
      </c>
      <c r="Q62" s="63">
        <f>Q61*匯率!B3</f>
        <v>277047.30963338003</v>
      </c>
      <c r="R62" s="63">
        <f>R61*匯率!B3</f>
        <v>53.148480000000006</v>
      </c>
      <c r="S62" s="72"/>
      <c r="T62" s="72"/>
      <c r="U62" s="72"/>
      <c r="V62" s="72"/>
      <c r="W62" s="72"/>
      <c r="X62" s="180">
        <f>(P62+Q62)/G62</f>
        <v>0.95286684173211178</v>
      </c>
      <c r="Y62" s="9"/>
      <c r="Z62" s="9"/>
      <c r="AA62" s="324"/>
      <c r="AB62" s="326"/>
      <c r="AC62" s="326"/>
    </row>
    <row r="63" spans="1:29">
      <c r="A63" s="37"/>
      <c r="B63" s="37"/>
      <c r="C63" s="37"/>
      <c r="D63" s="28"/>
    </row>
  </sheetData>
  <autoFilter ref="A1:AA65" xr:uid="{00000000-0009-0000-0000-000001000000}"/>
  <mergeCells count="14">
    <mergeCell ref="Y43:Y45"/>
    <mergeCell ref="E43:F45"/>
    <mergeCell ref="I43:I45"/>
    <mergeCell ref="J43:J45"/>
    <mergeCell ref="E62:F62"/>
    <mergeCell ref="I62:J62"/>
    <mergeCell ref="E61:F61"/>
    <mergeCell ref="I61:J61"/>
    <mergeCell ref="A47:C54"/>
    <mergeCell ref="E47:F54"/>
    <mergeCell ref="I47:I54"/>
    <mergeCell ref="U47:U54"/>
    <mergeCell ref="A43:C45"/>
    <mergeCell ref="K43:N43"/>
  </mergeCells>
  <phoneticPr fontId="74" type="noConversion"/>
  <conditionalFormatting sqref="I38:I42">
    <cfRule type="expression" dxfId="2094" priority="219">
      <formula>$I38&gt;(TODAY()-7)</formula>
    </cfRule>
    <cfRule type="expression" dxfId="2093" priority="220">
      <formula>$I38&gt;(TODAY()-30)</formula>
    </cfRule>
  </conditionalFormatting>
  <conditionalFormatting sqref="I58">
    <cfRule type="expression" dxfId="2092" priority="141">
      <formula>$I58&gt;(TODAY()-7)</formula>
    </cfRule>
    <cfRule type="expression" dxfId="2091" priority="142">
      <formula>$I58&gt;(TODAY()-30)</formula>
    </cfRule>
  </conditionalFormatting>
  <conditionalFormatting sqref="I60">
    <cfRule type="expression" dxfId="2090" priority="147">
      <formula>$I60&gt;(TODAY()-7)</formula>
    </cfRule>
    <cfRule type="expression" dxfId="2089" priority="148">
      <formula>$I60&gt;(TODAY()-30)</formula>
    </cfRule>
  </conditionalFormatting>
  <conditionalFormatting sqref="Z2">
    <cfRule type="cellIs" dxfId="2088" priority="53" operator="lessThan">
      <formula>0</formula>
    </cfRule>
    <cfRule type="cellIs" dxfId="2087" priority="54" operator="greaterThan">
      <formula>0</formula>
    </cfRule>
    <cfRule type="containsText" dxfId="2086" priority="79" operator="containsText" text="▲">
      <formula>NOT(ISERROR(SEARCH("▲",Z2)))</formula>
    </cfRule>
    <cfRule type="containsText" dxfId="2085" priority="80" operator="containsText" text="▼">
      <formula>NOT(ISERROR(SEARCH("▼",Z2)))</formula>
    </cfRule>
  </conditionalFormatting>
  <conditionalFormatting sqref="Z2:Z27 Z58 Z60">
    <cfRule type="cellIs" dxfId="2084" priority="209" operator="lessThan">
      <formula>0</formula>
    </cfRule>
    <cfRule type="cellIs" dxfId="2083" priority="210" operator="greaterThan">
      <formula>0</formula>
    </cfRule>
  </conditionalFormatting>
  <conditionalFormatting sqref="Z27">
    <cfRule type="cellIs" dxfId="2082" priority="23" operator="lessThan">
      <formula>0</formula>
    </cfRule>
    <cfRule type="cellIs" dxfId="2081" priority="24" operator="greaterThan">
      <formula>0</formula>
    </cfRule>
  </conditionalFormatting>
  <conditionalFormatting sqref="Z28:Z33">
    <cfRule type="cellIs" dxfId="2080" priority="37" operator="lessThan">
      <formula>0</formula>
    </cfRule>
    <cfRule type="cellIs" dxfId="2079" priority="38" operator="greaterThan">
      <formula>0</formula>
    </cfRule>
  </conditionalFormatting>
  <conditionalFormatting sqref="Z34">
    <cfRule type="cellIs" dxfId="2078" priority="17" operator="lessThan">
      <formula>0</formula>
    </cfRule>
    <cfRule type="cellIs" dxfId="2077" priority="18" operator="greaterThan">
      <formula>0</formula>
    </cfRule>
  </conditionalFormatting>
  <conditionalFormatting sqref="Z35">
    <cfRule type="cellIs" dxfId="2076" priority="11" operator="lessThan">
      <formula>0</formula>
    </cfRule>
    <cfRule type="cellIs" dxfId="2075" priority="12" operator="greaterThan">
      <formula>0</formula>
    </cfRule>
  </conditionalFormatting>
  <conditionalFormatting sqref="Z36:Z41">
    <cfRule type="cellIs" dxfId="2074" priority="5" operator="lessThan">
      <formula>0</formula>
    </cfRule>
    <cfRule type="cellIs" dxfId="2073" priority="6" operator="greaterThan">
      <formula>0</formula>
    </cfRule>
  </conditionalFormatting>
  <conditionalFormatting sqref="Z57:Z58">
    <cfRule type="containsText" dxfId="2072" priority="149" operator="containsText" text="△">
      <formula>NOT(ISERROR(SEARCH("△",Z57)))</formula>
    </cfRule>
    <cfRule type="containsText" dxfId="2071" priority="150" operator="containsText" text="▽">
      <formula>NOT(ISERROR(SEARCH("▽",Z57)))</formula>
    </cfRule>
  </conditionalFormatting>
  <conditionalFormatting sqref="Z59">
    <cfRule type="containsText" dxfId="2070" priority="25" operator="containsText" text="▲">
      <formula>NOT(ISERROR(SEARCH("▲",Z59)))</formula>
    </cfRule>
    <cfRule type="containsText" dxfId="2069" priority="26" operator="containsText" text="▼">
      <formula>NOT(ISERROR(SEARCH("▼",Z59)))</formula>
    </cfRule>
    <cfRule type="cellIs" dxfId="2068" priority="27" operator="lessThan">
      <formula>0</formula>
    </cfRule>
    <cfRule type="cellIs" dxfId="2067" priority="28" operator="greaterThan">
      <formula>0</formula>
    </cfRule>
  </conditionalFormatting>
  <conditionalFormatting sqref="Z60:Z62">
    <cfRule type="containsText" dxfId="2066" priority="139" operator="containsText" text="△">
      <formula>NOT(ISERROR(SEARCH("△",Z60)))</formula>
    </cfRule>
    <cfRule type="containsText" dxfId="2065" priority="140" operator="containsText" text="▽">
      <formula>NOT(ISERROR(SEARCH("▽",Z60)))</formula>
    </cfRule>
  </conditionalFormatting>
  <conditionalFormatting sqref="Z1:AA3 Z38:AA46 Z55:AA56 Z63:AA1048576">
    <cfRule type="containsText" dxfId="2064" priority="221" operator="containsText" text="△">
      <formula>NOT(ISERROR(SEARCH("△",Z1)))</formula>
    </cfRule>
    <cfRule type="containsText" dxfId="2063" priority="222" operator="containsText" text="▽">
      <formula>NOT(ISERROR(SEARCH("▽",Z1)))</formula>
    </cfRule>
  </conditionalFormatting>
  <conditionalFormatting sqref="Z2:AA2">
    <cfRule type="containsText" dxfId="2062" priority="81" operator="containsText" text="△">
      <formula>NOT(ISERROR(SEARCH("△",Z2)))</formula>
    </cfRule>
    <cfRule type="containsText" dxfId="2061" priority="82" operator="containsText" text="▽">
      <formula>NOT(ISERROR(SEARCH("▽",Z2)))</formula>
    </cfRule>
  </conditionalFormatting>
  <conditionalFormatting sqref="Z2:AA27">
    <cfRule type="containsText" dxfId="2060" priority="159" operator="containsText" text="▲">
      <formula>NOT(ISERROR(SEARCH("▲",Z2)))</formula>
    </cfRule>
    <cfRule type="containsText" dxfId="2059" priority="160" operator="containsText" text="▼">
      <formula>NOT(ISERROR(SEARCH("▼",Z2)))</formula>
    </cfRule>
  </conditionalFormatting>
  <conditionalFormatting sqref="Z5:AA27">
    <cfRule type="containsText" dxfId="2058" priority="161" operator="containsText" text="▲">
      <formula>NOT(ISERROR(SEARCH("▲",Z5)))</formula>
    </cfRule>
    <cfRule type="containsText" dxfId="2057" priority="162" operator="containsText" text="▼">
      <formula>NOT(ISERROR(SEARCH("▼",Z5)))</formula>
    </cfRule>
  </conditionalFormatting>
  <conditionalFormatting sqref="Z6:AA27">
    <cfRule type="containsText" dxfId="2056" priority="165" operator="containsText" text="▲">
      <formula>NOT(ISERROR(SEARCH("▲",Z6)))</formula>
    </cfRule>
    <cfRule type="containsText" dxfId="2055" priority="166" operator="containsText" text="▼">
      <formula>NOT(ISERROR(SEARCH("▼",Z6)))</formula>
    </cfRule>
  </conditionalFormatting>
  <conditionalFormatting sqref="Z7:AA27">
    <cfRule type="containsText" dxfId="2054" priority="155" operator="containsText" text="▲">
      <formula>NOT(ISERROR(SEARCH("▲",Z7)))</formula>
    </cfRule>
    <cfRule type="containsText" dxfId="2053" priority="156" operator="containsText" text="▼">
      <formula>NOT(ISERROR(SEARCH("▼",Z7)))</formula>
    </cfRule>
  </conditionalFormatting>
  <conditionalFormatting sqref="Z9:AA27">
    <cfRule type="containsText" dxfId="2052" priority="153" operator="containsText" text="▲">
      <formula>NOT(ISERROR(SEARCH("▲",Z9)))</formula>
    </cfRule>
    <cfRule type="containsText" dxfId="2051" priority="154" operator="containsText" text="▼">
      <formula>NOT(ISERROR(SEARCH("▼",Z9)))</formula>
    </cfRule>
  </conditionalFormatting>
  <conditionalFormatting sqref="Z10:AA27">
    <cfRule type="containsText" dxfId="2050" priority="205" operator="containsText" text="▲">
      <formula>NOT(ISERROR(SEARCH("▲",Z10)))</formula>
    </cfRule>
    <cfRule type="containsText" dxfId="2049" priority="206" operator="containsText" text="▼">
      <formula>NOT(ISERROR(SEARCH("▼",Z10)))</formula>
    </cfRule>
  </conditionalFormatting>
  <conditionalFormatting sqref="Z11:AA27">
    <cfRule type="containsText" dxfId="2048" priority="123" operator="containsText" text="▲">
      <formula>NOT(ISERROR(SEARCH("▲",Z11)))</formula>
    </cfRule>
    <cfRule type="containsText" dxfId="2047" priority="124" operator="containsText" text="▼">
      <formula>NOT(ISERROR(SEARCH("▼",Z11)))</formula>
    </cfRule>
  </conditionalFormatting>
  <conditionalFormatting sqref="Z12:AA27">
    <cfRule type="containsText" dxfId="2046" priority="127" operator="containsText" text="▲">
      <formula>NOT(ISERROR(SEARCH("▲",Z12)))</formula>
    </cfRule>
    <cfRule type="containsText" dxfId="2045" priority="128" operator="containsText" text="▼">
      <formula>NOT(ISERROR(SEARCH("▼",Z12)))</formula>
    </cfRule>
  </conditionalFormatting>
  <conditionalFormatting sqref="Z13:AA27">
    <cfRule type="containsText" dxfId="2044" priority="135" operator="containsText" text="▲">
      <formula>NOT(ISERROR(SEARCH("▲",Z13)))</formula>
    </cfRule>
    <cfRule type="containsText" dxfId="2043" priority="136" operator="containsText" text="▼">
      <formula>NOT(ISERROR(SEARCH("▼",Z13)))</formula>
    </cfRule>
  </conditionalFormatting>
  <conditionalFormatting sqref="Z15:AA27">
    <cfRule type="containsText" dxfId="2042" priority="129" operator="containsText" text="▲">
      <formula>NOT(ISERROR(SEARCH("▲",Z15)))</formula>
    </cfRule>
    <cfRule type="containsText" dxfId="2041" priority="130" operator="containsText" text="▼">
      <formula>NOT(ISERROR(SEARCH("▼",Z15)))</formula>
    </cfRule>
  </conditionalFormatting>
  <conditionalFormatting sqref="Z16:AA27">
    <cfRule type="containsText" dxfId="2040" priority="109" operator="containsText" text="▲">
      <formula>NOT(ISERROR(SEARCH("▲",Z16)))</formula>
    </cfRule>
    <cfRule type="containsText" dxfId="2039" priority="110" operator="containsText" text="▼">
      <formula>NOT(ISERROR(SEARCH("▼",Z16)))</formula>
    </cfRule>
  </conditionalFormatting>
  <conditionalFormatting sqref="Z17:AA27">
    <cfRule type="containsText" dxfId="2038" priority="103" operator="containsText" text="▲">
      <formula>NOT(ISERROR(SEARCH("▲",Z17)))</formula>
    </cfRule>
    <cfRule type="containsText" dxfId="2037" priority="104" operator="containsText" text="▼">
      <formula>NOT(ISERROR(SEARCH("▼",Z17)))</formula>
    </cfRule>
  </conditionalFormatting>
  <conditionalFormatting sqref="Z18:AA33">
    <cfRule type="containsText" dxfId="2036" priority="35" operator="containsText" text="▲">
      <formula>NOT(ISERROR(SEARCH("▲",Z18)))</formula>
    </cfRule>
    <cfRule type="containsText" dxfId="2035" priority="36" operator="containsText" text="▼">
      <formula>NOT(ISERROR(SEARCH("▼",Z18)))</formula>
    </cfRule>
  </conditionalFormatting>
  <conditionalFormatting sqref="Z19:AA27">
    <cfRule type="containsText" dxfId="2034" priority="107" operator="containsText" text="▲">
      <formula>NOT(ISERROR(SEARCH("▲",Z19)))</formula>
    </cfRule>
    <cfRule type="containsText" dxfId="2033" priority="108" operator="containsText" text="▼">
      <formula>NOT(ISERROR(SEARCH("▼",Z19)))</formula>
    </cfRule>
  </conditionalFormatting>
  <conditionalFormatting sqref="Z20:AA20">
    <cfRule type="containsText" dxfId="2032" priority="111" operator="containsText" text="▲">
      <formula>NOT(ISERROR(SEARCH("▲",Z20)))</formula>
    </cfRule>
    <cfRule type="containsText" dxfId="2031" priority="112" operator="containsText" text="▼">
      <formula>NOT(ISERROR(SEARCH("▼",Z20)))</formula>
    </cfRule>
  </conditionalFormatting>
  <conditionalFormatting sqref="Z21:AA27">
    <cfRule type="containsText" dxfId="2030" priority="117" operator="containsText" text="▲">
      <formula>NOT(ISERROR(SEARCH("▲",Z21)))</formula>
    </cfRule>
    <cfRule type="containsText" dxfId="2029" priority="118" operator="containsText" text="▼">
      <formula>NOT(ISERROR(SEARCH("▼",Z21)))</formula>
    </cfRule>
  </conditionalFormatting>
  <conditionalFormatting sqref="Z22:AA27">
    <cfRule type="containsText" dxfId="2028" priority="151" operator="containsText" text="▲">
      <formula>NOT(ISERROR(SEARCH("▲",Z22)))</formula>
    </cfRule>
    <cfRule type="containsText" dxfId="2027" priority="152" operator="containsText" text="▼">
      <formula>NOT(ISERROR(SEARCH("▼",Z22)))</formula>
    </cfRule>
  </conditionalFormatting>
  <conditionalFormatting sqref="Z23:AA27">
    <cfRule type="containsText" dxfId="2026" priority="105" operator="containsText" text="▲">
      <formula>NOT(ISERROR(SEARCH("▲",Z23)))</formula>
    </cfRule>
    <cfRule type="containsText" dxfId="2025" priority="106" operator="containsText" text="▼">
      <formula>NOT(ISERROR(SEARCH("▼",Z23)))</formula>
    </cfRule>
  </conditionalFormatting>
  <conditionalFormatting sqref="Z24:AA27">
    <cfRule type="containsText" dxfId="2024" priority="115" operator="containsText" text="▲">
      <formula>NOT(ISERROR(SEARCH("▲",Z24)))</formula>
    </cfRule>
    <cfRule type="containsText" dxfId="2023" priority="116" operator="containsText" text="▼">
      <formula>NOT(ISERROR(SEARCH("▼",Z24)))</formula>
    </cfRule>
  </conditionalFormatting>
  <conditionalFormatting sqref="Z25:AA25">
    <cfRule type="containsText" dxfId="2022" priority="119" operator="containsText" text="▲">
      <formula>NOT(ISERROR(SEARCH("▲",Z25)))</formula>
    </cfRule>
    <cfRule type="containsText" dxfId="2021" priority="120" operator="containsText" text="▼">
      <formula>NOT(ISERROR(SEARCH("▼",Z25)))</formula>
    </cfRule>
  </conditionalFormatting>
  <conditionalFormatting sqref="Z27:AA27">
    <cfRule type="containsText" dxfId="2020" priority="19" operator="containsText" text="▲">
      <formula>NOT(ISERROR(SEARCH("▲",Z27)))</formula>
    </cfRule>
    <cfRule type="containsText" dxfId="2019" priority="20" operator="containsText" text="▼">
      <formula>NOT(ISERROR(SEARCH("▼",Z27)))</formula>
    </cfRule>
    <cfRule type="containsText" dxfId="2018" priority="21" operator="containsText" text="▲">
      <formula>NOT(ISERROR(SEARCH("▲",Z27)))</formula>
    </cfRule>
    <cfRule type="containsText" dxfId="2017" priority="22" operator="containsText" text="▼">
      <formula>NOT(ISERROR(SEARCH("▼",Z27)))</formula>
    </cfRule>
  </conditionalFormatting>
  <conditionalFormatting sqref="Z28:AA33">
    <cfRule type="containsText" dxfId="2016" priority="39" operator="containsText" text="△">
      <formula>NOT(ISERROR(SEARCH("△",Z28)))</formula>
    </cfRule>
    <cfRule type="containsText" dxfId="2015" priority="40" operator="containsText" text="▽">
      <formula>NOT(ISERROR(SEARCH("▽",Z28)))</formula>
    </cfRule>
  </conditionalFormatting>
  <conditionalFormatting sqref="Z33:AA33">
    <cfRule type="containsText" dxfId="2014" priority="31" operator="containsText" text="▲">
      <formula>NOT(ISERROR(SEARCH("▲",Z33)))</formula>
    </cfRule>
    <cfRule type="containsText" dxfId="2013" priority="32" operator="containsText" text="▼">
      <formula>NOT(ISERROR(SEARCH("▼",Z33)))</formula>
    </cfRule>
    <cfRule type="containsText" dxfId="2012" priority="33" operator="containsText" text="▲">
      <formula>NOT(ISERROR(SEARCH("▲",Z33)))</formula>
    </cfRule>
    <cfRule type="containsText" dxfId="2011" priority="34" operator="containsText" text="▼">
      <formula>NOT(ISERROR(SEARCH("▼",Z33)))</formula>
    </cfRule>
  </conditionalFormatting>
  <conditionalFormatting sqref="Z33:AA34">
    <cfRule type="containsText" dxfId="2010" priority="15" operator="containsText" text="▲">
      <formula>NOT(ISERROR(SEARCH("▲",Z33)))</formula>
    </cfRule>
    <cfRule type="containsText" dxfId="2009" priority="16" operator="containsText" text="▼">
      <formula>NOT(ISERROR(SEARCH("▼",Z33)))</formula>
    </cfRule>
  </conditionalFormatting>
  <conditionalFormatting sqref="Z34:AA35">
    <cfRule type="containsText" dxfId="2008" priority="9" operator="containsText" text="▲">
      <formula>NOT(ISERROR(SEARCH("▲",Z34)))</formula>
    </cfRule>
    <cfRule type="containsText" dxfId="2007" priority="10" operator="containsText" text="▼">
      <formula>NOT(ISERROR(SEARCH("▼",Z34)))</formula>
    </cfRule>
  </conditionalFormatting>
  <conditionalFormatting sqref="Z35:AA36">
    <cfRule type="containsText" dxfId="2006" priority="3" operator="containsText" text="▲">
      <formula>NOT(ISERROR(SEARCH("▲",Z35)))</formula>
    </cfRule>
    <cfRule type="containsText" dxfId="2005" priority="4" operator="containsText" text="▼">
      <formula>NOT(ISERROR(SEARCH("▼",Z35)))</formula>
    </cfRule>
  </conditionalFormatting>
  <conditionalFormatting sqref="Z36:AA36">
    <cfRule type="containsText" dxfId="2004" priority="1" operator="containsText" text="▲">
      <formula>NOT(ISERROR(SEARCH("▲",Z36)))</formula>
    </cfRule>
    <cfRule type="containsText" dxfId="2003" priority="2" operator="containsText" text="▼">
      <formula>NOT(ISERROR(SEARCH("▼",Z36)))</formula>
    </cfRule>
  </conditionalFormatting>
  <conditionalFormatting sqref="Z37:AA37">
    <cfRule type="containsText" dxfId="2002" priority="197" operator="containsText" text="▲">
      <formula>NOT(ISERROR(SEARCH("▲",Z37)))</formula>
    </cfRule>
    <cfRule type="containsText" dxfId="2001" priority="198" operator="containsText" text="▼">
      <formula>NOT(ISERROR(SEARCH("▼",Z37)))</formula>
    </cfRule>
  </conditionalFormatting>
  <conditionalFormatting sqref="AA2">
    <cfRule type="containsText" dxfId="2000" priority="55" operator="containsText" text="△">
      <formula>NOT(ISERROR(SEARCH("△",AA2)))</formula>
    </cfRule>
    <cfRule type="containsText" dxfId="1999" priority="56" operator="containsText" text="▽">
      <formula>NOT(ISERROR(SEARCH("▽",AA2)))</formula>
    </cfRule>
    <cfRule type="containsText" dxfId="1998" priority="57" operator="containsText" text="△">
      <formula>NOT(ISERROR(SEARCH("△",AA2)))</formula>
    </cfRule>
    <cfRule type="containsText" dxfId="1997" priority="58" operator="containsText" text="▽">
      <formula>NOT(ISERROR(SEARCH("▽",AA2)))</formula>
    </cfRule>
    <cfRule type="containsText" dxfId="1996" priority="59" operator="containsText" text="△">
      <formula>NOT(ISERROR(SEARCH("△",AA2)))</formula>
    </cfRule>
    <cfRule type="containsText" dxfId="1995" priority="60" operator="containsText" text="▽">
      <formula>NOT(ISERROR(SEARCH("▽",AA2)))</formula>
    </cfRule>
    <cfRule type="containsText" dxfId="1994" priority="61" operator="containsText" text="△">
      <formula>NOT(ISERROR(SEARCH("△",AA2)))</formula>
    </cfRule>
    <cfRule type="containsText" dxfId="1993" priority="62" operator="containsText" text="▽">
      <formula>NOT(ISERROR(SEARCH("▽",AA2)))</formula>
    </cfRule>
    <cfRule type="containsText" dxfId="1992" priority="63" operator="containsText" text="△">
      <formula>NOT(ISERROR(SEARCH("△",AA2)))</formula>
    </cfRule>
    <cfRule type="containsText" dxfId="1991" priority="64" operator="containsText" text="▽">
      <formula>NOT(ISERROR(SEARCH("▽",AA2)))</formula>
    </cfRule>
    <cfRule type="containsText" dxfId="1990" priority="65" operator="containsText" text="△">
      <formula>NOT(ISERROR(SEARCH("△",AA2)))</formula>
    </cfRule>
    <cfRule type="containsText" dxfId="1989" priority="66" operator="containsText" text="▽">
      <formula>NOT(ISERROR(SEARCH("▽",AA2)))</formula>
    </cfRule>
    <cfRule type="containsText" dxfId="1988" priority="67" operator="containsText" text="△">
      <formula>NOT(ISERROR(SEARCH("△",AA2)))</formula>
    </cfRule>
    <cfRule type="containsText" dxfId="1987" priority="68" operator="containsText" text="▽">
      <formula>NOT(ISERROR(SEARCH("▽",AA2)))</formula>
    </cfRule>
    <cfRule type="containsText" dxfId="1986" priority="69" operator="containsText" text="△">
      <formula>NOT(ISERROR(SEARCH("△",AA2)))</formula>
    </cfRule>
    <cfRule type="containsText" dxfId="1985" priority="70" operator="containsText" text="▽">
      <formula>NOT(ISERROR(SEARCH("▽",AA2)))</formula>
    </cfRule>
    <cfRule type="containsText" dxfId="1984" priority="71" operator="containsText" text="△">
      <formula>NOT(ISERROR(SEARCH("△",AA2)))</formula>
    </cfRule>
    <cfRule type="containsText" dxfId="1983" priority="72" operator="containsText" text="▽">
      <formula>NOT(ISERROR(SEARCH("▽",AA2)))</formula>
    </cfRule>
    <cfRule type="containsText" dxfId="1982" priority="73" operator="containsText" text="△">
      <formula>NOT(ISERROR(SEARCH("△",AA2)))</formula>
    </cfRule>
    <cfRule type="containsText" dxfId="1981" priority="74" operator="containsText" text="▽">
      <formula>NOT(ISERROR(SEARCH("▽",AA2)))</formula>
    </cfRule>
    <cfRule type="containsText" dxfId="1980" priority="75" operator="containsText" text="△">
      <formula>NOT(ISERROR(SEARCH("△",AA2)))</formula>
    </cfRule>
    <cfRule type="containsText" dxfId="1979" priority="76" operator="containsText" text="▽">
      <formula>NOT(ISERROR(SEARCH("▽",AA2)))</formula>
    </cfRule>
    <cfRule type="containsText" dxfId="1978" priority="77" operator="containsText" text="△">
      <formula>NOT(ISERROR(SEARCH("△",AA2)))</formula>
    </cfRule>
    <cfRule type="containsText" dxfId="1977" priority="78" operator="containsText" text="▽">
      <formula>NOT(ISERROR(SEARCH("▽",AA2)))</formula>
    </cfRule>
  </conditionalFormatting>
  <conditionalFormatting sqref="AA47:AA54">
    <cfRule type="containsText" dxfId="1976" priority="89" operator="containsText" text="△">
      <formula>NOT(ISERROR(SEARCH("△",AA47)))</formula>
    </cfRule>
    <cfRule type="containsText" dxfId="1975" priority="90" operator="containsText" text="▽">
      <formula>NOT(ISERROR(SEARCH("▽",AA47)))</formula>
    </cfRule>
  </conditionalFormatting>
  <hyperlinks>
    <hyperlink ref="AD30" r:id="rId1" xr:uid="{46872768-3563-4DD4-9FBE-F0F7C708C528}"/>
  </hyperlinks>
  <pageMargins left="0.7" right="0.7" top="0.75" bottom="0.75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887C-F2F1-436C-8ECC-11B711F41615}">
  <sheetPr codeName="Sheet18">
    <tabColor rgb="FF92D050"/>
    <outlinePr summaryBelow="0" summaryRight="0"/>
  </sheetPr>
  <dimension ref="A1:AD40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Z18" sqref="A2:Z18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0" style="28" bestFit="1" customWidth="1"/>
    <col min="29" max="29" width="33.125" style="28" bestFit="1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182" t="s">
        <v>33</v>
      </c>
    </row>
    <row r="2" spans="1:30" outlineLevel="1">
      <c r="A2" s="99">
        <v>45009</v>
      </c>
      <c r="B2" s="11" t="s">
        <v>19</v>
      </c>
      <c r="C2" s="11">
        <v>4995</v>
      </c>
      <c r="D2" s="189" t="s">
        <v>1226</v>
      </c>
      <c r="E2" s="11">
        <v>1000</v>
      </c>
      <c r="F2" s="11">
        <v>55.1</v>
      </c>
      <c r="G2" s="11">
        <v>55100</v>
      </c>
      <c r="H2" s="11">
        <v>78</v>
      </c>
      <c r="I2" s="104">
        <v>45028</v>
      </c>
      <c r="J2" s="16">
        <v>52.1</v>
      </c>
      <c r="K2" s="11">
        <v>52100</v>
      </c>
      <c r="L2" s="17">
        <v>74</v>
      </c>
      <c r="M2" s="11">
        <v>156</v>
      </c>
      <c r="N2" s="11">
        <v>0</v>
      </c>
      <c r="O2" s="13">
        <v>0</v>
      </c>
      <c r="P2" s="14">
        <f t="shared" ref="P2:P18" si="0">IF(I2="",R2-H2,(K2-H2-SUM(L2:N2)+R2-S2-T2)-G2)+(ROUND(R2*V2,0)-ROUND(R2*(1+V2),0)*W2)</f>
        <v>-3308</v>
      </c>
      <c r="Q2" s="14">
        <v>0</v>
      </c>
      <c r="R2" s="14"/>
      <c r="S2" s="14"/>
      <c r="T2" s="14"/>
      <c r="U2" s="69">
        <f t="shared" ref="U2:U18" si="1">(V2*50%)/(1+50%*V2)</f>
        <v>0</v>
      </c>
      <c r="V2" s="69"/>
      <c r="W2" s="70">
        <v>-0.89</v>
      </c>
      <c r="X2" s="15">
        <f t="shared" ref="X2:X18" si="2">(P2+Q2)/G2</f>
        <v>-6.0036297640653359E-2</v>
      </c>
      <c r="Y2" s="16">
        <f>VLOOKUP(C2,台股行情!A:D,4,FALSE)</f>
        <v>45.45</v>
      </c>
      <c r="Z2" s="38">
        <f>VLOOKUP(C2,台股行情!A:E,5,FALSE)</f>
        <v>-1.1499999999999999</v>
      </c>
      <c r="AA2" s="90">
        <f t="shared" ref="AA2:AA18" ca="1" si="3">IF(I2="",((TODAY()-A2)*G2)/365.24,((I2-A2)*G2)/365.24)</f>
        <v>2866.334465009309</v>
      </c>
      <c r="AB2" s="103" t="s">
        <v>219</v>
      </c>
      <c r="AC2" s="135" t="s">
        <v>156</v>
      </c>
    </row>
    <row r="3" spans="1:30" outlineLevel="1">
      <c r="A3" s="99">
        <v>45103</v>
      </c>
      <c r="B3" s="11"/>
      <c r="C3" s="11">
        <v>5426</v>
      </c>
      <c r="D3" s="189" t="s">
        <v>1283</v>
      </c>
      <c r="E3" s="11">
        <v>1000</v>
      </c>
      <c r="F3" s="11">
        <v>15.7</v>
      </c>
      <c r="G3" s="11">
        <f t="shared" ref="G3:G18" si="4">E3*F3</f>
        <v>15700</v>
      </c>
      <c r="H3" s="11">
        <v>22</v>
      </c>
      <c r="I3" s="104">
        <v>45117</v>
      </c>
      <c r="J3" s="16">
        <v>16.649999999999999</v>
      </c>
      <c r="K3" s="11">
        <f t="shared" ref="K3:K18" si="5">E3*J3</f>
        <v>16650</v>
      </c>
      <c r="L3" s="17">
        <v>23</v>
      </c>
      <c r="M3" s="11">
        <v>49</v>
      </c>
      <c r="N3" s="11">
        <v>0</v>
      </c>
      <c r="O3" s="13">
        <f t="shared" ref="O3:O18" si="6">IF(I3="",E3*Y3,0)</f>
        <v>0</v>
      </c>
      <c r="P3" s="14">
        <f t="shared" si="0"/>
        <v>856</v>
      </c>
      <c r="Q3" s="14">
        <f t="shared" ref="Q3:Q18" si="7">IF(I3="",(O3-G3-(O3*0.1425%*0.65)-(O3*0.3%)-S3-T3),0)</f>
        <v>0</v>
      </c>
      <c r="R3" s="14"/>
      <c r="S3" s="14"/>
      <c r="T3" s="14"/>
      <c r="U3" s="69">
        <f t="shared" si="1"/>
        <v>0</v>
      </c>
      <c r="V3" s="69"/>
      <c r="W3" s="70">
        <v>0.11</v>
      </c>
      <c r="X3" s="15">
        <f t="shared" si="2"/>
        <v>5.4522292993630574E-2</v>
      </c>
      <c r="Y3" s="16">
        <f>VLOOKUP(C3,台股行情!A:D,4,FALSE)</f>
        <v>27.35</v>
      </c>
      <c r="Z3" s="38">
        <f>VLOOKUP(C3,台股行情!A:E,5,FALSE)</f>
        <v>-1.25</v>
      </c>
      <c r="AA3" s="90">
        <f t="shared" ca="1" si="3"/>
        <v>601.79607929032966</v>
      </c>
      <c r="AB3" s="103" t="s">
        <v>219</v>
      </c>
      <c r="AC3" s="187" t="s">
        <v>2261</v>
      </c>
    </row>
    <row r="4" spans="1:30" outlineLevel="1">
      <c r="A4" s="99">
        <v>45103</v>
      </c>
      <c r="B4" s="11"/>
      <c r="C4" s="11">
        <v>5426</v>
      </c>
      <c r="D4" s="189" t="s">
        <v>1283</v>
      </c>
      <c r="E4" s="11">
        <v>1000</v>
      </c>
      <c r="F4" s="11">
        <v>15.7</v>
      </c>
      <c r="G4" s="11">
        <f t="shared" si="4"/>
        <v>15700</v>
      </c>
      <c r="H4" s="11">
        <v>22</v>
      </c>
      <c r="I4" s="104">
        <v>45117</v>
      </c>
      <c r="J4" s="16">
        <v>16.5</v>
      </c>
      <c r="K4" s="11">
        <f t="shared" si="5"/>
        <v>16500</v>
      </c>
      <c r="L4" s="17">
        <v>23</v>
      </c>
      <c r="M4" s="11">
        <v>49</v>
      </c>
      <c r="N4" s="11">
        <v>0</v>
      </c>
      <c r="O4" s="13">
        <f t="shared" si="6"/>
        <v>0</v>
      </c>
      <c r="P4" s="14">
        <f t="shared" si="0"/>
        <v>706</v>
      </c>
      <c r="Q4" s="14">
        <f t="shared" si="7"/>
        <v>0</v>
      </c>
      <c r="R4" s="14"/>
      <c r="S4" s="14"/>
      <c r="T4" s="14"/>
      <c r="U4" s="69">
        <f t="shared" si="1"/>
        <v>0</v>
      </c>
      <c r="V4" s="69"/>
      <c r="W4" s="70">
        <v>0.11</v>
      </c>
      <c r="X4" s="15">
        <f t="shared" si="2"/>
        <v>4.4968152866242041E-2</v>
      </c>
      <c r="Y4" s="16">
        <f>VLOOKUP(C4,台股行情!A:D,4,FALSE)</f>
        <v>27.35</v>
      </c>
      <c r="Z4" s="38">
        <f>VLOOKUP(C4,台股行情!A:E,5,FALSE)</f>
        <v>-1.25</v>
      </c>
      <c r="AA4" s="90">
        <f t="shared" ca="1" si="3"/>
        <v>601.79607929032966</v>
      </c>
      <c r="AB4" s="103" t="s">
        <v>219</v>
      </c>
      <c r="AC4" s="188" t="s">
        <v>2261</v>
      </c>
    </row>
    <row r="5" spans="1:30" outlineLevel="1">
      <c r="A5" s="99">
        <v>45103</v>
      </c>
      <c r="B5" s="11"/>
      <c r="C5" s="11">
        <v>5426</v>
      </c>
      <c r="D5" s="189" t="s">
        <v>1283</v>
      </c>
      <c r="E5" s="11">
        <v>1000</v>
      </c>
      <c r="F5" s="11">
        <v>15.7</v>
      </c>
      <c r="G5" s="11">
        <f t="shared" si="4"/>
        <v>15700</v>
      </c>
      <c r="H5" s="11">
        <v>23</v>
      </c>
      <c r="I5" s="104">
        <v>45118</v>
      </c>
      <c r="J5" s="16">
        <v>16.149999999999999</v>
      </c>
      <c r="K5" s="11">
        <f t="shared" si="5"/>
        <v>16149.999999999998</v>
      </c>
      <c r="L5" s="17">
        <v>23</v>
      </c>
      <c r="M5" s="11">
        <v>48</v>
      </c>
      <c r="N5" s="11">
        <v>0</v>
      </c>
      <c r="O5" s="13">
        <f t="shared" si="6"/>
        <v>0</v>
      </c>
      <c r="P5" s="14">
        <f t="shared" si="0"/>
        <v>355.99999999999818</v>
      </c>
      <c r="Q5" s="14">
        <f t="shared" si="7"/>
        <v>0</v>
      </c>
      <c r="R5" s="14"/>
      <c r="S5" s="14"/>
      <c r="T5" s="14"/>
      <c r="U5" s="69">
        <f t="shared" si="1"/>
        <v>0</v>
      </c>
      <c r="V5" s="69"/>
      <c r="W5" s="70">
        <v>0.11</v>
      </c>
      <c r="X5" s="15">
        <f t="shared" si="2"/>
        <v>2.2675159235668672E-2</v>
      </c>
      <c r="Y5" s="16">
        <f>VLOOKUP(C5,台股行情!A:D,4,FALSE)</f>
        <v>27.35</v>
      </c>
      <c r="Z5" s="38">
        <f>VLOOKUP(C5,台股行情!A:E,5,FALSE)</f>
        <v>-1.25</v>
      </c>
      <c r="AA5" s="90">
        <f t="shared" ca="1" si="3"/>
        <v>644.78151352535315</v>
      </c>
      <c r="AB5" s="103" t="s">
        <v>219</v>
      </c>
      <c r="AC5" s="188" t="s">
        <v>2261</v>
      </c>
    </row>
    <row r="6" spans="1:30" outlineLevel="1">
      <c r="A6" s="99">
        <v>45103</v>
      </c>
      <c r="B6" s="11"/>
      <c r="C6" s="11">
        <v>6695</v>
      </c>
      <c r="D6" s="189" t="s">
        <v>2028</v>
      </c>
      <c r="E6" s="11">
        <v>1000</v>
      </c>
      <c r="F6" s="11">
        <v>46.8</v>
      </c>
      <c r="G6" s="11">
        <f t="shared" si="4"/>
        <v>46800</v>
      </c>
      <c r="H6" s="11">
        <v>66</v>
      </c>
      <c r="I6" s="104">
        <v>45113</v>
      </c>
      <c r="J6" s="16">
        <v>44.75</v>
      </c>
      <c r="K6" s="11">
        <f t="shared" si="5"/>
        <v>44750</v>
      </c>
      <c r="L6" s="17">
        <v>63</v>
      </c>
      <c r="M6" s="11">
        <v>134</v>
      </c>
      <c r="N6" s="11">
        <v>0</v>
      </c>
      <c r="O6" s="13">
        <f t="shared" si="6"/>
        <v>0</v>
      </c>
      <c r="P6" s="14">
        <f t="shared" si="0"/>
        <v>-2313</v>
      </c>
      <c r="Q6" s="14">
        <f t="shared" si="7"/>
        <v>0</v>
      </c>
      <c r="R6" s="14"/>
      <c r="S6" s="14"/>
      <c r="T6" s="14"/>
      <c r="U6" s="69">
        <f t="shared" si="1"/>
        <v>0</v>
      </c>
      <c r="V6" s="69"/>
      <c r="W6" s="70">
        <v>0.11</v>
      </c>
      <c r="X6" s="15">
        <f t="shared" si="2"/>
        <v>-4.9423076923076924E-2</v>
      </c>
      <c r="Y6" s="16">
        <f>VLOOKUP(C6,台股行情!A:D,4,FALSE)</f>
        <v>48.4</v>
      </c>
      <c r="Z6" s="38">
        <f>VLOOKUP(C6,台股行情!A:E,5,FALSE)</f>
        <v>-1.45</v>
      </c>
      <c r="AA6" s="90">
        <f t="shared" ca="1" si="3"/>
        <v>1281.3492498083451</v>
      </c>
      <c r="AB6" s="103" t="s">
        <v>219</v>
      </c>
      <c r="AC6" s="135" t="s">
        <v>156</v>
      </c>
    </row>
    <row r="7" spans="1:30" outlineLevel="1">
      <c r="A7" s="99">
        <v>45138</v>
      </c>
      <c r="B7" s="11"/>
      <c r="C7" s="11">
        <v>9927</v>
      </c>
      <c r="D7" s="189" t="s">
        <v>2235</v>
      </c>
      <c r="E7" s="11">
        <v>1000</v>
      </c>
      <c r="F7" s="11">
        <v>54</v>
      </c>
      <c r="G7" s="11">
        <f t="shared" si="4"/>
        <v>54000</v>
      </c>
      <c r="H7" s="203">
        <v>76</v>
      </c>
      <c r="I7" s="202">
        <v>45145</v>
      </c>
      <c r="J7" s="16">
        <v>56</v>
      </c>
      <c r="K7" s="11">
        <f t="shared" si="5"/>
        <v>56000</v>
      </c>
      <c r="L7" s="17">
        <v>79</v>
      </c>
      <c r="M7" s="11">
        <v>168</v>
      </c>
      <c r="N7" s="11">
        <v>0</v>
      </c>
      <c r="O7" s="13">
        <f t="shared" si="6"/>
        <v>0</v>
      </c>
      <c r="P7" s="14">
        <f t="shared" si="0"/>
        <v>1677</v>
      </c>
      <c r="Q7" s="14">
        <f t="shared" si="7"/>
        <v>0</v>
      </c>
      <c r="R7" s="14"/>
      <c r="S7" s="14"/>
      <c r="T7" s="14"/>
      <c r="U7" s="69">
        <f t="shared" si="1"/>
        <v>0</v>
      </c>
      <c r="V7" s="69"/>
      <c r="W7" s="70">
        <v>0.11</v>
      </c>
      <c r="X7" s="15">
        <f t="shared" si="2"/>
        <v>3.1055555555555555E-2</v>
      </c>
      <c r="Y7" s="16">
        <f>VLOOKUP(C7,台股行情!A:D,4,FALSE)</f>
        <v>60.1</v>
      </c>
      <c r="Z7" s="38">
        <f>VLOOKUP(C7,台股行情!A:E,5,FALSE)</f>
        <v>-0.6</v>
      </c>
      <c r="AA7" s="90">
        <f t="shared" ca="1" si="3"/>
        <v>1034.9359325375096</v>
      </c>
      <c r="AB7" s="103" t="s">
        <v>219</v>
      </c>
      <c r="AC7" s="188" t="s">
        <v>2261</v>
      </c>
    </row>
    <row r="8" spans="1:30" outlineLevel="1">
      <c r="A8" s="99">
        <v>45103</v>
      </c>
      <c r="B8" s="11" t="s">
        <v>19</v>
      </c>
      <c r="C8" s="11">
        <v>1515</v>
      </c>
      <c r="D8" s="189" t="s">
        <v>406</v>
      </c>
      <c r="E8" s="11">
        <v>1000</v>
      </c>
      <c r="F8" s="11">
        <v>37</v>
      </c>
      <c r="G8" s="11">
        <f t="shared" si="4"/>
        <v>37000</v>
      </c>
      <c r="H8" s="203">
        <v>52</v>
      </c>
      <c r="I8" s="202">
        <v>45142</v>
      </c>
      <c r="J8" s="16">
        <v>37.200000000000003</v>
      </c>
      <c r="K8" s="11">
        <f t="shared" si="5"/>
        <v>37200</v>
      </c>
      <c r="L8" s="17">
        <v>53</v>
      </c>
      <c r="M8" s="11">
        <v>111</v>
      </c>
      <c r="N8" s="11">
        <v>0</v>
      </c>
      <c r="O8" s="13">
        <f t="shared" si="6"/>
        <v>0</v>
      </c>
      <c r="P8" s="14">
        <f t="shared" si="0"/>
        <v>-16</v>
      </c>
      <c r="Q8" s="14">
        <f t="shared" si="7"/>
        <v>0</v>
      </c>
      <c r="R8" s="14"/>
      <c r="S8" s="14"/>
      <c r="T8" s="14"/>
      <c r="U8" s="69">
        <f t="shared" si="1"/>
        <v>0</v>
      </c>
      <c r="V8" s="69"/>
      <c r="W8" s="70">
        <v>0.11</v>
      </c>
      <c r="X8" s="15">
        <f t="shared" si="2"/>
        <v>-4.3243243243243243E-4</v>
      </c>
      <c r="Y8" s="16">
        <f>VLOOKUP(C8,台股行情!A:D,4,FALSE)</f>
        <v>28.75</v>
      </c>
      <c r="Z8" s="38">
        <f>VLOOKUP(C8,台股行情!A:E,5,FALSE)</f>
        <v>0</v>
      </c>
      <c r="AA8" s="90">
        <f t="shared" ca="1" si="3"/>
        <v>3950.8268535757311</v>
      </c>
      <c r="AB8" s="103" t="s">
        <v>219</v>
      </c>
      <c r="AC8" s="188" t="s">
        <v>2261</v>
      </c>
    </row>
    <row r="9" spans="1:30" outlineLevel="1">
      <c r="A9" s="99">
        <v>45103</v>
      </c>
      <c r="B9" s="11" t="s">
        <v>19</v>
      </c>
      <c r="C9" s="11">
        <v>1515</v>
      </c>
      <c r="D9" s="189" t="s">
        <v>406</v>
      </c>
      <c r="E9" s="11">
        <v>1000</v>
      </c>
      <c r="F9" s="11">
        <v>37</v>
      </c>
      <c r="G9" s="11">
        <f t="shared" si="4"/>
        <v>37000</v>
      </c>
      <c r="H9" s="11">
        <v>53</v>
      </c>
      <c r="I9" s="204">
        <v>45152</v>
      </c>
      <c r="J9" s="16">
        <v>37.299999999999997</v>
      </c>
      <c r="K9" s="11">
        <f t="shared" si="5"/>
        <v>37300</v>
      </c>
      <c r="L9" s="17">
        <v>53</v>
      </c>
      <c r="M9" s="11">
        <v>111</v>
      </c>
      <c r="N9" s="11">
        <v>0</v>
      </c>
      <c r="O9" s="13">
        <f t="shared" si="6"/>
        <v>0</v>
      </c>
      <c r="P9" s="14">
        <f t="shared" si="0"/>
        <v>83</v>
      </c>
      <c r="Q9" s="14">
        <f t="shared" si="7"/>
        <v>0</v>
      </c>
      <c r="R9" s="14"/>
      <c r="S9" s="14"/>
      <c r="T9" s="14"/>
      <c r="U9" s="69">
        <f t="shared" si="1"/>
        <v>0</v>
      </c>
      <c r="V9" s="69"/>
      <c r="W9" s="70">
        <v>0.11</v>
      </c>
      <c r="X9" s="15">
        <f t="shared" si="2"/>
        <v>2.2432432432432431E-3</v>
      </c>
      <c r="Y9" s="16">
        <f>VLOOKUP(C9,台股行情!A:D,4,FALSE)</f>
        <v>28.75</v>
      </c>
      <c r="Z9" s="38">
        <f>VLOOKUP(C9,台股行情!A:E,5,FALSE)</f>
        <v>0</v>
      </c>
      <c r="AA9" s="90">
        <f t="shared" ca="1" si="3"/>
        <v>4963.859380133611</v>
      </c>
      <c r="AB9" s="103" t="s">
        <v>219</v>
      </c>
      <c r="AC9" s="103"/>
    </row>
    <row r="10" spans="1:30" outlineLevel="1">
      <c r="A10" s="99">
        <v>45287</v>
      </c>
      <c r="B10" s="11"/>
      <c r="C10" s="11">
        <v>2832</v>
      </c>
      <c r="D10" s="189" t="s">
        <v>838</v>
      </c>
      <c r="E10" s="11">
        <v>2000</v>
      </c>
      <c r="F10" s="11">
        <v>26.85</v>
      </c>
      <c r="G10" s="11">
        <f t="shared" si="4"/>
        <v>53700</v>
      </c>
      <c r="H10" s="11">
        <v>76</v>
      </c>
      <c r="I10" s="327">
        <v>45313</v>
      </c>
      <c r="J10" s="16">
        <v>25.3</v>
      </c>
      <c r="K10" s="11">
        <f t="shared" si="5"/>
        <v>50600</v>
      </c>
      <c r="L10" s="17">
        <v>72</v>
      </c>
      <c r="M10" s="11">
        <v>151</v>
      </c>
      <c r="N10" s="11">
        <v>0</v>
      </c>
      <c r="O10" s="13">
        <f t="shared" si="6"/>
        <v>0</v>
      </c>
      <c r="P10" s="14">
        <f t="shared" si="0"/>
        <v>-3399</v>
      </c>
      <c r="Q10" s="14">
        <f t="shared" si="7"/>
        <v>0</v>
      </c>
      <c r="R10" s="14"/>
      <c r="S10" s="14"/>
      <c r="T10" s="14"/>
      <c r="U10" s="69">
        <f t="shared" si="1"/>
        <v>0</v>
      </c>
      <c r="V10" s="69"/>
      <c r="W10" s="70">
        <v>0.11</v>
      </c>
      <c r="X10" s="15">
        <f t="shared" si="2"/>
        <v>-6.329608938547486E-2</v>
      </c>
      <c r="Y10" s="16">
        <f>VLOOKUP(C10,台股行情!A:D,4,FALSE)</f>
        <v>57.3</v>
      </c>
      <c r="Z10" s="38">
        <f>VLOOKUP(C10,台股行情!A:E,5,FALSE)</f>
        <v>0.2</v>
      </c>
      <c r="AA10" s="90">
        <f t="shared" ca="1" si="3"/>
        <v>3822.6919285948966</v>
      </c>
      <c r="AB10" s="103" t="s">
        <v>219</v>
      </c>
      <c r="AC10" s="135" t="s">
        <v>156</v>
      </c>
    </row>
    <row r="11" spans="1:30" outlineLevel="1">
      <c r="A11" s="99">
        <v>45273</v>
      </c>
      <c r="B11" s="11"/>
      <c r="C11" s="11">
        <v>1519</v>
      </c>
      <c r="D11" s="189" t="s">
        <v>526</v>
      </c>
      <c r="E11" s="11">
        <v>1000</v>
      </c>
      <c r="F11" s="11">
        <v>362</v>
      </c>
      <c r="G11" s="11">
        <f t="shared" si="4"/>
        <v>362000</v>
      </c>
      <c r="H11" s="11">
        <v>515</v>
      </c>
      <c r="I11" s="327">
        <v>45320</v>
      </c>
      <c r="J11" s="16">
        <v>394</v>
      </c>
      <c r="K11" s="11">
        <f t="shared" si="5"/>
        <v>394000</v>
      </c>
      <c r="L11" s="17">
        <v>561</v>
      </c>
      <c r="M11" s="11">
        <v>1182</v>
      </c>
      <c r="N11" s="11">
        <v>0</v>
      </c>
      <c r="O11" s="13">
        <f t="shared" si="6"/>
        <v>0</v>
      </c>
      <c r="P11" s="14">
        <f t="shared" si="0"/>
        <v>29742</v>
      </c>
      <c r="Q11" s="14">
        <f t="shared" si="7"/>
        <v>0</v>
      </c>
      <c r="R11" s="14"/>
      <c r="S11" s="14"/>
      <c r="T11" s="14"/>
      <c r="U11" s="69">
        <f t="shared" si="1"/>
        <v>0</v>
      </c>
      <c r="V11" s="69"/>
      <c r="W11" s="70">
        <v>0.11</v>
      </c>
      <c r="X11" s="15">
        <f t="shared" si="2"/>
        <v>8.2160220994475133E-2</v>
      </c>
      <c r="Y11" s="16">
        <f>VLOOKUP(C11,台股行情!A:D,4,FALSE)</f>
        <v>649</v>
      </c>
      <c r="Z11" s="38">
        <f>VLOOKUP(C11,台股行情!A:E,5,FALSE)</f>
        <v>-41</v>
      </c>
      <c r="AA11" s="90">
        <f t="shared" ca="1" si="3"/>
        <v>46583.068667177744</v>
      </c>
      <c r="AB11" s="103" t="s">
        <v>209</v>
      </c>
      <c r="AC11" s="103"/>
    </row>
    <row r="12" spans="1:30" outlineLevel="1">
      <c r="A12" s="99">
        <v>45125</v>
      </c>
      <c r="B12" s="11"/>
      <c r="C12" s="11">
        <v>2610</v>
      </c>
      <c r="D12" s="189" t="s">
        <v>247</v>
      </c>
      <c r="E12" s="11">
        <v>1000</v>
      </c>
      <c r="F12" s="11">
        <v>24.95</v>
      </c>
      <c r="G12" s="11">
        <f t="shared" si="4"/>
        <v>24950</v>
      </c>
      <c r="H12" s="11">
        <v>35</v>
      </c>
      <c r="I12" s="308">
        <v>45540</v>
      </c>
      <c r="J12" s="16">
        <v>20.350000000000001</v>
      </c>
      <c r="K12" s="11">
        <f t="shared" si="5"/>
        <v>20350</v>
      </c>
      <c r="L12" s="17">
        <v>28</v>
      </c>
      <c r="M12" s="11">
        <v>61</v>
      </c>
      <c r="N12" s="11">
        <v>0</v>
      </c>
      <c r="O12" s="13">
        <f t="shared" si="6"/>
        <v>0</v>
      </c>
      <c r="P12" s="14">
        <f t="shared" si="0"/>
        <v>-4119.8999999999996</v>
      </c>
      <c r="Q12" s="14">
        <f t="shared" si="7"/>
        <v>0</v>
      </c>
      <c r="R12" s="14">
        <v>690</v>
      </c>
      <c r="S12" s="14">
        <v>10</v>
      </c>
      <c r="T12" s="14"/>
      <c r="U12" s="69">
        <f t="shared" si="1"/>
        <v>0</v>
      </c>
      <c r="V12" s="69"/>
      <c r="W12" s="70">
        <v>0.11</v>
      </c>
      <c r="X12" s="15">
        <f t="shared" si="2"/>
        <v>-0.16512625250501001</v>
      </c>
      <c r="Y12" s="16">
        <f>VLOOKUP(C12,台股行情!A:D,4,FALSE)</f>
        <v>20.55</v>
      </c>
      <c r="Z12" s="38">
        <f>VLOOKUP(C12,台股行情!A:E,5,FALSE)</f>
        <v>-0.1</v>
      </c>
      <c r="AA12" s="90">
        <f t="shared" ca="1" si="3"/>
        <v>28349.167670572773</v>
      </c>
      <c r="AB12" s="103" t="s">
        <v>2264</v>
      </c>
      <c r="AC12" s="135" t="s">
        <v>2593</v>
      </c>
    </row>
    <row r="13" spans="1:30" outlineLevel="1">
      <c r="A13" s="99">
        <v>45125</v>
      </c>
      <c r="B13" s="11" t="s">
        <v>19</v>
      </c>
      <c r="C13" s="11">
        <v>2618</v>
      </c>
      <c r="D13" s="189" t="str">
        <f>VLOOKUP(C13,台股行情!A:B,2,FALSE)</f>
        <v>長榮航</v>
      </c>
      <c r="E13" s="11">
        <v>1000</v>
      </c>
      <c r="F13" s="11">
        <v>37.1</v>
      </c>
      <c r="G13" s="11">
        <f t="shared" si="4"/>
        <v>37100</v>
      </c>
      <c r="H13" s="11">
        <v>52</v>
      </c>
      <c r="I13" s="308">
        <v>45566</v>
      </c>
      <c r="J13" s="16">
        <v>37.15</v>
      </c>
      <c r="K13" s="11">
        <f t="shared" si="5"/>
        <v>37150</v>
      </c>
      <c r="L13" s="17">
        <v>52</v>
      </c>
      <c r="M13" s="11">
        <v>111</v>
      </c>
      <c r="N13" s="11">
        <v>0</v>
      </c>
      <c r="O13" s="13">
        <f t="shared" si="6"/>
        <v>0</v>
      </c>
      <c r="P13" s="14">
        <f t="shared" si="0"/>
        <v>1427</v>
      </c>
      <c r="Q13" s="14">
        <f t="shared" si="7"/>
        <v>0</v>
      </c>
      <c r="R13" s="14">
        <v>1800</v>
      </c>
      <c r="S13" s="14">
        <v>10</v>
      </c>
      <c r="T13" s="14"/>
      <c r="U13" s="69">
        <f t="shared" si="1"/>
        <v>0</v>
      </c>
      <c r="V13" s="69"/>
      <c r="W13" s="70">
        <v>0.11</v>
      </c>
      <c r="X13" s="15">
        <f t="shared" si="2"/>
        <v>3.8463611859838272E-2</v>
      </c>
      <c r="Y13" s="16">
        <f>VLOOKUP(C13,台股行情!A:D,4,FALSE)</f>
        <v>43.45</v>
      </c>
      <c r="Z13" s="38">
        <f>VLOOKUP(C13,台股行情!A:E,5,FALSE)</f>
        <v>0.05</v>
      </c>
      <c r="AA13" s="90">
        <f t="shared" ca="1" si="3"/>
        <v>44795.476946665207</v>
      </c>
      <c r="AB13" s="103" t="s">
        <v>2264</v>
      </c>
      <c r="AC13" s="135" t="s">
        <v>2593</v>
      </c>
    </row>
    <row r="14" spans="1:30" outlineLevel="1">
      <c r="A14" s="99">
        <v>45140</v>
      </c>
      <c r="B14" s="11"/>
      <c r="C14" s="11">
        <v>929</v>
      </c>
      <c r="D14" s="189" t="str">
        <f>VLOOKUP(C14,台股行情!A:B,2,FALSE)</f>
        <v>復華台灣科技優息</v>
      </c>
      <c r="E14" s="11">
        <v>3000</v>
      </c>
      <c r="F14" s="11">
        <v>16.48</v>
      </c>
      <c r="G14" s="11">
        <f t="shared" si="4"/>
        <v>49440</v>
      </c>
      <c r="H14" s="11">
        <v>70</v>
      </c>
      <c r="I14" s="308">
        <v>45664</v>
      </c>
      <c r="J14" s="16">
        <v>18.329999999999998</v>
      </c>
      <c r="K14" s="11">
        <f t="shared" si="5"/>
        <v>54989.999999999993</v>
      </c>
      <c r="L14" s="17">
        <v>26</v>
      </c>
      <c r="M14" s="11">
        <v>19</v>
      </c>
      <c r="N14" s="11">
        <v>0</v>
      </c>
      <c r="O14" s="13">
        <f t="shared" si="6"/>
        <v>0</v>
      </c>
      <c r="P14" s="14">
        <f t="shared" si="0"/>
        <v>6893.4999999999927</v>
      </c>
      <c r="Q14" s="14">
        <f t="shared" si="7"/>
        <v>0</v>
      </c>
      <c r="R14" s="14">
        <f>330+330+330+330+330</f>
        <v>1650</v>
      </c>
      <c r="S14" s="14">
        <v>10</v>
      </c>
      <c r="T14" s="14"/>
      <c r="U14" s="69">
        <f t="shared" si="1"/>
        <v>0</v>
      </c>
      <c r="V14" s="69"/>
      <c r="W14" s="70">
        <v>0.11</v>
      </c>
      <c r="X14" s="15">
        <f t="shared" si="2"/>
        <v>0.13943163430420696</v>
      </c>
      <c r="Y14" s="16">
        <f>VLOOKUP(C14,台股行情!A:D,4,FALSE)</f>
        <v>29.72</v>
      </c>
      <c r="Z14" s="38">
        <f>VLOOKUP(C14,台股行情!A:E,5,FALSE)</f>
        <v>-0.48</v>
      </c>
      <c r="AA14" s="90">
        <f t="shared" ca="1" si="3"/>
        <v>70930.237651954871</v>
      </c>
      <c r="AB14" s="103" t="s">
        <v>2266</v>
      </c>
      <c r="AC14" s="270" t="s">
        <v>2703</v>
      </c>
      <c r="AD14" s="206" t="s">
        <v>2334</v>
      </c>
    </row>
    <row r="15" spans="1:30" outlineLevel="1">
      <c r="A15" s="99">
        <v>45176</v>
      </c>
      <c r="B15" s="11"/>
      <c r="C15" s="11">
        <v>929</v>
      </c>
      <c r="D15" s="189" t="str">
        <f>VLOOKUP(C15,台股行情!A:B,2,FALSE)</f>
        <v>復華台灣科技優息</v>
      </c>
      <c r="E15" s="11">
        <v>1000</v>
      </c>
      <c r="F15" s="11">
        <v>17.75</v>
      </c>
      <c r="G15" s="11">
        <f t="shared" si="4"/>
        <v>17750</v>
      </c>
      <c r="H15" s="11">
        <v>25</v>
      </c>
      <c r="I15" s="308">
        <v>45664</v>
      </c>
      <c r="J15" s="16">
        <v>18.329999999999998</v>
      </c>
      <c r="K15" s="11">
        <f t="shared" si="5"/>
        <v>18330</v>
      </c>
      <c r="L15" s="17">
        <v>26</v>
      </c>
      <c r="M15" s="11">
        <v>19</v>
      </c>
      <c r="N15" s="11">
        <v>0</v>
      </c>
      <c r="O15" s="13">
        <f t="shared" si="6"/>
        <v>0</v>
      </c>
      <c r="P15" s="14">
        <f t="shared" si="0"/>
        <v>891.6</v>
      </c>
      <c r="Q15" s="14">
        <f t="shared" si="7"/>
        <v>0</v>
      </c>
      <c r="R15" s="14">
        <f>110+110+110+110</f>
        <v>440</v>
      </c>
      <c r="S15" s="14">
        <v>10</v>
      </c>
      <c r="T15" s="14"/>
      <c r="U15" s="69">
        <f t="shared" si="1"/>
        <v>0</v>
      </c>
      <c r="V15" s="69"/>
      <c r="W15" s="70">
        <v>0.11</v>
      </c>
      <c r="X15" s="15">
        <f t="shared" si="2"/>
        <v>5.0230985915492958E-2</v>
      </c>
      <c r="Y15" s="16">
        <f>VLOOKUP(C15,台股行情!A:D,4,FALSE)</f>
        <v>29.72</v>
      </c>
      <c r="Z15" s="38">
        <f>VLOOKUP(C15,台股行情!A:E,5,FALSE)</f>
        <v>-0.48</v>
      </c>
      <c r="AA15" s="90">
        <f t="shared" ca="1" si="3"/>
        <v>23715.9128244442</v>
      </c>
      <c r="AB15" s="103" t="s">
        <v>2266</v>
      </c>
      <c r="AC15" s="270" t="s">
        <v>2703</v>
      </c>
      <c r="AD15" s="206" t="s">
        <v>2334</v>
      </c>
    </row>
    <row r="16" spans="1:30" outlineLevel="1">
      <c r="A16" s="99">
        <v>45205</v>
      </c>
      <c r="B16" s="11"/>
      <c r="C16" s="11">
        <v>929</v>
      </c>
      <c r="D16" s="189" t="str">
        <f>VLOOKUP(C16,台股行情!A:B,2,FALSE)</f>
        <v>復華台灣科技優息</v>
      </c>
      <c r="E16" s="11">
        <v>1000</v>
      </c>
      <c r="F16" s="11">
        <v>17.52</v>
      </c>
      <c r="G16" s="11">
        <f t="shared" si="4"/>
        <v>17520</v>
      </c>
      <c r="H16" s="11">
        <v>24</v>
      </c>
      <c r="I16" s="308">
        <v>45664</v>
      </c>
      <c r="J16" s="16">
        <v>18.329999999999998</v>
      </c>
      <c r="K16" s="11">
        <f t="shared" si="5"/>
        <v>18330</v>
      </c>
      <c r="L16" s="17">
        <v>26</v>
      </c>
      <c r="M16" s="11">
        <v>18</v>
      </c>
      <c r="N16" s="11">
        <v>0</v>
      </c>
      <c r="O16" s="13">
        <f t="shared" si="6"/>
        <v>0</v>
      </c>
      <c r="P16" s="14">
        <f t="shared" si="0"/>
        <v>1025.7</v>
      </c>
      <c r="Q16" s="14">
        <f t="shared" si="7"/>
        <v>0</v>
      </c>
      <c r="R16" s="14">
        <f>110+110+110</f>
        <v>330</v>
      </c>
      <c r="S16" s="14">
        <v>10</v>
      </c>
      <c r="T16" s="14"/>
      <c r="U16" s="69">
        <f t="shared" si="1"/>
        <v>0</v>
      </c>
      <c r="V16" s="69"/>
      <c r="W16" s="70">
        <v>0.11</v>
      </c>
      <c r="X16" s="15">
        <f t="shared" si="2"/>
        <v>5.8544520547945206E-2</v>
      </c>
      <c r="Y16" s="16">
        <f>VLOOKUP(C16,台股行情!A:D,4,FALSE)</f>
        <v>29.72</v>
      </c>
      <c r="Z16" s="38">
        <f>VLOOKUP(C16,台股行情!A:E,5,FALSE)</f>
        <v>-0.48</v>
      </c>
      <c r="AA16" s="90">
        <f t="shared" ca="1" si="3"/>
        <v>22017.522724783703</v>
      </c>
      <c r="AB16" s="103" t="s">
        <v>2266</v>
      </c>
      <c r="AC16" s="270" t="s">
        <v>2703</v>
      </c>
      <c r="AD16" s="206" t="s">
        <v>2334</v>
      </c>
    </row>
    <row r="17" spans="1:30" outlineLevel="1">
      <c r="A17" s="99">
        <v>45287</v>
      </c>
      <c r="B17" s="11"/>
      <c r="C17" s="11">
        <v>929</v>
      </c>
      <c r="D17" s="189" t="str">
        <f>VLOOKUP(C17,台股行情!A:B,2,FALSE)</f>
        <v>復華台灣科技優息</v>
      </c>
      <c r="E17" s="11">
        <v>2000</v>
      </c>
      <c r="F17" s="11">
        <v>19.239999999999998</v>
      </c>
      <c r="G17" s="11">
        <f t="shared" si="4"/>
        <v>38480</v>
      </c>
      <c r="H17" s="11">
        <v>54</v>
      </c>
      <c r="I17" s="308">
        <v>45664</v>
      </c>
      <c r="J17" s="16">
        <v>18.329999999999998</v>
      </c>
      <c r="K17" s="11">
        <f t="shared" si="5"/>
        <v>36660</v>
      </c>
      <c r="L17" s="17">
        <v>26</v>
      </c>
      <c r="M17" s="11">
        <v>18</v>
      </c>
      <c r="N17" s="11">
        <v>0</v>
      </c>
      <c r="O17" s="13">
        <f t="shared" si="6"/>
        <v>0</v>
      </c>
      <c r="P17" s="14">
        <f t="shared" si="0"/>
        <v>3240.7</v>
      </c>
      <c r="Q17" s="14">
        <f t="shared" si="7"/>
        <v>0</v>
      </c>
      <c r="R17" s="14">
        <f>110+110+110+910+910+1040+1040+1600</f>
        <v>5830</v>
      </c>
      <c r="S17" s="14">
        <v>30</v>
      </c>
      <c r="T17" s="14"/>
      <c r="U17" s="69">
        <f t="shared" si="1"/>
        <v>0</v>
      </c>
      <c r="V17" s="69"/>
      <c r="W17" s="70">
        <v>0.11</v>
      </c>
      <c r="X17" s="15">
        <f t="shared" si="2"/>
        <v>8.4217775467775466E-2</v>
      </c>
      <c r="Y17" s="16">
        <f>VLOOKUP(C17,台股行情!A:D,4,FALSE)</f>
        <v>29.72</v>
      </c>
      <c r="Z17" s="38">
        <f>VLOOKUP(C17,台股行情!A:E,5,FALSE)</f>
        <v>-0.48</v>
      </c>
      <c r="AA17" s="90">
        <f t="shared" ca="1" si="3"/>
        <v>39718.979301281346</v>
      </c>
      <c r="AB17" s="103" t="s">
        <v>2266</v>
      </c>
      <c r="AC17" s="270" t="s">
        <v>2703</v>
      </c>
      <c r="AD17" s="206" t="s">
        <v>2334</v>
      </c>
    </row>
    <row r="18" spans="1:30">
      <c r="A18" s="99">
        <v>45104</v>
      </c>
      <c r="B18" s="11"/>
      <c r="C18" s="11">
        <v>3038</v>
      </c>
      <c r="D18" s="189" t="str">
        <f>VLOOKUP(C18,台股行情!A:B,2,FALSE)</f>
        <v>全台</v>
      </c>
      <c r="E18" s="11">
        <v>1000</v>
      </c>
      <c r="F18" s="11">
        <v>42.75</v>
      </c>
      <c r="G18" s="11">
        <f t="shared" si="4"/>
        <v>42750</v>
      </c>
      <c r="H18" s="11">
        <v>60</v>
      </c>
      <c r="I18" s="308">
        <v>45882</v>
      </c>
      <c r="J18" s="16">
        <v>22.3</v>
      </c>
      <c r="K18" s="11">
        <f t="shared" si="5"/>
        <v>22300</v>
      </c>
      <c r="L18" s="11">
        <v>31</v>
      </c>
      <c r="M18" s="11">
        <v>66</v>
      </c>
      <c r="N18" s="11">
        <v>0</v>
      </c>
      <c r="O18" s="13">
        <f t="shared" si="6"/>
        <v>0</v>
      </c>
      <c r="P18" s="14">
        <f t="shared" si="0"/>
        <v>-16454</v>
      </c>
      <c r="Q18" s="14">
        <f t="shared" si="7"/>
        <v>0</v>
      </c>
      <c r="R18" s="14">
        <f>1600+1600+1500</f>
        <v>4700</v>
      </c>
      <c r="S18" s="14">
        <v>30</v>
      </c>
      <c r="T18" s="14"/>
      <c r="U18" s="69">
        <f t="shared" si="1"/>
        <v>0</v>
      </c>
      <c r="V18" s="69"/>
      <c r="W18" s="70">
        <v>0.11</v>
      </c>
      <c r="X18" s="15">
        <f t="shared" si="2"/>
        <v>-0.38488888888888889</v>
      </c>
      <c r="Y18" s="16">
        <f>VLOOKUP(C18,台股行情!A:D,4,FALSE)</f>
        <v>20.3</v>
      </c>
      <c r="Z18" s="38">
        <f>VLOOKUP(C18,台股行情!A:E,5,FALSE)</f>
        <v>-0.1</v>
      </c>
      <c r="AA18" s="90">
        <f t="shared" ca="1" si="3"/>
        <v>91062.041397437293</v>
      </c>
      <c r="AB18" s="103" t="s">
        <v>209</v>
      </c>
      <c r="AC18" s="103"/>
    </row>
    <row r="19" spans="1:30">
      <c r="A19" s="99"/>
      <c r="B19" s="11"/>
      <c r="C19" s="11"/>
      <c r="D19" s="189"/>
      <c r="E19" s="11"/>
      <c r="F19" s="11"/>
      <c r="G19" s="11"/>
      <c r="H19" s="11"/>
      <c r="I19" s="104"/>
      <c r="J19" s="16"/>
      <c r="K19" s="11"/>
      <c r="L19" s="17"/>
      <c r="M19" s="11"/>
      <c r="N19" s="11"/>
      <c r="O19" s="13"/>
      <c r="P19" s="14"/>
      <c r="Q19" s="14"/>
      <c r="R19" s="14"/>
      <c r="S19" s="14"/>
      <c r="T19" s="14"/>
      <c r="U19" s="69"/>
      <c r="V19" s="69"/>
      <c r="W19" s="70"/>
      <c r="X19" s="15"/>
      <c r="Y19" s="16"/>
      <c r="Z19" s="38"/>
      <c r="AA19" s="90"/>
      <c r="AB19" s="103"/>
      <c r="AC19" s="135"/>
    </row>
    <row r="20" spans="1:30">
      <c r="A20" s="39"/>
      <c r="B20" s="40"/>
      <c r="C20" s="40"/>
      <c r="D20" s="191"/>
      <c r="E20" s="40"/>
      <c r="F20" s="40"/>
      <c r="G20" s="40"/>
      <c r="H20" s="40"/>
      <c r="I20" s="41"/>
      <c r="J20" s="42"/>
      <c r="K20" s="40"/>
      <c r="L20" s="43"/>
      <c r="M20" s="40"/>
      <c r="N20" s="40"/>
      <c r="O20" s="44"/>
      <c r="P20" s="45"/>
      <c r="Q20" s="45"/>
      <c r="R20" s="45"/>
      <c r="S20" s="45"/>
      <c r="T20" s="45"/>
      <c r="U20" s="73"/>
      <c r="V20" s="73"/>
      <c r="W20" s="76"/>
      <c r="X20" s="46"/>
      <c r="Y20" s="42"/>
      <c r="Z20" s="47"/>
      <c r="AA20" s="90"/>
    </row>
    <row r="21" spans="1:30">
      <c r="A21" s="10"/>
      <c r="B21" s="11"/>
      <c r="C21" s="11"/>
      <c r="D21" s="189"/>
      <c r="E21" s="11"/>
      <c r="F21" s="11"/>
      <c r="G21" s="11"/>
      <c r="H21" s="11"/>
      <c r="I21" s="12"/>
      <c r="J21" s="11"/>
      <c r="K21" s="11"/>
      <c r="L21" s="11"/>
      <c r="M21" s="11"/>
      <c r="N21" s="11"/>
      <c r="O21" s="13"/>
      <c r="P21" s="14"/>
      <c r="Q21" s="14"/>
      <c r="R21" s="14"/>
      <c r="S21" s="14"/>
      <c r="T21" s="14"/>
      <c r="U21" s="14"/>
      <c r="V21" s="69"/>
      <c r="W21" s="70"/>
      <c r="X21" s="15"/>
      <c r="Y21" s="16"/>
      <c r="Z21" s="38"/>
      <c r="AA21" s="90"/>
    </row>
    <row r="22" spans="1:30">
      <c r="A22" s="18">
        <f>MIN(A24:A24)</f>
        <v>0</v>
      </c>
      <c r="B22" s="19"/>
      <c r="C22" s="20"/>
      <c r="D22" s="192"/>
      <c r="E22" s="19"/>
      <c r="F22" s="19"/>
      <c r="G22" s="19"/>
      <c r="H22" s="19"/>
      <c r="I22" s="21"/>
      <c r="J22" s="22"/>
      <c r="K22" s="19"/>
      <c r="L22" s="23"/>
      <c r="M22" s="19"/>
      <c r="N22" s="19"/>
      <c r="O22" s="24"/>
      <c r="P22" s="25"/>
      <c r="Q22" s="25"/>
      <c r="R22" s="25"/>
      <c r="S22" s="25"/>
      <c r="T22" s="25"/>
      <c r="U22" s="25"/>
      <c r="V22" s="74"/>
      <c r="W22" s="77"/>
      <c r="X22" s="26"/>
      <c r="Y22" s="22"/>
      <c r="Z22" s="27"/>
      <c r="AA22" s="90"/>
    </row>
    <row r="23" spans="1:30">
      <c r="A23" s="99"/>
      <c r="B23" s="11"/>
      <c r="C23" s="11"/>
      <c r="D23" s="189"/>
      <c r="E23" s="11"/>
      <c r="F23" s="11"/>
      <c r="G23" s="11"/>
      <c r="H23" s="11"/>
      <c r="I23" s="104"/>
      <c r="J23" s="16"/>
      <c r="K23" s="11"/>
      <c r="L23" s="17"/>
      <c r="M23" s="11"/>
      <c r="N23" s="11"/>
      <c r="O23" s="13"/>
      <c r="P23" s="14"/>
      <c r="Q23" s="14"/>
      <c r="R23" s="14"/>
      <c r="S23" s="14"/>
      <c r="T23" s="14"/>
      <c r="U23" s="69"/>
      <c r="V23" s="69"/>
      <c r="W23" s="70"/>
      <c r="X23" s="15"/>
      <c r="Y23" s="16"/>
      <c r="Z23" s="38"/>
      <c r="AA23" s="90"/>
      <c r="AB23" s="184"/>
      <c r="AC23" s="103"/>
    </row>
    <row r="24" spans="1:30" ht="17.25" thickBot="1">
      <c r="A24" s="48"/>
      <c r="B24" s="49"/>
      <c r="C24" s="49"/>
      <c r="D24" s="193"/>
      <c r="E24" s="49"/>
      <c r="F24" s="49"/>
      <c r="G24" s="49"/>
      <c r="H24" s="49"/>
      <c r="I24" s="50"/>
      <c r="J24" s="51"/>
      <c r="K24" s="49"/>
      <c r="L24" s="52"/>
      <c r="M24" s="49"/>
      <c r="N24" s="49"/>
      <c r="O24" s="53"/>
      <c r="P24" s="54"/>
      <c r="Q24" s="54"/>
      <c r="R24" s="54"/>
      <c r="S24" s="54"/>
      <c r="T24" s="60"/>
      <c r="U24" s="54"/>
      <c r="V24" s="54"/>
      <c r="W24" s="78"/>
      <c r="X24" s="55"/>
      <c r="Y24" s="51"/>
      <c r="Z24" s="56"/>
      <c r="AA24" s="90"/>
    </row>
    <row r="25" spans="1:30" ht="17.25" thickBot="1">
      <c r="A25" s="29"/>
      <c r="D25" s="28"/>
      <c r="I25" s="30"/>
      <c r="J25" s="31"/>
      <c r="L25" s="32"/>
      <c r="O25" s="33"/>
      <c r="P25" s="34"/>
      <c r="Q25" s="34"/>
      <c r="R25" s="34"/>
      <c r="S25" s="34"/>
      <c r="T25" s="34"/>
      <c r="U25" s="34"/>
      <c r="V25" s="34"/>
      <c r="W25" s="34"/>
      <c r="X25" s="35"/>
      <c r="Y25" s="31"/>
      <c r="Z25" s="31"/>
      <c r="AA25" s="90"/>
    </row>
    <row r="26" spans="1:30" ht="17.25" thickBot="1">
      <c r="A26" s="427" t="s">
        <v>2659</v>
      </c>
      <c r="B26" s="404"/>
      <c r="C26" s="404"/>
      <c r="D26" s="238" t="s">
        <v>21</v>
      </c>
      <c r="E26" s="446"/>
      <c r="F26" s="426"/>
      <c r="G26" s="62">
        <f>SUM(G22:G24)</f>
        <v>0</v>
      </c>
      <c r="H26" s="62">
        <f>SUM(H22:H24)</f>
        <v>0</v>
      </c>
      <c r="I26" s="61"/>
      <c r="J26" s="243"/>
      <c r="K26" s="436"/>
      <c r="L26" s="437"/>
      <c r="M26" s="437"/>
      <c r="N26" s="438"/>
      <c r="O26" s="62">
        <f>SUM(O22:O24)</f>
        <v>0</v>
      </c>
      <c r="P26" s="101">
        <f>SUM(P22:P24)</f>
        <v>0</v>
      </c>
      <c r="Q26" s="101">
        <f>SUM(Q22:Q24)</f>
        <v>0</v>
      </c>
      <c r="R26" s="62">
        <f>SUM(R22:R24)</f>
        <v>0</v>
      </c>
      <c r="S26" s="71"/>
      <c r="T26" s="71"/>
      <c r="U26" s="71"/>
      <c r="V26" s="71"/>
      <c r="W26" s="71"/>
      <c r="X26" s="67" t="e">
        <f>(P26+Q26)/G26</f>
        <v>#DIV/0!</v>
      </c>
      <c r="Y26" s="445" t="s">
        <v>23</v>
      </c>
      <c r="Z26" s="84">
        <f>IF(AA26=0,0,(P26+Q26)/(AA26))</f>
        <v>0</v>
      </c>
      <c r="AA26" s="90">
        <f>SUM(AA22:AA24)</f>
        <v>0</v>
      </c>
    </row>
    <row r="27" spans="1:30" s="36" customFormat="1" ht="17.25" thickBot="1">
      <c r="A27" s="409"/>
      <c r="B27" s="407"/>
      <c r="C27" s="407"/>
      <c r="D27" s="238" t="s">
        <v>2262</v>
      </c>
      <c r="E27" s="446"/>
      <c r="F27" s="426"/>
      <c r="G27" s="63">
        <f>SUM(G2:G24)</f>
        <v>920690</v>
      </c>
      <c r="H27" s="63">
        <f>SUM(H2:H24)</f>
        <v>1303</v>
      </c>
      <c r="I27" s="61"/>
      <c r="J27" s="243"/>
      <c r="K27" s="63">
        <f t="shared" ref="K27:R27" si="8">SUM(K2:K24)</f>
        <v>929360</v>
      </c>
      <c r="L27" s="63">
        <f t="shared" si="8"/>
        <v>1239</v>
      </c>
      <c r="M27" s="63">
        <f t="shared" si="8"/>
        <v>2471</v>
      </c>
      <c r="N27" s="63">
        <f t="shared" si="8"/>
        <v>0</v>
      </c>
      <c r="O27" s="63">
        <f t="shared" si="8"/>
        <v>0</v>
      </c>
      <c r="P27" s="102">
        <f t="shared" si="8"/>
        <v>17288.599999999991</v>
      </c>
      <c r="Q27" s="101">
        <f t="shared" si="8"/>
        <v>0</v>
      </c>
      <c r="R27" s="63">
        <f t="shared" si="8"/>
        <v>15440</v>
      </c>
      <c r="S27" s="72"/>
      <c r="T27" s="72"/>
      <c r="U27" s="72"/>
      <c r="V27" s="72"/>
      <c r="W27" s="72"/>
      <c r="X27" s="67">
        <f>(P27+Q27)/G27</f>
        <v>1.8777873116901444E-2</v>
      </c>
      <c r="Y27" s="417"/>
      <c r="Z27" s="84">
        <f ca="1">IF(AA27=0,0,(P27+Q27)/(AA27))</f>
        <v>4.4680222280008119E-2</v>
      </c>
      <c r="AA27" s="90">
        <f ca="1">SUM(AA2:AA24)</f>
        <v>386940.77866608254</v>
      </c>
      <c r="AB27" s="87"/>
      <c r="AC27" s="88"/>
    </row>
    <row r="28" spans="1:30" s="36" customFormat="1" ht="17.25" thickBot="1">
      <c r="A28" s="410"/>
      <c r="B28" s="411"/>
      <c r="C28" s="411"/>
      <c r="D28" s="238" t="s">
        <v>20</v>
      </c>
      <c r="E28" s="446"/>
      <c r="F28" s="426"/>
      <c r="G28" s="63">
        <f>SUM(G2:G24)</f>
        <v>920690</v>
      </c>
      <c r="H28" s="63">
        <f>SUM(H2:H24)</f>
        <v>1303</v>
      </c>
      <c r="I28" s="61"/>
      <c r="J28" s="243"/>
      <c r="K28" s="63">
        <f t="shared" ref="K28:R28" si="9">SUM(K2:K24)</f>
        <v>929360</v>
      </c>
      <c r="L28" s="63">
        <f t="shared" si="9"/>
        <v>1239</v>
      </c>
      <c r="M28" s="63">
        <f t="shared" si="9"/>
        <v>2471</v>
      </c>
      <c r="N28" s="63">
        <f t="shared" si="9"/>
        <v>0</v>
      </c>
      <c r="O28" s="63">
        <f t="shared" si="9"/>
        <v>0</v>
      </c>
      <c r="P28" s="102">
        <f t="shared" si="9"/>
        <v>17288.599999999991</v>
      </c>
      <c r="Q28" s="101">
        <f t="shared" si="9"/>
        <v>0</v>
      </c>
      <c r="R28" s="63">
        <f t="shared" si="9"/>
        <v>15440</v>
      </c>
      <c r="S28" s="72"/>
      <c r="T28" s="72"/>
      <c r="U28" s="72"/>
      <c r="V28" s="72"/>
      <c r="W28" s="72"/>
      <c r="X28" s="67">
        <f>(P28+Q28)/G28</f>
        <v>1.8777873116901444E-2</v>
      </c>
      <c r="Y28" s="418"/>
      <c r="Z28" s="84">
        <f ca="1">IF(AA28=0,0,(P28+Q28)/(AA28))</f>
        <v>4.4680222280008119E-2</v>
      </c>
      <c r="AA28" s="90">
        <f ca="1">AA27</f>
        <v>386940.77866608254</v>
      </c>
      <c r="AB28" s="87"/>
      <c r="AC28" s="87"/>
    </row>
    <row r="29" spans="1:30" ht="17.25" thickBot="1">
      <c r="B29" s="37"/>
      <c r="C29" s="37"/>
      <c r="D29" s="9"/>
    </row>
    <row r="30" spans="1:30" s="8" customFormat="1" ht="17.25" thickBot="1">
      <c r="A30" s="421" t="s">
        <v>2660</v>
      </c>
      <c r="B30" s="439"/>
      <c r="C30" s="439"/>
      <c r="D30" s="251" t="s">
        <v>2658</v>
      </c>
      <c r="E30" s="421"/>
      <c r="F30" s="439"/>
      <c r="G30" s="251" t="s">
        <v>2652</v>
      </c>
      <c r="H30" s="251" t="s">
        <v>25</v>
      </c>
      <c r="I30" s="421"/>
      <c r="J30" s="246"/>
      <c r="K30" s="246"/>
      <c r="L30" s="246"/>
      <c r="M30" s="246"/>
      <c r="N30" s="246"/>
      <c r="O30" s="251" t="s">
        <v>2653</v>
      </c>
      <c r="P30" s="251" t="s">
        <v>2654</v>
      </c>
      <c r="Q30" s="251" t="s">
        <v>2655</v>
      </c>
      <c r="R30" s="251" t="s">
        <v>2656</v>
      </c>
      <c r="S30" s="246" t="s">
        <v>25</v>
      </c>
      <c r="T30" s="246" t="s">
        <v>26</v>
      </c>
      <c r="U30" s="421"/>
      <c r="V30" s="246" t="s">
        <v>28</v>
      </c>
      <c r="W30" s="246" t="s">
        <v>27</v>
      </c>
      <c r="X30" s="251" t="s">
        <v>2657</v>
      </c>
      <c r="Y30" s="251" t="s">
        <v>23</v>
      </c>
      <c r="Z30" s="251" t="s">
        <v>168</v>
      </c>
      <c r="AA30" s="89"/>
      <c r="AB30" s="86"/>
      <c r="AC30" s="182"/>
    </row>
    <row r="31" spans="1:30">
      <c r="A31" s="441"/>
      <c r="B31" s="441"/>
      <c r="C31" s="441"/>
      <c r="D31" s="264" t="s">
        <v>219</v>
      </c>
      <c r="E31" s="441"/>
      <c r="F31" s="441"/>
      <c r="G31" s="265">
        <f>SUMIF(AB$2:AB$28,D31,G$2:G$28)</f>
        <v>330700</v>
      </c>
      <c r="H31" s="265">
        <f>SUMIF(AB$2:AB$28,D31,H$2:H$28)</f>
        <v>468</v>
      </c>
      <c r="I31" s="441"/>
      <c r="J31" s="249"/>
      <c r="K31" s="257"/>
      <c r="L31" s="257"/>
      <c r="M31" s="257"/>
      <c r="N31" s="257"/>
      <c r="O31" s="265">
        <f>SUMIF(AB$2:AB$28,D31,O$2:O$28)</f>
        <v>0</v>
      </c>
      <c r="P31" s="266">
        <f>SUMIF(AB$2:AB$28,D31,P$2:P$28)</f>
        <v>-5358.0000000000018</v>
      </c>
      <c r="Q31" s="266">
        <f>SUMIF(AB$2:AB$28,"*"&amp;D31&amp;"*",Q$2:Q$28)</f>
        <v>0</v>
      </c>
      <c r="R31" s="265">
        <f>SUMIF(AB$2:AB$28,D31,R$2:R$28)</f>
        <v>0</v>
      </c>
      <c r="S31" s="257"/>
      <c r="T31" s="257"/>
      <c r="U31" s="423"/>
      <c r="V31" s="257"/>
      <c r="W31" s="257"/>
      <c r="X31" s="267">
        <f>(SUMIF(AB$2:AB$25,D31,P$2:P$25)+SUMIF(AB$2:AB$25,"*"&amp;D31&amp;"*",Q$2:Q$25))/SUMIF(AB$2:AB$25,D31,G$2:G$25)</f>
        <v>-1.6201995766555795E-2</v>
      </c>
      <c r="Y31" s="267">
        <f ca="1">(P31+Q31)/(AA31)</f>
        <v>-0.2710390183097422</v>
      </c>
      <c r="Z31" s="268">
        <f>COUNTIFS(X$2:X$25,"&gt;0",AB$2:AB$25,D31)/COUNTIF(AB$2:AB$25,D31)</f>
        <v>0.55555555555555558</v>
      </c>
      <c r="AA31" s="9">
        <f ca="1">SUMIF(AB$2:AB$25,D31,AA$2:AA$25)</f>
        <v>19768.371481765415</v>
      </c>
    </row>
    <row r="32" spans="1:30">
      <c r="A32" s="441"/>
      <c r="B32" s="441"/>
      <c r="C32" s="441"/>
      <c r="D32" s="247" t="s">
        <v>2661</v>
      </c>
      <c r="E32" s="441"/>
      <c r="F32" s="441"/>
      <c r="G32" s="265">
        <f>SUMIF(AB$2:AB$28,D32,G$2:G$28)</f>
        <v>62050</v>
      </c>
      <c r="H32" s="265">
        <f>SUMIF(AB$2:AB$28,D32,H$2:H$28)</f>
        <v>87</v>
      </c>
      <c r="I32" s="441"/>
      <c r="J32" s="249"/>
      <c r="K32" s="257"/>
      <c r="L32" s="257"/>
      <c r="M32" s="257"/>
      <c r="N32" s="257"/>
      <c r="O32" s="265">
        <f>SUMIF(AB$2:AB$28,D32,O$2:O$28)</f>
        <v>0</v>
      </c>
      <c r="P32" s="266">
        <f>SUMIF(AB$2:AB$28,D32,P$2:P$28)</f>
        <v>-2692.8999999999996</v>
      </c>
      <c r="Q32" s="266">
        <f>SUMIF(AB$2:AB$28,"*"&amp;D32&amp;"*",Q$2:Q$28)</f>
        <v>0</v>
      </c>
      <c r="R32" s="265">
        <f>SUMIF(AB$2:AB$28,D32,R$2:R$28)</f>
        <v>2490</v>
      </c>
      <c r="S32" s="257"/>
      <c r="T32" s="257"/>
      <c r="U32" s="423"/>
      <c r="V32" s="257"/>
      <c r="W32" s="257"/>
      <c r="X32" s="267">
        <f>(SUMIF(AB$2:AB$25,D32,P$2:P$25)+SUMIF(AB$2:AB$25,"*"&amp;D32&amp;"*",Q$2:Q$25))/SUMIF(AB$2:AB$25,D32,G$2:G$25)</f>
        <v>-4.3398871877518126E-2</v>
      </c>
      <c r="Y32" s="267">
        <f ca="1">(P32+Q32)/(AA32)</f>
        <v>-3.6816092471182296E-2</v>
      </c>
      <c r="Z32" s="268">
        <f>COUNTIFS(X$2:X$25,"&gt;0",AB$2:AB$25,D32)/COUNTIF(AB$2:AB$25,D32)</f>
        <v>0.5</v>
      </c>
      <c r="AA32" s="9">
        <f ca="1">SUMIF(AB$2:AB$25,D32,AA$2:AA$25)</f>
        <v>73144.64461723798</v>
      </c>
    </row>
    <row r="33" spans="1:27" ht="17.25" thickBot="1">
      <c r="A33" s="442"/>
      <c r="B33" s="442"/>
      <c r="C33" s="442"/>
      <c r="D33" s="269" t="s">
        <v>209</v>
      </c>
      <c r="E33" s="442"/>
      <c r="F33" s="442"/>
      <c r="G33" s="265">
        <f>SUMIF(AB$2:AB$28,D33,G$2:G$28)</f>
        <v>404750</v>
      </c>
      <c r="H33" s="265">
        <f>SUMIF(AB$2:AB$28,D33,H$2:H$28)</f>
        <v>575</v>
      </c>
      <c r="I33" s="442"/>
      <c r="J33" s="250"/>
      <c r="K33" s="261"/>
      <c r="L33" s="261"/>
      <c r="M33" s="261"/>
      <c r="N33" s="261"/>
      <c r="O33" s="265">
        <f>SUMIF(AB$2:AB$28,D33,O$2:O$28)</f>
        <v>0</v>
      </c>
      <c r="P33" s="266">
        <f>SUMIF(AB$2:AB$28,D33,P$2:P$28)</f>
        <v>13288</v>
      </c>
      <c r="Q33" s="266">
        <f>SUMIF(AB$2:AB$28,"*"&amp;D33&amp;"*",Q$2:Q$28)</f>
        <v>0</v>
      </c>
      <c r="R33" s="265">
        <f>SUMIF(AB$2:AB$28,D33,R$2:R$28)</f>
        <v>4700</v>
      </c>
      <c r="S33" s="261"/>
      <c r="T33" s="261"/>
      <c r="U33" s="444"/>
      <c r="V33" s="261"/>
      <c r="W33" s="261"/>
      <c r="X33" s="267">
        <f>(SUMIF(AB$2:AB$25,D33,P$2:P$25)+SUMIF(AB$2:AB$25,"*"&amp;D33&amp;"*",Q$2:Q$25))/SUMIF(AB$2:AB$25,D33,G$2:G$25)</f>
        <v>3.2830142063001853E-2</v>
      </c>
      <c r="Y33" s="267">
        <f ca="1">(P33+Q33)/(AA33)</f>
        <v>9.6538118889673494E-2</v>
      </c>
      <c r="Z33" s="268">
        <f>COUNTIFS(X$2:X$25,"&gt;0",AB$2:AB$25,D33)/COUNTIF(AB$2:AB$25,D33)</f>
        <v>0.5</v>
      </c>
      <c r="AA33" s="9">
        <f ca="1">SUMIF(AB$2:AB$25,D33,AA$2:AA$25)</f>
        <v>137645.11006461503</v>
      </c>
    </row>
    <row r="34" spans="1:27" ht="17.25" thickBot="1">
      <c r="A34" s="443"/>
      <c r="B34" s="443"/>
      <c r="C34" s="443"/>
      <c r="D34" s="248" t="s">
        <v>2664</v>
      </c>
      <c r="E34" s="443"/>
      <c r="F34" s="443"/>
      <c r="G34" s="252">
        <f>SUMIF(AB$2:AB$28,D34,G$2:G$28)</f>
        <v>123190</v>
      </c>
      <c r="H34" s="252">
        <f>SUMIF(AB$2:AB$28,D34,H$2:H$28)</f>
        <v>173</v>
      </c>
      <c r="I34" s="443"/>
      <c r="J34" s="250"/>
      <c r="K34" s="261"/>
      <c r="L34" s="261"/>
      <c r="M34" s="261"/>
      <c r="N34" s="261"/>
      <c r="O34" s="252">
        <f>SUMIF(AB$2:AB$28,D34,O$2:O$28)</f>
        <v>0</v>
      </c>
      <c r="P34" s="253">
        <f>SUMIF(AB$2:AB$28,D34,P$2:P$28)</f>
        <v>12051.499999999993</v>
      </c>
      <c r="Q34" s="253">
        <f>SUMIF(AB$2:AB$28,"*"&amp;D34&amp;"*",Q$2:Q$28)</f>
        <v>0</v>
      </c>
      <c r="R34" s="252">
        <f>SUMIF(AB$2:AB$28,D34,R$2:R$28)</f>
        <v>8250</v>
      </c>
      <c r="S34" s="261"/>
      <c r="T34" s="261"/>
      <c r="U34" s="424"/>
      <c r="V34" s="261"/>
      <c r="W34" s="261"/>
      <c r="X34" s="254">
        <f>(SUMIF(AB$2:AB$25,D34,P$2:P$25)+SUMIF(AB$2:AB$25,"*"&amp;D34&amp;"*",Q$2:Q$25))/SUMIF(AB$2:AB$25,D34,G$2:G$25)</f>
        <v>9.7828557512785075E-2</v>
      </c>
      <c r="Y34" s="254">
        <f ca="1">(P34+Q34)/(AA34)</f>
        <v>7.7064174364289514E-2</v>
      </c>
      <c r="Z34" s="255">
        <f>COUNTIFS(X$2:X$25,"&gt;0",AB$2:AB$25,D34)/COUNTIF(AB$2:AB$25,D34)</f>
        <v>1</v>
      </c>
      <c r="AA34" s="9">
        <f ca="1">SUMIF(AB$2:AB$25,D34,AA$2:AA$25)</f>
        <v>156382.65250246413</v>
      </c>
    </row>
    <row r="35" spans="1:27">
      <c r="A35" s="37"/>
      <c r="B35" s="37"/>
      <c r="C35" s="37"/>
      <c r="D35" s="28"/>
    </row>
    <row r="36" spans="1:27">
      <c r="A36" s="37"/>
      <c r="B36" s="37"/>
      <c r="C36" s="37"/>
      <c r="D36" s="28"/>
    </row>
    <row r="37" spans="1:27">
      <c r="A37" s="37"/>
      <c r="B37" s="37"/>
      <c r="C37" s="37"/>
      <c r="D37" s="28"/>
    </row>
    <row r="38" spans="1:27">
      <c r="A38" s="37"/>
      <c r="B38" s="37"/>
      <c r="C38" s="37"/>
      <c r="D38" s="28"/>
    </row>
    <row r="39" spans="1:27">
      <c r="A39" s="37"/>
      <c r="B39" s="37"/>
      <c r="C39" s="37"/>
      <c r="D39" s="28"/>
    </row>
    <row r="40" spans="1:27">
      <c r="A40" s="37"/>
      <c r="B40" s="37"/>
      <c r="C40" s="37"/>
      <c r="D40" s="28"/>
    </row>
  </sheetData>
  <autoFilter ref="A1:AA42" xr:uid="{00000000-0009-0000-0000-000001000000}"/>
  <mergeCells count="10">
    <mergeCell ref="Y26:Y28"/>
    <mergeCell ref="E26:F26"/>
    <mergeCell ref="E27:F27"/>
    <mergeCell ref="E28:F28"/>
    <mergeCell ref="A30:C34"/>
    <mergeCell ref="E30:F34"/>
    <mergeCell ref="I30:I34"/>
    <mergeCell ref="U30:U34"/>
    <mergeCell ref="A26:C28"/>
    <mergeCell ref="K26:N26"/>
  </mergeCells>
  <phoneticPr fontId="74" type="noConversion"/>
  <conditionalFormatting sqref="I20:I22 I24:I25">
    <cfRule type="expression" dxfId="1974" priority="211">
      <formula>$I20&gt;(TODAY()-7)</formula>
    </cfRule>
    <cfRule type="expression" dxfId="1973" priority="212">
      <formula>$I20&gt;(TODAY()-30)</formula>
    </cfRule>
  </conditionalFormatting>
  <conditionalFormatting sqref="Z2">
    <cfRule type="cellIs" dxfId="1972" priority="19" operator="lessThan">
      <formula>0</formula>
    </cfRule>
    <cfRule type="cellIs" dxfId="1971" priority="20" operator="greaterThan">
      <formula>0</formula>
    </cfRule>
    <cfRule type="containsText" dxfId="1970" priority="45" operator="containsText" text="▲">
      <formula>NOT(ISERROR(SEARCH("▲",Z2)))</formula>
    </cfRule>
    <cfRule type="containsText" dxfId="1969" priority="46" operator="containsText" text="▼">
      <formula>NOT(ISERROR(SEARCH("▼",Z2)))</formula>
    </cfRule>
  </conditionalFormatting>
  <conditionalFormatting sqref="Z2:Z6 Z6:AA6 Z8:AA17">
    <cfRule type="containsText" dxfId="1968" priority="188" operator="containsText" text="▼">
      <formula>NOT(ISERROR(SEARCH("▼",Z2)))</formula>
    </cfRule>
  </conditionalFormatting>
  <conditionalFormatting sqref="Z2:Z17">
    <cfRule type="cellIs" dxfId="1967" priority="199" operator="lessThan">
      <formula>0</formula>
    </cfRule>
    <cfRule type="cellIs" dxfId="1966" priority="200" operator="greaterThan">
      <formula>0</formula>
    </cfRule>
  </conditionalFormatting>
  <conditionalFormatting sqref="Z18">
    <cfRule type="cellIs" dxfId="1965" priority="11" operator="lessThan">
      <formula>0</formula>
    </cfRule>
    <cfRule type="cellIs" dxfId="1964" priority="12" operator="greaterThan">
      <formula>0</formula>
    </cfRule>
  </conditionalFormatting>
  <conditionalFormatting sqref="Z18:Z24">
    <cfRule type="cellIs" dxfId="1963" priority="15" operator="lessThan">
      <formula>0</formula>
    </cfRule>
    <cfRule type="cellIs" dxfId="1962" priority="16" operator="greaterThan">
      <formula>0</formula>
    </cfRule>
  </conditionalFormatting>
  <conditionalFormatting sqref="Z1:AA2">
    <cfRule type="containsText" dxfId="1961" priority="47" operator="containsText" text="△">
      <formula>NOT(ISERROR(SEARCH("△",Z1)))</formula>
    </cfRule>
    <cfRule type="containsText" dxfId="1960" priority="48" operator="containsText" text="▽">
      <formula>NOT(ISERROR(SEARCH("▽",Z1)))</formula>
    </cfRule>
  </conditionalFormatting>
  <conditionalFormatting sqref="Z2:AA17">
    <cfRule type="containsText" dxfId="1959" priority="59" operator="containsText" text="▲">
      <formula>NOT(ISERROR(SEARCH("▲",Z2)))</formula>
    </cfRule>
  </conditionalFormatting>
  <conditionalFormatting sqref="Z6:AA6 Z8:AA17">
    <cfRule type="containsText" dxfId="1958" priority="187" operator="containsText" text="▲">
      <formula>NOT(ISERROR(SEARCH("▲",Z6)))</formula>
    </cfRule>
  </conditionalFormatting>
  <conditionalFormatting sqref="Z7:AA17">
    <cfRule type="containsText" dxfId="1957" priority="60" operator="containsText" text="▼">
      <formula>NOT(ISERROR(SEARCH("▼",Z7)))</formula>
    </cfRule>
  </conditionalFormatting>
  <conditionalFormatting sqref="Z13:AA17">
    <cfRule type="containsText" dxfId="1956" priority="63" operator="containsText" text="▲">
      <formula>NOT(ISERROR(SEARCH("▲",Z13)))</formula>
    </cfRule>
    <cfRule type="containsText" dxfId="1955" priority="64" operator="containsText" text="▼">
      <formula>NOT(ISERROR(SEARCH("▼",Z13)))</formula>
    </cfRule>
  </conditionalFormatting>
  <conditionalFormatting sqref="Z14:AA15">
    <cfRule type="containsText" dxfId="1954" priority="53" operator="containsText" text="▲">
      <formula>NOT(ISERROR(SEARCH("▲",Z14)))</formula>
    </cfRule>
    <cfRule type="containsText" dxfId="1953" priority="54" operator="containsText" text="▼">
      <formula>NOT(ISERROR(SEARCH("▼",Z14)))</formula>
    </cfRule>
  </conditionalFormatting>
  <conditionalFormatting sqref="Z18:AA18">
    <cfRule type="containsText" dxfId="1952" priority="1" operator="containsText" text="▲">
      <formula>NOT(ISERROR(SEARCH("▲",Z18)))</formula>
    </cfRule>
    <cfRule type="containsText" dxfId="1951" priority="2" operator="containsText" text="▼">
      <formula>NOT(ISERROR(SEARCH("▼",Z18)))</formula>
    </cfRule>
    <cfRule type="containsText" dxfId="1950" priority="3" operator="containsText" text="▲">
      <formula>NOT(ISERROR(SEARCH("▲",Z18)))</formula>
    </cfRule>
    <cfRule type="containsText" dxfId="1949" priority="4" operator="containsText" text="▼">
      <formula>NOT(ISERROR(SEARCH("▼",Z18)))</formula>
    </cfRule>
    <cfRule type="containsText" dxfId="1948" priority="5" operator="containsText" text="▲">
      <formula>NOT(ISERROR(SEARCH("▲",Z18)))</formula>
    </cfRule>
    <cfRule type="containsText" dxfId="1947" priority="6" operator="containsText" text="▼">
      <formula>NOT(ISERROR(SEARCH("▼",Z18)))</formula>
    </cfRule>
    <cfRule type="containsText" dxfId="1946" priority="7" operator="containsText" text="▲">
      <formula>NOT(ISERROR(SEARCH("▲",Z18)))</formula>
    </cfRule>
    <cfRule type="containsText" dxfId="1945" priority="8" operator="containsText" text="▼">
      <formula>NOT(ISERROR(SEARCH("▼",Z18)))</formula>
    </cfRule>
    <cfRule type="containsText" dxfId="1944" priority="9" operator="containsText" text="▲">
      <formula>NOT(ISERROR(SEARCH("▲",Z18)))</formula>
    </cfRule>
    <cfRule type="containsText" dxfId="1943" priority="10" operator="containsText" text="▼">
      <formula>NOT(ISERROR(SEARCH("▼",Z18)))</formula>
    </cfRule>
    <cfRule type="containsText" dxfId="1942" priority="13" operator="containsText" text="▲">
      <formula>NOT(ISERROR(SEARCH("▲",Z18)))</formula>
    </cfRule>
    <cfRule type="containsText" dxfId="1941" priority="14" operator="containsText" text="▼">
      <formula>NOT(ISERROR(SEARCH("▼",Z18)))</formula>
    </cfRule>
    <cfRule type="containsText" dxfId="1940" priority="17" operator="containsText" text="△">
      <formula>NOT(ISERROR(SEARCH("△",Z18)))</formula>
    </cfRule>
    <cfRule type="containsText" dxfId="1939" priority="18" operator="containsText" text="▽">
      <formula>NOT(ISERROR(SEARCH("▽",Z18)))</formula>
    </cfRule>
  </conditionalFormatting>
  <conditionalFormatting sqref="Z19:AA19">
    <cfRule type="containsText" dxfId="1938" priority="173" operator="containsText" text="▲">
      <formula>NOT(ISERROR(SEARCH("▲",Z19)))</formula>
    </cfRule>
    <cfRule type="containsText" dxfId="1937" priority="174" operator="containsText" text="▼">
      <formula>NOT(ISERROR(SEARCH("▼",Z19)))</formula>
    </cfRule>
  </conditionalFormatting>
  <conditionalFormatting sqref="Z23:AA23">
    <cfRule type="containsText" dxfId="1936" priority="121" operator="containsText" text="▲">
      <formula>NOT(ISERROR(SEARCH("▲",Z23)))</formula>
    </cfRule>
    <cfRule type="containsText" dxfId="1935" priority="122" operator="containsText" text="▼">
      <formula>NOT(ISERROR(SEARCH("▼",Z23)))</formula>
    </cfRule>
  </conditionalFormatting>
  <conditionalFormatting sqref="Z24:AA29">
    <cfRule type="containsText" dxfId="1934" priority="51" operator="containsText" text="△">
      <formula>NOT(ISERROR(SEARCH("△",Z24)))</formula>
    </cfRule>
    <cfRule type="containsText" dxfId="1933" priority="52" operator="containsText" text="▽">
      <formula>NOT(ISERROR(SEARCH("▽",Z24)))</formula>
    </cfRule>
  </conditionalFormatting>
  <conditionalFormatting sqref="AA2 Z20:AA22 Z35:AA1048576">
    <cfRule type="containsText" dxfId="1932" priority="213" operator="containsText" text="△">
      <formula>NOT(ISERROR(SEARCH("△",Z2)))</formula>
    </cfRule>
    <cfRule type="containsText" dxfId="1931" priority="214" operator="containsText" text="▽">
      <formula>NOT(ISERROR(SEARCH("▽",Z2)))</formula>
    </cfRule>
  </conditionalFormatting>
  <conditionalFormatting sqref="AA2">
    <cfRule type="containsText" dxfId="1930" priority="21" operator="containsText" text="△">
      <formula>NOT(ISERROR(SEARCH("△",AA2)))</formula>
    </cfRule>
    <cfRule type="containsText" dxfId="1929" priority="22" operator="containsText" text="▽">
      <formula>NOT(ISERROR(SEARCH("▽",AA2)))</formula>
    </cfRule>
    <cfRule type="containsText" dxfId="1928" priority="23" operator="containsText" text="△">
      <formula>NOT(ISERROR(SEARCH("△",AA2)))</formula>
    </cfRule>
    <cfRule type="containsText" dxfId="1927" priority="24" operator="containsText" text="▽">
      <formula>NOT(ISERROR(SEARCH("▽",AA2)))</formula>
    </cfRule>
    <cfRule type="containsText" dxfId="1926" priority="25" operator="containsText" text="△">
      <formula>NOT(ISERROR(SEARCH("△",AA2)))</formula>
    </cfRule>
    <cfRule type="containsText" dxfId="1925" priority="26" operator="containsText" text="▽">
      <formula>NOT(ISERROR(SEARCH("▽",AA2)))</formula>
    </cfRule>
    <cfRule type="containsText" dxfId="1924" priority="27" operator="containsText" text="△">
      <formula>NOT(ISERROR(SEARCH("△",AA2)))</formula>
    </cfRule>
    <cfRule type="containsText" dxfId="1923" priority="28" operator="containsText" text="▽">
      <formula>NOT(ISERROR(SEARCH("▽",AA2)))</formula>
    </cfRule>
    <cfRule type="containsText" dxfId="1922" priority="29" operator="containsText" text="△">
      <formula>NOT(ISERROR(SEARCH("△",AA2)))</formula>
    </cfRule>
    <cfRule type="containsText" dxfId="1921" priority="30" operator="containsText" text="▽">
      <formula>NOT(ISERROR(SEARCH("▽",AA2)))</formula>
    </cfRule>
    <cfRule type="containsText" dxfId="1920" priority="31" operator="containsText" text="△">
      <formula>NOT(ISERROR(SEARCH("△",AA2)))</formula>
    </cfRule>
    <cfRule type="containsText" dxfId="1919" priority="32" operator="containsText" text="▽">
      <formula>NOT(ISERROR(SEARCH("▽",AA2)))</formula>
    </cfRule>
    <cfRule type="containsText" dxfId="1918" priority="37" operator="containsText" text="△">
      <formula>NOT(ISERROR(SEARCH("△",AA2)))</formula>
    </cfRule>
    <cfRule type="containsText" dxfId="1917" priority="38" operator="containsText" text="▽">
      <formula>NOT(ISERROR(SEARCH("▽",AA2)))</formula>
    </cfRule>
    <cfRule type="containsText" dxfId="1916" priority="39" operator="containsText" text="△">
      <formula>NOT(ISERROR(SEARCH("△",AA2)))</formula>
    </cfRule>
    <cfRule type="containsText" dxfId="1915" priority="40" operator="containsText" text="▽">
      <formula>NOT(ISERROR(SEARCH("▽",AA2)))</formula>
    </cfRule>
    <cfRule type="containsText" dxfId="1914" priority="41" operator="containsText" text="△">
      <formula>NOT(ISERROR(SEARCH("△",AA2)))</formula>
    </cfRule>
    <cfRule type="containsText" dxfId="1913" priority="42" operator="containsText" text="▽">
      <formula>NOT(ISERROR(SEARCH("▽",AA2)))</formula>
    </cfRule>
    <cfRule type="containsText" dxfId="1912" priority="43" operator="containsText" text="△">
      <formula>NOT(ISERROR(SEARCH("△",AA2)))</formula>
    </cfRule>
    <cfRule type="containsText" dxfId="1911" priority="44" operator="containsText" text="▽">
      <formula>NOT(ISERROR(SEARCH("▽",AA2)))</formula>
    </cfRule>
  </conditionalFormatting>
  <conditionalFormatting sqref="AA2:AA6">
    <cfRule type="containsText" dxfId="1910" priority="66" operator="containsText" text="▼">
      <formula>NOT(ISERROR(SEARCH("▼",AA2)))</formula>
    </cfRule>
  </conditionalFormatting>
  <conditionalFormatting sqref="AA30:AA34">
    <cfRule type="containsText" dxfId="1909" priority="49" operator="containsText" text="△">
      <formula>NOT(ISERROR(SEARCH("△",AA30)))</formula>
    </cfRule>
    <cfRule type="containsText" dxfId="1908" priority="50" operator="containsText" text="▽">
      <formula>NOT(ISERROR(SEARCH("▽",AA30)))</formula>
    </cfRule>
  </conditionalFormatting>
  <hyperlinks>
    <hyperlink ref="AD14" r:id="rId1" xr:uid="{F8A6D1F9-A7E7-42FC-874D-EE6BBB6E91E7}"/>
    <hyperlink ref="AD15" r:id="rId2" xr:uid="{FBABBFCD-F8FF-4C93-9D15-2A0FD7F86FF7}"/>
    <hyperlink ref="AD16" r:id="rId3" xr:uid="{DEBA7AEA-0991-49E1-9008-DAC2352A3AB8}"/>
    <hyperlink ref="AD17" r:id="rId4" xr:uid="{8A80E54B-16A1-4F74-8484-7EDCC270838D}"/>
  </hyperlinks>
  <pageMargins left="0.7" right="0.7" top="0.75" bottom="0.75" header="0.3" footer="0.3"/>
  <pageSetup paperSize="9" orientation="portrait"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6C46-D22F-4C17-B152-52B98B2AA2DB}">
  <sheetPr codeName="Sheet17">
    <tabColor rgb="FF92D050"/>
    <outlinePr summaryBelow="0" summaryRight="0"/>
  </sheetPr>
  <dimension ref="A1:AD56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R26" sqref="R26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1.37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0" style="28" bestFit="1" customWidth="1"/>
    <col min="29" max="29" width="33.125" style="28" bestFit="1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2653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182" t="s">
        <v>33</v>
      </c>
    </row>
    <row r="2" spans="1:30" outlineLevel="1">
      <c r="A2" s="99">
        <v>44571</v>
      </c>
      <c r="B2" s="11" t="s">
        <v>19</v>
      </c>
      <c r="C2" s="11">
        <v>2358</v>
      </c>
      <c r="D2" s="11" t="s">
        <v>691</v>
      </c>
      <c r="E2" s="11">
        <v>1000</v>
      </c>
      <c r="F2" s="11">
        <v>27.95</v>
      </c>
      <c r="G2" s="11">
        <f t="shared" ref="G2:G22" si="0">E2*F2</f>
        <v>27950</v>
      </c>
      <c r="H2" s="11">
        <v>39</v>
      </c>
      <c r="I2" s="104">
        <v>44580</v>
      </c>
      <c r="J2" s="16">
        <v>25.15</v>
      </c>
      <c r="K2" s="11">
        <f t="shared" ref="K2:K23" si="1">E2*J2</f>
        <v>25150</v>
      </c>
      <c r="L2" s="17">
        <v>35</v>
      </c>
      <c r="M2" s="11">
        <v>75</v>
      </c>
      <c r="N2" s="11">
        <v>0</v>
      </c>
      <c r="O2" s="13">
        <f t="shared" ref="O2:O24" si="2">IF(I2="",E2*Y2,0)</f>
        <v>0</v>
      </c>
      <c r="P2" s="14">
        <f t="shared" ref="P2:P24" si="3">IF(I2="",R2-H2,(K2-H2-SUM(L2:N2)+R2-S2-T2)-G2)+(ROUND(R2*V2,0)-ROUND(R2*(1+V2),0)*W2)</f>
        <v>-2949</v>
      </c>
      <c r="Q2" s="14">
        <f t="shared" ref="Q2:Q24" si="4">IF(I2="",(O2-G2-(O2*0.1425%*0.65)-(O2*0.3%)-S2-T2),0)</f>
        <v>0</v>
      </c>
      <c r="R2" s="14"/>
      <c r="S2" s="14"/>
      <c r="T2" s="14">
        <f t="shared" ref="T2:T24" si="5">IF(ROUND(R2*(1+V2),0)&gt;20000,ROUND(ROUND(R2*(1+V2),0)*2%,0),0)</f>
        <v>0</v>
      </c>
      <c r="U2" s="69">
        <f t="shared" ref="U2:U24" si="6">(V2*50%)/(1+50%*V2)</f>
        <v>0</v>
      </c>
      <c r="V2" s="69"/>
      <c r="W2" s="70">
        <v>0.11</v>
      </c>
      <c r="X2" s="15">
        <f t="shared" ref="X2:X24" si="7">(P2+Q2)/G2</f>
        <v>-0.10550983899821109</v>
      </c>
      <c r="Y2" s="16" t="e">
        <f>VLOOKUP(C2,台股行情!A:D,4,FALSE)</f>
        <v>#N/A</v>
      </c>
      <c r="Z2" s="38" t="e">
        <f>VLOOKUP(C2,台股行情!A:E,5,FALSE)</f>
        <v>#N/A</v>
      </c>
      <c r="AA2" s="90">
        <f t="shared" ref="AA2:AA26" ca="1" si="8">IF(I2="",((TODAY()-A2)*G2)/365.24,((I2-A2)*G2)/365.24)</f>
        <v>688.7252217719855</v>
      </c>
      <c r="AB2" s="103" t="s">
        <v>219</v>
      </c>
      <c r="AC2" s="207" t="s">
        <v>2337</v>
      </c>
    </row>
    <row r="3" spans="1:30" outlineLevel="1">
      <c r="A3" s="99">
        <v>44571</v>
      </c>
      <c r="B3" s="11" t="s">
        <v>19</v>
      </c>
      <c r="C3" s="11">
        <v>2358</v>
      </c>
      <c r="D3" s="11" t="s">
        <v>691</v>
      </c>
      <c r="E3" s="11">
        <v>1000</v>
      </c>
      <c r="F3" s="11">
        <v>27.95</v>
      </c>
      <c r="G3" s="11">
        <f t="shared" si="0"/>
        <v>27950</v>
      </c>
      <c r="H3" s="11">
        <v>40</v>
      </c>
      <c r="I3" s="104">
        <v>44581</v>
      </c>
      <c r="J3" s="16">
        <v>24.75</v>
      </c>
      <c r="K3" s="11">
        <f t="shared" si="1"/>
        <v>24750</v>
      </c>
      <c r="L3" s="17">
        <v>35</v>
      </c>
      <c r="M3" s="11">
        <v>74</v>
      </c>
      <c r="N3" s="11">
        <v>0</v>
      </c>
      <c r="O3" s="13">
        <f t="shared" si="2"/>
        <v>0</v>
      </c>
      <c r="P3" s="14">
        <f t="shared" si="3"/>
        <v>-3349</v>
      </c>
      <c r="Q3" s="14">
        <f t="shared" si="4"/>
        <v>0</v>
      </c>
      <c r="R3" s="14"/>
      <c r="S3" s="14"/>
      <c r="T3" s="14">
        <f t="shared" si="5"/>
        <v>0</v>
      </c>
      <c r="U3" s="69">
        <f t="shared" si="6"/>
        <v>0</v>
      </c>
      <c r="V3" s="69"/>
      <c r="W3" s="70">
        <v>0.11</v>
      </c>
      <c r="X3" s="15">
        <f t="shared" si="7"/>
        <v>-0.1198211091234347</v>
      </c>
      <c r="Y3" s="16" t="e">
        <f>VLOOKUP(C3,台股行情!A:D,4,FALSE)</f>
        <v>#N/A</v>
      </c>
      <c r="Z3" s="38" t="e">
        <f>VLOOKUP(C3,台股行情!A:E,5,FALSE)</f>
        <v>#N/A</v>
      </c>
      <c r="AA3" s="90">
        <f t="shared" ca="1" si="8"/>
        <v>765.2502464133172</v>
      </c>
      <c r="AB3" s="103" t="s">
        <v>219</v>
      </c>
      <c r="AC3" s="207" t="s">
        <v>2337</v>
      </c>
    </row>
    <row r="4" spans="1:30" outlineLevel="1">
      <c r="A4" s="99">
        <v>44571</v>
      </c>
      <c r="B4" s="11" t="s">
        <v>19</v>
      </c>
      <c r="C4" s="11">
        <v>4728</v>
      </c>
      <c r="D4" s="11" t="s">
        <v>1183</v>
      </c>
      <c r="E4" s="11">
        <v>1000</v>
      </c>
      <c r="F4" s="11">
        <v>90.8</v>
      </c>
      <c r="G4" s="11">
        <f t="shared" si="0"/>
        <v>90800</v>
      </c>
      <c r="H4" s="11">
        <v>129</v>
      </c>
      <c r="I4" s="104">
        <v>44581</v>
      </c>
      <c r="J4" s="16">
        <v>90.3</v>
      </c>
      <c r="K4" s="11">
        <f t="shared" si="1"/>
        <v>90300</v>
      </c>
      <c r="L4" s="17">
        <v>128</v>
      </c>
      <c r="M4" s="11">
        <v>270</v>
      </c>
      <c r="N4" s="11">
        <v>0</v>
      </c>
      <c r="O4" s="13">
        <f t="shared" si="2"/>
        <v>0</v>
      </c>
      <c r="P4" s="14">
        <f t="shared" si="3"/>
        <v>-1027</v>
      </c>
      <c r="Q4" s="14">
        <f t="shared" si="4"/>
        <v>0</v>
      </c>
      <c r="R4" s="14"/>
      <c r="S4" s="14"/>
      <c r="T4" s="14">
        <f t="shared" si="5"/>
        <v>0</v>
      </c>
      <c r="U4" s="69">
        <f t="shared" si="6"/>
        <v>0</v>
      </c>
      <c r="V4" s="69"/>
      <c r="W4" s="70">
        <v>0.11</v>
      </c>
      <c r="X4" s="15">
        <f t="shared" si="7"/>
        <v>-1.1310572687224669E-2</v>
      </c>
      <c r="Y4" s="16">
        <f>VLOOKUP(C4,台股行情!A:D,4,FALSE)</f>
        <v>393</v>
      </c>
      <c r="Z4" s="38">
        <f>VLOOKUP(C4,台股行情!A:E,5,FALSE)</f>
        <v>-6.5</v>
      </c>
      <c r="AA4" s="90">
        <f t="shared" ca="1" si="8"/>
        <v>2486.0365786879861</v>
      </c>
      <c r="AB4" s="103" t="s">
        <v>219</v>
      </c>
      <c r="AC4" s="135" t="s">
        <v>1495</v>
      </c>
    </row>
    <row r="5" spans="1:30" outlineLevel="1">
      <c r="A5" s="99">
        <v>44581</v>
      </c>
      <c r="B5" s="11" t="s">
        <v>19</v>
      </c>
      <c r="C5" s="11">
        <v>3338</v>
      </c>
      <c r="D5" s="11" t="s">
        <v>977</v>
      </c>
      <c r="E5" s="11">
        <v>1000</v>
      </c>
      <c r="F5" s="11">
        <v>58.8</v>
      </c>
      <c r="G5" s="11">
        <f t="shared" si="0"/>
        <v>58800</v>
      </c>
      <c r="H5" s="11">
        <v>83</v>
      </c>
      <c r="I5" s="104">
        <v>44616</v>
      </c>
      <c r="J5" s="16">
        <v>54.5</v>
      </c>
      <c r="K5" s="11">
        <f t="shared" si="1"/>
        <v>54500</v>
      </c>
      <c r="L5" s="17">
        <v>77</v>
      </c>
      <c r="M5" s="11">
        <v>163</v>
      </c>
      <c r="N5" s="11">
        <v>0</v>
      </c>
      <c r="O5" s="13">
        <f t="shared" si="2"/>
        <v>0</v>
      </c>
      <c r="P5" s="14">
        <f t="shared" si="3"/>
        <v>-4623</v>
      </c>
      <c r="Q5" s="14">
        <f t="shared" si="4"/>
        <v>0</v>
      </c>
      <c r="R5" s="14"/>
      <c r="S5" s="14"/>
      <c r="T5" s="14">
        <f t="shared" si="5"/>
        <v>0</v>
      </c>
      <c r="U5" s="69">
        <f t="shared" si="6"/>
        <v>0</v>
      </c>
      <c r="V5" s="69"/>
      <c r="W5" s="70">
        <v>0.11</v>
      </c>
      <c r="X5" s="15">
        <f t="shared" si="7"/>
        <v>-7.8622448979591836E-2</v>
      </c>
      <c r="Y5" s="16">
        <f>VLOOKUP(C5,台股行情!A:D,4,FALSE)</f>
        <v>66.599999999999994</v>
      </c>
      <c r="Z5" s="38">
        <f>VLOOKUP(C5,台股行情!A:E,5,FALSE)</f>
        <v>-2.2000000000000002</v>
      </c>
      <c r="AA5" s="90">
        <f t="shared" ca="1" si="8"/>
        <v>5634.6511882597742</v>
      </c>
      <c r="AB5" s="103" t="s">
        <v>219</v>
      </c>
      <c r="AC5" s="207" t="s">
        <v>2337</v>
      </c>
    </row>
    <row r="6" spans="1:30" outlineLevel="1">
      <c r="A6" s="99">
        <v>44623</v>
      </c>
      <c r="B6" s="11" t="s">
        <v>19</v>
      </c>
      <c r="C6" s="11">
        <v>1304</v>
      </c>
      <c r="D6" s="11" t="s">
        <v>242</v>
      </c>
      <c r="E6" s="11">
        <v>2000</v>
      </c>
      <c r="F6" s="11">
        <v>31.6</v>
      </c>
      <c r="G6" s="11">
        <f t="shared" si="0"/>
        <v>63200</v>
      </c>
      <c r="H6" s="11">
        <v>90</v>
      </c>
      <c r="I6" s="104">
        <v>44623</v>
      </c>
      <c r="J6" s="16">
        <v>31.6</v>
      </c>
      <c r="K6" s="11">
        <f t="shared" si="1"/>
        <v>63200</v>
      </c>
      <c r="L6" s="17">
        <v>90</v>
      </c>
      <c r="M6" s="11">
        <v>94</v>
      </c>
      <c r="N6" s="11">
        <v>0</v>
      </c>
      <c r="O6" s="13">
        <f t="shared" si="2"/>
        <v>0</v>
      </c>
      <c r="P6" s="14">
        <f t="shared" si="3"/>
        <v>-274</v>
      </c>
      <c r="Q6" s="14">
        <f t="shared" si="4"/>
        <v>0</v>
      </c>
      <c r="R6" s="14"/>
      <c r="S6" s="14"/>
      <c r="T6" s="14">
        <f t="shared" si="5"/>
        <v>0</v>
      </c>
      <c r="U6" s="69">
        <f t="shared" si="6"/>
        <v>0</v>
      </c>
      <c r="V6" s="69"/>
      <c r="W6" s="70">
        <v>0.11</v>
      </c>
      <c r="X6" s="15">
        <f t="shared" si="7"/>
        <v>-4.3354430379746837E-3</v>
      </c>
      <c r="Y6" s="16">
        <f>VLOOKUP(C6,台股行情!A:D,4,FALSE)</f>
        <v>13.2</v>
      </c>
      <c r="Z6" s="38">
        <f>VLOOKUP(C6,台股行情!A:E,5,FALSE)</f>
        <v>-0.8</v>
      </c>
      <c r="AA6" s="90">
        <f t="shared" ca="1" si="8"/>
        <v>0</v>
      </c>
      <c r="AB6" s="103" t="s">
        <v>1499</v>
      </c>
      <c r="AC6" s="135" t="s">
        <v>413</v>
      </c>
    </row>
    <row r="7" spans="1:30" outlineLevel="1">
      <c r="A7" s="99">
        <v>44623</v>
      </c>
      <c r="B7" s="11" t="s">
        <v>19</v>
      </c>
      <c r="C7" s="11">
        <v>2211</v>
      </c>
      <c r="D7" s="11" t="s">
        <v>1547</v>
      </c>
      <c r="E7" s="11">
        <v>1000</v>
      </c>
      <c r="F7" s="11">
        <v>63.7</v>
      </c>
      <c r="G7" s="11">
        <f t="shared" si="0"/>
        <v>63700</v>
      </c>
      <c r="H7" s="11">
        <v>90</v>
      </c>
      <c r="I7" s="104">
        <v>44623</v>
      </c>
      <c r="J7" s="16">
        <v>62.5</v>
      </c>
      <c r="K7" s="11">
        <f t="shared" si="1"/>
        <v>62500</v>
      </c>
      <c r="L7" s="17">
        <v>89</v>
      </c>
      <c r="M7" s="11">
        <v>93</v>
      </c>
      <c r="N7" s="11">
        <v>0</v>
      </c>
      <c r="O7" s="13">
        <f t="shared" si="2"/>
        <v>0</v>
      </c>
      <c r="P7" s="14">
        <f t="shared" si="3"/>
        <v>-1472</v>
      </c>
      <c r="Q7" s="14">
        <f t="shared" si="4"/>
        <v>0</v>
      </c>
      <c r="R7" s="14"/>
      <c r="S7" s="14"/>
      <c r="T7" s="14">
        <f t="shared" si="5"/>
        <v>0</v>
      </c>
      <c r="U7" s="69">
        <f t="shared" si="6"/>
        <v>0</v>
      </c>
      <c r="V7" s="69"/>
      <c r="W7" s="70">
        <v>0.11</v>
      </c>
      <c r="X7" s="15">
        <f t="shared" si="7"/>
        <v>-2.3108320251177393E-2</v>
      </c>
      <c r="Y7" s="16">
        <f>VLOOKUP(C7,台股行情!A:D,4,FALSE)</f>
        <v>79.3</v>
      </c>
      <c r="Z7" s="38">
        <f>VLOOKUP(C7,台股行情!A:E,5,FALSE)</f>
        <v>-0.6</v>
      </c>
      <c r="AA7" s="90">
        <f t="shared" ca="1" si="8"/>
        <v>0</v>
      </c>
      <c r="AB7" s="103" t="s">
        <v>1499</v>
      </c>
      <c r="AC7" s="135" t="s">
        <v>413</v>
      </c>
    </row>
    <row r="8" spans="1:30" outlineLevel="1">
      <c r="A8" s="99">
        <v>44623</v>
      </c>
      <c r="B8" s="11" t="s">
        <v>19</v>
      </c>
      <c r="C8" s="11">
        <v>3663</v>
      </c>
      <c r="D8" s="11" t="s">
        <v>261</v>
      </c>
      <c r="E8" s="11">
        <v>2000</v>
      </c>
      <c r="F8" s="11">
        <v>34.35</v>
      </c>
      <c r="G8" s="11">
        <f t="shared" si="0"/>
        <v>68700</v>
      </c>
      <c r="H8" s="11">
        <v>97</v>
      </c>
      <c r="I8" s="104">
        <v>44623</v>
      </c>
      <c r="J8" s="16">
        <v>33.75</v>
      </c>
      <c r="K8" s="11">
        <f t="shared" si="1"/>
        <v>67500</v>
      </c>
      <c r="L8" s="17">
        <v>96</v>
      </c>
      <c r="M8" s="11">
        <v>101</v>
      </c>
      <c r="N8" s="11">
        <v>0</v>
      </c>
      <c r="O8" s="13">
        <f t="shared" si="2"/>
        <v>0</v>
      </c>
      <c r="P8" s="14">
        <f t="shared" si="3"/>
        <v>-1494</v>
      </c>
      <c r="Q8" s="14">
        <f t="shared" si="4"/>
        <v>0</v>
      </c>
      <c r="R8" s="14"/>
      <c r="S8" s="14"/>
      <c r="T8" s="14">
        <f t="shared" si="5"/>
        <v>0</v>
      </c>
      <c r="U8" s="69">
        <f t="shared" si="6"/>
        <v>0</v>
      </c>
      <c r="V8" s="69"/>
      <c r="W8" s="70">
        <v>0.11</v>
      </c>
      <c r="X8" s="15">
        <f t="shared" si="7"/>
        <v>-2.1746724890829693E-2</v>
      </c>
      <c r="Y8" s="16">
        <f>VLOOKUP(C8,台股行情!A:D,4,FALSE)</f>
        <v>68.5</v>
      </c>
      <c r="Z8" s="38">
        <f>VLOOKUP(C8,台股行情!A:E,5,FALSE)</f>
        <v>1.9</v>
      </c>
      <c r="AA8" s="90">
        <f t="shared" ca="1" si="8"/>
        <v>0</v>
      </c>
      <c r="AB8" s="103" t="s">
        <v>1499</v>
      </c>
      <c r="AC8" s="135" t="s">
        <v>413</v>
      </c>
    </row>
    <row r="9" spans="1:30" outlineLevel="1">
      <c r="A9" s="99">
        <v>44601</v>
      </c>
      <c r="B9" s="11" t="s">
        <v>19</v>
      </c>
      <c r="C9" s="11">
        <v>3017</v>
      </c>
      <c r="D9" s="11" t="s">
        <v>879</v>
      </c>
      <c r="E9" s="11">
        <v>1000</v>
      </c>
      <c r="F9" s="11">
        <v>105</v>
      </c>
      <c r="G9" s="11">
        <f t="shared" si="0"/>
        <v>105000</v>
      </c>
      <c r="H9" s="11">
        <v>149</v>
      </c>
      <c r="I9" s="104">
        <v>44624</v>
      </c>
      <c r="J9" s="16">
        <v>115</v>
      </c>
      <c r="K9" s="11">
        <f t="shared" si="1"/>
        <v>115000</v>
      </c>
      <c r="L9" s="17">
        <v>163</v>
      </c>
      <c r="M9" s="11">
        <v>345</v>
      </c>
      <c r="N9" s="11">
        <v>0</v>
      </c>
      <c r="O9" s="13">
        <f t="shared" si="2"/>
        <v>0</v>
      </c>
      <c r="P9" s="14">
        <f t="shared" si="3"/>
        <v>9343</v>
      </c>
      <c r="Q9" s="14">
        <f t="shared" si="4"/>
        <v>0</v>
      </c>
      <c r="R9" s="14"/>
      <c r="S9" s="14"/>
      <c r="T9" s="14">
        <f t="shared" si="5"/>
        <v>0</v>
      </c>
      <c r="U9" s="69">
        <f t="shared" si="6"/>
        <v>0</v>
      </c>
      <c r="V9" s="69"/>
      <c r="W9" s="70">
        <v>0.11</v>
      </c>
      <c r="X9" s="15">
        <f t="shared" si="7"/>
        <v>8.8980952380952383E-2</v>
      </c>
      <c r="Y9" s="16">
        <f>VLOOKUP(C9,台股行情!A:D,4,FALSE)</f>
        <v>3085</v>
      </c>
      <c r="Z9" s="38">
        <f>VLOOKUP(C9,台股行情!A:E,5,FALSE)</f>
        <v>-230</v>
      </c>
      <c r="AA9" s="90">
        <f t="shared" ca="1" si="8"/>
        <v>6612.0906801007559</v>
      </c>
      <c r="AB9" s="103" t="s">
        <v>209</v>
      </c>
      <c r="AC9" s="103"/>
    </row>
    <row r="10" spans="1:30" outlineLevel="1">
      <c r="A10" s="99">
        <v>44567</v>
      </c>
      <c r="B10" s="11" t="s">
        <v>19</v>
      </c>
      <c r="C10" s="11">
        <v>1474</v>
      </c>
      <c r="D10" s="11" t="s">
        <v>516</v>
      </c>
      <c r="E10" s="11">
        <v>2000</v>
      </c>
      <c r="F10" s="11">
        <v>15.8</v>
      </c>
      <c r="G10" s="11">
        <f t="shared" si="0"/>
        <v>31600</v>
      </c>
      <c r="H10" s="11">
        <v>45</v>
      </c>
      <c r="I10" s="104">
        <v>44644</v>
      </c>
      <c r="J10" s="16">
        <v>15.1</v>
      </c>
      <c r="K10" s="11">
        <f t="shared" si="1"/>
        <v>30200</v>
      </c>
      <c r="L10" s="17">
        <v>43</v>
      </c>
      <c r="M10" s="11">
        <v>90</v>
      </c>
      <c r="N10" s="11">
        <v>0</v>
      </c>
      <c r="O10" s="13">
        <f t="shared" si="2"/>
        <v>0</v>
      </c>
      <c r="P10" s="14">
        <f t="shared" si="3"/>
        <v>-1578</v>
      </c>
      <c r="Q10" s="14">
        <f t="shared" si="4"/>
        <v>0</v>
      </c>
      <c r="R10" s="14"/>
      <c r="S10" s="14"/>
      <c r="T10" s="14">
        <f t="shared" si="5"/>
        <v>0</v>
      </c>
      <c r="U10" s="69">
        <f t="shared" si="6"/>
        <v>0</v>
      </c>
      <c r="V10" s="69"/>
      <c r="W10" s="70">
        <v>0.11</v>
      </c>
      <c r="X10" s="15">
        <f t="shared" si="7"/>
        <v>-4.9936708860759495E-2</v>
      </c>
      <c r="Y10" s="16">
        <f>VLOOKUP(C10,台股行情!A:D,4,FALSE)</f>
        <v>9.99</v>
      </c>
      <c r="Z10" s="38">
        <f>VLOOKUP(C10,台股行情!A:E,5,FALSE)</f>
        <v>-0.06</v>
      </c>
      <c r="AA10" s="90">
        <f t="shared" ca="1" si="8"/>
        <v>6661.9209287044132</v>
      </c>
      <c r="AB10" s="103" t="s">
        <v>219</v>
      </c>
      <c r="AC10" s="207" t="s">
        <v>2337</v>
      </c>
    </row>
    <row r="11" spans="1:30" outlineLevel="1">
      <c r="A11" s="99">
        <v>44600</v>
      </c>
      <c r="B11" s="11" t="s">
        <v>19</v>
      </c>
      <c r="C11" s="11">
        <v>2006</v>
      </c>
      <c r="D11" s="11" t="s">
        <v>243</v>
      </c>
      <c r="E11" s="11">
        <v>1000</v>
      </c>
      <c r="F11" s="11">
        <v>71.900000000000006</v>
      </c>
      <c r="G11" s="11">
        <f t="shared" si="0"/>
        <v>71900</v>
      </c>
      <c r="H11" s="11">
        <v>102</v>
      </c>
      <c r="I11" s="104">
        <v>44624</v>
      </c>
      <c r="J11" s="16">
        <v>80.8</v>
      </c>
      <c r="K11" s="11">
        <f t="shared" si="1"/>
        <v>80800</v>
      </c>
      <c r="L11" s="17">
        <v>115</v>
      </c>
      <c r="M11" s="11">
        <v>242</v>
      </c>
      <c r="N11" s="11">
        <v>0</v>
      </c>
      <c r="O11" s="13">
        <f t="shared" si="2"/>
        <v>0</v>
      </c>
      <c r="P11" s="14">
        <f t="shared" si="3"/>
        <v>8441</v>
      </c>
      <c r="Q11" s="14">
        <f t="shared" si="4"/>
        <v>0</v>
      </c>
      <c r="R11" s="14"/>
      <c r="S11" s="14"/>
      <c r="T11" s="14">
        <f t="shared" si="5"/>
        <v>0</v>
      </c>
      <c r="U11" s="69">
        <f t="shared" si="6"/>
        <v>0</v>
      </c>
      <c r="V11" s="69"/>
      <c r="W11" s="70">
        <v>0.11</v>
      </c>
      <c r="X11" s="15">
        <f t="shared" si="7"/>
        <v>0.11739916550764952</v>
      </c>
      <c r="Y11" s="16">
        <f>VLOOKUP(C11,台股行情!A:D,4,FALSE)</f>
        <v>90.1</v>
      </c>
      <c r="Z11" s="38">
        <f>VLOOKUP(C11,台股行情!A:E,5,FALSE)</f>
        <v>0.6</v>
      </c>
      <c r="AA11" s="90">
        <f t="shared" ca="1" si="8"/>
        <v>4724.5646698061546</v>
      </c>
      <c r="AB11" s="103" t="s">
        <v>209</v>
      </c>
      <c r="AC11" s="103"/>
    </row>
    <row r="12" spans="1:30" outlineLevel="1">
      <c r="A12" s="99">
        <v>44651</v>
      </c>
      <c r="B12" s="11" t="s">
        <v>19</v>
      </c>
      <c r="C12" s="11">
        <v>2312</v>
      </c>
      <c r="D12" s="11" t="s">
        <v>673</v>
      </c>
      <c r="E12" s="11">
        <v>1000</v>
      </c>
      <c r="F12" s="11">
        <v>17.05</v>
      </c>
      <c r="G12" s="11">
        <f t="shared" si="0"/>
        <v>17050</v>
      </c>
      <c r="H12" s="11">
        <v>24</v>
      </c>
      <c r="I12" s="104">
        <v>44658</v>
      </c>
      <c r="J12" s="16">
        <v>15.35</v>
      </c>
      <c r="K12" s="11">
        <f t="shared" si="1"/>
        <v>15350</v>
      </c>
      <c r="L12" s="17">
        <v>21</v>
      </c>
      <c r="M12" s="11">
        <v>46</v>
      </c>
      <c r="N12" s="11">
        <v>0</v>
      </c>
      <c r="O12" s="13">
        <f t="shared" si="2"/>
        <v>0</v>
      </c>
      <c r="P12" s="14">
        <f t="shared" si="3"/>
        <v>-1791</v>
      </c>
      <c r="Q12" s="14">
        <f t="shared" si="4"/>
        <v>0</v>
      </c>
      <c r="R12" s="14"/>
      <c r="S12" s="14"/>
      <c r="T12" s="14">
        <f t="shared" si="5"/>
        <v>0</v>
      </c>
      <c r="U12" s="69">
        <f t="shared" si="6"/>
        <v>0</v>
      </c>
      <c r="V12" s="69"/>
      <c r="W12" s="70">
        <v>0.11</v>
      </c>
      <c r="X12" s="15">
        <f t="shared" si="7"/>
        <v>-0.10504398826979472</v>
      </c>
      <c r="Y12" s="16">
        <f>VLOOKUP(C12,台股行情!A:D,4,FALSE)</f>
        <v>31.5</v>
      </c>
      <c r="Z12" s="38">
        <f>VLOOKUP(C12,台股行情!A:E,5,FALSE)</f>
        <v>-1.75</v>
      </c>
      <c r="AA12" s="90">
        <f t="shared" ca="1" si="8"/>
        <v>326.77143795860258</v>
      </c>
      <c r="AB12" s="103" t="s">
        <v>219</v>
      </c>
      <c r="AC12" s="207" t="s">
        <v>2337</v>
      </c>
    </row>
    <row r="13" spans="1:30" outlineLevel="1">
      <c r="A13" s="99">
        <v>44651</v>
      </c>
      <c r="B13" s="11" t="s">
        <v>19</v>
      </c>
      <c r="C13" s="11">
        <v>2312</v>
      </c>
      <c r="D13" s="11" t="s">
        <v>673</v>
      </c>
      <c r="E13" s="11">
        <v>1000</v>
      </c>
      <c r="F13" s="11">
        <v>17.05</v>
      </c>
      <c r="G13" s="11">
        <f t="shared" si="0"/>
        <v>17050</v>
      </c>
      <c r="H13" s="11">
        <v>24</v>
      </c>
      <c r="I13" s="104">
        <v>44662</v>
      </c>
      <c r="J13" s="16">
        <v>14.6</v>
      </c>
      <c r="K13" s="11">
        <f t="shared" si="1"/>
        <v>14600</v>
      </c>
      <c r="L13" s="17">
        <v>20</v>
      </c>
      <c r="M13" s="11">
        <v>43</v>
      </c>
      <c r="N13" s="11">
        <v>0</v>
      </c>
      <c r="O13" s="13">
        <f t="shared" si="2"/>
        <v>0</v>
      </c>
      <c r="P13" s="14">
        <f t="shared" si="3"/>
        <v>-2537</v>
      </c>
      <c r="Q13" s="14">
        <f t="shared" si="4"/>
        <v>0</v>
      </c>
      <c r="R13" s="14"/>
      <c r="S13" s="14"/>
      <c r="T13" s="14">
        <f t="shared" si="5"/>
        <v>0</v>
      </c>
      <c r="U13" s="69">
        <f t="shared" si="6"/>
        <v>0</v>
      </c>
      <c r="V13" s="69"/>
      <c r="W13" s="70">
        <v>0.11</v>
      </c>
      <c r="X13" s="15">
        <f t="shared" si="7"/>
        <v>-0.14879765395894429</v>
      </c>
      <c r="Y13" s="16">
        <f>VLOOKUP(C13,台股行情!A:D,4,FALSE)</f>
        <v>31.5</v>
      </c>
      <c r="Z13" s="38">
        <f>VLOOKUP(C13,台股行情!A:E,5,FALSE)</f>
        <v>-1.75</v>
      </c>
      <c r="AA13" s="90">
        <f t="shared" ca="1" si="8"/>
        <v>513.49797393494691</v>
      </c>
      <c r="AB13" s="103" t="s">
        <v>219</v>
      </c>
      <c r="AC13" s="207" t="s">
        <v>2337</v>
      </c>
    </row>
    <row r="14" spans="1:30" outlineLevel="1">
      <c r="A14" s="99">
        <v>44663</v>
      </c>
      <c r="B14" s="11" t="s">
        <v>19</v>
      </c>
      <c r="C14" s="11">
        <v>6020</v>
      </c>
      <c r="D14" s="11" t="s">
        <v>1342</v>
      </c>
      <c r="E14" s="11">
        <v>1000</v>
      </c>
      <c r="F14" s="11">
        <v>23.9</v>
      </c>
      <c r="G14" s="11">
        <f t="shared" si="0"/>
        <v>23900</v>
      </c>
      <c r="H14" s="11">
        <v>34</v>
      </c>
      <c r="I14" s="104">
        <v>44664</v>
      </c>
      <c r="J14" s="16">
        <v>24.15</v>
      </c>
      <c r="K14" s="11">
        <f t="shared" si="1"/>
        <v>24150</v>
      </c>
      <c r="L14" s="17">
        <v>34</v>
      </c>
      <c r="M14" s="11">
        <v>72</v>
      </c>
      <c r="N14" s="11">
        <v>0</v>
      </c>
      <c r="O14" s="13">
        <f t="shared" si="2"/>
        <v>0</v>
      </c>
      <c r="P14" s="14">
        <f t="shared" si="3"/>
        <v>110</v>
      </c>
      <c r="Q14" s="14">
        <f t="shared" si="4"/>
        <v>0</v>
      </c>
      <c r="R14" s="14"/>
      <c r="S14" s="14"/>
      <c r="T14" s="14">
        <f t="shared" si="5"/>
        <v>0</v>
      </c>
      <c r="U14" s="69">
        <f t="shared" si="6"/>
        <v>0</v>
      </c>
      <c r="V14" s="69"/>
      <c r="W14" s="70">
        <v>0.11</v>
      </c>
      <c r="X14" s="15">
        <f t="shared" si="7"/>
        <v>4.6025104602510462E-3</v>
      </c>
      <c r="Y14" s="16">
        <f>VLOOKUP(C14,台股行情!A:D,4,FALSE)</f>
        <v>20.6</v>
      </c>
      <c r="Z14" s="38">
        <f>VLOOKUP(C14,台股行情!A:E,5,FALSE)</f>
        <v>-0.25</v>
      </c>
      <c r="AA14" s="90">
        <f t="shared" ca="1" si="8"/>
        <v>65.436425364144128</v>
      </c>
      <c r="AB14" s="184" t="s">
        <v>169</v>
      </c>
      <c r="AC14" s="184" t="s">
        <v>1632</v>
      </c>
      <c r="AD14" s="185" t="s">
        <v>1633</v>
      </c>
    </row>
    <row r="15" spans="1:30" outlineLevel="1">
      <c r="A15" s="99">
        <v>44658</v>
      </c>
      <c r="B15" s="11" t="s">
        <v>19</v>
      </c>
      <c r="C15" s="11">
        <v>5468</v>
      </c>
      <c r="D15" s="11" t="s">
        <v>1294</v>
      </c>
      <c r="E15" s="11">
        <v>1000</v>
      </c>
      <c r="F15" s="11">
        <v>29.35</v>
      </c>
      <c r="G15" s="11">
        <f t="shared" si="0"/>
        <v>29350</v>
      </c>
      <c r="H15" s="11">
        <v>42</v>
      </c>
      <c r="I15" s="104">
        <v>44718</v>
      </c>
      <c r="J15" s="16">
        <v>38.5</v>
      </c>
      <c r="K15" s="11">
        <f t="shared" si="1"/>
        <v>38500</v>
      </c>
      <c r="L15" s="17">
        <v>54</v>
      </c>
      <c r="M15" s="11">
        <v>115</v>
      </c>
      <c r="N15" s="11">
        <v>0</v>
      </c>
      <c r="O15" s="13">
        <f t="shared" si="2"/>
        <v>0</v>
      </c>
      <c r="P15" s="14">
        <f t="shared" si="3"/>
        <v>8939</v>
      </c>
      <c r="Q15" s="14">
        <f t="shared" si="4"/>
        <v>0</v>
      </c>
      <c r="R15" s="14"/>
      <c r="S15" s="14"/>
      <c r="T15" s="14">
        <f t="shared" si="5"/>
        <v>0</v>
      </c>
      <c r="U15" s="69">
        <f t="shared" si="6"/>
        <v>0</v>
      </c>
      <c r="V15" s="69"/>
      <c r="W15" s="70">
        <v>0.11</v>
      </c>
      <c r="X15" s="15">
        <f t="shared" si="7"/>
        <v>0.30456558773424192</v>
      </c>
      <c r="Y15" s="16">
        <f>VLOOKUP(C15,台股行情!A:D,4,FALSE)</f>
        <v>21.8</v>
      </c>
      <c r="Z15" s="38">
        <f>VLOOKUP(C15,台股行情!A:E,5,FALSE)</f>
        <v>-0.55000000000000004</v>
      </c>
      <c r="AA15" s="90">
        <f t="shared" ca="1" si="8"/>
        <v>4821.487241266017</v>
      </c>
      <c r="AB15" s="103" t="s">
        <v>219</v>
      </c>
      <c r="AC15" s="103" t="s">
        <v>1638</v>
      </c>
    </row>
    <row r="16" spans="1:30" outlineLevel="1">
      <c r="A16" s="99">
        <v>44658</v>
      </c>
      <c r="B16" s="11" t="s">
        <v>19</v>
      </c>
      <c r="C16" s="11">
        <v>5468</v>
      </c>
      <c r="D16" s="11" t="s">
        <v>1294</v>
      </c>
      <c r="E16" s="11">
        <v>1000</v>
      </c>
      <c r="F16" s="11">
        <v>29.35</v>
      </c>
      <c r="G16" s="11">
        <f t="shared" si="0"/>
        <v>29350</v>
      </c>
      <c r="H16" s="11">
        <v>41</v>
      </c>
      <c r="I16" s="104">
        <v>44720</v>
      </c>
      <c r="J16" s="16">
        <v>35.15</v>
      </c>
      <c r="K16" s="11">
        <f t="shared" si="1"/>
        <v>35150</v>
      </c>
      <c r="L16" s="17">
        <v>50</v>
      </c>
      <c r="M16" s="11">
        <v>105</v>
      </c>
      <c r="N16" s="11">
        <v>0</v>
      </c>
      <c r="O16" s="13">
        <f t="shared" si="2"/>
        <v>0</v>
      </c>
      <c r="P16" s="14">
        <f t="shared" si="3"/>
        <v>5604</v>
      </c>
      <c r="Q16" s="14">
        <f t="shared" si="4"/>
        <v>0</v>
      </c>
      <c r="R16" s="14"/>
      <c r="S16" s="14"/>
      <c r="T16" s="14">
        <f t="shared" si="5"/>
        <v>0</v>
      </c>
      <c r="U16" s="69">
        <f t="shared" si="6"/>
        <v>0</v>
      </c>
      <c r="V16" s="69"/>
      <c r="W16" s="70">
        <v>0.11</v>
      </c>
      <c r="X16" s="15">
        <f t="shared" si="7"/>
        <v>0.19093696763202725</v>
      </c>
      <c r="Y16" s="16">
        <f>VLOOKUP(C16,台股行情!A:D,4,FALSE)</f>
        <v>21.8</v>
      </c>
      <c r="Z16" s="38">
        <f>VLOOKUP(C16,台股行情!A:E,5,FALSE)</f>
        <v>-0.55000000000000004</v>
      </c>
      <c r="AA16" s="90">
        <f t="shared" ca="1" si="8"/>
        <v>4982.2034826415511</v>
      </c>
      <c r="AB16" s="103" t="s">
        <v>219</v>
      </c>
      <c r="AC16" s="103" t="s">
        <v>1638</v>
      </c>
    </row>
    <row r="17" spans="1:29" outlineLevel="1">
      <c r="A17" s="99">
        <v>44650</v>
      </c>
      <c r="B17" s="11" t="s">
        <v>19</v>
      </c>
      <c r="C17" s="11">
        <v>6176</v>
      </c>
      <c r="D17" s="11" t="s">
        <v>100</v>
      </c>
      <c r="E17" s="11">
        <v>1000</v>
      </c>
      <c r="F17" s="11">
        <v>104</v>
      </c>
      <c r="G17" s="11">
        <f t="shared" si="0"/>
        <v>104000</v>
      </c>
      <c r="H17" s="11">
        <v>148</v>
      </c>
      <c r="I17" s="104">
        <v>44718</v>
      </c>
      <c r="J17" s="16">
        <v>105.5</v>
      </c>
      <c r="K17" s="11">
        <f t="shared" si="1"/>
        <v>105500</v>
      </c>
      <c r="L17" s="17">
        <v>150</v>
      </c>
      <c r="M17" s="11">
        <v>316</v>
      </c>
      <c r="N17" s="11">
        <v>0</v>
      </c>
      <c r="O17" s="13">
        <f t="shared" si="2"/>
        <v>0</v>
      </c>
      <c r="P17" s="14">
        <f t="shared" si="3"/>
        <v>886</v>
      </c>
      <c r="Q17" s="14">
        <f t="shared" si="4"/>
        <v>0</v>
      </c>
      <c r="R17" s="14"/>
      <c r="S17" s="14"/>
      <c r="T17" s="14">
        <f t="shared" si="5"/>
        <v>0</v>
      </c>
      <c r="U17" s="69">
        <f t="shared" si="6"/>
        <v>0</v>
      </c>
      <c r="V17" s="69"/>
      <c r="W17" s="70">
        <v>0.11</v>
      </c>
      <c r="X17" s="15">
        <f t="shared" si="7"/>
        <v>8.5192307692307685E-3</v>
      </c>
      <c r="Y17" s="16">
        <f>VLOOKUP(C17,台股行情!A:D,4,FALSE)</f>
        <v>91</v>
      </c>
      <c r="Z17" s="38">
        <f>VLOOKUP(C17,台股行情!A:E,5,FALSE)</f>
        <v>-0.7</v>
      </c>
      <c r="AA17" s="90">
        <f t="shared" ca="1" si="8"/>
        <v>19362.61088599277</v>
      </c>
      <c r="AB17" s="103" t="s">
        <v>219</v>
      </c>
      <c r="AC17" s="103" t="s">
        <v>1639</v>
      </c>
    </row>
    <row r="18" spans="1:29" outlineLevel="1">
      <c r="A18" s="99">
        <v>44581</v>
      </c>
      <c r="B18" s="11" t="s">
        <v>19</v>
      </c>
      <c r="C18" s="11">
        <v>3548</v>
      </c>
      <c r="D18" s="11" t="s">
        <v>1032</v>
      </c>
      <c r="E18" s="11">
        <v>1000</v>
      </c>
      <c r="F18" s="11">
        <v>74.2</v>
      </c>
      <c r="G18" s="11">
        <f t="shared" si="0"/>
        <v>74200</v>
      </c>
      <c r="H18" s="11">
        <v>105</v>
      </c>
      <c r="I18" s="104">
        <v>44722</v>
      </c>
      <c r="J18" s="16">
        <v>67.2</v>
      </c>
      <c r="K18" s="11">
        <f t="shared" si="1"/>
        <v>67200</v>
      </c>
      <c r="L18" s="17">
        <v>95</v>
      </c>
      <c r="M18" s="11">
        <v>201</v>
      </c>
      <c r="N18" s="11">
        <v>0</v>
      </c>
      <c r="O18" s="13">
        <f t="shared" si="2"/>
        <v>0</v>
      </c>
      <c r="P18" s="14">
        <f t="shared" si="3"/>
        <v>-7401</v>
      </c>
      <c r="Q18" s="14">
        <f t="shared" si="4"/>
        <v>0</v>
      </c>
      <c r="R18" s="14"/>
      <c r="S18" s="14"/>
      <c r="T18" s="14">
        <f t="shared" si="5"/>
        <v>0</v>
      </c>
      <c r="U18" s="69">
        <f t="shared" si="6"/>
        <v>0</v>
      </c>
      <c r="V18" s="69"/>
      <c r="W18" s="70">
        <v>0.11</v>
      </c>
      <c r="X18" s="15">
        <f t="shared" si="7"/>
        <v>-9.9743935309973039E-2</v>
      </c>
      <c r="Y18" s="16">
        <f>VLOOKUP(C18,台股行情!A:D,4,FALSE)</f>
        <v>71.3</v>
      </c>
      <c r="Z18" s="38">
        <f>VLOOKUP(C18,台股行情!A:E,5,FALSE)</f>
        <v>-1.1000000000000001</v>
      </c>
      <c r="AA18" s="90">
        <f t="shared" ca="1" si="8"/>
        <v>28644.726755010404</v>
      </c>
      <c r="AB18" s="103" t="s">
        <v>219</v>
      </c>
      <c r="AC18" s="135" t="s">
        <v>1640</v>
      </c>
    </row>
    <row r="19" spans="1:29" outlineLevel="1">
      <c r="A19" s="99">
        <v>44565</v>
      </c>
      <c r="B19" s="11" t="s">
        <v>19</v>
      </c>
      <c r="C19" s="11">
        <v>2368</v>
      </c>
      <c r="D19" s="11" t="s">
        <v>1657</v>
      </c>
      <c r="E19" s="11">
        <v>1000</v>
      </c>
      <c r="F19" s="11">
        <v>79.7</v>
      </c>
      <c r="G19" s="11">
        <f t="shared" si="0"/>
        <v>79700</v>
      </c>
      <c r="H19" s="11">
        <v>113</v>
      </c>
      <c r="I19" s="104">
        <v>44726</v>
      </c>
      <c r="J19" s="16">
        <v>91.9</v>
      </c>
      <c r="K19" s="11">
        <f t="shared" si="1"/>
        <v>91900</v>
      </c>
      <c r="L19" s="17">
        <v>130</v>
      </c>
      <c r="M19" s="11">
        <v>275</v>
      </c>
      <c r="N19" s="11">
        <v>0</v>
      </c>
      <c r="O19" s="13">
        <f t="shared" si="2"/>
        <v>0</v>
      </c>
      <c r="P19" s="14">
        <f t="shared" si="3"/>
        <v>11682</v>
      </c>
      <c r="Q19" s="14">
        <f t="shared" si="4"/>
        <v>0</v>
      </c>
      <c r="R19" s="14"/>
      <c r="S19" s="14"/>
      <c r="T19" s="14">
        <f t="shared" si="5"/>
        <v>0</v>
      </c>
      <c r="U19" s="69">
        <f t="shared" si="6"/>
        <v>0</v>
      </c>
      <c r="V19" s="69"/>
      <c r="W19" s="70">
        <v>0.11</v>
      </c>
      <c r="X19" s="15">
        <f t="shared" si="7"/>
        <v>0.14657465495608532</v>
      </c>
      <c r="Y19" s="16">
        <f>VLOOKUP(C19,台股行情!A:D,4,FALSE)</f>
        <v>1190</v>
      </c>
      <c r="Z19" s="38">
        <f>VLOOKUP(C19,台股行情!A:E,5,FALSE)</f>
        <v>-70</v>
      </c>
      <c r="AA19" s="90">
        <f t="shared" ca="1" si="8"/>
        <v>35132.241813602013</v>
      </c>
      <c r="AB19" s="103" t="s">
        <v>209</v>
      </c>
      <c r="AC19" s="103"/>
    </row>
    <row r="20" spans="1:29" outlineLevel="1">
      <c r="A20" s="99">
        <v>44650</v>
      </c>
      <c r="B20" s="11" t="s">
        <v>19</v>
      </c>
      <c r="C20" s="11">
        <v>6123</v>
      </c>
      <c r="D20" s="11" t="s">
        <v>1357</v>
      </c>
      <c r="E20" s="11">
        <v>1000</v>
      </c>
      <c r="F20" s="11">
        <v>54.5</v>
      </c>
      <c r="G20" s="11">
        <f t="shared" si="0"/>
        <v>54500</v>
      </c>
      <c r="H20" s="11">
        <v>77</v>
      </c>
      <c r="I20" s="104">
        <v>44749</v>
      </c>
      <c r="J20" s="16">
        <v>50.7</v>
      </c>
      <c r="K20" s="11">
        <f t="shared" si="1"/>
        <v>50700</v>
      </c>
      <c r="L20" s="17">
        <v>72</v>
      </c>
      <c r="M20" s="11">
        <v>152</v>
      </c>
      <c r="N20" s="11">
        <v>0</v>
      </c>
      <c r="O20" s="13">
        <f t="shared" si="2"/>
        <v>0</v>
      </c>
      <c r="P20" s="14">
        <f t="shared" si="3"/>
        <v>-1441</v>
      </c>
      <c r="Q20" s="14">
        <f t="shared" si="4"/>
        <v>0</v>
      </c>
      <c r="R20" s="14">
        <v>3000</v>
      </c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0.11</v>
      </c>
      <c r="X20" s="15">
        <f t="shared" si="7"/>
        <v>-2.6440366972477064E-2</v>
      </c>
      <c r="Y20" s="16">
        <f>VLOOKUP(C20,台股行情!A:D,4,FALSE)</f>
        <v>42.9</v>
      </c>
      <c r="Z20" s="38">
        <f>VLOOKUP(C20,台股行情!A:E,5,FALSE)</f>
        <v>-0.1</v>
      </c>
      <c r="AA20" s="90">
        <f t="shared" ca="1" si="8"/>
        <v>14772.478370386594</v>
      </c>
      <c r="AB20" s="103" t="s">
        <v>219</v>
      </c>
      <c r="AC20" s="143" t="s">
        <v>1501</v>
      </c>
    </row>
    <row r="21" spans="1:29" outlineLevel="1">
      <c r="A21" s="99">
        <v>44601</v>
      </c>
      <c r="B21" s="11" t="s">
        <v>19</v>
      </c>
      <c r="C21" s="11">
        <v>2233</v>
      </c>
      <c r="D21" s="11" t="s">
        <v>665</v>
      </c>
      <c r="E21" s="11">
        <v>1000</v>
      </c>
      <c r="F21" s="11">
        <v>118</v>
      </c>
      <c r="G21" s="11">
        <f t="shared" si="0"/>
        <v>118000</v>
      </c>
      <c r="H21" s="11">
        <v>168</v>
      </c>
      <c r="I21" s="308">
        <v>45273</v>
      </c>
      <c r="J21" s="16">
        <v>138</v>
      </c>
      <c r="K21" s="11">
        <f t="shared" si="1"/>
        <v>138000</v>
      </c>
      <c r="L21" s="17">
        <v>196</v>
      </c>
      <c r="M21" s="11">
        <v>414</v>
      </c>
      <c r="N21" s="11">
        <v>0</v>
      </c>
      <c r="O21" s="13">
        <f t="shared" si="2"/>
        <v>0</v>
      </c>
      <c r="P21" s="14">
        <f t="shared" si="3"/>
        <v>29348</v>
      </c>
      <c r="Q21" s="14">
        <f t="shared" si="4"/>
        <v>0</v>
      </c>
      <c r="R21" s="14">
        <f>5400+6000</f>
        <v>11400</v>
      </c>
      <c r="S21" s="14">
        <v>20</v>
      </c>
      <c r="T21" s="14">
        <f t="shared" si="5"/>
        <v>0</v>
      </c>
      <c r="U21" s="69">
        <f t="shared" si="6"/>
        <v>0</v>
      </c>
      <c r="V21" s="69"/>
      <c r="W21" s="70">
        <v>0.11</v>
      </c>
      <c r="X21" s="15">
        <f t="shared" si="7"/>
        <v>0.24871186440677967</v>
      </c>
      <c r="Y21" s="16">
        <f>VLOOKUP(C21,台股行情!A:D,4,FALSE)</f>
        <v>154</v>
      </c>
      <c r="Z21" s="38">
        <f>VLOOKUP(C21,台股行情!A:E,5,FALSE)</f>
        <v>-8.5</v>
      </c>
      <c r="AA21" s="90">
        <f t="shared" ca="1" si="8"/>
        <v>217106.5600700909</v>
      </c>
      <c r="AB21" s="103" t="s">
        <v>209</v>
      </c>
      <c r="AC21" s="103"/>
    </row>
    <row r="22" spans="1:29" outlineLevel="1">
      <c r="A22" s="99">
        <v>44603</v>
      </c>
      <c r="B22" s="11" t="s">
        <v>19</v>
      </c>
      <c r="C22" s="11">
        <v>8299</v>
      </c>
      <c r="D22" s="11" t="s">
        <v>2148</v>
      </c>
      <c r="E22" s="11">
        <v>1000</v>
      </c>
      <c r="F22" s="11">
        <v>503</v>
      </c>
      <c r="G22" s="11">
        <f t="shared" si="0"/>
        <v>503000</v>
      </c>
      <c r="H22" s="11">
        <v>716</v>
      </c>
      <c r="I22" s="308">
        <v>45384</v>
      </c>
      <c r="J22" s="16">
        <v>720</v>
      </c>
      <c r="K22" s="11">
        <f t="shared" si="1"/>
        <v>720000</v>
      </c>
      <c r="L22" s="17">
        <v>1026</v>
      </c>
      <c r="M22" s="11">
        <v>2160</v>
      </c>
      <c r="N22" s="11">
        <v>0</v>
      </c>
      <c r="O22" s="13">
        <f t="shared" si="2"/>
        <v>0</v>
      </c>
      <c r="P22" s="14">
        <f t="shared" si="3"/>
        <v>241039.39</v>
      </c>
      <c r="Q22" s="14">
        <f t="shared" si="4"/>
        <v>0</v>
      </c>
      <c r="R22" s="14">
        <f>13000+10277+4450+4424</f>
        <v>32151</v>
      </c>
      <c r="S22" s="14">
        <v>30</v>
      </c>
      <c r="T22" s="14">
        <f t="shared" si="5"/>
        <v>643</v>
      </c>
      <c r="U22" s="69">
        <f t="shared" si="6"/>
        <v>0</v>
      </c>
      <c r="V22" s="69"/>
      <c r="W22" s="70">
        <v>0.11</v>
      </c>
      <c r="X22" s="15">
        <f t="shared" si="7"/>
        <v>0.47920355864811137</v>
      </c>
      <c r="Y22" s="16">
        <f>VLOOKUP(C22,台股行情!A:D,4,FALSE)</f>
        <v>1830</v>
      </c>
      <c r="Z22" s="38">
        <f>VLOOKUP(C22,台股行情!A:E,5,FALSE)</f>
        <v>-135</v>
      </c>
      <c r="AA22" s="90">
        <f t="shared" ca="1" si="8"/>
        <v>1075574.9644069653</v>
      </c>
      <c r="AB22" s="103" t="s">
        <v>209</v>
      </c>
      <c r="AC22" s="103"/>
    </row>
    <row r="23" spans="1:29" outlineLevel="1">
      <c r="A23" s="99">
        <v>44658</v>
      </c>
      <c r="B23" s="11" t="s">
        <v>19</v>
      </c>
      <c r="C23" s="11">
        <v>2892</v>
      </c>
      <c r="D23" s="11" t="s">
        <v>854</v>
      </c>
      <c r="E23" s="11">
        <v>1050</v>
      </c>
      <c r="F23" s="11">
        <v>29.75</v>
      </c>
      <c r="G23" s="11">
        <v>29750</v>
      </c>
      <c r="H23" s="11">
        <v>42</v>
      </c>
      <c r="I23" s="308">
        <v>45436</v>
      </c>
      <c r="J23" s="16">
        <v>28.25</v>
      </c>
      <c r="K23" s="221">
        <f t="shared" si="1"/>
        <v>29662.5</v>
      </c>
      <c r="L23" s="17">
        <v>42</v>
      </c>
      <c r="M23" s="11">
        <v>84</v>
      </c>
      <c r="N23" s="11">
        <v>0</v>
      </c>
      <c r="O23" s="13">
        <f t="shared" si="2"/>
        <v>0</v>
      </c>
      <c r="P23" s="14">
        <f t="shared" si="3"/>
        <v>460.74</v>
      </c>
      <c r="Q23" s="14">
        <f t="shared" si="4"/>
        <v>0</v>
      </c>
      <c r="R23" s="14">
        <v>816</v>
      </c>
      <c r="S23" s="14">
        <v>10</v>
      </c>
      <c r="T23" s="14">
        <f t="shared" si="5"/>
        <v>0</v>
      </c>
      <c r="U23" s="69">
        <f t="shared" si="6"/>
        <v>0</v>
      </c>
      <c r="V23" s="69"/>
      <c r="W23" s="70">
        <v>0.11</v>
      </c>
      <c r="X23" s="15">
        <f t="shared" si="7"/>
        <v>1.5487058823529413E-2</v>
      </c>
      <c r="Y23" s="16">
        <f>VLOOKUP(C23,台股行情!A:D,4,FALSE)</f>
        <v>41.6</v>
      </c>
      <c r="Z23" s="38">
        <f>VLOOKUP(C23,台股行情!A:E,5,FALSE)</f>
        <v>0.95</v>
      </c>
      <c r="AA23" s="90">
        <f t="shared" ca="1" si="8"/>
        <v>63370.660387690281</v>
      </c>
      <c r="AB23" s="184" t="s">
        <v>169</v>
      </c>
      <c r="AC23" s="103"/>
    </row>
    <row r="24" spans="1:29" outlineLevel="1">
      <c r="A24" s="99">
        <v>44658</v>
      </c>
      <c r="B24" s="11" t="s">
        <v>19</v>
      </c>
      <c r="C24" s="11">
        <v>5880</v>
      </c>
      <c r="D24" s="11" t="str">
        <f>VLOOKUP(C24,台股行情!A:B,2,FALSE)</f>
        <v>合庫金</v>
      </c>
      <c r="E24" s="242">
        <v>1000</v>
      </c>
      <c r="F24" s="11">
        <v>30.8</v>
      </c>
      <c r="G24" s="11">
        <f>E24*F24</f>
        <v>30800</v>
      </c>
      <c r="H24" s="11">
        <v>43</v>
      </c>
      <c r="I24" s="308">
        <v>45520</v>
      </c>
      <c r="J24" s="16">
        <v>25.85</v>
      </c>
      <c r="K24" s="11">
        <v>27826</v>
      </c>
      <c r="L24" s="17">
        <v>38</v>
      </c>
      <c r="M24" s="11">
        <v>83</v>
      </c>
      <c r="N24" s="11">
        <v>0</v>
      </c>
      <c r="O24" s="13">
        <f t="shared" si="2"/>
        <v>0</v>
      </c>
      <c r="P24" s="14">
        <f t="shared" si="3"/>
        <v>-1232.04</v>
      </c>
      <c r="Q24" s="14">
        <f t="shared" si="4"/>
        <v>0</v>
      </c>
      <c r="R24" s="14">
        <f>515+702+947</f>
        <v>2164</v>
      </c>
      <c r="S24" s="14">
        <v>20</v>
      </c>
      <c r="T24" s="14">
        <f t="shared" si="5"/>
        <v>0</v>
      </c>
      <c r="U24" s="69">
        <f t="shared" si="6"/>
        <v>0</v>
      </c>
      <c r="V24" s="69"/>
      <c r="W24" s="70">
        <v>0.11</v>
      </c>
      <c r="X24" s="15">
        <f t="shared" si="7"/>
        <v>-4.0001298701298697E-2</v>
      </c>
      <c r="Y24" s="16">
        <f>VLOOKUP(C24,台股行情!A:D,4,FALSE)</f>
        <v>27.5</v>
      </c>
      <c r="Z24" s="38">
        <f>VLOOKUP(C24,台股行情!A:E,5,FALSE)</f>
        <v>0.35</v>
      </c>
      <c r="AA24" s="90">
        <f t="shared" ca="1" si="8"/>
        <v>72690.833424597527</v>
      </c>
      <c r="AB24" s="184" t="s">
        <v>169</v>
      </c>
      <c r="AC24" s="135" t="s">
        <v>2593</v>
      </c>
    </row>
    <row r="25" spans="1:29" outlineLevel="1">
      <c r="A25" s="99">
        <v>44658</v>
      </c>
      <c r="B25" s="11" t="s">
        <v>19</v>
      </c>
      <c r="C25" s="11">
        <v>6020</v>
      </c>
      <c r="D25" s="11" t="s">
        <v>1342</v>
      </c>
      <c r="E25" s="11">
        <v>1000</v>
      </c>
      <c r="F25" s="11">
        <v>21.15</v>
      </c>
      <c r="G25" s="11">
        <f>E25*F25</f>
        <v>21150</v>
      </c>
      <c r="H25" s="11">
        <v>43</v>
      </c>
      <c r="I25" s="308">
        <v>45541</v>
      </c>
      <c r="J25" s="16">
        <v>19.05</v>
      </c>
      <c r="K25" s="11">
        <f>E25*J25</f>
        <v>19050</v>
      </c>
      <c r="L25" s="17">
        <v>27</v>
      </c>
      <c r="M25" s="11">
        <v>27</v>
      </c>
      <c r="N25" s="11">
        <v>0</v>
      </c>
      <c r="O25" s="13">
        <f t="shared" ref="O25:O26" si="9">IF(I25="",E25*Y25,0)</f>
        <v>0</v>
      </c>
      <c r="P25" s="14">
        <f t="shared" ref="P25" si="10">IF(I25="",R25-H25,(K25-H25-SUM(L25:N25)+R25-S25-T25)-G25)+(ROUND(R25*V25,0)-ROUND(R25*(1+V25),0)*W25)</f>
        <v>-1406.89</v>
      </c>
      <c r="Q25" s="14">
        <f t="shared" ref="Q25:Q26" si="11">IF(I25="",(O25-G25-(O25*0.1425%*0.65)-(O25*0.3%)-S25-T25),0)</f>
        <v>0</v>
      </c>
      <c r="R25" s="14">
        <v>899</v>
      </c>
      <c r="S25" s="14">
        <v>10</v>
      </c>
      <c r="T25" s="14">
        <f t="shared" ref="T25:T26" si="12">IF(ROUND(R25*(1+V25),0)&gt;20000,ROUND(ROUND(R25*(1+V25),0)*2%,0),0)</f>
        <v>0</v>
      </c>
      <c r="U25" s="69">
        <f t="shared" ref="U25:U26" si="13">(V25*50%)/(1+50%*V25)</f>
        <v>0</v>
      </c>
      <c r="V25" s="69"/>
      <c r="W25" s="70">
        <v>0.11</v>
      </c>
      <c r="X25" s="15">
        <f t="shared" ref="X25:X26" si="14">(P25+Q25)/G25</f>
        <v>-6.6519621749408994E-2</v>
      </c>
      <c r="Y25" s="16">
        <f>VLOOKUP(C25,台股行情!A:D,4,FALSE)</f>
        <v>20.6</v>
      </c>
      <c r="Z25" s="38">
        <f>VLOOKUP(C25,台股行情!A:E,5,FALSE)</f>
        <v>-0.25</v>
      </c>
      <c r="AA25" s="90">
        <f t="shared" ref="AA25" ca="1" si="15">IF(I25="",((TODAY()-A25)*G25)/365.24,((I25-A25)*G25)/365.24)</f>
        <v>51131.995400284744</v>
      </c>
      <c r="AB25" s="184" t="s">
        <v>169</v>
      </c>
      <c r="AC25" s="103"/>
    </row>
    <row r="26" spans="1:29" outlineLevel="1">
      <c r="A26" s="99">
        <v>44622</v>
      </c>
      <c r="B26" s="11" t="s">
        <v>19</v>
      </c>
      <c r="C26" s="11">
        <v>2015</v>
      </c>
      <c r="D26" s="11" t="str">
        <f>VLOOKUP(C26,台股行情!A:B,2,FALSE)</f>
        <v>豐興</v>
      </c>
      <c r="E26" s="11">
        <v>1000</v>
      </c>
      <c r="F26" s="11">
        <v>88.4</v>
      </c>
      <c r="G26" s="11">
        <f t="shared" ref="G26" si="16">E26*F26</f>
        <v>88400</v>
      </c>
      <c r="H26" s="11">
        <v>125</v>
      </c>
      <c r="I26" s="308">
        <v>46136</v>
      </c>
      <c r="J26" s="16">
        <v>60.9</v>
      </c>
      <c r="K26" s="11">
        <f t="shared" ref="K26" si="17">E26*J26</f>
        <v>60900</v>
      </c>
      <c r="L26" s="11">
        <v>86</v>
      </c>
      <c r="M26" s="11">
        <v>182</v>
      </c>
      <c r="N26" s="11">
        <v>0</v>
      </c>
      <c r="O26" s="13">
        <f t="shared" si="9"/>
        <v>0</v>
      </c>
      <c r="P26" s="14">
        <f t="shared" ref="P26" si="18">IF(I26="",R26-H26,(K26-H26-SUM(L26:N26)+R26-S26-T26)-G26)+(ROUND(R26*V26,0)-ROUND(R26*(1+V26),0)*W26)</f>
        <v>-10766</v>
      </c>
      <c r="Q26" s="14">
        <f t="shared" si="11"/>
        <v>0</v>
      </c>
      <c r="R26" s="14">
        <f>5000+4000+3500+3500+3300</f>
        <v>19300</v>
      </c>
      <c r="S26" s="14">
        <v>50</v>
      </c>
      <c r="T26" s="14">
        <f t="shared" si="12"/>
        <v>0</v>
      </c>
      <c r="U26" s="69">
        <f t="shared" si="13"/>
        <v>0</v>
      </c>
      <c r="V26" s="69"/>
      <c r="W26" s="70">
        <v>0.11</v>
      </c>
      <c r="X26" s="15">
        <f t="shared" si="14"/>
        <v>-0.12178733031674208</v>
      </c>
      <c r="Y26" s="16">
        <f>VLOOKUP(C26,台股行情!A:D,4,FALSE)</f>
        <v>66.099999999999994</v>
      </c>
      <c r="Z26" s="38">
        <f>VLOOKUP(C26,台股行情!A:E,5,FALSE)</f>
        <v>1.6</v>
      </c>
      <c r="AA26" s="90">
        <f t="shared" ca="1" si="8"/>
        <v>366437.41101741319</v>
      </c>
      <c r="AB26" s="184" t="s">
        <v>169</v>
      </c>
      <c r="AC26" s="103"/>
    </row>
    <row r="27" spans="1:29">
      <c r="A27" s="58"/>
      <c r="B27" s="11"/>
      <c r="C27" s="11"/>
      <c r="D27" s="11"/>
      <c r="E27" s="11"/>
      <c r="F27" s="11"/>
      <c r="G27" s="64"/>
      <c r="H27" s="64"/>
      <c r="I27" s="12"/>
      <c r="J27" s="11"/>
      <c r="K27" s="64"/>
      <c r="L27" s="64"/>
      <c r="M27" s="64"/>
      <c r="N27" s="64"/>
      <c r="O27" s="64"/>
      <c r="P27" s="64"/>
      <c r="Q27" s="14"/>
      <c r="R27" s="64"/>
      <c r="S27" s="11"/>
      <c r="T27" s="14"/>
      <c r="U27" s="69"/>
      <c r="V27" s="57"/>
      <c r="W27" s="75"/>
      <c r="X27" s="57"/>
      <c r="Y27" s="11"/>
      <c r="Z27" s="38"/>
      <c r="AA27" s="90"/>
    </row>
    <row r="28" spans="1:29">
      <c r="A28" s="39"/>
      <c r="B28" s="40"/>
      <c r="C28" s="40"/>
      <c r="D28" s="40"/>
      <c r="E28" s="40"/>
      <c r="F28" s="40"/>
      <c r="G28" s="40"/>
      <c r="H28" s="40"/>
      <c r="I28" s="41"/>
      <c r="J28" s="42"/>
      <c r="K28" s="40"/>
      <c r="L28" s="43"/>
      <c r="M28" s="40"/>
      <c r="N28" s="40"/>
      <c r="O28" s="44"/>
      <c r="P28" s="45"/>
      <c r="Q28" s="45"/>
      <c r="R28" s="45"/>
      <c r="S28" s="45"/>
      <c r="T28" s="45"/>
      <c r="U28" s="73"/>
      <c r="V28" s="73"/>
      <c r="W28" s="76"/>
      <c r="X28" s="46"/>
      <c r="Y28" s="42"/>
      <c r="Z28" s="47"/>
      <c r="AA28" s="90"/>
    </row>
    <row r="29" spans="1:29">
      <c r="A29" s="10"/>
      <c r="B29" s="11"/>
      <c r="C29" s="11"/>
      <c r="D29" s="11"/>
      <c r="E29" s="11"/>
      <c r="F29" s="11"/>
      <c r="G29" s="11"/>
      <c r="H29" s="11"/>
      <c r="I29" s="12"/>
      <c r="J29" s="11"/>
      <c r="K29" s="11"/>
      <c r="L29" s="11"/>
      <c r="M29" s="11"/>
      <c r="N29" s="11"/>
      <c r="O29" s="13"/>
      <c r="P29" s="14"/>
      <c r="Q29" s="14"/>
      <c r="R29" s="14"/>
      <c r="S29" s="14"/>
      <c r="T29" s="14"/>
      <c r="U29" s="14"/>
      <c r="V29" s="69"/>
      <c r="W29" s="70"/>
      <c r="X29" s="15"/>
      <c r="Y29" s="16"/>
      <c r="Z29" s="38"/>
      <c r="AA29" s="90"/>
    </row>
    <row r="30" spans="1:29">
      <c r="A30" s="18">
        <f>MIN(A31:A31)</f>
        <v>0</v>
      </c>
      <c r="B30" s="19"/>
      <c r="C30" s="20"/>
      <c r="D30" s="19"/>
      <c r="E30" s="19"/>
      <c r="F30" s="19"/>
      <c r="G30" s="19"/>
      <c r="H30" s="19"/>
      <c r="I30" s="21"/>
      <c r="J30" s="22"/>
      <c r="K30" s="19"/>
      <c r="L30" s="23"/>
      <c r="M30" s="19"/>
      <c r="N30" s="19"/>
      <c r="O30" s="24"/>
      <c r="P30" s="25"/>
      <c r="Q30" s="25"/>
      <c r="R30" s="25"/>
      <c r="S30" s="25"/>
      <c r="T30" s="25"/>
      <c r="U30" s="25"/>
      <c r="V30" s="74"/>
      <c r="W30" s="77"/>
      <c r="X30" s="26"/>
      <c r="Y30" s="22"/>
      <c r="Z30" s="27"/>
      <c r="AA30" s="90"/>
    </row>
    <row r="31" spans="1:29" ht="17.25" thickBot="1">
      <c r="A31" s="48"/>
      <c r="B31" s="49"/>
      <c r="C31" s="49"/>
      <c r="D31" s="49"/>
      <c r="E31" s="49"/>
      <c r="F31" s="49"/>
      <c r="G31" s="49"/>
      <c r="H31" s="49"/>
      <c r="I31" s="50"/>
      <c r="J31" s="51"/>
      <c r="K31" s="49"/>
      <c r="L31" s="52"/>
      <c r="M31" s="49"/>
      <c r="N31" s="49"/>
      <c r="O31" s="53"/>
      <c r="P31" s="54"/>
      <c r="Q31" s="54"/>
      <c r="R31" s="54"/>
      <c r="S31" s="54"/>
      <c r="T31" s="60"/>
      <c r="U31" s="54"/>
      <c r="V31" s="54"/>
      <c r="W31" s="78"/>
      <c r="X31" s="55"/>
      <c r="Y31" s="51"/>
      <c r="Z31" s="56"/>
      <c r="AA31" s="90"/>
    </row>
    <row r="32" spans="1:29" ht="17.25" thickBot="1">
      <c r="A32" s="29"/>
      <c r="D32" s="9"/>
      <c r="I32" s="29"/>
      <c r="J32" s="31"/>
      <c r="L32" s="32"/>
      <c r="O32" s="33"/>
      <c r="P32" s="34"/>
      <c r="Q32" s="34"/>
      <c r="R32" s="34"/>
      <c r="S32" s="34"/>
      <c r="T32" s="34"/>
      <c r="U32" s="34"/>
      <c r="V32" s="34"/>
      <c r="W32" s="245"/>
      <c r="X32" s="35"/>
      <c r="Y32" s="31"/>
      <c r="Z32" s="31"/>
      <c r="AA32" s="90"/>
    </row>
    <row r="33" spans="1:29" ht="17.25" thickBot="1">
      <c r="A33" s="427" t="s">
        <v>2659</v>
      </c>
      <c r="B33" s="404"/>
      <c r="C33" s="404"/>
      <c r="D33" s="244" t="s">
        <v>21</v>
      </c>
      <c r="E33" s="446"/>
      <c r="F33" s="426"/>
      <c r="G33" s="62">
        <f>SUM(G30:G31)</f>
        <v>0</v>
      </c>
      <c r="H33" s="62">
        <f>SUM(H30:H31)</f>
        <v>0</v>
      </c>
      <c r="I33" s="61"/>
      <c r="J33" s="61"/>
      <c r="K33" s="436"/>
      <c r="L33" s="437"/>
      <c r="M33" s="437"/>
      <c r="N33" s="438"/>
      <c r="O33" s="62">
        <f>SUM(O30:O31)</f>
        <v>0</v>
      </c>
      <c r="P33" s="101">
        <f>SUM(P30:P31)</f>
        <v>0</v>
      </c>
      <c r="Q33" s="101">
        <f>SUM(Q30:Q31)</f>
        <v>0</v>
      </c>
      <c r="R33" s="62">
        <f>SUM(R30:R31)</f>
        <v>0</v>
      </c>
      <c r="S33" s="71"/>
      <c r="T33" s="71"/>
      <c r="U33" s="71"/>
      <c r="V33" s="71"/>
      <c r="W33" s="71"/>
      <c r="X33" s="67" t="e">
        <f>(P33+Q33)/G33</f>
        <v>#DIV/0!</v>
      </c>
      <c r="Y33" s="445" t="s">
        <v>23</v>
      </c>
      <c r="Z33" s="84">
        <f>IF(AA33=0,0,(P33+Q33)/(AA33))</f>
        <v>0</v>
      </c>
      <c r="AA33" s="90">
        <f>SUM(AA30:AA31)</f>
        <v>0</v>
      </c>
    </row>
    <row r="34" spans="1:29" s="36" customFormat="1" ht="17.25" thickBot="1">
      <c r="A34" s="409"/>
      <c r="B34" s="407"/>
      <c r="C34" s="407"/>
      <c r="D34" s="244" t="s">
        <v>1622</v>
      </c>
      <c r="E34" s="446"/>
      <c r="F34" s="426"/>
      <c r="G34" s="63">
        <f>SUM(G2:G31)</f>
        <v>1829800</v>
      </c>
      <c r="H34" s="63">
        <f>SUM(H2:H31)</f>
        <v>2609</v>
      </c>
      <c r="I34" s="61"/>
      <c r="J34" s="61"/>
      <c r="K34" s="63">
        <f t="shared" ref="K34:N34" si="19">SUM(K2:K31)</f>
        <v>2052388.5</v>
      </c>
      <c r="L34" s="63">
        <f t="shared" si="19"/>
        <v>2912</v>
      </c>
      <c r="M34" s="63">
        <f t="shared" si="19"/>
        <v>5822</v>
      </c>
      <c r="N34" s="63">
        <f t="shared" si="19"/>
        <v>0</v>
      </c>
      <c r="O34" s="63">
        <f>SUM(O2:O31)</f>
        <v>0</v>
      </c>
      <c r="P34" s="102">
        <f>SUM(P2:P31)</f>
        <v>272512.2</v>
      </c>
      <c r="Q34" s="101">
        <f>SUM(Q2:Q31)</f>
        <v>0</v>
      </c>
      <c r="R34" s="63">
        <f>SUM(R2:R31)</f>
        <v>69730</v>
      </c>
      <c r="S34" s="72"/>
      <c r="T34" s="72"/>
      <c r="U34" s="72"/>
      <c r="V34" s="72"/>
      <c r="W34" s="72"/>
      <c r="X34" s="67">
        <f>(P34+Q34)/G34</f>
        <v>0.14893004699967211</v>
      </c>
      <c r="Y34" s="417"/>
      <c r="Z34" s="84">
        <f ca="1">IF(AA34=0,0,(P34+Q34)/(AA34))</f>
        <v>0.13745837149451817</v>
      </c>
      <c r="AA34" s="90">
        <f ca="1">SUM(AA2:AA31)</f>
        <v>1982507.1186069432</v>
      </c>
      <c r="AB34" s="87"/>
      <c r="AC34" s="88"/>
    </row>
    <row r="35" spans="1:29" s="36" customFormat="1" ht="17.25" thickBot="1">
      <c r="A35" s="410"/>
      <c r="B35" s="411"/>
      <c r="C35" s="411"/>
      <c r="D35" s="244" t="s">
        <v>20</v>
      </c>
      <c r="E35" s="446"/>
      <c r="F35" s="426"/>
      <c r="G35" s="63">
        <f>SUM(G2:G31)</f>
        <v>1829800</v>
      </c>
      <c r="H35" s="63">
        <f>SUM(H2:H31)</f>
        <v>2609</v>
      </c>
      <c r="I35" s="61"/>
      <c r="J35" s="61"/>
      <c r="K35" s="63">
        <f t="shared" ref="K35:N35" si="20">SUM(K2:K31)</f>
        <v>2052388.5</v>
      </c>
      <c r="L35" s="63">
        <f t="shared" si="20"/>
        <v>2912</v>
      </c>
      <c r="M35" s="63">
        <f t="shared" si="20"/>
        <v>5822</v>
      </c>
      <c r="N35" s="63">
        <f t="shared" si="20"/>
        <v>0</v>
      </c>
      <c r="O35" s="63">
        <f>SUM(O2:O31)</f>
        <v>0</v>
      </c>
      <c r="P35" s="102">
        <f>SUM(P2:P31)</f>
        <v>272512.2</v>
      </c>
      <c r="Q35" s="101">
        <f>SUM(Q2:Q31)</f>
        <v>0</v>
      </c>
      <c r="R35" s="63">
        <f>SUM(R2:R31)</f>
        <v>69730</v>
      </c>
      <c r="S35" s="72"/>
      <c r="T35" s="72"/>
      <c r="U35" s="72"/>
      <c r="V35" s="72"/>
      <c r="W35" s="72"/>
      <c r="X35" s="67">
        <f>(P35+Q35)/G35</f>
        <v>0.14893004699967211</v>
      </c>
      <c r="Y35" s="418"/>
      <c r="Z35" s="84">
        <f ca="1">IF(AA35=0,0,(P35+Q35)/(AA35))</f>
        <v>0.13745837149451817</v>
      </c>
      <c r="AA35" s="90">
        <f ca="1">AA34</f>
        <v>1982507.1186069432</v>
      </c>
      <c r="AB35" s="87"/>
      <c r="AC35" s="87"/>
    </row>
    <row r="36" spans="1:29" ht="17.25" thickBot="1">
      <c r="B36" s="37"/>
      <c r="C36" s="37"/>
      <c r="D36" s="9"/>
    </row>
    <row r="37" spans="1:29" s="8" customFormat="1" ht="17.25" thickBot="1">
      <c r="A37" s="421" t="s">
        <v>2660</v>
      </c>
      <c r="B37" s="439"/>
      <c r="C37" s="439"/>
      <c r="D37" s="251" t="s">
        <v>2658</v>
      </c>
      <c r="E37" s="421"/>
      <c r="F37" s="439"/>
      <c r="G37" s="251" t="s">
        <v>2652</v>
      </c>
      <c r="H37" s="251" t="s">
        <v>25</v>
      </c>
      <c r="I37" s="421"/>
      <c r="J37" s="246"/>
      <c r="K37" s="246"/>
      <c r="L37" s="246"/>
      <c r="M37" s="246"/>
      <c r="N37" s="246"/>
      <c r="O37" s="251" t="s">
        <v>2653</v>
      </c>
      <c r="P37" s="251" t="s">
        <v>2654</v>
      </c>
      <c r="Q37" s="251" t="s">
        <v>2655</v>
      </c>
      <c r="R37" s="251" t="s">
        <v>2656</v>
      </c>
      <c r="S37" s="246" t="s">
        <v>25</v>
      </c>
      <c r="T37" s="246" t="s">
        <v>26</v>
      </c>
      <c r="U37" s="421"/>
      <c r="V37" s="246" t="s">
        <v>28</v>
      </c>
      <c r="W37" s="246" t="s">
        <v>27</v>
      </c>
      <c r="X37" s="251" t="s">
        <v>2657</v>
      </c>
      <c r="Y37" s="251" t="s">
        <v>23</v>
      </c>
      <c r="Z37" s="251" t="s">
        <v>168</v>
      </c>
      <c r="AA37" s="89"/>
      <c r="AB37" s="86"/>
      <c r="AC37" s="182"/>
    </row>
    <row r="38" spans="1:29">
      <c r="A38" s="441"/>
      <c r="B38" s="441"/>
      <c r="C38" s="441"/>
      <c r="D38" s="264" t="s">
        <v>34</v>
      </c>
      <c r="E38" s="441"/>
      <c r="F38" s="441"/>
      <c r="G38" s="265">
        <f>SUMIF(AB$2:AB$32,D38,G$2:G$32)</f>
        <v>562600</v>
      </c>
      <c r="H38" s="265">
        <f>SUMIF(AB$2:AB$32,D38,H$2:H$32)</f>
        <v>797</v>
      </c>
      <c r="I38" s="441"/>
      <c r="J38" s="249"/>
      <c r="K38" s="257"/>
      <c r="L38" s="257"/>
      <c r="M38" s="257"/>
      <c r="N38" s="257"/>
      <c r="O38" s="265">
        <f>SUMIF(AB$2:AB$32,D38,O$2:O$32)</f>
        <v>0</v>
      </c>
      <c r="P38" s="266">
        <f>SUMIF(AB$2:AB$32,D38,P$2:P$32)</f>
        <v>-11267</v>
      </c>
      <c r="Q38" s="266">
        <f>SUMIF(AB$2:AB$32,"*"&amp;D38&amp;"*",Q$2:Q$32)</f>
        <v>0</v>
      </c>
      <c r="R38" s="265">
        <f>SUMIF(AB$2:AB$32,D38,R$2:R$32)</f>
        <v>3000</v>
      </c>
      <c r="S38" s="257"/>
      <c r="T38" s="257"/>
      <c r="U38" s="423"/>
      <c r="V38" s="257"/>
      <c r="W38" s="257"/>
      <c r="X38" s="267">
        <f>(SUMIF(AB$2:AB$32,D38,P$2:P$32)+SUMIF(AB$2:AB$32,"*"&amp;D38&amp;"*",Q$2:Q$32))/SUMIF(AB$2:AB$32,D38,G$2:G$32)</f>
        <v>-2.0026661926768573E-2</v>
      </c>
      <c r="Y38" s="267">
        <f ca="1">(P38+Q38)/(AA38)</f>
        <v>-0.12566311311838596</v>
      </c>
      <c r="Z38" s="268">
        <f>COUNTIFS(X$2:X$32,"&gt;0",AB$2:AB$32,D38)/COUNTIF(AB$2:AB$32,D38)</f>
        <v>0.25</v>
      </c>
      <c r="AA38" s="9">
        <f ca="1">SUMIF(AB$2:AB$32,D38,AA$2:AA$32)</f>
        <v>89660.360311028358</v>
      </c>
    </row>
    <row r="39" spans="1:29">
      <c r="A39" s="441"/>
      <c r="B39" s="441"/>
      <c r="C39" s="441"/>
      <c r="D39" s="247" t="s">
        <v>169</v>
      </c>
      <c r="E39" s="441"/>
      <c r="F39" s="441"/>
      <c r="G39" s="265">
        <f>SUMIF(AB$2:AB$32,D39,G$2:G$32)</f>
        <v>194000</v>
      </c>
      <c r="H39" s="265">
        <f>SUMIF(AB$2:AB$32,D39,H$2:H$32)</f>
        <v>287</v>
      </c>
      <c r="I39" s="441"/>
      <c r="J39" s="249"/>
      <c r="K39" s="257"/>
      <c r="L39" s="257"/>
      <c r="M39" s="257"/>
      <c r="N39" s="257"/>
      <c r="O39" s="265">
        <f>SUMIF(AB$2:AB$32,D39,O$2:O$32)</f>
        <v>0</v>
      </c>
      <c r="P39" s="266">
        <f>SUMIF(AB$2:AB$32,D39,P$2:P$32)</f>
        <v>-12834.19</v>
      </c>
      <c r="Q39" s="266">
        <f>SUMIF(AB$2:AB$32,"*"&amp;D39&amp;"*",Q$2:Q$32)</f>
        <v>0</v>
      </c>
      <c r="R39" s="265">
        <f>SUMIF(AB$2:AB$32,D39,R$2:R$32)</f>
        <v>23179</v>
      </c>
      <c r="S39" s="257"/>
      <c r="T39" s="257"/>
      <c r="U39" s="423"/>
      <c r="V39" s="257"/>
      <c r="W39" s="257"/>
      <c r="X39" s="267">
        <f>(SUMIF(AB$2:AB$32,D39,P$2:P$32)+SUMIF(AB$2:AB$32,"*"&amp;D39&amp;"*",Q$2:Q$32))/SUMIF(AB$2:AB$32,D39,G$2:G$32)</f>
        <v>-6.6155618556701032E-2</v>
      </c>
      <c r="Y39" s="267">
        <f t="shared" ref="Y39" ca="1" si="21">(P39+Q39)/(AA39)</f>
        <v>-2.3179113081235145E-2</v>
      </c>
      <c r="Z39" s="268">
        <f>COUNTIFS(X$2:X$32,"&gt;0",AB$2:AB$32,D39)/COUNTIF(AB$2:AB$32,D39)</f>
        <v>0.4</v>
      </c>
      <c r="AA39" s="9">
        <f ca="1">SUMIF(AB$2:AB$32,D39,AA$2:AA$32)</f>
        <v>553696.33665534994</v>
      </c>
    </row>
    <row r="40" spans="1:29" ht="17.25" thickBot="1">
      <c r="A40" s="442"/>
      <c r="B40" s="442"/>
      <c r="C40" s="442"/>
      <c r="D40" s="269" t="s">
        <v>209</v>
      </c>
      <c r="E40" s="442"/>
      <c r="F40" s="442"/>
      <c r="G40" s="265">
        <f>SUMIF(AB$2:AB$32,D40,G$2:G$32)</f>
        <v>877600</v>
      </c>
      <c r="H40" s="265">
        <f>SUMIF(AB$2:AB$32,D40,H$2:H$32)</f>
        <v>1248</v>
      </c>
      <c r="I40" s="442"/>
      <c r="J40" s="250"/>
      <c r="K40" s="261"/>
      <c r="L40" s="261"/>
      <c r="M40" s="261"/>
      <c r="N40" s="261"/>
      <c r="O40" s="265">
        <f>SUMIF(AB$2:AB$32,D40,O$2:O$32)</f>
        <v>0</v>
      </c>
      <c r="P40" s="266">
        <f>SUMIF(AB$2:AB$32,D40,P$2:P$32)</f>
        <v>299853.39</v>
      </c>
      <c r="Q40" s="266">
        <f>SUMIF(AB$2:AB$32,"*"&amp;D40&amp;"*",Q$2:Q$32)</f>
        <v>0</v>
      </c>
      <c r="R40" s="265">
        <f>SUMIF(AB$2:AB$32,D40,R$2:R$32)</f>
        <v>43551</v>
      </c>
      <c r="S40" s="261"/>
      <c r="T40" s="261"/>
      <c r="U40" s="444"/>
      <c r="V40" s="261"/>
      <c r="W40" s="261"/>
      <c r="X40" s="267">
        <f>(SUMIF(AB$2:AB$32,D40,P$2:P$32)+SUMIF(AB$2:AB$32,"*"&amp;D40&amp;"*",Q$2:Q$32))/SUMIF(AB$2:AB$32,D40,G$2:G$32)</f>
        <v>0.34167432771194167</v>
      </c>
      <c r="Y40" s="267">
        <f t="shared" ref="Y40" ca="1" si="22">(P40+Q40)/(AA40)</f>
        <v>0.22391315057247707</v>
      </c>
      <c r="Z40" s="268">
        <f>COUNTIFS(X$2:X$32,"&gt;0",AB$2:AB$32,D40)/COUNTIF(AB$2:AB$32,D40)</f>
        <v>1</v>
      </c>
      <c r="AA40" s="9">
        <f ca="1">SUMIF(AB$2:AB$32,D40,AA$2:AA$32)</f>
        <v>1339150.4216405652</v>
      </c>
    </row>
    <row r="41" spans="1:29" ht="17.25" thickBot="1">
      <c r="A41" s="443"/>
      <c r="B41" s="443"/>
      <c r="C41" s="443"/>
      <c r="D41" s="248" t="s">
        <v>413</v>
      </c>
      <c r="E41" s="443"/>
      <c r="F41" s="443"/>
      <c r="G41" s="252">
        <f>SUMIF(AB$2:AB$32,D41,G$2:G$32)</f>
        <v>195600</v>
      </c>
      <c r="H41" s="252">
        <f>SUMIF(AB$2:AB$32,D41,H$2:H$32)</f>
        <v>277</v>
      </c>
      <c r="I41" s="443"/>
      <c r="J41" s="250"/>
      <c r="K41" s="261"/>
      <c r="L41" s="261"/>
      <c r="M41" s="261"/>
      <c r="N41" s="261"/>
      <c r="O41" s="252">
        <f>SUMIF(AB$2:AB$32,D41,O$2:O$32)</f>
        <v>0</v>
      </c>
      <c r="P41" s="253">
        <f>SUMIF(AB$2:AB$32,D41,P$2:P$32)</f>
        <v>-3240</v>
      </c>
      <c r="Q41" s="253">
        <f>SUMIF(AB$2:AB$32,"*"&amp;D41&amp;"*",Q$2:Q$32)</f>
        <v>0</v>
      </c>
      <c r="R41" s="252">
        <f>SUMIF(AB$2:AB$32,D41,R$2:R$32)</f>
        <v>0</v>
      </c>
      <c r="S41" s="261"/>
      <c r="T41" s="261"/>
      <c r="U41" s="424"/>
      <c r="V41" s="261"/>
      <c r="W41" s="261"/>
      <c r="X41" s="254">
        <f>(SUMIF(AB$2:AB$32,D41,P$2:P$32)+SUMIF(AB$2:AB$32,"*"&amp;D41&amp;"*",Q$2:Q$32))/SUMIF(AB$2:AB$32,D41,G$2:G$32)</f>
        <v>-1.6564417177914112E-2</v>
      </c>
      <c r="Y41" s="254"/>
      <c r="Z41" s="255">
        <f>COUNTIFS(X$2:X$32,"&gt;0",AB$2:AB$32,D41)/COUNTIF(AB$2:AB$32,D41)</f>
        <v>0</v>
      </c>
    </row>
    <row r="42" spans="1:29">
      <c r="A42" s="66"/>
      <c r="C42" s="65"/>
      <c r="D42" s="9"/>
      <c r="P42" s="128"/>
    </row>
    <row r="43" spans="1:29">
      <c r="B43" s="37"/>
      <c r="C43" s="37"/>
      <c r="D43" s="9"/>
    </row>
    <row r="44" spans="1:29">
      <c r="B44" s="37"/>
      <c r="C44" s="37"/>
      <c r="D44" s="9"/>
    </row>
    <row r="45" spans="1:29">
      <c r="B45" s="37"/>
      <c r="C45" s="37"/>
      <c r="D45" s="9"/>
    </row>
    <row r="46" spans="1:29">
      <c r="B46" s="37"/>
      <c r="C46" s="37"/>
      <c r="D46" s="9"/>
    </row>
    <row r="47" spans="1:29">
      <c r="B47" s="37"/>
      <c r="C47" s="37"/>
      <c r="D47" s="9"/>
    </row>
    <row r="48" spans="1:29">
      <c r="B48" s="37"/>
      <c r="C48" s="37"/>
      <c r="D48" s="9"/>
    </row>
    <row r="49" spans="1:4">
      <c r="A49" s="37"/>
      <c r="B49" s="37"/>
      <c r="C49" s="37"/>
      <c r="D49" s="9"/>
    </row>
    <row r="50" spans="1:4">
      <c r="A50" s="37"/>
      <c r="B50" s="37"/>
      <c r="C50" s="37"/>
      <c r="D50" s="9"/>
    </row>
    <row r="51" spans="1:4">
      <c r="A51" s="37"/>
      <c r="B51" s="37"/>
      <c r="C51" s="37"/>
      <c r="D51" s="9"/>
    </row>
    <row r="52" spans="1:4">
      <c r="A52" s="37"/>
      <c r="B52" s="37"/>
      <c r="C52" s="37"/>
      <c r="D52" s="9"/>
    </row>
    <row r="53" spans="1:4">
      <c r="A53" s="37"/>
      <c r="B53" s="37"/>
      <c r="C53" s="37"/>
      <c r="D53" s="9"/>
    </row>
    <row r="54" spans="1:4">
      <c r="A54" s="37"/>
      <c r="B54" s="37"/>
      <c r="C54" s="37"/>
      <c r="D54" s="9"/>
    </row>
    <row r="55" spans="1:4">
      <c r="A55" s="37"/>
      <c r="B55" s="37"/>
      <c r="C55" s="37"/>
      <c r="D55" s="9"/>
    </row>
    <row r="56" spans="1:4">
      <c r="A56" s="37"/>
      <c r="B56" s="37"/>
      <c r="C56" s="37"/>
      <c r="D56" s="9"/>
    </row>
  </sheetData>
  <autoFilter ref="A1:AA58" xr:uid="{00000000-0009-0000-0000-000001000000}"/>
  <mergeCells count="10">
    <mergeCell ref="Y33:Y35"/>
    <mergeCell ref="E33:F33"/>
    <mergeCell ref="E34:F34"/>
    <mergeCell ref="E35:F35"/>
    <mergeCell ref="U37:U41"/>
    <mergeCell ref="A37:C41"/>
    <mergeCell ref="E37:F41"/>
    <mergeCell ref="I37:I41"/>
    <mergeCell ref="A33:C35"/>
    <mergeCell ref="K33:N33"/>
  </mergeCells>
  <phoneticPr fontId="74" type="noConversion"/>
  <conditionalFormatting sqref="I27:I32">
    <cfRule type="expression" dxfId="1907" priority="475">
      <formula>$I27&gt;(TODAY()-7)</formula>
    </cfRule>
    <cfRule type="expression" dxfId="1906" priority="476">
      <formula>$I27&gt;(TODAY()-30)</formula>
    </cfRule>
  </conditionalFormatting>
  <conditionalFormatting sqref="Z2:Z5">
    <cfRule type="cellIs" dxfId="1905" priority="109" operator="lessThan">
      <formula>0</formula>
    </cfRule>
    <cfRule type="cellIs" dxfId="1904" priority="110" operator="greaterThan">
      <formula>0</formula>
    </cfRule>
  </conditionalFormatting>
  <conditionalFormatting sqref="Z5">
    <cfRule type="cellIs" dxfId="1903" priority="113" operator="lessThan">
      <formula>0</formula>
    </cfRule>
    <cfRule type="cellIs" dxfId="1902" priority="114" operator="greaterThan">
      <formula>0</formula>
    </cfRule>
  </conditionalFormatting>
  <conditionalFormatting sqref="Z8:Z14 Z16:Z25">
    <cfRule type="cellIs" dxfId="1901" priority="145" operator="lessThan">
      <formula>0</formula>
    </cfRule>
    <cfRule type="cellIs" dxfId="1900" priority="146" operator="greaterThan">
      <formula>0</formula>
    </cfRule>
  </conditionalFormatting>
  <conditionalFormatting sqref="Z11:Z14 Z16:Z25">
    <cfRule type="cellIs" dxfId="1899" priority="129" operator="lessThan">
      <formula>0</formula>
    </cfRule>
    <cfRule type="cellIs" dxfId="1898" priority="130" operator="greaterThan">
      <formula>0</formula>
    </cfRule>
  </conditionalFormatting>
  <conditionalFormatting sqref="Z12:Z15">
    <cfRule type="cellIs" dxfId="1897" priority="77" operator="lessThan">
      <formula>0</formula>
    </cfRule>
    <cfRule type="cellIs" dxfId="1896" priority="78" operator="greaterThan">
      <formula>0</formula>
    </cfRule>
  </conditionalFormatting>
  <conditionalFormatting sqref="Z13:Z14 Z16:Z25">
    <cfRule type="cellIs" dxfId="1895" priority="177" operator="lessThan">
      <formula>0</formula>
    </cfRule>
    <cfRule type="cellIs" dxfId="1894" priority="178" operator="greaterThan">
      <formula>0</formula>
    </cfRule>
  </conditionalFormatting>
  <conditionalFormatting sqref="Z15">
    <cfRule type="cellIs" dxfId="1893" priority="47" operator="lessThan">
      <formula>0</formula>
    </cfRule>
    <cfRule type="cellIs" dxfId="1892" priority="48" operator="greaterThan">
      <formula>0</formula>
    </cfRule>
    <cfRule type="cellIs" dxfId="1891" priority="53" operator="lessThan">
      <formula>0</formula>
    </cfRule>
    <cfRule type="cellIs" dxfId="1890" priority="54" operator="greaterThan">
      <formula>0</formula>
    </cfRule>
    <cfRule type="cellIs" dxfId="1889" priority="57" operator="lessThan">
      <formula>0</formula>
    </cfRule>
    <cfRule type="cellIs" dxfId="1888" priority="58" operator="greaterThan">
      <formula>0</formula>
    </cfRule>
    <cfRule type="cellIs" dxfId="1887" priority="61" operator="lessThan">
      <formula>0</formula>
    </cfRule>
    <cfRule type="cellIs" dxfId="1886" priority="62" operator="greaterThan">
      <formula>0</formula>
    </cfRule>
    <cfRule type="cellIs" dxfId="1885" priority="65" operator="lessThan">
      <formula>0</formula>
    </cfRule>
    <cfRule type="cellIs" dxfId="1884" priority="66" operator="greaterThan">
      <formula>0</formula>
    </cfRule>
    <cfRule type="cellIs" dxfId="1883" priority="69" operator="lessThan">
      <formula>0</formula>
    </cfRule>
    <cfRule type="cellIs" dxfId="1882" priority="70" operator="greaterThan">
      <formula>0</formula>
    </cfRule>
    <cfRule type="cellIs" dxfId="1881" priority="73" operator="lessThan">
      <formula>0</formula>
    </cfRule>
    <cfRule type="cellIs" dxfId="1880" priority="74" operator="greaterThan">
      <formula>0</formula>
    </cfRule>
  </conditionalFormatting>
  <conditionalFormatting sqref="Z16:Z25 Z6:Z14">
    <cfRule type="cellIs" dxfId="1879" priority="137" operator="lessThan">
      <formula>0</formula>
    </cfRule>
    <cfRule type="cellIs" dxfId="1878" priority="138" operator="greaterThan">
      <formula>0</formula>
    </cfRule>
  </conditionalFormatting>
  <conditionalFormatting sqref="Z16:Z25 Z9:Z14">
    <cfRule type="cellIs" dxfId="1877" priority="125" operator="lessThan">
      <formula>0</formula>
    </cfRule>
    <cfRule type="cellIs" dxfId="1876" priority="126" operator="greaterThan">
      <formula>0</formula>
    </cfRule>
  </conditionalFormatting>
  <conditionalFormatting sqref="Z16:Z25 Z10:Z14">
    <cfRule type="cellIs" dxfId="1875" priority="165" operator="lessThan">
      <formula>0</formula>
    </cfRule>
    <cfRule type="cellIs" dxfId="1874" priority="166" operator="greaterThan">
      <formula>0</formula>
    </cfRule>
  </conditionalFormatting>
  <conditionalFormatting sqref="Z16:Z25 Z14">
    <cfRule type="cellIs" dxfId="1873" priority="99" operator="lessThan">
      <formula>0</formula>
    </cfRule>
    <cfRule type="cellIs" dxfId="1872" priority="100" operator="greaterThan">
      <formula>0</formula>
    </cfRule>
  </conditionalFormatting>
  <conditionalFormatting sqref="Z16:Z25">
    <cfRule type="cellIs" dxfId="1871" priority="85" operator="lessThan">
      <formula>0</formula>
    </cfRule>
    <cfRule type="cellIs" dxfId="1870" priority="86" operator="greaterThan">
      <formula>0</formula>
    </cfRule>
  </conditionalFormatting>
  <conditionalFormatting sqref="Z19:Z25">
    <cfRule type="cellIs" dxfId="1869" priority="161" operator="lessThan">
      <formula>0</formula>
    </cfRule>
    <cfRule type="cellIs" dxfId="1868" priority="162" operator="greaterThan">
      <formula>0</formula>
    </cfRule>
  </conditionalFormatting>
  <conditionalFormatting sqref="Z20:Z25">
    <cfRule type="cellIs" dxfId="1867" priority="133" operator="lessThan">
      <formula>0</formula>
    </cfRule>
    <cfRule type="cellIs" dxfId="1866" priority="134" operator="greaterThan">
      <formula>0</formula>
    </cfRule>
  </conditionalFormatting>
  <conditionalFormatting sqref="Z21:Z25">
    <cfRule type="cellIs" dxfId="1865" priority="105" operator="lessThan">
      <formula>0</formula>
    </cfRule>
    <cfRule type="cellIs" dxfId="1864" priority="106" operator="greaterThan">
      <formula>0</formula>
    </cfRule>
  </conditionalFormatting>
  <conditionalFormatting sqref="Z23:Z25">
    <cfRule type="cellIs" dxfId="1863" priority="95" operator="lessThan">
      <formula>0</formula>
    </cfRule>
    <cfRule type="cellIs" dxfId="1862" priority="96" operator="greaterThan">
      <formula>0</formula>
    </cfRule>
  </conditionalFormatting>
  <conditionalFormatting sqref="Z24:Z25">
    <cfRule type="cellIs" dxfId="1861" priority="81" operator="lessThan">
      <formula>0</formula>
    </cfRule>
    <cfRule type="cellIs" dxfId="1860" priority="82" operator="greaterThan">
      <formula>0</formula>
    </cfRule>
  </conditionalFormatting>
  <conditionalFormatting sqref="Z26">
    <cfRule type="containsText" dxfId="1859" priority="3" operator="containsText" text="▲">
      <formula>NOT(ISERROR(SEARCH("▲",Z26)))</formula>
    </cfRule>
    <cfRule type="containsText" dxfId="1858" priority="4" operator="containsText" text="▼">
      <formula>NOT(ISERROR(SEARCH("▼",Z26)))</formula>
    </cfRule>
  </conditionalFormatting>
  <conditionalFormatting sqref="Z26:Z32">
    <cfRule type="cellIs" dxfId="1857" priority="1" operator="lessThan">
      <formula>0</formula>
    </cfRule>
    <cfRule type="cellIs" dxfId="1856" priority="2" operator="greaterThan">
      <formula>0</formula>
    </cfRule>
  </conditionalFormatting>
  <conditionalFormatting sqref="Z1:AA3">
    <cfRule type="containsText" dxfId="1855" priority="121" operator="containsText" text="△">
      <formula>NOT(ISERROR(SEARCH("△",Z1)))</formula>
    </cfRule>
    <cfRule type="containsText" dxfId="1854" priority="122" operator="containsText" text="▽">
      <formula>NOT(ISERROR(SEARCH("▽",Z1)))</formula>
    </cfRule>
  </conditionalFormatting>
  <conditionalFormatting sqref="Z2:AA5">
    <cfRule type="containsText" dxfId="1853" priority="111" operator="containsText" text="▲">
      <formula>NOT(ISERROR(SEARCH("▲",Z2)))</formula>
    </cfRule>
    <cfRule type="containsText" dxfId="1852" priority="112" operator="containsText" text="▼">
      <formula>NOT(ISERROR(SEARCH("▼",Z2)))</formula>
    </cfRule>
  </conditionalFormatting>
  <conditionalFormatting sqref="Z5:AA5">
    <cfRule type="containsText" dxfId="1851" priority="115" operator="containsText" text="▲">
      <formula>NOT(ISERROR(SEARCH("▲",Z5)))</formula>
    </cfRule>
    <cfRule type="containsText" dxfId="1850" priority="116" operator="containsText" text="▼">
      <formula>NOT(ISERROR(SEARCH("▼",Z5)))</formula>
    </cfRule>
  </conditionalFormatting>
  <conditionalFormatting sqref="Z6:AA6">
    <cfRule type="containsText" dxfId="1849" priority="153" operator="containsText" text="△">
      <formula>NOT(ISERROR(SEARCH("△",Z6)))</formula>
    </cfRule>
    <cfRule type="containsText" dxfId="1848" priority="154" operator="containsText" text="▽">
      <formula>NOT(ISERROR(SEARCH("▽",Z6)))</formula>
    </cfRule>
  </conditionalFormatting>
  <conditionalFormatting sqref="Z6:AA14 Z16:AA25 AA26">
    <cfRule type="containsText" dxfId="1847" priority="139" operator="containsText" text="▲">
      <formula>NOT(ISERROR(SEARCH("▲",Z6)))</formula>
    </cfRule>
    <cfRule type="containsText" dxfId="1846" priority="140" operator="containsText" text="▼">
      <formula>NOT(ISERROR(SEARCH("▼",Z6)))</formula>
    </cfRule>
  </conditionalFormatting>
  <conditionalFormatting sqref="Z8:AA14 Z16:AA25 AA26">
    <cfRule type="containsText" dxfId="1845" priority="147" operator="containsText" text="▲">
      <formula>NOT(ISERROR(SEARCH("▲",Z8)))</formula>
    </cfRule>
    <cfRule type="containsText" dxfId="1844" priority="148" operator="containsText" text="▼">
      <formula>NOT(ISERROR(SEARCH("▼",Z8)))</formula>
    </cfRule>
  </conditionalFormatting>
  <conditionalFormatting sqref="Z9:AA14 Z16:AA25 AA26">
    <cfRule type="containsText" dxfId="1843" priority="127" operator="containsText" text="▲">
      <formula>NOT(ISERROR(SEARCH("▲",Z9)))</formula>
    </cfRule>
    <cfRule type="containsText" dxfId="1842" priority="128" operator="containsText" text="▼">
      <formula>NOT(ISERROR(SEARCH("▼",Z9)))</formula>
    </cfRule>
  </conditionalFormatting>
  <conditionalFormatting sqref="Z10:AA14 Z16:AA25 AA26">
    <cfRule type="containsText" dxfId="1841" priority="167" operator="containsText" text="▲">
      <formula>NOT(ISERROR(SEARCH("▲",Z10)))</formula>
    </cfRule>
    <cfRule type="containsText" dxfId="1840" priority="168" operator="containsText" text="▼">
      <formula>NOT(ISERROR(SEARCH("▼",Z10)))</formula>
    </cfRule>
  </conditionalFormatting>
  <conditionalFormatting sqref="Z11:AA14 Z16:AA25 AA26">
    <cfRule type="containsText" dxfId="1839" priority="131" operator="containsText" text="▲">
      <formula>NOT(ISERROR(SEARCH("▲",Z11)))</formula>
    </cfRule>
    <cfRule type="containsText" dxfId="1838" priority="132" operator="containsText" text="▼">
      <formula>NOT(ISERROR(SEARCH("▼",Z11)))</formula>
    </cfRule>
  </conditionalFormatting>
  <conditionalFormatting sqref="Z12:AA15">
    <cfRule type="containsText" dxfId="1837" priority="79" operator="containsText" text="▲">
      <formula>NOT(ISERROR(SEARCH("▲",Z12)))</formula>
    </cfRule>
    <cfRule type="containsText" dxfId="1836" priority="80" operator="containsText" text="▼">
      <formula>NOT(ISERROR(SEARCH("▼",Z12)))</formula>
    </cfRule>
  </conditionalFormatting>
  <conditionalFormatting sqref="Z13:AA14 Z16:AA25 AA26">
    <cfRule type="containsText" dxfId="1835" priority="291" operator="containsText" text="▲">
      <formula>NOT(ISERROR(SEARCH("▲",Z13)))</formula>
    </cfRule>
    <cfRule type="containsText" dxfId="1834" priority="292" operator="containsText" text="▼">
      <formula>NOT(ISERROR(SEARCH("▼",Z13)))</formula>
    </cfRule>
  </conditionalFormatting>
  <conditionalFormatting sqref="Z14:AA14 Z16:AA25 AA26">
    <cfRule type="containsText" dxfId="1833" priority="101" operator="containsText" text="▲">
      <formula>NOT(ISERROR(SEARCH("▲",Z14)))</formula>
    </cfRule>
    <cfRule type="containsText" dxfId="1832" priority="102" operator="containsText" text="▼">
      <formula>NOT(ISERROR(SEARCH("▼",Z14)))</formula>
    </cfRule>
  </conditionalFormatting>
  <conditionalFormatting sqref="Z15:AA15">
    <cfRule type="containsText" dxfId="1831" priority="49" operator="containsText" text="▲">
      <formula>NOT(ISERROR(SEARCH("▲",Z15)))</formula>
    </cfRule>
    <cfRule type="containsText" dxfId="1830" priority="50" operator="containsText" text="▼">
      <formula>NOT(ISERROR(SEARCH("▼",Z15)))</formula>
    </cfRule>
    <cfRule type="containsText" dxfId="1829" priority="51" operator="containsText" text="▲">
      <formula>NOT(ISERROR(SEARCH("▲",Z15)))</formula>
    </cfRule>
    <cfRule type="containsText" dxfId="1828" priority="52" operator="containsText" text="▼">
      <formula>NOT(ISERROR(SEARCH("▼",Z15)))</formula>
    </cfRule>
    <cfRule type="containsText" dxfId="1827" priority="55" operator="containsText" text="▲">
      <formula>NOT(ISERROR(SEARCH("▲",Z15)))</formula>
    </cfRule>
    <cfRule type="containsText" dxfId="1826" priority="56" operator="containsText" text="▼">
      <formula>NOT(ISERROR(SEARCH("▼",Z15)))</formula>
    </cfRule>
    <cfRule type="containsText" dxfId="1825" priority="59" operator="containsText" text="▲">
      <formula>NOT(ISERROR(SEARCH("▲",Z15)))</formula>
    </cfRule>
    <cfRule type="containsText" dxfId="1824" priority="60" operator="containsText" text="▼">
      <formula>NOT(ISERROR(SEARCH("▼",Z15)))</formula>
    </cfRule>
    <cfRule type="containsText" dxfId="1823" priority="63" operator="containsText" text="▲">
      <formula>NOT(ISERROR(SEARCH("▲",Z15)))</formula>
    </cfRule>
    <cfRule type="containsText" dxfId="1822" priority="64" operator="containsText" text="▼">
      <formula>NOT(ISERROR(SEARCH("▼",Z15)))</formula>
    </cfRule>
    <cfRule type="containsText" dxfId="1821" priority="67" operator="containsText" text="▲">
      <formula>NOT(ISERROR(SEARCH("▲",Z15)))</formula>
    </cfRule>
    <cfRule type="containsText" dxfId="1820" priority="68" operator="containsText" text="▼">
      <formula>NOT(ISERROR(SEARCH("▼",Z15)))</formula>
    </cfRule>
    <cfRule type="containsText" dxfId="1819" priority="71" operator="containsText" text="▲">
      <formula>NOT(ISERROR(SEARCH("▲",Z15)))</formula>
    </cfRule>
    <cfRule type="containsText" dxfId="1818" priority="72" operator="containsText" text="▼">
      <formula>NOT(ISERROR(SEARCH("▼",Z15)))</formula>
    </cfRule>
    <cfRule type="containsText" dxfId="1817" priority="75" operator="containsText" text="▲">
      <formula>NOT(ISERROR(SEARCH("▲",Z15)))</formula>
    </cfRule>
    <cfRule type="containsText" dxfId="1816" priority="76" operator="containsText" text="▼">
      <formula>NOT(ISERROR(SEARCH("▼",Z15)))</formula>
    </cfRule>
  </conditionalFormatting>
  <conditionalFormatting sqref="Z16:AA25 AA26">
    <cfRule type="containsText" dxfId="1815" priority="92" operator="containsText" text="▼">
      <formula>NOT(ISERROR(SEARCH("▼",Z16)))</formula>
    </cfRule>
    <cfRule type="containsText" dxfId="1814" priority="93" operator="containsText" text="▲">
      <formula>NOT(ISERROR(SEARCH("▲",Z16)))</formula>
    </cfRule>
    <cfRule type="containsText" dxfId="1813" priority="94" operator="containsText" text="▼">
      <formula>NOT(ISERROR(SEARCH("▼",Z16)))</formula>
    </cfRule>
  </conditionalFormatting>
  <conditionalFormatting sqref="Z17:AA25 AA26">
    <cfRule type="containsText" dxfId="1812" priority="123" operator="containsText" text="▲">
      <formula>NOT(ISERROR(SEARCH("▲",Z17)))</formula>
    </cfRule>
    <cfRule type="containsText" dxfId="1811" priority="124" operator="containsText" text="▼">
      <formula>NOT(ISERROR(SEARCH("▼",Z17)))</formula>
    </cfRule>
  </conditionalFormatting>
  <conditionalFormatting sqref="Z19:AA25 AA26">
    <cfRule type="containsText" dxfId="1810" priority="163" operator="containsText" text="▲">
      <formula>NOT(ISERROR(SEARCH("▲",Z19)))</formula>
    </cfRule>
    <cfRule type="containsText" dxfId="1809" priority="164" operator="containsText" text="▼">
      <formula>NOT(ISERROR(SEARCH("▼",Z19)))</formula>
    </cfRule>
  </conditionalFormatting>
  <conditionalFormatting sqref="Z20:AA25 AA26">
    <cfRule type="containsText" dxfId="1808" priority="135" operator="containsText" text="▲">
      <formula>NOT(ISERROR(SEARCH("▲",Z20)))</formula>
    </cfRule>
    <cfRule type="containsText" dxfId="1807" priority="136" operator="containsText" text="▼">
      <formula>NOT(ISERROR(SEARCH("▼",Z20)))</formula>
    </cfRule>
  </conditionalFormatting>
  <conditionalFormatting sqref="Z21:AA25 AA26">
    <cfRule type="containsText" dxfId="1806" priority="107" operator="containsText" text="▲">
      <formula>NOT(ISERROR(SEARCH("▲",Z21)))</formula>
    </cfRule>
    <cfRule type="containsText" dxfId="1805" priority="108" operator="containsText" text="▼">
      <formula>NOT(ISERROR(SEARCH("▼",Z21)))</formula>
    </cfRule>
  </conditionalFormatting>
  <conditionalFormatting sqref="Z22:AA25 AA26">
    <cfRule type="containsText" dxfId="1804" priority="103" operator="containsText" text="▲">
      <formula>NOT(ISERROR(SEARCH("▲",Z22)))</formula>
    </cfRule>
    <cfRule type="containsText" dxfId="1803" priority="104" operator="containsText" text="▼">
      <formula>NOT(ISERROR(SEARCH("▼",Z22)))</formula>
    </cfRule>
  </conditionalFormatting>
  <conditionalFormatting sqref="Z23:AA25 AA26">
    <cfRule type="containsText" dxfId="1802" priority="97" operator="containsText" text="▲">
      <formula>NOT(ISERROR(SEARCH("▲",Z23)))</formula>
    </cfRule>
    <cfRule type="containsText" dxfId="1801" priority="98" operator="containsText" text="▼">
      <formula>NOT(ISERROR(SEARCH("▼",Z23)))</formula>
    </cfRule>
  </conditionalFormatting>
  <conditionalFormatting sqref="Z24:AA25">
    <cfRule type="containsText" dxfId="1800" priority="83" operator="containsText" text="▲">
      <formula>NOT(ISERROR(SEARCH("▲",Z24)))</formula>
    </cfRule>
    <cfRule type="containsText" dxfId="1799" priority="84" operator="containsText" text="▼">
      <formula>NOT(ISERROR(SEARCH("▼",Z24)))</formula>
    </cfRule>
  </conditionalFormatting>
  <conditionalFormatting sqref="Z25:AA26">
    <cfRule type="containsText" dxfId="1798" priority="5" operator="containsText" text="▲">
      <formula>NOT(ISERROR(SEARCH("▲",Z25)))</formula>
    </cfRule>
    <cfRule type="containsText" dxfId="1797" priority="6" operator="containsText" text="▼">
      <formula>NOT(ISERROR(SEARCH("▼",Z25)))</formula>
    </cfRule>
  </conditionalFormatting>
  <conditionalFormatting sqref="Z27:AA36 Z42:AA1048576">
    <cfRule type="containsText" dxfId="1796" priority="477" operator="containsText" text="△">
      <formula>NOT(ISERROR(SEARCH("△",Z27)))</formula>
    </cfRule>
    <cfRule type="containsText" dxfId="1795" priority="478" operator="containsText" text="▽">
      <formula>NOT(ISERROR(SEARCH("▽",Z27)))</formula>
    </cfRule>
  </conditionalFormatting>
  <conditionalFormatting sqref="AA26 Z16:AA25">
    <cfRule type="containsText" dxfId="1794" priority="91" operator="containsText" text="▲">
      <formula>NOT(ISERROR(SEARCH("▲",Z16)))</formula>
    </cfRule>
  </conditionalFormatting>
  <conditionalFormatting sqref="AA26">
    <cfRule type="containsText" dxfId="1793" priority="87" operator="containsText" text="▲">
      <formula>NOT(ISERROR(SEARCH("▲",AA26)))</formula>
    </cfRule>
    <cfRule type="containsText" dxfId="1792" priority="88" operator="containsText" text="▼">
      <formula>NOT(ISERROR(SEARCH("▼",AA26)))</formula>
    </cfRule>
  </conditionalFormatting>
  <conditionalFormatting sqref="AA37:AA41">
    <cfRule type="containsText" dxfId="1791" priority="471" operator="containsText" text="△">
      <formula>NOT(ISERROR(SEARCH("△",AA37)))</formula>
    </cfRule>
    <cfRule type="containsText" dxfId="1790" priority="472" operator="containsText" text="▽">
      <formula>NOT(ISERROR(SEARCH("▽",AA37)))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539B-8754-473B-9ADF-450E15C93975}">
  <sheetPr codeName="Sheet15">
    <outlinePr summaryBelow="0" summaryRight="0"/>
  </sheetPr>
  <dimension ref="A1:AD134"/>
  <sheetViews>
    <sheetView zoomScale="85" zoomScaleNormal="85" workbookViewId="0">
      <pane xSplit="4" ySplit="1" topLeftCell="E98" activePane="bottomRight" state="frozen"/>
      <selection activeCell="F42" sqref="F42"/>
      <selection pane="topRight" activeCell="F42" sqref="F42"/>
      <selection pane="bottomLeft" activeCell="F42" sqref="F42"/>
      <selection pane="bottomRight" activeCell="A109" sqref="A109:Z109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5.62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/>
    <col min="10" max="10" width="9.375" style="9" customWidth="1" outlineLevel="1"/>
    <col min="11" max="11" width="13" style="9" customWidth="1" outlineLevel="1"/>
    <col min="12" max="13" width="9.625" style="9" customWidth="1" outlineLevel="1"/>
    <col min="14" max="14" width="9.125" style="9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34.375" style="28" bestFit="1" customWidth="1"/>
    <col min="29" max="29" width="33.125" style="28" bestFit="1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275">
        <v>44158</v>
      </c>
      <c r="B2" s="11" t="s">
        <v>19</v>
      </c>
      <c r="C2" s="11">
        <v>2615</v>
      </c>
      <c r="D2" s="11" t="s">
        <v>248</v>
      </c>
      <c r="E2" s="11">
        <v>1000</v>
      </c>
      <c r="F2" s="11">
        <v>38.15</v>
      </c>
      <c r="G2" s="212">
        <f t="shared" ref="G2:G33" si="0">E2*F2</f>
        <v>38150</v>
      </c>
      <c r="H2" s="11">
        <v>54</v>
      </c>
      <c r="I2" s="104">
        <v>44202</v>
      </c>
      <c r="J2" s="16">
        <v>53.3</v>
      </c>
      <c r="K2" s="11">
        <f t="shared" ref="K2:K33" si="1">E2*J2</f>
        <v>53300</v>
      </c>
      <c r="L2" s="17">
        <v>75</v>
      </c>
      <c r="M2" s="11">
        <v>159</v>
      </c>
      <c r="N2" s="11">
        <v>0</v>
      </c>
      <c r="O2" s="13">
        <f t="shared" ref="O2:O33" si="2">IF(I2="",E2*Y2,0)</f>
        <v>0</v>
      </c>
      <c r="P2" s="14">
        <f t="shared" ref="P2:P33" si="3">IF(I2="",R2-H2,(K2-H2-SUM(L2:N2)+R2-S2-T2)-G2)+(ROUND(R2*V2,0)-ROUND(R2*(1+V2),0)*W2)</f>
        <v>14852</v>
      </c>
      <c r="Q2" s="14">
        <f t="shared" ref="Q2:Q33" si="4">IF(I2="",(O2-G2-(O2*0.1425%*0.65)-(O2*0.3%)-S2-T2),0)</f>
        <v>0</v>
      </c>
      <c r="R2" s="14"/>
      <c r="S2" s="14">
        <v>10</v>
      </c>
      <c r="T2" s="14">
        <f t="shared" ref="T2:T33" si="5">IF(ROUND(R2*(1+V2),0)&gt;20000,ROUND(ROUND(R2*(1+V2),0)*2%,0),0)</f>
        <v>0</v>
      </c>
      <c r="U2" s="69">
        <f t="shared" ref="U2:U33" si="6">(V2*50%)/(1+50%*V2)</f>
        <v>0</v>
      </c>
      <c r="V2" s="69"/>
      <c r="W2" s="70">
        <v>0.06</v>
      </c>
      <c r="X2" s="15">
        <f t="shared" ref="X2:X33" si="7">(P2+Q2)/G2</f>
        <v>0.389305373525557</v>
      </c>
      <c r="Y2" s="16">
        <f>VLOOKUP(C2,台股行情!A:D,4,FALSE)</f>
        <v>119</v>
      </c>
      <c r="Z2" s="38">
        <f>VLOOKUP(C2,台股行情!A:E,5,FALSE)</f>
        <v>-6</v>
      </c>
      <c r="AA2" s="90">
        <f t="shared" ref="AA2:AA33" ca="1" si="8">IF(I2="",((TODAY()-A2)*G2)/365.24,((I2-A2)*G2)/365.24)</f>
        <v>4595.8821596758298</v>
      </c>
      <c r="AB2" s="103" t="s">
        <v>209</v>
      </c>
      <c r="AC2" s="103" t="s">
        <v>221</v>
      </c>
    </row>
    <row r="3" spans="1:29" outlineLevel="1">
      <c r="A3" s="275">
        <v>44158</v>
      </c>
      <c r="B3" s="11" t="s">
        <v>19</v>
      </c>
      <c r="C3" s="11">
        <v>2634</v>
      </c>
      <c r="D3" s="11" t="s">
        <v>249</v>
      </c>
      <c r="E3" s="11">
        <v>1000</v>
      </c>
      <c r="F3" s="11">
        <v>29.1</v>
      </c>
      <c r="G3" s="212">
        <f t="shared" si="0"/>
        <v>29100</v>
      </c>
      <c r="H3" s="11">
        <v>41</v>
      </c>
      <c r="I3" s="104">
        <v>44202</v>
      </c>
      <c r="J3" s="16">
        <v>29.15</v>
      </c>
      <c r="K3" s="11">
        <f t="shared" si="1"/>
        <v>29150</v>
      </c>
      <c r="L3" s="17">
        <v>41</v>
      </c>
      <c r="M3" s="11">
        <v>87</v>
      </c>
      <c r="N3" s="11">
        <v>0</v>
      </c>
      <c r="O3" s="13">
        <f t="shared" si="2"/>
        <v>0</v>
      </c>
      <c r="P3" s="14">
        <f t="shared" si="3"/>
        <v>-129</v>
      </c>
      <c r="Q3" s="14">
        <f t="shared" si="4"/>
        <v>0</v>
      </c>
      <c r="R3" s="14"/>
      <c r="S3" s="14">
        <v>10</v>
      </c>
      <c r="T3" s="14">
        <f t="shared" si="5"/>
        <v>0</v>
      </c>
      <c r="U3" s="69">
        <f t="shared" si="6"/>
        <v>0</v>
      </c>
      <c r="V3" s="69"/>
      <c r="W3" s="70">
        <v>0.06</v>
      </c>
      <c r="X3" s="15">
        <f t="shared" si="7"/>
        <v>-4.4329896907216492E-3</v>
      </c>
      <c r="Y3" s="16">
        <f>VLOOKUP(C3,台股行情!A:D,4,FALSE)</f>
        <v>60.7</v>
      </c>
      <c r="Z3" s="38">
        <f>VLOOKUP(C3,台股行情!A:E,5,FALSE)</f>
        <v>-1.4</v>
      </c>
      <c r="AA3" s="90">
        <f t="shared" ca="1" si="8"/>
        <v>3505.6401270397546</v>
      </c>
      <c r="AB3" s="103" t="s">
        <v>209</v>
      </c>
      <c r="AC3" s="135" t="s">
        <v>222</v>
      </c>
    </row>
    <row r="4" spans="1:29" outlineLevel="1">
      <c r="A4" s="275">
        <v>44183</v>
      </c>
      <c r="B4" s="11" t="s">
        <v>19</v>
      </c>
      <c r="C4" s="11">
        <v>3663</v>
      </c>
      <c r="D4" s="11" t="s">
        <v>261</v>
      </c>
      <c r="E4" s="11">
        <v>2000</v>
      </c>
      <c r="F4" s="11">
        <v>21.85</v>
      </c>
      <c r="G4" s="212">
        <f t="shared" si="0"/>
        <v>43700</v>
      </c>
      <c r="H4" s="11">
        <v>62</v>
      </c>
      <c r="I4" s="104">
        <v>44202</v>
      </c>
      <c r="J4" s="16">
        <v>22.8</v>
      </c>
      <c r="K4" s="11">
        <f t="shared" si="1"/>
        <v>45600</v>
      </c>
      <c r="L4" s="17">
        <v>64</v>
      </c>
      <c r="M4" s="11">
        <v>136</v>
      </c>
      <c r="N4" s="11">
        <v>0</v>
      </c>
      <c r="O4" s="13">
        <f t="shared" si="2"/>
        <v>0</v>
      </c>
      <c r="P4" s="14">
        <f t="shared" si="3"/>
        <v>1628</v>
      </c>
      <c r="Q4" s="14">
        <f t="shared" si="4"/>
        <v>0</v>
      </c>
      <c r="R4" s="14"/>
      <c r="S4" s="14">
        <v>10</v>
      </c>
      <c r="T4" s="14">
        <f t="shared" si="5"/>
        <v>0</v>
      </c>
      <c r="U4" s="69">
        <f t="shared" si="6"/>
        <v>0</v>
      </c>
      <c r="V4" s="69"/>
      <c r="W4" s="70">
        <v>0.06</v>
      </c>
      <c r="X4" s="15">
        <f t="shared" si="7"/>
        <v>3.725400457665904E-2</v>
      </c>
      <c r="Y4" s="16">
        <f>VLOOKUP(C4,台股行情!A:D,4,FALSE)</f>
        <v>68.5</v>
      </c>
      <c r="Z4" s="38">
        <f>VLOOKUP(C4,台股行情!A:E,5,FALSE)</f>
        <v>1.9</v>
      </c>
      <c r="AA4" s="90">
        <f t="shared" ca="1" si="8"/>
        <v>2273.2997481108314</v>
      </c>
      <c r="AB4" s="103" t="s">
        <v>219</v>
      </c>
      <c r="AC4" s="103" t="s">
        <v>220</v>
      </c>
    </row>
    <row r="5" spans="1:29" outlineLevel="1">
      <c r="A5" s="275">
        <v>44158</v>
      </c>
      <c r="B5" s="11" t="s">
        <v>19</v>
      </c>
      <c r="C5" s="11">
        <v>2882</v>
      </c>
      <c r="D5" s="11" t="s">
        <v>250</v>
      </c>
      <c r="E5" s="11">
        <v>1000</v>
      </c>
      <c r="F5" s="11">
        <v>41.65</v>
      </c>
      <c r="G5" s="212">
        <f t="shared" si="0"/>
        <v>41650</v>
      </c>
      <c r="H5" s="11">
        <v>59</v>
      </c>
      <c r="I5" s="104">
        <v>44207</v>
      </c>
      <c r="J5" s="16">
        <v>42.25</v>
      </c>
      <c r="K5" s="11">
        <f t="shared" si="1"/>
        <v>42250</v>
      </c>
      <c r="L5" s="17">
        <v>60</v>
      </c>
      <c r="M5" s="11">
        <v>126</v>
      </c>
      <c r="N5" s="11">
        <v>0</v>
      </c>
      <c r="O5" s="13">
        <f t="shared" si="2"/>
        <v>0</v>
      </c>
      <c r="P5" s="14">
        <f t="shared" si="3"/>
        <v>345</v>
      </c>
      <c r="Q5" s="14">
        <f t="shared" si="4"/>
        <v>0</v>
      </c>
      <c r="R5" s="14"/>
      <c r="S5" s="14">
        <v>10</v>
      </c>
      <c r="T5" s="14">
        <f t="shared" si="5"/>
        <v>0</v>
      </c>
      <c r="U5" s="69">
        <f t="shared" si="6"/>
        <v>0</v>
      </c>
      <c r="V5" s="69"/>
      <c r="W5" s="70">
        <v>0.06</v>
      </c>
      <c r="X5" s="15">
        <f t="shared" si="7"/>
        <v>8.2833133253301314E-3</v>
      </c>
      <c r="Y5" s="16">
        <f>VLOOKUP(C5,台股行情!A:D,4,FALSE)</f>
        <v>113.5</v>
      </c>
      <c r="Z5" s="38">
        <f>VLOOKUP(C5,台股行情!A:E,5,FALSE)</f>
        <v>-0.5</v>
      </c>
      <c r="AA5" s="90">
        <f t="shared" ca="1" si="8"/>
        <v>5587.6957616909431</v>
      </c>
      <c r="AB5" s="103" t="s">
        <v>209</v>
      </c>
      <c r="AC5" s="103"/>
    </row>
    <row r="6" spans="1:29" outlineLevel="1">
      <c r="A6" s="275">
        <v>44159</v>
      </c>
      <c r="B6" s="11" t="s">
        <v>19</v>
      </c>
      <c r="C6" s="11">
        <v>1304</v>
      </c>
      <c r="D6" s="11" t="s">
        <v>242</v>
      </c>
      <c r="E6" s="11">
        <v>2000</v>
      </c>
      <c r="F6" s="11">
        <v>20.399999999999999</v>
      </c>
      <c r="G6" s="212">
        <f t="shared" si="0"/>
        <v>40800</v>
      </c>
      <c r="H6" s="11">
        <v>58</v>
      </c>
      <c r="I6" s="104">
        <v>44210</v>
      </c>
      <c r="J6" s="16">
        <v>21.6</v>
      </c>
      <c r="K6" s="11">
        <f t="shared" si="1"/>
        <v>43200</v>
      </c>
      <c r="L6" s="17">
        <v>61</v>
      </c>
      <c r="M6" s="11">
        <v>129</v>
      </c>
      <c r="N6" s="11">
        <v>0</v>
      </c>
      <c r="O6" s="13">
        <f t="shared" si="2"/>
        <v>0</v>
      </c>
      <c r="P6" s="14">
        <f t="shared" si="3"/>
        <v>2142</v>
      </c>
      <c r="Q6" s="14">
        <f t="shared" si="4"/>
        <v>0</v>
      </c>
      <c r="R6" s="14"/>
      <c r="S6" s="14">
        <v>10</v>
      </c>
      <c r="T6" s="14">
        <f t="shared" si="5"/>
        <v>0</v>
      </c>
      <c r="U6" s="69">
        <f t="shared" si="6"/>
        <v>0</v>
      </c>
      <c r="V6" s="69"/>
      <c r="W6" s="70">
        <v>0.06</v>
      </c>
      <c r="X6" s="15">
        <f t="shared" si="7"/>
        <v>5.2499999999999998E-2</v>
      </c>
      <c r="Y6" s="16">
        <f>VLOOKUP(C6,台股行情!A:D,4,FALSE)</f>
        <v>13.2</v>
      </c>
      <c r="Z6" s="38">
        <f>VLOOKUP(C6,台股行情!A:E,5,FALSE)</f>
        <v>-0.8</v>
      </c>
      <c r="AA6" s="90">
        <f t="shared" ca="1" si="8"/>
        <v>5697.0758953017194</v>
      </c>
      <c r="AB6" s="103" t="s">
        <v>219</v>
      </c>
      <c r="AC6" s="103" t="s">
        <v>220</v>
      </c>
    </row>
    <row r="7" spans="1:29" outlineLevel="1">
      <c r="A7" s="275">
        <v>44173</v>
      </c>
      <c r="B7" s="11" t="s">
        <v>19</v>
      </c>
      <c r="C7" s="11">
        <v>2603</v>
      </c>
      <c r="D7" s="11" t="s">
        <v>241</v>
      </c>
      <c r="E7" s="11">
        <v>1000</v>
      </c>
      <c r="F7" s="11">
        <v>29.15</v>
      </c>
      <c r="G7" s="212">
        <f t="shared" si="0"/>
        <v>29150</v>
      </c>
      <c r="H7" s="11">
        <v>41</v>
      </c>
      <c r="I7" s="104">
        <v>44210</v>
      </c>
      <c r="J7" s="16">
        <v>37.950000000000003</v>
      </c>
      <c r="K7" s="11">
        <f t="shared" si="1"/>
        <v>37950</v>
      </c>
      <c r="L7" s="17">
        <v>54</v>
      </c>
      <c r="M7" s="11">
        <v>113</v>
      </c>
      <c r="N7" s="11">
        <v>0</v>
      </c>
      <c r="O7" s="13">
        <f t="shared" si="2"/>
        <v>0</v>
      </c>
      <c r="P7" s="14">
        <f t="shared" si="3"/>
        <v>8582</v>
      </c>
      <c r="Q7" s="14">
        <f t="shared" si="4"/>
        <v>0</v>
      </c>
      <c r="R7" s="14"/>
      <c r="S7" s="14">
        <v>10</v>
      </c>
      <c r="T7" s="14">
        <f t="shared" si="5"/>
        <v>0</v>
      </c>
      <c r="U7" s="69">
        <f t="shared" si="6"/>
        <v>0</v>
      </c>
      <c r="V7" s="69"/>
      <c r="W7" s="70">
        <v>0.06</v>
      </c>
      <c r="X7" s="15">
        <f t="shared" si="7"/>
        <v>0.29440823327615778</v>
      </c>
      <c r="Y7" s="16">
        <f>VLOOKUP(C7,台股行情!A:D,4,FALSE)</f>
        <v>257</v>
      </c>
      <c r="Z7" s="38">
        <f>VLOOKUP(C7,台股行情!A:E,5,FALSE)</f>
        <v>-6</v>
      </c>
      <c r="AA7" s="90">
        <f t="shared" ca="1" si="8"/>
        <v>2952.9898149162195</v>
      </c>
      <c r="AB7" s="103" t="s">
        <v>219</v>
      </c>
      <c r="AC7" s="103" t="s">
        <v>220</v>
      </c>
    </row>
    <row r="8" spans="1:29" outlineLevel="1">
      <c r="A8" s="275">
        <v>44180</v>
      </c>
      <c r="B8" s="11" t="s">
        <v>19</v>
      </c>
      <c r="C8" s="11">
        <v>6204</v>
      </c>
      <c r="D8" s="11" t="s">
        <v>266</v>
      </c>
      <c r="E8" s="11">
        <v>1000</v>
      </c>
      <c r="F8" s="11">
        <v>134.5</v>
      </c>
      <c r="G8" s="212">
        <f t="shared" si="0"/>
        <v>134500</v>
      </c>
      <c r="H8" s="11">
        <v>191</v>
      </c>
      <c r="I8" s="104">
        <v>44210</v>
      </c>
      <c r="J8" s="16">
        <v>119</v>
      </c>
      <c r="K8" s="11">
        <f t="shared" si="1"/>
        <v>119000</v>
      </c>
      <c r="L8" s="17">
        <v>169</v>
      </c>
      <c r="M8" s="11">
        <v>357</v>
      </c>
      <c r="N8" s="11">
        <v>0</v>
      </c>
      <c r="O8" s="13">
        <f t="shared" si="2"/>
        <v>0</v>
      </c>
      <c r="P8" s="14">
        <f t="shared" si="3"/>
        <v>-16227</v>
      </c>
      <c r="Q8" s="14">
        <f t="shared" si="4"/>
        <v>0</v>
      </c>
      <c r="R8" s="14"/>
      <c r="S8" s="14">
        <v>10</v>
      </c>
      <c r="T8" s="14">
        <f t="shared" si="5"/>
        <v>0</v>
      </c>
      <c r="U8" s="69">
        <f t="shared" si="6"/>
        <v>0</v>
      </c>
      <c r="V8" s="69"/>
      <c r="W8" s="70">
        <v>0.06</v>
      </c>
      <c r="X8" s="15">
        <f t="shared" si="7"/>
        <v>-0.12064684014869888</v>
      </c>
      <c r="Y8" s="16">
        <f>VLOOKUP(C8,台股行情!A:D,4,FALSE)</f>
        <v>234.9</v>
      </c>
      <c r="Z8" s="38">
        <f>VLOOKUP(C8,台股行情!A:E,5,FALSE)</f>
        <v>-10.3</v>
      </c>
      <c r="AA8" s="90">
        <f t="shared" ca="1" si="8"/>
        <v>11047.530390975797</v>
      </c>
      <c r="AB8" s="103" t="s">
        <v>219</v>
      </c>
      <c r="AC8" s="135" t="s">
        <v>160</v>
      </c>
    </row>
    <row r="9" spans="1:29" outlineLevel="1">
      <c r="A9" s="275">
        <v>44180</v>
      </c>
      <c r="B9" s="11" t="s">
        <v>19</v>
      </c>
      <c r="C9" s="11">
        <v>2002</v>
      </c>
      <c r="D9" s="11" t="s">
        <v>240</v>
      </c>
      <c r="E9" s="11">
        <v>1000</v>
      </c>
      <c r="F9" s="11">
        <v>24.9</v>
      </c>
      <c r="G9" s="212">
        <f t="shared" si="0"/>
        <v>24900</v>
      </c>
      <c r="H9" s="11">
        <v>35</v>
      </c>
      <c r="I9" s="104">
        <v>44210</v>
      </c>
      <c r="J9" s="16">
        <v>25.4</v>
      </c>
      <c r="K9" s="11">
        <f t="shared" si="1"/>
        <v>25400</v>
      </c>
      <c r="L9" s="17">
        <v>36</v>
      </c>
      <c r="M9" s="11">
        <v>76</v>
      </c>
      <c r="N9" s="11">
        <v>0</v>
      </c>
      <c r="O9" s="13">
        <f t="shared" si="2"/>
        <v>0</v>
      </c>
      <c r="P9" s="14">
        <f t="shared" si="3"/>
        <v>343</v>
      </c>
      <c r="Q9" s="14">
        <f t="shared" si="4"/>
        <v>0</v>
      </c>
      <c r="R9" s="14"/>
      <c r="S9" s="14">
        <v>10</v>
      </c>
      <c r="T9" s="14">
        <f t="shared" si="5"/>
        <v>0</v>
      </c>
      <c r="U9" s="69">
        <f t="shared" si="6"/>
        <v>0</v>
      </c>
      <c r="V9" s="69"/>
      <c r="W9" s="70">
        <v>0.06</v>
      </c>
      <c r="X9" s="15">
        <f t="shared" si="7"/>
        <v>1.3775100401606425E-2</v>
      </c>
      <c r="Y9" s="16">
        <f>VLOOKUP(C9,台股行情!A:D,4,FALSE)</f>
        <v>19.25</v>
      </c>
      <c r="Z9" s="38">
        <f>VLOOKUP(C9,台股行情!A:E,5,FALSE)</f>
        <v>-0.25</v>
      </c>
      <c r="AA9" s="90">
        <f t="shared" ca="1" si="8"/>
        <v>2045.2305333479355</v>
      </c>
      <c r="AB9" s="103" t="s">
        <v>230</v>
      </c>
      <c r="AC9" s="103" t="s">
        <v>220</v>
      </c>
    </row>
    <row r="10" spans="1:29" outlineLevel="1">
      <c r="A10" s="275">
        <v>44165</v>
      </c>
      <c r="B10" s="11" t="s">
        <v>19</v>
      </c>
      <c r="C10" s="11">
        <v>2006</v>
      </c>
      <c r="D10" s="11" t="s">
        <v>243</v>
      </c>
      <c r="E10" s="11">
        <v>1000</v>
      </c>
      <c r="F10" s="11">
        <v>35</v>
      </c>
      <c r="G10" s="212">
        <f t="shared" si="0"/>
        <v>35000</v>
      </c>
      <c r="H10" s="11">
        <v>49</v>
      </c>
      <c r="I10" s="104">
        <v>44228</v>
      </c>
      <c r="J10" s="16">
        <v>31.35</v>
      </c>
      <c r="K10" s="11">
        <f t="shared" si="1"/>
        <v>31350</v>
      </c>
      <c r="L10" s="17">
        <v>44</v>
      </c>
      <c r="M10" s="11">
        <v>94</v>
      </c>
      <c r="N10" s="11">
        <v>0</v>
      </c>
      <c r="O10" s="13">
        <f t="shared" si="2"/>
        <v>0</v>
      </c>
      <c r="P10" s="14">
        <f t="shared" si="3"/>
        <v>-3847</v>
      </c>
      <c r="Q10" s="14">
        <f t="shared" si="4"/>
        <v>0</v>
      </c>
      <c r="R10" s="14"/>
      <c r="S10" s="14">
        <v>10</v>
      </c>
      <c r="T10" s="14">
        <f t="shared" si="5"/>
        <v>0</v>
      </c>
      <c r="U10" s="69">
        <f t="shared" si="6"/>
        <v>0</v>
      </c>
      <c r="V10" s="69"/>
      <c r="W10" s="70">
        <v>0.06</v>
      </c>
      <c r="X10" s="15">
        <f t="shared" si="7"/>
        <v>-0.10991428571428571</v>
      </c>
      <c r="Y10" s="16">
        <f>VLOOKUP(C10,台股行情!A:D,4,FALSE)</f>
        <v>90.1</v>
      </c>
      <c r="Z10" s="38">
        <f>VLOOKUP(C10,台股行情!A:E,5,FALSE)</f>
        <v>0.6</v>
      </c>
      <c r="AA10" s="90">
        <f t="shared" ca="1" si="8"/>
        <v>6037.1262731354727</v>
      </c>
      <c r="AB10" s="103" t="s">
        <v>209</v>
      </c>
      <c r="AC10" s="103"/>
    </row>
    <row r="11" spans="1:29" outlineLevel="1">
      <c r="A11" s="275">
        <v>44168</v>
      </c>
      <c r="B11" s="11" t="s">
        <v>19</v>
      </c>
      <c r="C11" s="11">
        <v>3026</v>
      </c>
      <c r="D11" s="11" t="s">
        <v>251</v>
      </c>
      <c r="E11" s="11">
        <v>1000</v>
      </c>
      <c r="F11" s="11">
        <v>117</v>
      </c>
      <c r="G11" s="212">
        <f t="shared" si="0"/>
        <v>117000</v>
      </c>
      <c r="H11" s="11">
        <v>166</v>
      </c>
      <c r="I11" s="104">
        <v>44228</v>
      </c>
      <c r="J11" s="16">
        <v>106</v>
      </c>
      <c r="K11" s="11">
        <f t="shared" si="1"/>
        <v>106000</v>
      </c>
      <c r="L11" s="17">
        <v>151</v>
      </c>
      <c r="M11" s="11">
        <v>318</v>
      </c>
      <c r="N11" s="11">
        <v>0</v>
      </c>
      <c r="O11" s="13">
        <f t="shared" si="2"/>
        <v>0</v>
      </c>
      <c r="P11" s="14">
        <f t="shared" si="3"/>
        <v>-11645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9">
        <f t="shared" si="6"/>
        <v>0</v>
      </c>
      <c r="V11" s="69"/>
      <c r="W11" s="70">
        <v>0.06</v>
      </c>
      <c r="X11" s="15">
        <f t="shared" si="7"/>
        <v>-9.9529914529914526E-2</v>
      </c>
      <c r="Y11" s="16">
        <f>VLOOKUP(C11,台股行情!A:D,4,FALSE)</f>
        <v>811</v>
      </c>
      <c r="Z11" s="38">
        <f>VLOOKUP(C11,台股行情!A:E,5,FALSE)</f>
        <v>-43</v>
      </c>
      <c r="AA11" s="90">
        <f t="shared" ca="1" si="8"/>
        <v>19220.238747125179</v>
      </c>
      <c r="AB11" s="103" t="s">
        <v>209</v>
      </c>
      <c r="AC11" s="103"/>
    </row>
    <row r="12" spans="1:29" outlineLevel="1">
      <c r="A12" s="275">
        <v>44158</v>
      </c>
      <c r="B12" s="11" t="s">
        <v>19</v>
      </c>
      <c r="C12" s="11">
        <v>2454</v>
      </c>
      <c r="D12" s="11" t="s">
        <v>246</v>
      </c>
      <c r="E12" s="11">
        <v>100</v>
      </c>
      <c r="F12" s="11">
        <v>752</v>
      </c>
      <c r="G12" s="212">
        <f t="shared" si="0"/>
        <v>75200</v>
      </c>
      <c r="H12" s="11">
        <v>107</v>
      </c>
      <c r="I12" s="104">
        <v>44230</v>
      </c>
      <c r="J12" s="16">
        <v>946</v>
      </c>
      <c r="K12" s="11">
        <f t="shared" si="1"/>
        <v>94600</v>
      </c>
      <c r="L12" s="17">
        <v>134</v>
      </c>
      <c r="M12" s="11">
        <v>283</v>
      </c>
      <c r="N12" s="11">
        <v>0</v>
      </c>
      <c r="O12" s="13">
        <f t="shared" si="2"/>
        <v>0</v>
      </c>
      <c r="P12" s="14">
        <f t="shared" si="3"/>
        <v>18866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9">
        <f t="shared" si="6"/>
        <v>0</v>
      </c>
      <c r="V12" s="69"/>
      <c r="W12" s="70">
        <v>0.06</v>
      </c>
      <c r="X12" s="15">
        <f t="shared" si="7"/>
        <v>0.25087765957446806</v>
      </c>
      <c r="Y12" s="16">
        <f>VLOOKUP(C12,台股行情!A:D,4,FALSE)</f>
        <v>4165</v>
      </c>
      <c r="Z12" s="38">
        <f>VLOOKUP(C12,台股行情!A:E,5,FALSE)</f>
        <v>-310</v>
      </c>
      <c r="AA12" s="90">
        <f t="shared" ca="1" si="8"/>
        <v>14824.22516701347</v>
      </c>
      <c r="AB12" s="103" t="s">
        <v>209</v>
      </c>
      <c r="AC12" s="103" t="s">
        <v>237</v>
      </c>
    </row>
    <row r="13" spans="1:29" outlineLevel="1">
      <c r="A13" s="275">
        <v>44162</v>
      </c>
      <c r="B13" s="11" t="s">
        <v>19</v>
      </c>
      <c r="C13" s="11">
        <v>2454</v>
      </c>
      <c r="D13" s="11" t="s">
        <v>246</v>
      </c>
      <c r="E13" s="11">
        <v>100</v>
      </c>
      <c r="F13" s="11">
        <v>726</v>
      </c>
      <c r="G13" s="212">
        <f t="shared" si="0"/>
        <v>72600</v>
      </c>
      <c r="H13" s="11">
        <v>103</v>
      </c>
      <c r="I13" s="104">
        <v>44230</v>
      </c>
      <c r="J13" s="16">
        <v>946</v>
      </c>
      <c r="K13" s="11">
        <f t="shared" si="1"/>
        <v>94600</v>
      </c>
      <c r="L13" s="17">
        <v>134</v>
      </c>
      <c r="M13" s="11">
        <v>283</v>
      </c>
      <c r="N13" s="11">
        <v>0</v>
      </c>
      <c r="O13" s="13">
        <f t="shared" si="2"/>
        <v>0</v>
      </c>
      <c r="P13" s="14">
        <f t="shared" si="3"/>
        <v>21470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9">
        <f t="shared" si="6"/>
        <v>0</v>
      </c>
      <c r="V13" s="69"/>
      <c r="W13" s="70">
        <v>0.06</v>
      </c>
      <c r="X13" s="15">
        <f t="shared" si="7"/>
        <v>0.29573002754820937</v>
      </c>
      <c r="Y13" s="16">
        <f>VLOOKUP(C13,台股行情!A:D,4,FALSE)</f>
        <v>4165</v>
      </c>
      <c r="Z13" s="38">
        <f>VLOOKUP(C13,台股行情!A:E,5,FALSE)</f>
        <v>-310</v>
      </c>
      <c r="AA13" s="90">
        <f t="shared" ca="1" si="8"/>
        <v>13516.591830029569</v>
      </c>
      <c r="AB13" s="103" t="s">
        <v>209</v>
      </c>
      <c r="AC13" s="103" t="s">
        <v>237</v>
      </c>
    </row>
    <row r="14" spans="1:29" outlineLevel="1">
      <c r="A14" s="275">
        <v>44173</v>
      </c>
      <c r="B14" s="11" t="s">
        <v>19</v>
      </c>
      <c r="C14" s="11">
        <v>2317</v>
      </c>
      <c r="D14" s="11" t="s">
        <v>245</v>
      </c>
      <c r="E14" s="11">
        <v>1000</v>
      </c>
      <c r="F14" s="11">
        <v>89</v>
      </c>
      <c r="G14" s="212">
        <f t="shared" si="0"/>
        <v>89000</v>
      </c>
      <c r="H14" s="11">
        <v>126</v>
      </c>
      <c r="I14" s="104">
        <v>44230</v>
      </c>
      <c r="J14" s="16">
        <v>115.5</v>
      </c>
      <c r="K14" s="11">
        <f t="shared" si="1"/>
        <v>115500</v>
      </c>
      <c r="L14" s="17">
        <v>164</v>
      </c>
      <c r="M14" s="11">
        <v>346</v>
      </c>
      <c r="N14" s="11">
        <v>0</v>
      </c>
      <c r="O14" s="13">
        <f t="shared" si="2"/>
        <v>0</v>
      </c>
      <c r="P14" s="14">
        <f t="shared" si="3"/>
        <v>25854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9">
        <f t="shared" si="6"/>
        <v>0</v>
      </c>
      <c r="V14" s="69"/>
      <c r="W14" s="70">
        <v>0.06</v>
      </c>
      <c r="X14" s="15">
        <f t="shared" si="7"/>
        <v>0.29049438202247191</v>
      </c>
      <c r="Y14" s="16">
        <f>VLOOKUP(C14,台股行情!A:D,4,FALSE)</f>
        <v>239.5</v>
      </c>
      <c r="Z14" s="38">
        <f>VLOOKUP(C14,台股行情!A:E,5,FALSE)</f>
        <v>-3.5</v>
      </c>
      <c r="AA14" s="90">
        <f t="shared" ca="1" si="8"/>
        <v>13889.497316832767</v>
      </c>
      <c r="AB14" s="103" t="s">
        <v>219</v>
      </c>
      <c r="AC14" s="103" t="s">
        <v>237</v>
      </c>
    </row>
    <row r="15" spans="1:29" outlineLevel="1">
      <c r="A15" s="275">
        <v>44174</v>
      </c>
      <c r="B15" s="11" t="s">
        <v>19</v>
      </c>
      <c r="C15" s="11">
        <v>2454</v>
      </c>
      <c r="D15" s="11" t="s">
        <v>246</v>
      </c>
      <c r="E15" s="11">
        <v>100</v>
      </c>
      <c r="F15" s="11">
        <v>737</v>
      </c>
      <c r="G15" s="212">
        <f t="shared" si="0"/>
        <v>73700</v>
      </c>
      <c r="H15" s="11">
        <v>105</v>
      </c>
      <c r="I15" s="104">
        <v>44230</v>
      </c>
      <c r="J15" s="16">
        <v>944</v>
      </c>
      <c r="K15" s="11">
        <f t="shared" si="1"/>
        <v>94400</v>
      </c>
      <c r="L15" s="17">
        <v>134</v>
      </c>
      <c r="M15" s="11">
        <v>283</v>
      </c>
      <c r="N15" s="11">
        <v>0</v>
      </c>
      <c r="O15" s="13">
        <f t="shared" si="2"/>
        <v>0</v>
      </c>
      <c r="P15" s="14">
        <f t="shared" si="3"/>
        <v>20168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9">
        <f t="shared" si="6"/>
        <v>0</v>
      </c>
      <c r="V15" s="69"/>
      <c r="W15" s="70">
        <v>0.06</v>
      </c>
      <c r="X15" s="15">
        <f t="shared" si="7"/>
        <v>0.27364993215739486</v>
      </c>
      <c r="Y15" s="16">
        <f>VLOOKUP(C15,台股行情!A:D,4,FALSE)</f>
        <v>4165</v>
      </c>
      <c r="Z15" s="38">
        <f>VLOOKUP(C15,台股行情!A:E,5,FALSE)</f>
        <v>-310</v>
      </c>
      <c r="AA15" s="90">
        <f t="shared" ca="1" si="8"/>
        <v>11299.96714489103</v>
      </c>
      <c r="AB15" s="103" t="s">
        <v>209</v>
      </c>
      <c r="AC15" s="103" t="s">
        <v>237</v>
      </c>
    </row>
    <row r="16" spans="1:29" outlineLevel="1">
      <c r="A16" s="275">
        <v>44176</v>
      </c>
      <c r="B16" s="11" t="s">
        <v>19</v>
      </c>
      <c r="C16" s="11">
        <v>3481</v>
      </c>
      <c r="D16" s="11" t="s">
        <v>255</v>
      </c>
      <c r="E16" s="11">
        <v>1000</v>
      </c>
      <c r="F16" s="11">
        <v>13.85</v>
      </c>
      <c r="G16" s="212">
        <f t="shared" si="0"/>
        <v>13850</v>
      </c>
      <c r="H16" s="11">
        <v>19</v>
      </c>
      <c r="I16" s="104">
        <v>44230</v>
      </c>
      <c r="J16" s="16">
        <v>14</v>
      </c>
      <c r="K16" s="11">
        <f t="shared" si="1"/>
        <v>14000</v>
      </c>
      <c r="L16" s="17">
        <v>20</v>
      </c>
      <c r="M16" s="11">
        <v>42</v>
      </c>
      <c r="N16" s="11">
        <v>0</v>
      </c>
      <c r="O16" s="13">
        <f t="shared" si="2"/>
        <v>0</v>
      </c>
      <c r="P16" s="14">
        <f t="shared" si="3"/>
        <v>59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9">
        <f t="shared" si="6"/>
        <v>0</v>
      </c>
      <c r="V16" s="69"/>
      <c r="W16" s="70">
        <v>0.06</v>
      </c>
      <c r="X16" s="15">
        <f t="shared" si="7"/>
        <v>4.2599277978339354E-3</v>
      </c>
      <c r="Y16" s="16">
        <f>VLOOKUP(C16,台股行情!A:D,4,FALSE)</f>
        <v>48.3</v>
      </c>
      <c r="Z16" s="38">
        <f>VLOOKUP(C16,台股行情!A:E,5,FALSE)</f>
        <v>-2.6</v>
      </c>
      <c r="AA16" s="90">
        <f t="shared" ca="1" si="8"/>
        <v>2047.694666520644</v>
      </c>
      <c r="AB16" s="103" t="s">
        <v>209</v>
      </c>
      <c r="AC16" s="103" t="s">
        <v>237</v>
      </c>
    </row>
    <row r="17" spans="1:29" outlineLevel="1">
      <c r="A17" s="275">
        <v>44176</v>
      </c>
      <c r="B17" s="11" t="s">
        <v>19</v>
      </c>
      <c r="C17" s="11">
        <v>3481</v>
      </c>
      <c r="D17" s="11" t="s">
        <v>255</v>
      </c>
      <c r="E17" s="11">
        <v>9000</v>
      </c>
      <c r="F17" s="11">
        <v>13.85</v>
      </c>
      <c r="G17" s="212">
        <f t="shared" si="0"/>
        <v>124650</v>
      </c>
      <c r="H17" s="11">
        <v>178</v>
      </c>
      <c r="I17" s="104">
        <v>44230</v>
      </c>
      <c r="J17" s="16">
        <v>14.05</v>
      </c>
      <c r="K17" s="11">
        <f t="shared" si="1"/>
        <v>126450</v>
      </c>
      <c r="L17" s="17">
        <v>180</v>
      </c>
      <c r="M17" s="11">
        <v>379</v>
      </c>
      <c r="N17" s="11">
        <v>0</v>
      </c>
      <c r="O17" s="13">
        <f t="shared" si="2"/>
        <v>0</v>
      </c>
      <c r="P17" s="14">
        <f t="shared" si="3"/>
        <v>1053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9">
        <f t="shared" si="6"/>
        <v>0</v>
      </c>
      <c r="V17" s="69"/>
      <c r="W17" s="70">
        <v>0.06</v>
      </c>
      <c r="X17" s="15">
        <f t="shared" si="7"/>
        <v>8.4476534296028874E-3</v>
      </c>
      <c r="Y17" s="16">
        <f>VLOOKUP(C17,台股行情!A:D,4,FALSE)</f>
        <v>48.3</v>
      </c>
      <c r="Z17" s="38">
        <f>VLOOKUP(C17,台股行情!A:E,5,FALSE)</f>
        <v>-2.6</v>
      </c>
      <c r="AA17" s="90">
        <f t="shared" ca="1" si="8"/>
        <v>18429.251998685795</v>
      </c>
      <c r="AB17" s="103" t="s">
        <v>209</v>
      </c>
      <c r="AC17" s="103" t="s">
        <v>237</v>
      </c>
    </row>
    <row r="18" spans="1:29" outlineLevel="1">
      <c r="A18" s="275">
        <v>44181</v>
      </c>
      <c r="B18" s="11" t="s">
        <v>19</v>
      </c>
      <c r="C18" s="11">
        <v>3037</v>
      </c>
      <c r="D18" s="11" t="s">
        <v>252</v>
      </c>
      <c r="E18" s="11">
        <v>1000</v>
      </c>
      <c r="F18" s="11">
        <v>86.7</v>
      </c>
      <c r="G18" s="212">
        <f t="shared" si="0"/>
        <v>86700</v>
      </c>
      <c r="H18" s="11">
        <v>123</v>
      </c>
      <c r="I18" s="104">
        <v>44230</v>
      </c>
      <c r="J18" s="16">
        <v>88.7</v>
      </c>
      <c r="K18" s="11">
        <f t="shared" si="1"/>
        <v>88700</v>
      </c>
      <c r="L18" s="17">
        <v>126</v>
      </c>
      <c r="M18" s="11">
        <v>266</v>
      </c>
      <c r="N18" s="11">
        <v>0</v>
      </c>
      <c r="O18" s="13">
        <f t="shared" si="2"/>
        <v>0</v>
      </c>
      <c r="P18" s="14">
        <f t="shared" si="3"/>
        <v>1475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9">
        <f t="shared" si="6"/>
        <v>0</v>
      </c>
      <c r="V18" s="69"/>
      <c r="W18" s="70">
        <v>0.06</v>
      </c>
      <c r="X18" s="15">
        <f t="shared" si="7"/>
        <v>1.7012687427912343E-2</v>
      </c>
      <c r="Y18" s="16">
        <f>VLOOKUP(C18,台股行情!A:D,4,FALSE)</f>
        <v>1075</v>
      </c>
      <c r="Z18" s="38">
        <f>VLOOKUP(C18,台股行情!A:E,5,FALSE)</f>
        <v>-110</v>
      </c>
      <c r="AA18" s="90">
        <f t="shared" ca="1" si="8"/>
        <v>11631.529952907676</v>
      </c>
      <c r="AB18" s="103" t="s">
        <v>209</v>
      </c>
      <c r="AC18" s="103" t="s">
        <v>237</v>
      </c>
    </row>
    <row r="19" spans="1:29" outlineLevel="1">
      <c r="A19" s="275">
        <v>44155</v>
      </c>
      <c r="B19" s="11" t="s">
        <v>19</v>
      </c>
      <c r="C19" s="11">
        <v>3008</v>
      </c>
      <c r="D19" s="11" t="s">
        <v>395</v>
      </c>
      <c r="E19" s="11">
        <v>10</v>
      </c>
      <c r="F19" s="11">
        <v>3470</v>
      </c>
      <c r="G19" s="212">
        <f t="shared" si="0"/>
        <v>34700</v>
      </c>
      <c r="H19" s="11">
        <v>49</v>
      </c>
      <c r="I19" s="104">
        <v>44260</v>
      </c>
      <c r="J19" s="16">
        <v>3350</v>
      </c>
      <c r="K19" s="11">
        <f t="shared" si="1"/>
        <v>33500</v>
      </c>
      <c r="L19" s="17">
        <v>47</v>
      </c>
      <c r="M19" s="11">
        <v>100</v>
      </c>
      <c r="N19" s="11">
        <v>0</v>
      </c>
      <c r="O19" s="13">
        <f t="shared" si="2"/>
        <v>0</v>
      </c>
      <c r="P19" s="14">
        <f t="shared" si="3"/>
        <v>-1406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9">
        <f t="shared" si="6"/>
        <v>0</v>
      </c>
      <c r="V19" s="69"/>
      <c r="W19" s="70">
        <v>0.06</v>
      </c>
      <c r="X19" s="15">
        <f t="shared" si="7"/>
        <v>-4.0518731988472625E-2</v>
      </c>
      <c r="Y19" s="16">
        <f>VLOOKUP(C19,台股行情!A:D,4,FALSE)</f>
        <v>6605</v>
      </c>
      <c r="Z19" s="38">
        <f>VLOOKUP(C19,台股行情!A:E,5,FALSE)</f>
        <v>-275</v>
      </c>
      <c r="AA19" s="90">
        <f t="shared" ca="1" si="8"/>
        <v>9975.6324608476607</v>
      </c>
      <c r="AB19" s="103" t="s">
        <v>209</v>
      </c>
      <c r="AC19" s="103"/>
    </row>
    <row r="20" spans="1:29" outlineLevel="1">
      <c r="A20" s="275">
        <v>44166</v>
      </c>
      <c r="B20" s="11" t="s">
        <v>19</v>
      </c>
      <c r="C20" s="11">
        <v>3711</v>
      </c>
      <c r="D20" s="11" t="s">
        <v>396</v>
      </c>
      <c r="E20" s="11">
        <v>1000</v>
      </c>
      <c r="F20" s="11">
        <v>76.7</v>
      </c>
      <c r="G20" s="212">
        <f t="shared" si="0"/>
        <v>76700</v>
      </c>
      <c r="H20" s="11">
        <v>109</v>
      </c>
      <c r="I20" s="104">
        <v>44260</v>
      </c>
      <c r="J20" s="16">
        <v>102.5</v>
      </c>
      <c r="K20" s="11">
        <f t="shared" si="1"/>
        <v>102500</v>
      </c>
      <c r="L20" s="17">
        <v>146</v>
      </c>
      <c r="M20" s="11">
        <v>307</v>
      </c>
      <c r="N20" s="11">
        <v>0</v>
      </c>
      <c r="O20" s="13">
        <f t="shared" si="2"/>
        <v>0</v>
      </c>
      <c r="P20" s="14">
        <f t="shared" si="3"/>
        <v>25228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0.06</v>
      </c>
      <c r="X20" s="15">
        <f t="shared" si="7"/>
        <v>0.32891786179921773</v>
      </c>
      <c r="Y20" s="16">
        <f>VLOOKUP(C20,台股行情!A:D,4,FALSE)</f>
        <v>673</v>
      </c>
      <c r="Z20" s="38">
        <f>VLOOKUP(C20,台股行情!A:E,5,FALSE)</f>
        <v>-74</v>
      </c>
      <c r="AA20" s="90">
        <f t="shared" ca="1" si="8"/>
        <v>19739.897053991896</v>
      </c>
      <c r="AB20" s="103" t="s">
        <v>209</v>
      </c>
      <c r="AC20" s="103"/>
    </row>
    <row r="21" spans="1:29" outlineLevel="1">
      <c r="A21" s="275">
        <v>44158</v>
      </c>
      <c r="B21" s="11" t="s">
        <v>19</v>
      </c>
      <c r="C21" s="11">
        <v>2884</v>
      </c>
      <c r="D21" s="11" t="s">
        <v>397</v>
      </c>
      <c r="E21" s="11">
        <v>1000</v>
      </c>
      <c r="F21" s="11">
        <v>25.6</v>
      </c>
      <c r="G21" s="212">
        <f t="shared" si="0"/>
        <v>25600</v>
      </c>
      <c r="H21" s="11">
        <v>36</v>
      </c>
      <c r="I21" s="104">
        <v>44264</v>
      </c>
      <c r="J21" s="16">
        <v>25.4</v>
      </c>
      <c r="K21" s="11">
        <f t="shared" si="1"/>
        <v>25400</v>
      </c>
      <c r="L21" s="17">
        <v>36</v>
      </c>
      <c r="M21" s="11">
        <v>76</v>
      </c>
      <c r="N21" s="11">
        <v>0</v>
      </c>
      <c r="O21" s="13">
        <f t="shared" si="2"/>
        <v>0</v>
      </c>
      <c r="P21" s="14">
        <f t="shared" si="3"/>
        <v>-358</v>
      </c>
      <c r="Q21" s="14">
        <f t="shared" si="4"/>
        <v>0</v>
      </c>
      <c r="R21" s="14"/>
      <c r="S21" s="14">
        <v>10</v>
      </c>
      <c r="T21" s="14">
        <f t="shared" si="5"/>
        <v>0</v>
      </c>
      <c r="U21" s="69">
        <f t="shared" si="6"/>
        <v>0</v>
      </c>
      <c r="V21" s="69"/>
      <c r="W21" s="70">
        <v>0.06</v>
      </c>
      <c r="X21" s="15">
        <f t="shared" si="7"/>
        <v>-1.3984375E-2</v>
      </c>
      <c r="Y21" s="16">
        <f>VLOOKUP(C21,台股行情!A:D,4,FALSE)</f>
        <v>48.8</v>
      </c>
      <c r="Z21" s="38">
        <f>VLOOKUP(C21,台股行情!A:E,5,FALSE)</f>
        <v>1.5</v>
      </c>
      <c r="AA21" s="90">
        <f t="shared" ca="1" si="8"/>
        <v>7429.6353082904388</v>
      </c>
      <c r="AB21" s="103" t="s">
        <v>225</v>
      </c>
      <c r="AC21" s="143" t="s">
        <v>394</v>
      </c>
    </row>
    <row r="22" spans="1:29">
      <c r="A22" s="99">
        <v>44210</v>
      </c>
      <c r="B22" s="11" t="s">
        <v>19</v>
      </c>
      <c r="C22" s="11">
        <v>5347</v>
      </c>
      <c r="D22" s="11" t="s">
        <v>264</v>
      </c>
      <c r="E22" s="11">
        <v>1000</v>
      </c>
      <c r="F22" s="11">
        <v>121.5</v>
      </c>
      <c r="G22" s="11">
        <f t="shared" si="0"/>
        <v>121500</v>
      </c>
      <c r="H22" s="11">
        <v>173</v>
      </c>
      <c r="I22" s="104">
        <v>44214</v>
      </c>
      <c r="J22" s="16">
        <v>114.5</v>
      </c>
      <c r="K22" s="11">
        <f t="shared" si="1"/>
        <v>114500</v>
      </c>
      <c r="L22" s="17">
        <v>163</v>
      </c>
      <c r="M22" s="11">
        <v>343</v>
      </c>
      <c r="N22" s="11">
        <v>0</v>
      </c>
      <c r="O22" s="13">
        <f t="shared" si="2"/>
        <v>0</v>
      </c>
      <c r="P22" s="14">
        <f t="shared" si="3"/>
        <v>-7689</v>
      </c>
      <c r="Q22" s="14">
        <f t="shared" si="4"/>
        <v>0</v>
      </c>
      <c r="R22" s="14"/>
      <c r="S22" s="14">
        <v>10</v>
      </c>
      <c r="T22" s="14">
        <f t="shared" si="5"/>
        <v>0</v>
      </c>
      <c r="U22" s="69">
        <f t="shared" si="6"/>
        <v>0</v>
      </c>
      <c r="V22" s="69"/>
      <c r="W22" s="70">
        <v>0.11</v>
      </c>
      <c r="X22" s="15">
        <f t="shared" si="7"/>
        <v>-6.3283950617283952E-2</v>
      </c>
      <c r="Y22" s="16">
        <f>VLOOKUP(C22,台股行情!A:D,4,FALSE)</f>
        <v>161.5</v>
      </c>
      <c r="Z22" s="38">
        <f>VLOOKUP(C22,台股行情!A:E,5,FALSE)</f>
        <v>-14.5</v>
      </c>
      <c r="AA22" s="90">
        <f t="shared" ca="1" si="8"/>
        <v>1330.6319132625124</v>
      </c>
      <c r="AB22" s="103" t="s">
        <v>34</v>
      </c>
      <c r="AC22" s="207" t="s">
        <v>2337</v>
      </c>
    </row>
    <row r="23" spans="1:29" outlineLevel="1">
      <c r="A23" s="99">
        <v>44207</v>
      </c>
      <c r="B23" s="11" t="s">
        <v>19</v>
      </c>
      <c r="C23" s="11">
        <v>3543</v>
      </c>
      <c r="D23" s="11" t="s">
        <v>1029</v>
      </c>
      <c r="E23" s="11">
        <v>1000</v>
      </c>
      <c r="F23" s="11">
        <v>34.4</v>
      </c>
      <c r="G23" s="11">
        <f t="shared" si="0"/>
        <v>34400</v>
      </c>
      <c r="H23" s="11">
        <v>43</v>
      </c>
      <c r="I23" s="104">
        <v>44216</v>
      </c>
      <c r="J23" s="16">
        <v>31.2</v>
      </c>
      <c r="K23" s="11">
        <f t="shared" si="1"/>
        <v>31200</v>
      </c>
      <c r="L23" s="17">
        <v>44</v>
      </c>
      <c r="M23" s="11">
        <v>93</v>
      </c>
      <c r="N23" s="11">
        <v>0</v>
      </c>
      <c r="O23" s="13">
        <f t="shared" si="2"/>
        <v>0</v>
      </c>
      <c r="P23" s="14">
        <f t="shared" si="3"/>
        <v>-3390</v>
      </c>
      <c r="Q23" s="14">
        <f t="shared" si="4"/>
        <v>0</v>
      </c>
      <c r="R23" s="14"/>
      <c r="S23" s="14">
        <v>10</v>
      </c>
      <c r="T23" s="14">
        <f t="shared" si="5"/>
        <v>0</v>
      </c>
      <c r="U23" s="69">
        <f t="shared" si="6"/>
        <v>0</v>
      </c>
      <c r="V23" s="69"/>
      <c r="W23" s="70">
        <v>0.11</v>
      </c>
      <c r="X23" s="15">
        <f t="shared" si="7"/>
        <v>-9.854651162790698E-2</v>
      </c>
      <c r="Y23" s="16">
        <f>VLOOKUP(C23,台股行情!A:D,4,FALSE)</f>
        <v>50.4</v>
      </c>
      <c r="Z23" s="38">
        <f>VLOOKUP(C23,台股行情!A:E,5,FALSE)</f>
        <v>-1.5</v>
      </c>
      <c r="AA23" s="90">
        <f t="shared" ca="1" si="8"/>
        <v>847.66181141167453</v>
      </c>
      <c r="AB23" s="103" t="s">
        <v>219</v>
      </c>
      <c r="AC23" s="207" t="s">
        <v>2337</v>
      </c>
    </row>
    <row r="24" spans="1:29" outlineLevel="1">
      <c r="A24" s="99">
        <v>44210</v>
      </c>
      <c r="B24" s="11" t="s">
        <v>19</v>
      </c>
      <c r="C24" s="11">
        <v>6233</v>
      </c>
      <c r="D24" s="11" t="s">
        <v>1432</v>
      </c>
      <c r="E24" s="11">
        <v>1000</v>
      </c>
      <c r="F24" s="11">
        <v>37</v>
      </c>
      <c r="G24" s="11">
        <f t="shared" si="0"/>
        <v>37000</v>
      </c>
      <c r="H24" s="11">
        <v>52</v>
      </c>
      <c r="I24" s="104">
        <v>44228</v>
      </c>
      <c r="J24" s="16">
        <v>35.75</v>
      </c>
      <c r="K24" s="11">
        <f t="shared" si="1"/>
        <v>35750</v>
      </c>
      <c r="L24" s="17">
        <v>50</v>
      </c>
      <c r="M24" s="11">
        <v>107</v>
      </c>
      <c r="N24" s="11">
        <v>0</v>
      </c>
      <c r="O24" s="13">
        <f t="shared" si="2"/>
        <v>0</v>
      </c>
      <c r="P24" s="14">
        <f t="shared" si="3"/>
        <v>-1469</v>
      </c>
      <c r="Q24" s="14">
        <f t="shared" si="4"/>
        <v>0</v>
      </c>
      <c r="R24" s="14"/>
      <c r="S24" s="14">
        <v>10</v>
      </c>
      <c r="T24" s="14">
        <f t="shared" si="5"/>
        <v>0</v>
      </c>
      <c r="U24" s="69">
        <f t="shared" si="6"/>
        <v>0</v>
      </c>
      <c r="V24" s="69"/>
      <c r="W24" s="70">
        <v>0.11</v>
      </c>
      <c r="X24" s="15">
        <f t="shared" si="7"/>
        <v>-3.9702702702702701E-2</v>
      </c>
      <c r="Y24" s="16">
        <f>VLOOKUP(C24,台股行情!A:D,4,FALSE)</f>
        <v>24.95</v>
      </c>
      <c r="Z24" s="38">
        <f>VLOOKUP(C24,台股行情!A:E,5,FALSE)</f>
        <v>-0.2</v>
      </c>
      <c r="AA24" s="90">
        <f t="shared" ca="1" si="8"/>
        <v>1823.4585478041836</v>
      </c>
      <c r="AB24" s="103" t="s">
        <v>219</v>
      </c>
      <c r="AC24" s="135" t="s">
        <v>160</v>
      </c>
    </row>
    <row r="25" spans="1:29" outlineLevel="1">
      <c r="A25" s="99">
        <v>44207</v>
      </c>
      <c r="B25" s="11" t="s">
        <v>19</v>
      </c>
      <c r="C25" s="11">
        <v>2303</v>
      </c>
      <c r="D25" s="11" t="s">
        <v>244</v>
      </c>
      <c r="E25" s="11">
        <v>1000</v>
      </c>
      <c r="F25" s="11">
        <v>49.25</v>
      </c>
      <c r="G25" s="11">
        <f t="shared" si="0"/>
        <v>49250</v>
      </c>
      <c r="H25" s="11">
        <v>70</v>
      </c>
      <c r="I25" s="104">
        <v>44230</v>
      </c>
      <c r="J25" s="16">
        <v>52.2</v>
      </c>
      <c r="K25" s="11">
        <f t="shared" si="1"/>
        <v>52200</v>
      </c>
      <c r="L25" s="17">
        <v>74</v>
      </c>
      <c r="M25" s="11">
        <v>156</v>
      </c>
      <c r="N25" s="11">
        <v>0</v>
      </c>
      <c r="O25" s="13">
        <f t="shared" si="2"/>
        <v>0</v>
      </c>
      <c r="P25" s="14">
        <f t="shared" si="3"/>
        <v>2640</v>
      </c>
      <c r="Q25" s="14">
        <f t="shared" si="4"/>
        <v>0</v>
      </c>
      <c r="R25" s="14"/>
      <c r="S25" s="14">
        <v>10</v>
      </c>
      <c r="T25" s="14">
        <f t="shared" si="5"/>
        <v>0</v>
      </c>
      <c r="U25" s="69">
        <f t="shared" si="6"/>
        <v>0</v>
      </c>
      <c r="V25" s="69"/>
      <c r="W25" s="70">
        <v>0.11</v>
      </c>
      <c r="X25" s="15">
        <f t="shared" si="7"/>
        <v>5.3604060913705585E-2</v>
      </c>
      <c r="Y25" s="16">
        <f>VLOOKUP(C25,台股行情!A:D,4,FALSE)</f>
        <v>133.5</v>
      </c>
      <c r="Z25" s="38">
        <f>VLOOKUP(C25,台股行情!A:E,5,FALSE)</f>
        <v>-8.5</v>
      </c>
      <c r="AA25" s="90">
        <f t="shared" ca="1" si="8"/>
        <v>3101.3853904282114</v>
      </c>
      <c r="AB25" s="103" t="s">
        <v>225</v>
      </c>
      <c r="AC25" s="103" t="s">
        <v>226</v>
      </c>
    </row>
    <row r="26" spans="1:29" outlineLevel="1">
      <c r="A26" s="99">
        <v>44221</v>
      </c>
      <c r="B26" s="11" t="s">
        <v>19</v>
      </c>
      <c r="C26" s="11">
        <v>2603</v>
      </c>
      <c r="D26" s="11" t="s">
        <v>241</v>
      </c>
      <c r="E26" s="11">
        <v>1000</v>
      </c>
      <c r="F26" s="11">
        <v>35.6</v>
      </c>
      <c r="G26" s="11">
        <f t="shared" si="0"/>
        <v>35600</v>
      </c>
      <c r="H26" s="11">
        <v>50</v>
      </c>
      <c r="I26" s="104">
        <v>44251</v>
      </c>
      <c r="J26" s="16">
        <v>37.799999999999997</v>
      </c>
      <c r="K26" s="11">
        <f t="shared" si="1"/>
        <v>37800</v>
      </c>
      <c r="L26" s="17">
        <v>53</v>
      </c>
      <c r="M26" s="11">
        <v>113</v>
      </c>
      <c r="N26" s="11">
        <v>0</v>
      </c>
      <c r="O26" s="13">
        <f t="shared" si="2"/>
        <v>0</v>
      </c>
      <c r="P26" s="14">
        <f t="shared" si="3"/>
        <v>1974</v>
      </c>
      <c r="Q26" s="14">
        <f t="shared" si="4"/>
        <v>0</v>
      </c>
      <c r="R26" s="14"/>
      <c r="S26" s="14">
        <v>10</v>
      </c>
      <c r="T26" s="14">
        <f t="shared" si="5"/>
        <v>0</v>
      </c>
      <c r="U26" s="69">
        <f t="shared" si="6"/>
        <v>0</v>
      </c>
      <c r="V26" s="69"/>
      <c r="W26" s="70">
        <v>0.11</v>
      </c>
      <c r="X26" s="15">
        <f t="shared" si="7"/>
        <v>5.5449438202247188E-2</v>
      </c>
      <c r="Y26" s="16">
        <f>VLOOKUP(C26,台股行情!A:D,4,FALSE)</f>
        <v>257</v>
      </c>
      <c r="Z26" s="38">
        <f>VLOOKUP(C26,台股行情!A:E,5,FALSE)</f>
        <v>-6</v>
      </c>
      <c r="AA26" s="90">
        <f t="shared" ca="1" si="8"/>
        <v>2924.1046982805824</v>
      </c>
      <c r="AB26" s="103" t="s">
        <v>236</v>
      </c>
      <c r="AC26" s="103" t="s">
        <v>392</v>
      </c>
    </row>
    <row r="27" spans="1:29" outlineLevel="1">
      <c r="A27" s="99">
        <v>44246</v>
      </c>
      <c r="B27" s="11" t="s">
        <v>19</v>
      </c>
      <c r="C27" s="11">
        <v>1515</v>
      </c>
      <c r="D27" s="11" t="s">
        <v>406</v>
      </c>
      <c r="E27" s="11">
        <v>1000</v>
      </c>
      <c r="F27" s="11">
        <v>87.9</v>
      </c>
      <c r="G27" s="11">
        <f t="shared" si="0"/>
        <v>87900</v>
      </c>
      <c r="H27" s="11">
        <v>125</v>
      </c>
      <c r="I27" s="104">
        <v>44258</v>
      </c>
      <c r="J27" s="16">
        <v>82.3</v>
      </c>
      <c r="K27" s="11">
        <f t="shared" si="1"/>
        <v>82300</v>
      </c>
      <c r="L27" s="17">
        <v>117</v>
      </c>
      <c r="M27" s="11">
        <v>246</v>
      </c>
      <c r="N27" s="11">
        <v>0</v>
      </c>
      <c r="O27" s="13">
        <f t="shared" si="2"/>
        <v>0</v>
      </c>
      <c r="P27" s="14">
        <f t="shared" si="3"/>
        <v>-6098</v>
      </c>
      <c r="Q27" s="14">
        <f t="shared" si="4"/>
        <v>0</v>
      </c>
      <c r="R27" s="14"/>
      <c r="S27" s="14">
        <v>10</v>
      </c>
      <c r="T27" s="14">
        <f t="shared" si="5"/>
        <v>0</v>
      </c>
      <c r="U27" s="69">
        <f t="shared" si="6"/>
        <v>0</v>
      </c>
      <c r="V27" s="69"/>
      <c r="W27" s="70">
        <v>0.11</v>
      </c>
      <c r="X27" s="15">
        <f t="shared" si="7"/>
        <v>-6.9374288964732647E-2</v>
      </c>
      <c r="Y27" s="16">
        <f>VLOOKUP(C27,台股行情!A:D,4,FALSE)</f>
        <v>28.75</v>
      </c>
      <c r="Z27" s="38">
        <f>VLOOKUP(C27,台股行情!A:E,5,FALSE)</f>
        <v>0</v>
      </c>
      <c r="AA27" s="90">
        <f t="shared" ca="1" si="8"/>
        <v>2887.9640784141934</v>
      </c>
      <c r="AB27" s="103" t="s">
        <v>225</v>
      </c>
      <c r="AC27" s="207" t="s">
        <v>2337</v>
      </c>
    </row>
    <row r="28" spans="1:29" outlineLevel="1">
      <c r="A28" s="99">
        <v>44251</v>
      </c>
      <c r="B28" s="11" t="s">
        <v>19</v>
      </c>
      <c r="C28" s="11">
        <v>2009</v>
      </c>
      <c r="D28" s="11" t="s">
        <v>1543</v>
      </c>
      <c r="E28" s="11">
        <v>1000</v>
      </c>
      <c r="F28" s="11">
        <v>34.700000000000003</v>
      </c>
      <c r="G28" s="11">
        <f t="shared" si="0"/>
        <v>34700</v>
      </c>
      <c r="H28" s="11">
        <v>49</v>
      </c>
      <c r="I28" s="104">
        <v>44258</v>
      </c>
      <c r="J28" s="16">
        <v>29.8</v>
      </c>
      <c r="K28" s="11">
        <f t="shared" si="1"/>
        <v>29800</v>
      </c>
      <c r="L28" s="17">
        <v>42</v>
      </c>
      <c r="M28" s="11">
        <v>89</v>
      </c>
      <c r="N28" s="11">
        <v>0</v>
      </c>
      <c r="O28" s="13">
        <f t="shared" si="2"/>
        <v>0</v>
      </c>
      <c r="P28" s="14">
        <f t="shared" si="3"/>
        <v>-5090</v>
      </c>
      <c r="Q28" s="14">
        <f t="shared" si="4"/>
        <v>0</v>
      </c>
      <c r="R28" s="14"/>
      <c r="S28" s="14">
        <v>10</v>
      </c>
      <c r="T28" s="14">
        <f t="shared" si="5"/>
        <v>0</v>
      </c>
      <c r="U28" s="69">
        <f t="shared" si="6"/>
        <v>0</v>
      </c>
      <c r="V28" s="69"/>
      <c r="W28" s="70">
        <v>0.11</v>
      </c>
      <c r="X28" s="15">
        <f t="shared" si="7"/>
        <v>-0.14668587896253601</v>
      </c>
      <c r="Y28" s="16">
        <f>VLOOKUP(C28,台股行情!A:D,4,FALSE)</f>
        <v>39.549999999999997</v>
      </c>
      <c r="Z28" s="38">
        <f>VLOOKUP(C28,台股行情!A:E,5,FALSE)</f>
        <v>-1.35</v>
      </c>
      <c r="AA28" s="90">
        <f t="shared" ca="1" si="8"/>
        <v>665.04216405651073</v>
      </c>
      <c r="AB28" s="103" t="s">
        <v>225</v>
      </c>
      <c r="AC28" s="135" t="s">
        <v>391</v>
      </c>
    </row>
    <row r="29" spans="1:29" outlineLevel="1">
      <c r="A29" s="99">
        <v>44246</v>
      </c>
      <c r="B29" s="11" t="s">
        <v>19</v>
      </c>
      <c r="C29" s="11">
        <v>3041</v>
      </c>
      <c r="D29" s="11" t="s">
        <v>407</v>
      </c>
      <c r="E29" s="11">
        <v>1000</v>
      </c>
      <c r="F29" s="11">
        <v>29.15</v>
      </c>
      <c r="G29" s="11">
        <f t="shared" si="0"/>
        <v>29150</v>
      </c>
      <c r="H29" s="11">
        <v>41</v>
      </c>
      <c r="I29" s="104">
        <v>44258</v>
      </c>
      <c r="J29" s="16">
        <v>27.8</v>
      </c>
      <c r="K29" s="11">
        <f t="shared" si="1"/>
        <v>27800</v>
      </c>
      <c r="L29" s="17">
        <v>39</v>
      </c>
      <c r="M29" s="11">
        <v>83</v>
      </c>
      <c r="N29" s="11">
        <v>0</v>
      </c>
      <c r="O29" s="13">
        <f t="shared" si="2"/>
        <v>0</v>
      </c>
      <c r="P29" s="14">
        <f t="shared" si="3"/>
        <v>-1523</v>
      </c>
      <c r="Q29" s="14">
        <f t="shared" si="4"/>
        <v>0</v>
      </c>
      <c r="R29" s="14"/>
      <c r="S29" s="14">
        <v>10</v>
      </c>
      <c r="T29" s="14">
        <f t="shared" si="5"/>
        <v>0</v>
      </c>
      <c r="U29" s="69">
        <f t="shared" si="6"/>
        <v>0</v>
      </c>
      <c r="V29" s="69"/>
      <c r="W29" s="70">
        <v>0.11</v>
      </c>
      <c r="X29" s="15">
        <f t="shared" si="7"/>
        <v>-5.2246998284734135E-2</v>
      </c>
      <c r="Y29" s="16">
        <f>VLOOKUP(C29,台股行情!A:D,4,FALSE)</f>
        <v>24.35</v>
      </c>
      <c r="Z29" s="38">
        <f>VLOOKUP(C29,台股行情!A:E,5,FALSE)</f>
        <v>-1.1499999999999999</v>
      </c>
      <c r="AA29" s="90">
        <f t="shared" ca="1" si="8"/>
        <v>957.72642645931444</v>
      </c>
      <c r="AB29" s="103" t="s">
        <v>239</v>
      </c>
      <c r="AC29" s="207" t="s">
        <v>2337</v>
      </c>
    </row>
    <row r="30" spans="1:29" outlineLevel="1">
      <c r="A30" s="99">
        <v>44258</v>
      </c>
      <c r="B30" s="11" t="s">
        <v>19</v>
      </c>
      <c r="C30" s="11">
        <v>6640</v>
      </c>
      <c r="D30" s="11" t="s">
        <v>1485</v>
      </c>
      <c r="E30" s="11">
        <v>1000</v>
      </c>
      <c r="F30" s="11">
        <v>79</v>
      </c>
      <c r="G30" s="11">
        <f t="shared" si="0"/>
        <v>79000</v>
      </c>
      <c r="H30" s="11">
        <v>112</v>
      </c>
      <c r="I30" s="104">
        <v>44259</v>
      </c>
      <c r="J30" s="16">
        <v>71.900000000000006</v>
      </c>
      <c r="K30" s="11">
        <f t="shared" si="1"/>
        <v>71900</v>
      </c>
      <c r="L30" s="17">
        <v>102</v>
      </c>
      <c r="M30" s="11">
        <v>215</v>
      </c>
      <c r="N30" s="11">
        <v>0</v>
      </c>
      <c r="O30" s="13">
        <f t="shared" si="2"/>
        <v>0</v>
      </c>
      <c r="P30" s="14">
        <f t="shared" si="3"/>
        <v>-7539</v>
      </c>
      <c r="Q30" s="14">
        <f t="shared" si="4"/>
        <v>0</v>
      </c>
      <c r="R30" s="14"/>
      <c r="S30" s="14">
        <v>10</v>
      </c>
      <c r="T30" s="14">
        <f t="shared" si="5"/>
        <v>0</v>
      </c>
      <c r="U30" s="69">
        <f t="shared" si="6"/>
        <v>0</v>
      </c>
      <c r="V30" s="69"/>
      <c r="W30" s="70">
        <v>0.11</v>
      </c>
      <c r="X30" s="15">
        <f t="shared" si="7"/>
        <v>-9.5430379746835436E-2</v>
      </c>
      <c r="Y30" s="16">
        <f>VLOOKUP(C30,台股行情!A:D,4,FALSE)</f>
        <v>1015</v>
      </c>
      <c r="Z30" s="38">
        <f>VLOOKUP(C30,台股行情!A:E,5,FALSE)</f>
        <v>-55</v>
      </c>
      <c r="AA30" s="90">
        <f t="shared" ca="1" si="8"/>
        <v>216.29613404884458</v>
      </c>
      <c r="AB30" s="103" t="s">
        <v>219</v>
      </c>
      <c r="AC30" s="207" t="s">
        <v>2337</v>
      </c>
    </row>
    <row r="31" spans="1:29" outlineLevel="1">
      <c r="A31" s="99">
        <v>44203</v>
      </c>
      <c r="B31" s="11" t="s">
        <v>19</v>
      </c>
      <c r="C31" s="11">
        <v>2455</v>
      </c>
      <c r="D31" s="11" t="s">
        <v>744</v>
      </c>
      <c r="E31" s="11">
        <v>1000</v>
      </c>
      <c r="F31" s="11">
        <v>115</v>
      </c>
      <c r="G31" s="11">
        <f t="shared" si="0"/>
        <v>115000</v>
      </c>
      <c r="H31" s="11">
        <v>163</v>
      </c>
      <c r="I31" s="104">
        <v>44260</v>
      </c>
      <c r="J31" s="16">
        <v>105.5</v>
      </c>
      <c r="K31" s="11">
        <f t="shared" si="1"/>
        <v>105500</v>
      </c>
      <c r="L31" s="17">
        <v>150</v>
      </c>
      <c r="M31" s="11">
        <v>316</v>
      </c>
      <c r="N31" s="11">
        <v>0</v>
      </c>
      <c r="O31" s="13">
        <f t="shared" si="2"/>
        <v>0</v>
      </c>
      <c r="P31" s="14">
        <f t="shared" si="3"/>
        <v>-10139</v>
      </c>
      <c r="Q31" s="14">
        <f t="shared" si="4"/>
        <v>0</v>
      </c>
      <c r="R31" s="14"/>
      <c r="S31" s="14">
        <v>10</v>
      </c>
      <c r="T31" s="14">
        <f t="shared" si="5"/>
        <v>0</v>
      </c>
      <c r="U31" s="69">
        <f t="shared" si="6"/>
        <v>0</v>
      </c>
      <c r="V31" s="69"/>
      <c r="W31" s="70">
        <v>0.11</v>
      </c>
      <c r="X31" s="15">
        <f t="shared" si="7"/>
        <v>-8.8165217391304354E-2</v>
      </c>
      <c r="Y31" s="16">
        <f>VLOOKUP(C31,台股行情!A:D,4,FALSE)</f>
        <v>483.5</v>
      </c>
      <c r="Z31" s="38">
        <f>VLOOKUP(C31,台股行情!A:E,5,FALSE)</f>
        <v>-39.5</v>
      </c>
      <c r="AA31" s="90">
        <f t="shared" ca="1" si="8"/>
        <v>17947.103274559195</v>
      </c>
      <c r="AB31" s="103" t="s">
        <v>209</v>
      </c>
      <c r="AC31" s="103"/>
    </row>
    <row r="32" spans="1:29" outlineLevel="1">
      <c r="A32" s="99">
        <v>44210</v>
      </c>
      <c r="B32" s="11" t="s">
        <v>19</v>
      </c>
      <c r="C32" s="11">
        <v>2409</v>
      </c>
      <c r="D32" s="11" t="s">
        <v>1665</v>
      </c>
      <c r="E32" s="11">
        <v>2000</v>
      </c>
      <c r="F32" s="11">
        <v>15.25</v>
      </c>
      <c r="G32" s="11">
        <f t="shared" si="0"/>
        <v>30500</v>
      </c>
      <c r="H32" s="11">
        <v>163</v>
      </c>
      <c r="I32" s="104">
        <v>44260</v>
      </c>
      <c r="J32" s="16">
        <v>18.399999999999999</v>
      </c>
      <c r="K32" s="11">
        <f t="shared" si="1"/>
        <v>36800</v>
      </c>
      <c r="L32" s="17">
        <v>52</v>
      </c>
      <c r="M32" s="11">
        <v>110</v>
      </c>
      <c r="N32" s="11">
        <v>0</v>
      </c>
      <c r="O32" s="13">
        <f t="shared" si="2"/>
        <v>0</v>
      </c>
      <c r="P32" s="14">
        <f t="shared" si="3"/>
        <v>5965</v>
      </c>
      <c r="Q32" s="14">
        <f t="shared" si="4"/>
        <v>0</v>
      </c>
      <c r="R32" s="14"/>
      <c r="S32" s="14">
        <v>10</v>
      </c>
      <c r="T32" s="14">
        <f t="shared" si="5"/>
        <v>0</v>
      </c>
      <c r="U32" s="69">
        <f t="shared" si="6"/>
        <v>0</v>
      </c>
      <c r="V32" s="69"/>
      <c r="W32" s="70">
        <v>0.11</v>
      </c>
      <c r="X32" s="15">
        <f t="shared" si="7"/>
        <v>0.19557377049180327</v>
      </c>
      <c r="Y32" s="16">
        <f>VLOOKUP(C32,台股行情!A:D,4,FALSE)</f>
        <v>34.9</v>
      </c>
      <c r="Z32" s="38">
        <f>VLOOKUP(C32,台股行情!A:E,5,FALSE)</f>
        <v>-1.35</v>
      </c>
      <c r="AA32" s="90">
        <f t="shared" ca="1" si="8"/>
        <v>4175.3367648669364</v>
      </c>
      <c r="AB32" s="103" t="s">
        <v>225</v>
      </c>
      <c r="AC32" s="103" t="s">
        <v>393</v>
      </c>
    </row>
    <row r="33" spans="1:29" outlineLevel="1">
      <c r="A33" s="99">
        <v>44221</v>
      </c>
      <c r="B33" s="11" t="s">
        <v>19</v>
      </c>
      <c r="C33" s="11">
        <v>2603</v>
      </c>
      <c r="D33" s="11" t="s">
        <v>241</v>
      </c>
      <c r="E33" s="11">
        <v>1000</v>
      </c>
      <c r="F33" s="11">
        <v>35.9</v>
      </c>
      <c r="G33" s="11">
        <f t="shared" si="0"/>
        <v>35900</v>
      </c>
      <c r="H33" s="11">
        <v>51</v>
      </c>
      <c r="I33" s="104">
        <v>44260</v>
      </c>
      <c r="J33" s="16">
        <v>37.299999999999997</v>
      </c>
      <c r="K33" s="11">
        <f t="shared" si="1"/>
        <v>37300</v>
      </c>
      <c r="L33" s="17">
        <v>53</v>
      </c>
      <c r="M33" s="11">
        <v>111</v>
      </c>
      <c r="N33" s="11">
        <v>0</v>
      </c>
      <c r="O33" s="13">
        <f t="shared" si="2"/>
        <v>0</v>
      </c>
      <c r="P33" s="14">
        <f t="shared" si="3"/>
        <v>1175</v>
      </c>
      <c r="Q33" s="14">
        <f t="shared" si="4"/>
        <v>0</v>
      </c>
      <c r="R33" s="14"/>
      <c r="S33" s="14">
        <v>10</v>
      </c>
      <c r="T33" s="14">
        <f t="shared" si="5"/>
        <v>0</v>
      </c>
      <c r="U33" s="69">
        <f t="shared" si="6"/>
        <v>0</v>
      </c>
      <c r="V33" s="69"/>
      <c r="W33" s="70">
        <v>0.11</v>
      </c>
      <c r="X33" s="15">
        <f t="shared" si="7"/>
        <v>3.2729805013927575E-2</v>
      </c>
      <c r="Y33" s="16">
        <f>VLOOKUP(C33,台股行情!A:D,4,FALSE)</f>
        <v>257</v>
      </c>
      <c r="Z33" s="38">
        <f>VLOOKUP(C33,台股行情!A:E,5,FALSE)</f>
        <v>-6</v>
      </c>
      <c r="AA33" s="90">
        <f t="shared" ca="1" si="8"/>
        <v>3833.3698390099657</v>
      </c>
      <c r="AB33" s="103" t="s">
        <v>236</v>
      </c>
      <c r="AC33" s="103"/>
    </row>
    <row r="34" spans="1:29" outlineLevel="1">
      <c r="A34" s="99">
        <v>44232</v>
      </c>
      <c r="B34" s="11" t="s">
        <v>19</v>
      </c>
      <c r="C34" s="11">
        <v>2357</v>
      </c>
      <c r="D34" s="11" t="s">
        <v>115</v>
      </c>
      <c r="E34" s="11">
        <v>1000</v>
      </c>
      <c r="F34" s="11">
        <v>287</v>
      </c>
      <c r="G34" s="11">
        <f t="shared" ref="G34:G65" si="9">E34*F34</f>
        <v>287000</v>
      </c>
      <c r="H34" s="11">
        <v>408</v>
      </c>
      <c r="I34" s="104">
        <v>44260</v>
      </c>
      <c r="J34" s="16">
        <v>311</v>
      </c>
      <c r="K34" s="11">
        <f t="shared" ref="K34:K65" si="10">E34*J34</f>
        <v>311000</v>
      </c>
      <c r="L34" s="17">
        <v>443</v>
      </c>
      <c r="M34" s="11">
        <v>933</v>
      </c>
      <c r="N34" s="11">
        <v>0</v>
      </c>
      <c r="O34" s="13">
        <f t="shared" ref="O34:O65" si="11">IF(I34="",E34*Y34,0)</f>
        <v>0</v>
      </c>
      <c r="P34" s="14">
        <f t="shared" ref="P34:P65" si="12">IF(I34="",R34-H34,(K34-H34-SUM(L34:N34)+R34-S34-T34)-G34)+(ROUND(R34*V34,0)-ROUND(R34*(1+V34),0)*W34)</f>
        <v>22206</v>
      </c>
      <c r="Q34" s="14">
        <f t="shared" ref="Q34:Q65" si="13">IF(I34="",(O34-G34-(O34*0.1425%*0.65)-(O34*0.3%)-S34-T34),0)</f>
        <v>0</v>
      </c>
      <c r="R34" s="14"/>
      <c r="S34" s="14">
        <v>10</v>
      </c>
      <c r="T34" s="14">
        <f t="shared" ref="T34:T65" si="14">IF(ROUND(R34*(1+V34),0)&gt;20000,ROUND(ROUND(R34*(1+V34),0)*2%,0),0)</f>
        <v>0</v>
      </c>
      <c r="U34" s="69">
        <f t="shared" ref="U34:U65" si="15">(V34*50%)/(1+50%*V34)</f>
        <v>0</v>
      </c>
      <c r="V34" s="69"/>
      <c r="W34" s="70">
        <v>0.11</v>
      </c>
      <c r="X34" s="15">
        <f t="shared" ref="X34:X65" si="16">(P34+Q34)/G34</f>
        <v>7.7372822299651561E-2</v>
      </c>
      <c r="Y34" s="16">
        <f>VLOOKUP(C34,台股行情!A:D,4,FALSE)</f>
        <v>975</v>
      </c>
      <c r="Z34" s="38">
        <f>VLOOKUP(C34,台股行情!A:E,5,FALSE)</f>
        <v>-15</v>
      </c>
      <c r="AA34" s="90">
        <f t="shared" ref="AA34:AA65" ca="1" si="17">IF(I34="",((TODAY()-A34)*G34)/365.24,((I34-A34)*G34)/365.24)</f>
        <v>22001.971306538166</v>
      </c>
      <c r="AB34" s="103" t="s">
        <v>209</v>
      </c>
      <c r="AC34" s="103"/>
    </row>
    <row r="35" spans="1:29" outlineLevel="1">
      <c r="A35" s="99">
        <v>44249</v>
      </c>
      <c r="B35" s="11" t="s">
        <v>19</v>
      </c>
      <c r="C35" s="11">
        <v>1513</v>
      </c>
      <c r="D35" s="11" t="s">
        <v>408</v>
      </c>
      <c r="E35" s="11">
        <v>1000</v>
      </c>
      <c r="F35" s="11">
        <v>51.5</v>
      </c>
      <c r="G35" s="11">
        <f t="shared" si="9"/>
        <v>51500</v>
      </c>
      <c r="H35" s="11">
        <v>73</v>
      </c>
      <c r="I35" s="104">
        <v>44260</v>
      </c>
      <c r="J35" s="16">
        <v>51.1</v>
      </c>
      <c r="K35" s="11">
        <f t="shared" si="10"/>
        <v>51100</v>
      </c>
      <c r="L35" s="17">
        <v>72</v>
      </c>
      <c r="M35" s="11">
        <v>153</v>
      </c>
      <c r="N35" s="11">
        <v>0</v>
      </c>
      <c r="O35" s="13">
        <f t="shared" si="11"/>
        <v>0</v>
      </c>
      <c r="P35" s="14">
        <f t="shared" si="12"/>
        <v>-708</v>
      </c>
      <c r="Q35" s="14">
        <f t="shared" si="13"/>
        <v>0</v>
      </c>
      <c r="R35" s="14"/>
      <c r="S35" s="14">
        <v>10</v>
      </c>
      <c r="T35" s="14">
        <f t="shared" si="14"/>
        <v>0</v>
      </c>
      <c r="U35" s="69">
        <f t="shared" si="15"/>
        <v>0</v>
      </c>
      <c r="V35" s="69"/>
      <c r="W35" s="70">
        <v>0.11</v>
      </c>
      <c r="X35" s="15">
        <f t="shared" si="16"/>
        <v>-1.374757281553398E-2</v>
      </c>
      <c r="Y35" s="16">
        <f>VLOOKUP(C35,台股行情!A:D,4,FALSE)</f>
        <v>165</v>
      </c>
      <c r="Z35" s="38">
        <f>VLOOKUP(C35,台股行情!A:E,5,FALSE)</f>
        <v>-3.5</v>
      </c>
      <c r="AA35" s="90">
        <f t="shared" ca="1" si="17"/>
        <v>1551.0349359325376</v>
      </c>
      <c r="AB35" s="103" t="s">
        <v>209</v>
      </c>
      <c r="AC35" s="103"/>
    </row>
    <row r="36" spans="1:29" outlineLevel="1">
      <c r="A36" s="99">
        <v>44249</v>
      </c>
      <c r="B36" s="11" t="s">
        <v>19</v>
      </c>
      <c r="C36" s="11">
        <v>2393</v>
      </c>
      <c r="D36" s="11" t="s">
        <v>409</v>
      </c>
      <c r="E36" s="11">
        <v>1000</v>
      </c>
      <c r="F36" s="11">
        <v>47.75</v>
      </c>
      <c r="G36" s="11">
        <f t="shared" si="9"/>
        <v>47750</v>
      </c>
      <c r="H36" s="11">
        <v>65</v>
      </c>
      <c r="I36" s="104">
        <v>44260</v>
      </c>
      <c r="J36" s="16">
        <v>44.1</v>
      </c>
      <c r="K36" s="11">
        <f t="shared" si="10"/>
        <v>44100</v>
      </c>
      <c r="L36" s="17">
        <v>62</v>
      </c>
      <c r="M36" s="11">
        <v>132</v>
      </c>
      <c r="N36" s="11">
        <v>0</v>
      </c>
      <c r="O36" s="13">
        <f t="shared" si="11"/>
        <v>0</v>
      </c>
      <c r="P36" s="14">
        <f t="shared" si="12"/>
        <v>-3919</v>
      </c>
      <c r="Q36" s="14">
        <f t="shared" si="13"/>
        <v>0</v>
      </c>
      <c r="R36" s="14"/>
      <c r="S36" s="14">
        <v>10</v>
      </c>
      <c r="T36" s="14">
        <f t="shared" si="14"/>
        <v>0</v>
      </c>
      <c r="U36" s="69">
        <f t="shared" si="15"/>
        <v>0</v>
      </c>
      <c r="V36" s="69"/>
      <c r="W36" s="70">
        <v>0.11</v>
      </c>
      <c r="X36" s="15">
        <f t="shared" si="16"/>
        <v>-8.2073298429319375E-2</v>
      </c>
      <c r="Y36" s="16">
        <f>VLOOKUP(C36,台股行情!A:D,4,FALSE)</f>
        <v>68.400000000000006</v>
      </c>
      <c r="Z36" s="38">
        <f>VLOOKUP(C36,台股行情!A:E,5,FALSE)</f>
        <v>0.1</v>
      </c>
      <c r="AA36" s="90">
        <f t="shared" ca="1" si="17"/>
        <v>1438.0954988500712</v>
      </c>
      <c r="AB36" s="103" t="s">
        <v>209</v>
      </c>
      <c r="AC36" s="103"/>
    </row>
    <row r="37" spans="1:29" outlineLevel="1">
      <c r="A37" s="99">
        <v>44249</v>
      </c>
      <c r="B37" s="11" t="s">
        <v>19</v>
      </c>
      <c r="C37" s="11">
        <v>2456</v>
      </c>
      <c r="D37" s="208" t="s">
        <v>179</v>
      </c>
      <c r="E37" s="11">
        <v>1000</v>
      </c>
      <c r="F37" s="11">
        <v>107</v>
      </c>
      <c r="G37" s="11">
        <f t="shared" si="9"/>
        <v>107000</v>
      </c>
      <c r="H37" s="11">
        <v>152</v>
      </c>
      <c r="I37" s="104">
        <v>44260</v>
      </c>
      <c r="J37" s="16">
        <v>109</v>
      </c>
      <c r="K37" s="11">
        <f t="shared" si="10"/>
        <v>109000</v>
      </c>
      <c r="L37" s="17">
        <v>155</v>
      </c>
      <c r="M37" s="11">
        <v>327</v>
      </c>
      <c r="N37" s="11">
        <v>0</v>
      </c>
      <c r="O37" s="13">
        <f t="shared" si="11"/>
        <v>0</v>
      </c>
      <c r="P37" s="14">
        <f t="shared" si="12"/>
        <v>1356</v>
      </c>
      <c r="Q37" s="14">
        <f t="shared" si="13"/>
        <v>0</v>
      </c>
      <c r="R37" s="14"/>
      <c r="S37" s="14">
        <v>10</v>
      </c>
      <c r="T37" s="14">
        <f t="shared" si="14"/>
        <v>0</v>
      </c>
      <c r="U37" s="69">
        <f t="shared" si="15"/>
        <v>0</v>
      </c>
      <c r="V37" s="69"/>
      <c r="W37" s="70">
        <v>0.11</v>
      </c>
      <c r="X37" s="15">
        <f t="shared" si="16"/>
        <v>1.2672897196261683E-2</v>
      </c>
      <c r="Y37" s="16" t="e">
        <f>VLOOKUP(C37,台股行情!A:D,4,FALSE)</f>
        <v>#N/A</v>
      </c>
      <c r="Z37" s="38" t="e">
        <f>VLOOKUP(C37,台股行情!A:E,5,FALSE)</f>
        <v>#N/A</v>
      </c>
      <c r="AA37" s="90">
        <f t="shared" ca="1" si="17"/>
        <v>3222.5386047530392</v>
      </c>
      <c r="AB37" s="103" t="s">
        <v>209</v>
      </c>
      <c r="AC37" s="103"/>
    </row>
    <row r="38" spans="1:29" outlineLevel="1">
      <c r="A38" s="99">
        <v>44250</v>
      </c>
      <c r="B38" s="11" t="s">
        <v>19</v>
      </c>
      <c r="C38" s="11">
        <v>2344</v>
      </c>
      <c r="D38" s="11" t="s">
        <v>1550</v>
      </c>
      <c r="E38" s="11">
        <v>1000</v>
      </c>
      <c r="F38" s="11">
        <v>30.55</v>
      </c>
      <c r="G38" s="11">
        <f t="shared" si="9"/>
        <v>30550</v>
      </c>
      <c r="H38" s="11">
        <v>43</v>
      </c>
      <c r="I38" s="104">
        <v>44260</v>
      </c>
      <c r="J38" s="16">
        <v>27.75</v>
      </c>
      <c r="K38" s="11">
        <f t="shared" si="10"/>
        <v>27750</v>
      </c>
      <c r="L38" s="17">
        <v>39</v>
      </c>
      <c r="M38" s="11">
        <v>83</v>
      </c>
      <c r="N38" s="11">
        <v>0</v>
      </c>
      <c r="O38" s="13">
        <f t="shared" si="11"/>
        <v>0</v>
      </c>
      <c r="P38" s="14">
        <f t="shared" si="12"/>
        <v>-2975</v>
      </c>
      <c r="Q38" s="14">
        <f t="shared" si="13"/>
        <v>0</v>
      </c>
      <c r="R38" s="14"/>
      <c r="S38" s="14">
        <v>10</v>
      </c>
      <c r="T38" s="14">
        <f t="shared" si="14"/>
        <v>0</v>
      </c>
      <c r="U38" s="69">
        <f t="shared" si="15"/>
        <v>0</v>
      </c>
      <c r="V38" s="69"/>
      <c r="W38" s="70">
        <v>0.11</v>
      </c>
      <c r="X38" s="15">
        <f t="shared" si="16"/>
        <v>-9.7381342062193121E-2</v>
      </c>
      <c r="Y38" s="16">
        <f>VLOOKUP(C38,台股行情!A:D,4,FALSE)</f>
        <v>155</v>
      </c>
      <c r="Z38" s="38">
        <f>VLOOKUP(C38,台股行情!A:E,5,FALSE)</f>
        <v>-10</v>
      </c>
      <c r="AA38" s="90">
        <f t="shared" ca="1" si="17"/>
        <v>836.4363158471142</v>
      </c>
      <c r="AB38" s="103" t="s">
        <v>209</v>
      </c>
      <c r="AC38" s="103"/>
    </row>
    <row r="39" spans="1:29" outlineLevel="1">
      <c r="A39" s="99">
        <v>44251</v>
      </c>
      <c r="B39" s="11" t="s">
        <v>19</v>
      </c>
      <c r="C39" s="11">
        <v>2890</v>
      </c>
      <c r="D39" s="11" t="s">
        <v>852</v>
      </c>
      <c r="E39" s="11">
        <v>1000</v>
      </c>
      <c r="F39" s="11">
        <v>11.8</v>
      </c>
      <c r="G39" s="11">
        <f t="shared" si="9"/>
        <v>11800</v>
      </c>
      <c r="H39" s="11">
        <v>20</v>
      </c>
      <c r="I39" s="104">
        <v>44260</v>
      </c>
      <c r="J39" s="16">
        <v>11.65</v>
      </c>
      <c r="K39" s="11">
        <f t="shared" si="10"/>
        <v>11650</v>
      </c>
      <c r="L39" s="17">
        <v>20</v>
      </c>
      <c r="M39" s="11">
        <v>34</v>
      </c>
      <c r="N39" s="11">
        <v>0</v>
      </c>
      <c r="O39" s="13">
        <f t="shared" si="11"/>
        <v>0</v>
      </c>
      <c r="P39" s="14">
        <f t="shared" si="12"/>
        <v>-234</v>
      </c>
      <c r="Q39" s="14">
        <f t="shared" si="13"/>
        <v>0</v>
      </c>
      <c r="R39" s="14"/>
      <c r="S39" s="14">
        <v>10</v>
      </c>
      <c r="T39" s="14">
        <f t="shared" si="14"/>
        <v>0</v>
      </c>
      <c r="U39" s="69">
        <f t="shared" si="15"/>
        <v>0</v>
      </c>
      <c r="V39" s="69"/>
      <c r="W39" s="70">
        <v>0.11</v>
      </c>
      <c r="X39" s="15">
        <f t="shared" si="16"/>
        <v>-1.9830508474576271E-2</v>
      </c>
      <c r="Y39" s="16">
        <f>VLOOKUP(C39,台股行情!A:D,4,FALSE)</f>
        <v>45.6</v>
      </c>
      <c r="Z39" s="38">
        <f>VLOOKUP(C39,台股行情!A:E,5,FALSE)</f>
        <v>1.55</v>
      </c>
      <c r="AA39" s="90">
        <f t="shared" ca="1" si="17"/>
        <v>290.76771437958604</v>
      </c>
      <c r="AB39" s="103" t="s">
        <v>225</v>
      </c>
      <c r="AC39" s="135" t="s">
        <v>394</v>
      </c>
    </row>
    <row r="40" spans="1:29" outlineLevel="1">
      <c r="A40" s="99">
        <v>44251</v>
      </c>
      <c r="B40" s="11" t="s">
        <v>19</v>
      </c>
      <c r="C40" s="11">
        <v>2891</v>
      </c>
      <c r="D40" s="11" t="s">
        <v>853</v>
      </c>
      <c r="E40" s="11">
        <v>1000</v>
      </c>
      <c r="F40" s="11">
        <v>20.8</v>
      </c>
      <c r="G40" s="11">
        <f t="shared" si="9"/>
        <v>20800</v>
      </c>
      <c r="H40" s="11">
        <v>29</v>
      </c>
      <c r="I40" s="104">
        <v>44260</v>
      </c>
      <c r="J40" s="16">
        <v>20.149999999999999</v>
      </c>
      <c r="K40" s="11">
        <f t="shared" si="10"/>
        <v>20150</v>
      </c>
      <c r="L40" s="17">
        <v>28</v>
      </c>
      <c r="M40" s="11">
        <v>60</v>
      </c>
      <c r="N40" s="11">
        <v>0</v>
      </c>
      <c r="O40" s="13">
        <f t="shared" si="11"/>
        <v>0</v>
      </c>
      <c r="P40" s="14">
        <f t="shared" si="12"/>
        <v>-777</v>
      </c>
      <c r="Q40" s="14">
        <f t="shared" si="13"/>
        <v>0</v>
      </c>
      <c r="R40" s="14"/>
      <c r="S40" s="14">
        <v>10</v>
      </c>
      <c r="T40" s="14">
        <f t="shared" si="14"/>
        <v>0</v>
      </c>
      <c r="U40" s="69">
        <f t="shared" si="15"/>
        <v>0</v>
      </c>
      <c r="V40" s="69"/>
      <c r="W40" s="70">
        <v>0.11</v>
      </c>
      <c r="X40" s="15">
        <f t="shared" si="16"/>
        <v>-3.7355769230769234E-2</v>
      </c>
      <c r="Y40" s="16">
        <f>VLOOKUP(C40,台股行情!A:D,4,FALSE)</f>
        <v>72.900000000000006</v>
      </c>
      <c r="Z40" s="38">
        <f>VLOOKUP(C40,台股行情!A:E,5,FALSE)</f>
        <v>1.5</v>
      </c>
      <c r="AA40" s="90">
        <f t="shared" ca="1" si="17"/>
        <v>512.53969992333805</v>
      </c>
      <c r="AB40" s="103" t="s">
        <v>225</v>
      </c>
      <c r="AC40" s="143" t="s">
        <v>394</v>
      </c>
    </row>
    <row r="41" spans="1:29" outlineLevel="1">
      <c r="A41" s="99">
        <v>44251</v>
      </c>
      <c r="B41" s="11" t="s">
        <v>19</v>
      </c>
      <c r="C41" s="11">
        <v>1301</v>
      </c>
      <c r="D41" s="11" t="s">
        <v>460</v>
      </c>
      <c r="E41" s="11">
        <v>1000</v>
      </c>
      <c r="F41" s="11">
        <v>100</v>
      </c>
      <c r="G41" s="11">
        <f t="shared" si="9"/>
        <v>100000</v>
      </c>
      <c r="H41" s="11">
        <v>142</v>
      </c>
      <c r="I41" s="104">
        <v>44267</v>
      </c>
      <c r="J41" s="16">
        <v>104.5</v>
      </c>
      <c r="K41" s="11">
        <f t="shared" si="10"/>
        <v>104500</v>
      </c>
      <c r="L41" s="17">
        <v>148</v>
      </c>
      <c r="M41" s="11">
        <v>313</v>
      </c>
      <c r="N41" s="11">
        <v>0</v>
      </c>
      <c r="O41" s="13">
        <f t="shared" si="11"/>
        <v>0</v>
      </c>
      <c r="P41" s="14">
        <f t="shared" si="12"/>
        <v>3887</v>
      </c>
      <c r="Q41" s="14">
        <f t="shared" si="13"/>
        <v>0</v>
      </c>
      <c r="R41" s="14"/>
      <c r="S41" s="14">
        <v>10</v>
      </c>
      <c r="T41" s="14">
        <f t="shared" si="14"/>
        <v>0</v>
      </c>
      <c r="U41" s="69">
        <f t="shared" si="15"/>
        <v>0</v>
      </c>
      <c r="V41" s="69"/>
      <c r="W41" s="70">
        <v>0.11</v>
      </c>
      <c r="X41" s="15">
        <f t="shared" si="16"/>
        <v>3.8870000000000002E-2</v>
      </c>
      <c r="Y41" s="16">
        <f>VLOOKUP(C41,台股行情!A:D,4,FALSE)</f>
        <v>81.7</v>
      </c>
      <c r="Z41" s="38">
        <f>VLOOKUP(C41,台股行情!A:E,5,FALSE)</f>
        <v>-7.2</v>
      </c>
      <c r="AA41" s="90">
        <f t="shared" ca="1" si="17"/>
        <v>4380.6811959259667</v>
      </c>
      <c r="AB41" s="103" t="s">
        <v>225</v>
      </c>
      <c r="AC41" s="103" t="s">
        <v>412</v>
      </c>
    </row>
    <row r="42" spans="1:29" outlineLevel="1">
      <c r="A42" s="99">
        <v>44251</v>
      </c>
      <c r="B42" s="11" t="s">
        <v>19</v>
      </c>
      <c r="C42" s="11">
        <v>1305</v>
      </c>
      <c r="D42" s="11" t="s">
        <v>462</v>
      </c>
      <c r="E42" s="11">
        <v>1000</v>
      </c>
      <c r="F42" s="11">
        <v>29.85</v>
      </c>
      <c r="G42" s="11">
        <f t="shared" si="9"/>
        <v>29850</v>
      </c>
      <c r="H42" s="11">
        <v>42</v>
      </c>
      <c r="I42" s="104">
        <v>44267</v>
      </c>
      <c r="J42" s="16">
        <v>33.049999999999997</v>
      </c>
      <c r="K42" s="11">
        <f t="shared" si="10"/>
        <v>33050</v>
      </c>
      <c r="L42" s="17">
        <v>47</v>
      </c>
      <c r="M42" s="11">
        <v>99</v>
      </c>
      <c r="N42" s="11">
        <v>0</v>
      </c>
      <c r="O42" s="13">
        <f t="shared" si="11"/>
        <v>0</v>
      </c>
      <c r="P42" s="14">
        <f t="shared" si="12"/>
        <v>3002</v>
      </c>
      <c r="Q42" s="14">
        <f t="shared" si="13"/>
        <v>0</v>
      </c>
      <c r="R42" s="14"/>
      <c r="S42" s="14">
        <v>10</v>
      </c>
      <c r="T42" s="14">
        <f t="shared" si="14"/>
        <v>0</v>
      </c>
      <c r="U42" s="69">
        <f t="shared" si="15"/>
        <v>0</v>
      </c>
      <c r="V42" s="69"/>
      <c r="W42" s="70">
        <v>0.11</v>
      </c>
      <c r="X42" s="15">
        <f t="shared" si="16"/>
        <v>0.10056951423785594</v>
      </c>
      <c r="Y42" s="16">
        <f>VLOOKUP(C42,台股行情!A:D,4,FALSE)</f>
        <v>13.15</v>
      </c>
      <c r="Z42" s="38">
        <f>VLOOKUP(C42,台股行情!A:E,5,FALSE)</f>
        <v>-0.55000000000000004</v>
      </c>
      <c r="AA42" s="90">
        <f t="shared" ca="1" si="17"/>
        <v>1307.633336983901</v>
      </c>
      <c r="AB42" s="103" t="s">
        <v>225</v>
      </c>
      <c r="AC42" s="103" t="s">
        <v>412</v>
      </c>
    </row>
    <row r="43" spans="1:29" outlineLevel="1">
      <c r="A43" s="99">
        <v>44251</v>
      </c>
      <c r="B43" s="11" t="s">
        <v>19</v>
      </c>
      <c r="C43" s="11">
        <v>1802</v>
      </c>
      <c r="D43" s="11" t="s">
        <v>609</v>
      </c>
      <c r="E43" s="11">
        <v>2000</v>
      </c>
      <c r="F43" s="11">
        <v>19.649999999999999</v>
      </c>
      <c r="G43" s="11">
        <f t="shared" si="9"/>
        <v>39300</v>
      </c>
      <c r="H43" s="11">
        <v>56</v>
      </c>
      <c r="I43" s="104">
        <v>44267</v>
      </c>
      <c r="J43" s="16">
        <v>20.05</v>
      </c>
      <c r="K43" s="11">
        <f t="shared" si="10"/>
        <v>40100</v>
      </c>
      <c r="L43" s="17">
        <v>57</v>
      </c>
      <c r="M43" s="11">
        <v>120</v>
      </c>
      <c r="N43" s="11">
        <v>0</v>
      </c>
      <c r="O43" s="13">
        <f t="shared" si="11"/>
        <v>0</v>
      </c>
      <c r="P43" s="14">
        <f t="shared" si="12"/>
        <v>557</v>
      </c>
      <c r="Q43" s="14">
        <f t="shared" si="13"/>
        <v>0</v>
      </c>
      <c r="R43" s="14"/>
      <c r="S43" s="14">
        <v>10</v>
      </c>
      <c r="T43" s="14">
        <f t="shared" si="14"/>
        <v>0</v>
      </c>
      <c r="U43" s="69">
        <f t="shared" si="15"/>
        <v>0</v>
      </c>
      <c r="V43" s="69"/>
      <c r="W43" s="70">
        <v>0.11</v>
      </c>
      <c r="X43" s="15">
        <f t="shared" si="16"/>
        <v>1.4173027989821884E-2</v>
      </c>
      <c r="Y43" s="16">
        <f>VLOOKUP(C43,台股行情!A:D,4,FALSE)</f>
        <v>62.7</v>
      </c>
      <c r="Z43" s="38">
        <f>VLOOKUP(C43,台股行情!A:E,5,FALSE)</f>
        <v>-4.3</v>
      </c>
      <c r="AA43" s="90">
        <f t="shared" ca="1" si="17"/>
        <v>1721.6077099989047</v>
      </c>
      <c r="AB43" s="103" t="s">
        <v>225</v>
      </c>
      <c r="AC43" s="103" t="s">
        <v>412</v>
      </c>
    </row>
    <row r="44" spans="1:29" outlineLevel="1">
      <c r="A44" s="99">
        <v>44251</v>
      </c>
      <c r="B44" s="11" t="s">
        <v>19</v>
      </c>
      <c r="C44" s="11">
        <v>2002</v>
      </c>
      <c r="D44" s="11" t="s">
        <v>240</v>
      </c>
      <c r="E44" s="11">
        <v>1000</v>
      </c>
      <c r="F44" s="11">
        <v>25.45</v>
      </c>
      <c r="G44" s="11">
        <f t="shared" si="9"/>
        <v>25450</v>
      </c>
      <c r="H44" s="11">
        <v>36</v>
      </c>
      <c r="I44" s="104">
        <v>44267</v>
      </c>
      <c r="J44" s="16">
        <v>25.8</v>
      </c>
      <c r="K44" s="11">
        <f t="shared" si="10"/>
        <v>25800</v>
      </c>
      <c r="L44" s="17">
        <v>36</v>
      </c>
      <c r="M44" s="11">
        <v>77</v>
      </c>
      <c r="N44" s="11">
        <v>0</v>
      </c>
      <c r="O44" s="13">
        <f t="shared" si="11"/>
        <v>0</v>
      </c>
      <c r="P44" s="14">
        <f t="shared" si="12"/>
        <v>191</v>
      </c>
      <c r="Q44" s="14">
        <f t="shared" si="13"/>
        <v>0</v>
      </c>
      <c r="R44" s="14"/>
      <c r="S44" s="14">
        <v>10</v>
      </c>
      <c r="T44" s="14">
        <f t="shared" si="14"/>
        <v>0</v>
      </c>
      <c r="U44" s="69">
        <f t="shared" si="15"/>
        <v>0</v>
      </c>
      <c r="V44" s="69"/>
      <c r="W44" s="70">
        <v>0.11</v>
      </c>
      <c r="X44" s="15">
        <f t="shared" si="16"/>
        <v>7.5049115913555994E-3</v>
      </c>
      <c r="Y44" s="16">
        <f>VLOOKUP(C44,台股行情!A:D,4,FALSE)</f>
        <v>19.25</v>
      </c>
      <c r="Z44" s="38">
        <f>VLOOKUP(C44,台股行情!A:E,5,FALSE)</f>
        <v>-0.25</v>
      </c>
      <c r="AA44" s="90">
        <f t="shared" ca="1" si="17"/>
        <v>1114.8833643631585</v>
      </c>
      <c r="AB44" s="103" t="s">
        <v>225</v>
      </c>
      <c r="AC44" s="103" t="s">
        <v>412</v>
      </c>
    </row>
    <row r="45" spans="1:29" outlineLevel="1">
      <c r="A45" s="99">
        <v>44267</v>
      </c>
      <c r="B45" s="11" t="s">
        <v>19</v>
      </c>
      <c r="C45" s="11">
        <v>2338</v>
      </c>
      <c r="D45" s="11" t="s">
        <v>681</v>
      </c>
      <c r="E45" s="11">
        <v>2000</v>
      </c>
      <c r="F45" s="11">
        <v>51.4</v>
      </c>
      <c r="G45" s="11">
        <f t="shared" si="9"/>
        <v>102800</v>
      </c>
      <c r="H45" s="11">
        <v>73</v>
      </c>
      <c r="I45" s="104">
        <v>44267</v>
      </c>
      <c r="J45" s="16">
        <v>53.7</v>
      </c>
      <c r="K45" s="11">
        <f t="shared" si="10"/>
        <v>107400</v>
      </c>
      <c r="L45" s="17">
        <v>76</v>
      </c>
      <c r="M45" s="11">
        <v>80</v>
      </c>
      <c r="N45" s="11">
        <v>0</v>
      </c>
      <c r="O45" s="13">
        <f t="shared" si="11"/>
        <v>0</v>
      </c>
      <c r="P45" s="14">
        <f t="shared" si="12"/>
        <v>4361</v>
      </c>
      <c r="Q45" s="14">
        <f t="shared" si="13"/>
        <v>0</v>
      </c>
      <c r="R45" s="14"/>
      <c r="S45" s="14">
        <v>10</v>
      </c>
      <c r="T45" s="14">
        <f t="shared" si="14"/>
        <v>0</v>
      </c>
      <c r="U45" s="69">
        <f t="shared" si="15"/>
        <v>0</v>
      </c>
      <c r="V45" s="69"/>
      <c r="W45" s="70">
        <v>0.11</v>
      </c>
      <c r="X45" s="15">
        <f t="shared" si="16"/>
        <v>4.2422178988326849E-2</v>
      </c>
      <c r="Y45" s="16">
        <f>VLOOKUP(C45,台股行情!A:D,4,FALSE)</f>
        <v>44.55</v>
      </c>
      <c r="Z45" s="38">
        <f>VLOOKUP(C45,台股行情!A:E,5,FALSE)</f>
        <v>-1.75</v>
      </c>
      <c r="AA45" s="90">
        <f t="shared" ca="1" si="17"/>
        <v>0</v>
      </c>
      <c r="AB45" s="103" t="s">
        <v>411</v>
      </c>
      <c r="AC45" s="103" t="s">
        <v>413</v>
      </c>
    </row>
    <row r="46" spans="1:29" outlineLevel="1">
      <c r="A46" s="99">
        <v>44267</v>
      </c>
      <c r="B46" s="11" t="s">
        <v>19</v>
      </c>
      <c r="C46" s="11">
        <v>6138</v>
      </c>
      <c r="D46" s="11" t="s">
        <v>1366</v>
      </c>
      <c r="E46" s="11">
        <v>1000</v>
      </c>
      <c r="F46" s="11">
        <v>114.5</v>
      </c>
      <c r="G46" s="11">
        <f t="shared" si="9"/>
        <v>114500</v>
      </c>
      <c r="H46" s="11">
        <v>163</v>
      </c>
      <c r="I46" s="104">
        <v>44267</v>
      </c>
      <c r="J46" s="16">
        <v>115.5</v>
      </c>
      <c r="K46" s="11">
        <f t="shared" si="10"/>
        <v>115500</v>
      </c>
      <c r="L46" s="17">
        <v>164</v>
      </c>
      <c r="M46" s="11">
        <v>173</v>
      </c>
      <c r="N46" s="11">
        <v>0</v>
      </c>
      <c r="O46" s="13">
        <f t="shared" si="11"/>
        <v>0</v>
      </c>
      <c r="P46" s="14">
        <f t="shared" si="12"/>
        <v>490</v>
      </c>
      <c r="Q46" s="14">
        <f t="shared" si="13"/>
        <v>0</v>
      </c>
      <c r="R46" s="14"/>
      <c r="S46" s="14">
        <v>10</v>
      </c>
      <c r="T46" s="14">
        <f t="shared" si="14"/>
        <v>0</v>
      </c>
      <c r="U46" s="69">
        <f t="shared" si="15"/>
        <v>0</v>
      </c>
      <c r="V46" s="69"/>
      <c r="W46" s="70">
        <v>0.11</v>
      </c>
      <c r="X46" s="15">
        <f t="shared" si="16"/>
        <v>4.2794759825327509E-3</v>
      </c>
      <c r="Y46" s="16">
        <f>VLOOKUP(C46,台股行情!A:D,4,FALSE)</f>
        <v>255</v>
      </c>
      <c r="Z46" s="38">
        <f>VLOOKUP(C46,台股行情!A:E,5,FALSE)</f>
        <v>-9.5</v>
      </c>
      <c r="AA46" s="90">
        <f t="shared" ca="1" si="17"/>
        <v>0</v>
      </c>
      <c r="AB46" s="103" t="s">
        <v>411</v>
      </c>
      <c r="AC46" s="103" t="s">
        <v>413</v>
      </c>
    </row>
    <row r="47" spans="1:29" outlineLevel="1">
      <c r="A47" s="99">
        <v>44270</v>
      </c>
      <c r="B47" s="11" t="s">
        <v>19</v>
      </c>
      <c r="C47" s="11">
        <v>4953</v>
      </c>
      <c r="D47" s="11" t="s">
        <v>1213</v>
      </c>
      <c r="E47" s="11">
        <v>1000</v>
      </c>
      <c r="F47" s="11">
        <v>107</v>
      </c>
      <c r="G47" s="11">
        <f t="shared" si="9"/>
        <v>107000</v>
      </c>
      <c r="H47" s="11">
        <v>152</v>
      </c>
      <c r="I47" s="104">
        <v>44270</v>
      </c>
      <c r="J47" s="16">
        <v>108</v>
      </c>
      <c r="K47" s="11">
        <f t="shared" si="10"/>
        <v>108000</v>
      </c>
      <c r="L47" s="17">
        <v>153</v>
      </c>
      <c r="M47" s="11">
        <v>162</v>
      </c>
      <c r="N47" s="11">
        <v>0</v>
      </c>
      <c r="O47" s="13">
        <f t="shared" si="11"/>
        <v>0</v>
      </c>
      <c r="P47" s="14">
        <f t="shared" si="12"/>
        <v>523</v>
      </c>
      <c r="Q47" s="14">
        <f t="shared" si="13"/>
        <v>0</v>
      </c>
      <c r="R47" s="14"/>
      <c r="S47" s="14">
        <v>10</v>
      </c>
      <c r="T47" s="14">
        <f t="shared" si="14"/>
        <v>0</v>
      </c>
      <c r="U47" s="69">
        <f t="shared" si="15"/>
        <v>0</v>
      </c>
      <c r="V47" s="69"/>
      <c r="W47" s="70">
        <v>0.11</v>
      </c>
      <c r="X47" s="15">
        <f t="shared" si="16"/>
        <v>4.8878504672897199E-3</v>
      </c>
      <c r="Y47" s="16">
        <f>VLOOKUP(C47,台股行情!A:D,4,FALSE)</f>
        <v>115.5</v>
      </c>
      <c r="Z47" s="38">
        <f>VLOOKUP(C47,台股行情!A:E,5,FALSE)</f>
        <v>-1.5</v>
      </c>
      <c r="AA47" s="90">
        <f t="shared" ca="1" si="17"/>
        <v>0</v>
      </c>
      <c r="AB47" s="103" t="s">
        <v>219</v>
      </c>
      <c r="AC47" s="103" t="s">
        <v>414</v>
      </c>
    </row>
    <row r="48" spans="1:29" outlineLevel="1">
      <c r="A48" s="99">
        <v>44270</v>
      </c>
      <c r="B48" s="11" t="s">
        <v>19</v>
      </c>
      <c r="C48" s="11">
        <v>2338</v>
      </c>
      <c r="D48" s="11" t="s">
        <v>681</v>
      </c>
      <c r="E48" s="11">
        <v>1000</v>
      </c>
      <c r="F48" s="11">
        <v>53.9</v>
      </c>
      <c r="G48" s="11">
        <f t="shared" si="9"/>
        <v>53900</v>
      </c>
      <c r="H48" s="11">
        <v>76</v>
      </c>
      <c r="I48" s="104">
        <v>44271</v>
      </c>
      <c r="J48" s="16">
        <v>54.9</v>
      </c>
      <c r="K48" s="11">
        <f t="shared" si="10"/>
        <v>54900</v>
      </c>
      <c r="L48" s="17">
        <v>78</v>
      </c>
      <c r="M48" s="11">
        <v>164</v>
      </c>
      <c r="N48" s="11">
        <v>0</v>
      </c>
      <c r="O48" s="13">
        <f t="shared" si="11"/>
        <v>0</v>
      </c>
      <c r="P48" s="14">
        <f t="shared" si="12"/>
        <v>672</v>
      </c>
      <c r="Q48" s="14">
        <f t="shared" si="13"/>
        <v>0</v>
      </c>
      <c r="R48" s="14"/>
      <c r="S48" s="14">
        <v>10</v>
      </c>
      <c r="T48" s="14">
        <f t="shared" si="14"/>
        <v>0</v>
      </c>
      <c r="U48" s="69">
        <f t="shared" si="15"/>
        <v>0</v>
      </c>
      <c r="V48" s="69"/>
      <c r="W48" s="70">
        <v>0.11</v>
      </c>
      <c r="X48" s="15">
        <f t="shared" si="16"/>
        <v>1.2467532467532468E-2</v>
      </c>
      <c r="Y48" s="16">
        <f>VLOOKUP(C48,台股行情!A:D,4,FALSE)</f>
        <v>44.55</v>
      </c>
      <c r="Z48" s="38">
        <f>VLOOKUP(C48,台股行情!A:E,5,FALSE)</f>
        <v>-1.75</v>
      </c>
      <c r="AA48" s="90">
        <f t="shared" ca="1" si="17"/>
        <v>147.57419778775599</v>
      </c>
      <c r="AB48" s="103" t="s">
        <v>411</v>
      </c>
      <c r="AC48" s="103" t="s">
        <v>412</v>
      </c>
    </row>
    <row r="49" spans="1:29" outlineLevel="1">
      <c r="A49" s="99">
        <v>44272</v>
      </c>
      <c r="B49" s="11" t="s">
        <v>19</v>
      </c>
      <c r="C49" s="11">
        <v>3092</v>
      </c>
      <c r="D49" s="11" t="s">
        <v>913</v>
      </c>
      <c r="E49" s="11">
        <v>1000</v>
      </c>
      <c r="F49" s="11">
        <v>78.8</v>
      </c>
      <c r="G49" s="11">
        <f t="shared" si="9"/>
        <v>78800</v>
      </c>
      <c r="H49" s="11">
        <v>112</v>
      </c>
      <c r="I49" s="104">
        <v>44277</v>
      </c>
      <c r="J49" s="16">
        <v>73.900000000000006</v>
      </c>
      <c r="K49" s="11">
        <f t="shared" si="10"/>
        <v>73900</v>
      </c>
      <c r="L49" s="17">
        <v>105</v>
      </c>
      <c r="M49" s="11">
        <v>221</v>
      </c>
      <c r="N49" s="11">
        <v>0</v>
      </c>
      <c r="O49" s="13">
        <f t="shared" si="11"/>
        <v>0</v>
      </c>
      <c r="P49" s="14">
        <f t="shared" si="12"/>
        <v>-5348</v>
      </c>
      <c r="Q49" s="14">
        <f t="shared" si="13"/>
        <v>0</v>
      </c>
      <c r="R49" s="14"/>
      <c r="S49" s="14">
        <v>10</v>
      </c>
      <c r="T49" s="14">
        <f t="shared" si="14"/>
        <v>0</v>
      </c>
      <c r="U49" s="69">
        <f t="shared" si="15"/>
        <v>0</v>
      </c>
      <c r="V49" s="69"/>
      <c r="W49" s="70">
        <v>0.11</v>
      </c>
      <c r="X49" s="15">
        <f t="shared" si="16"/>
        <v>-6.7868020304568524E-2</v>
      </c>
      <c r="Y49" s="16">
        <f>VLOOKUP(C49,台股行情!A:D,4,FALSE)</f>
        <v>22.95</v>
      </c>
      <c r="Z49" s="38">
        <f>VLOOKUP(C49,台股行情!A:E,5,FALSE)</f>
        <v>-0.4</v>
      </c>
      <c r="AA49" s="90">
        <f t="shared" ca="1" si="17"/>
        <v>1078.7427444967693</v>
      </c>
      <c r="AB49" s="103" t="s">
        <v>411</v>
      </c>
      <c r="AC49" s="207" t="s">
        <v>2337</v>
      </c>
    </row>
    <row r="50" spans="1:29" outlineLevel="1">
      <c r="A50" s="99">
        <v>44272</v>
      </c>
      <c r="B50" s="11" t="s">
        <v>19</v>
      </c>
      <c r="C50" s="11">
        <v>5243</v>
      </c>
      <c r="D50" s="11" t="s">
        <v>1248</v>
      </c>
      <c r="E50" s="11">
        <v>1000</v>
      </c>
      <c r="F50" s="11">
        <v>71.2</v>
      </c>
      <c r="G50" s="11">
        <f t="shared" si="9"/>
        <v>71200</v>
      </c>
      <c r="H50" s="11">
        <v>101</v>
      </c>
      <c r="I50" s="104">
        <v>44277</v>
      </c>
      <c r="J50" s="16">
        <v>71.8</v>
      </c>
      <c r="K50" s="11">
        <f t="shared" si="10"/>
        <v>71800</v>
      </c>
      <c r="L50" s="17">
        <v>102</v>
      </c>
      <c r="M50" s="11">
        <v>215</v>
      </c>
      <c r="N50" s="11">
        <v>0</v>
      </c>
      <c r="O50" s="13">
        <f t="shared" si="11"/>
        <v>0</v>
      </c>
      <c r="P50" s="14">
        <f t="shared" si="12"/>
        <v>172</v>
      </c>
      <c r="Q50" s="14">
        <f t="shared" si="13"/>
        <v>0</v>
      </c>
      <c r="R50" s="14"/>
      <c r="S50" s="14">
        <v>10</v>
      </c>
      <c r="T50" s="14">
        <f t="shared" si="14"/>
        <v>0</v>
      </c>
      <c r="U50" s="69">
        <f t="shared" si="15"/>
        <v>0</v>
      </c>
      <c r="V50" s="69"/>
      <c r="W50" s="70">
        <v>0.11</v>
      </c>
      <c r="X50" s="15">
        <f t="shared" si="16"/>
        <v>2.4157303370786515E-3</v>
      </c>
      <c r="Y50" s="16">
        <f>VLOOKUP(C50,台股行情!A:D,4,FALSE)</f>
        <v>92.3</v>
      </c>
      <c r="Z50" s="38">
        <f>VLOOKUP(C50,台股行情!A:E,5,FALSE)</f>
        <v>-5.5</v>
      </c>
      <c r="AA50" s="90">
        <f t="shared" ca="1" si="17"/>
        <v>974.7015660935275</v>
      </c>
      <c r="AB50" s="103" t="s">
        <v>411</v>
      </c>
      <c r="AC50" s="103" t="s">
        <v>412</v>
      </c>
    </row>
    <row r="51" spans="1:29" outlineLevel="1">
      <c r="A51" s="99">
        <v>44272</v>
      </c>
      <c r="B51" s="11" t="s">
        <v>19</v>
      </c>
      <c r="C51" s="11">
        <v>5243</v>
      </c>
      <c r="D51" s="11" t="s">
        <v>1248</v>
      </c>
      <c r="E51" s="11">
        <v>1000</v>
      </c>
      <c r="F51" s="11">
        <v>70.5</v>
      </c>
      <c r="G51" s="11">
        <f t="shared" si="9"/>
        <v>70500</v>
      </c>
      <c r="H51" s="11">
        <v>100</v>
      </c>
      <c r="I51" s="104">
        <v>44278</v>
      </c>
      <c r="J51" s="16">
        <v>79</v>
      </c>
      <c r="K51" s="11">
        <f t="shared" si="10"/>
        <v>79000</v>
      </c>
      <c r="L51" s="17">
        <v>112</v>
      </c>
      <c r="M51" s="11">
        <v>237</v>
      </c>
      <c r="N51" s="11">
        <v>0</v>
      </c>
      <c r="O51" s="13">
        <f t="shared" si="11"/>
        <v>0</v>
      </c>
      <c r="P51" s="14">
        <f t="shared" si="12"/>
        <v>8041</v>
      </c>
      <c r="Q51" s="14">
        <f t="shared" si="13"/>
        <v>0</v>
      </c>
      <c r="R51" s="14"/>
      <c r="S51" s="14">
        <v>10</v>
      </c>
      <c r="T51" s="14">
        <f t="shared" si="14"/>
        <v>0</v>
      </c>
      <c r="U51" s="69">
        <f t="shared" si="15"/>
        <v>0</v>
      </c>
      <c r="V51" s="69"/>
      <c r="W51" s="70">
        <v>0.11</v>
      </c>
      <c r="X51" s="15">
        <f t="shared" si="16"/>
        <v>0.11405673758865248</v>
      </c>
      <c r="Y51" s="16">
        <f>VLOOKUP(C51,台股行情!A:D,4,FALSE)</f>
        <v>92.3</v>
      </c>
      <c r="Z51" s="38">
        <f>VLOOKUP(C51,台股行情!A:E,5,FALSE)</f>
        <v>-5.5</v>
      </c>
      <c r="AA51" s="90">
        <f t="shared" ca="1" si="17"/>
        <v>1158.1425911729273</v>
      </c>
      <c r="AB51" s="103" t="s">
        <v>411</v>
      </c>
      <c r="AC51" s="103" t="s">
        <v>421</v>
      </c>
    </row>
    <row r="52" spans="1:29" outlineLevel="1">
      <c r="A52" s="99">
        <v>44270</v>
      </c>
      <c r="B52" s="11" t="s">
        <v>19</v>
      </c>
      <c r="C52" s="11">
        <v>4953</v>
      </c>
      <c r="D52" s="11" t="s">
        <v>1213</v>
      </c>
      <c r="E52" s="11">
        <v>1000</v>
      </c>
      <c r="F52" s="11">
        <v>107.5</v>
      </c>
      <c r="G52" s="11">
        <f t="shared" si="9"/>
        <v>107500</v>
      </c>
      <c r="H52" s="11">
        <v>153</v>
      </c>
      <c r="I52" s="104">
        <v>44280</v>
      </c>
      <c r="J52" s="16">
        <v>104.5</v>
      </c>
      <c r="K52" s="11">
        <f t="shared" si="10"/>
        <v>104500</v>
      </c>
      <c r="L52" s="17">
        <v>148</v>
      </c>
      <c r="M52" s="11">
        <v>313</v>
      </c>
      <c r="N52" s="11">
        <v>0</v>
      </c>
      <c r="O52" s="13">
        <f t="shared" si="11"/>
        <v>0</v>
      </c>
      <c r="P52" s="14">
        <f t="shared" si="12"/>
        <v>-3624</v>
      </c>
      <c r="Q52" s="14">
        <f t="shared" si="13"/>
        <v>0</v>
      </c>
      <c r="R52" s="14"/>
      <c r="S52" s="14">
        <v>10</v>
      </c>
      <c r="T52" s="14">
        <f t="shared" si="14"/>
        <v>0</v>
      </c>
      <c r="U52" s="69">
        <f t="shared" si="15"/>
        <v>0</v>
      </c>
      <c r="V52" s="69"/>
      <c r="W52" s="70">
        <v>0.11</v>
      </c>
      <c r="X52" s="15">
        <f t="shared" si="16"/>
        <v>-3.3711627906976745E-2</v>
      </c>
      <c r="Y52" s="16">
        <f>VLOOKUP(C52,台股行情!A:D,4,FALSE)</f>
        <v>115.5</v>
      </c>
      <c r="Z52" s="38">
        <f>VLOOKUP(C52,台股行情!A:E,5,FALSE)</f>
        <v>-1.5</v>
      </c>
      <c r="AA52" s="90">
        <f t="shared" ca="1" si="17"/>
        <v>2943.2701785127588</v>
      </c>
      <c r="AB52" s="103" t="s">
        <v>219</v>
      </c>
      <c r="AC52" s="135" t="s">
        <v>423</v>
      </c>
    </row>
    <row r="53" spans="1:29">
      <c r="A53" s="99">
        <v>44270</v>
      </c>
      <c r="B53" s="11" t="s">
        <v>19</v>
      </c>
      <c r="C53" s="11">
        <v>6443</v>
      </c>
      <c r="D53" s="11" t="s">
        <v>1463</v>
      </c>
      <c r="E53" s="11">
        <v>1000</v>
      </c>
      <c r="F53" s="11">
        <v>42.55</v>
      </c>
      <c r="G53" s="11">
        <f t="shared" si="9"/>
        <v>42550</v>
      </c>
      <c r="H53" s="11">
        <v>60</v>
      </c>
      <c r="I53" s="104">
        <v>44287</v>
      </c>
      <c r="J53" s="16">
        <v>45</v>
      </c>
      <c r="K53" s="11">
        <f t="shared" si="10"/>
        <v>45000</v>
      </c>
      <c r="L53" s="17">
        <v>64</v>
      </c>
      <c r="M53" s="11">
        <v>135</v>
      </c>
      <c r="N53" s="11">
        <v>0</v>
      </c>
      <c r="O53" s="13">
        <f t="shared" si="11"/>
        <v>0</v>
      </c>
      <c r="P53" s="14">
        <f t="shared" si="12"/>
        <v>2181</v>
      </c>
      <c r="Q53" s="14">
        <f t="shared" si="13"/>
        <v>0</v>
      </c>
      <c r="R53" s="14"/>
      <c r="S53" s="14">
        <v>10</v>
      </c>
      <c r="T53" s="14">
        <f t="shared" si="14"/>
        <v>0</v>
      </c>
      <c r="U53" s="69">
        <f t="shared" si="15"/>
        <v>0</v>
      </c>
      <c r="V53" s="69"/>
      <c r="W53" s="70">
        <v>0.11</v>
      </c>
      <c r="X53" s="15">
        <f t="shared" si="16"/>
        <v>5.1257344300822565E-2</v>
      </c>
      <c r="Y53" s="16">
        <f>VLOOKUP(C53,台股行情!A:D,4,FALSE)</f>
        <v>25.65</v>
      </c>
      <c r="Z53" s="38">
        <f>VLOOKUP(C53,台股行情!A:E,5,FALSE)</f>
        <v>-1.3</v>
      </c>
      <c r="AA53" s="90">
        <f t="shared" ca="1" si="17"/>
        <v>1980.4785894206548</v>
      </c>
      <c r="AB53" s="103" t="s">
        <v>411</v>
      </c>
      <c r="AC53" s="103" t="s">
        <v>412</v>
      </c>
    </row>
    <row r="54" spans="1:29" outlineLevel="1">
      <c r="A54" s="99">
        <v>44272</v>
      </c>
      <c r="B54" s="11" t="s">
        <v>19</v>
      </c>
      <c r="C54" s="11">
        <v>2328</v>
      </c>
      <c r="D54" s="11" t="s">
        <v>677</v>
      </c>
      <c r="E54" s="11">
        <v>1000</v>
      </c>
      <c r="F54" s="11">
        <v>43.6</v>
      </c>
      <c r="G54" s="11">
        <f t="shared" si="9"/>
        <v>43600</v>
      </c>
      <c r="H54" s="11">
        <v>62</v>
      </c>
      <c r="I54" s="104">
        <v>44287</v>
      </c>
      <c r="J54" s="16">
        <v>44.45</v>
      </c>
      <c r="K54" s="11">
        <f t="shared" si="10"/>
        <v>44450</v>
      </c>
      <c r="L54" s="17">
        <v>63</v>
      </c>
      <c r="M54" s="11">
        <v>135</v>
      </c>
      <c r="N54" s="11">
        <v>0</v>
      </c>
      <c r="O54" s="13">
        <f t="shared" si="11"/>
        <v>0</v>
      </c>
      <c r="P54" s="14">
        <f t="shared" si="12"/>
        <v>580</v>
      </c>
      <c r="Q54" s="14">
        <f t="shared" si="13"/>
        <v>0</v>
      </c>
      <c r="R54" s="14"/>
      <c r="S54" s="14">
        <v>10</v>
      </c>
      <c r="T54" s="14">
        <f t="shared" si="14"/>
        <v>0</v>
      </c>
      <c r="U54" s="69">
        <f t="shared" si="15"/>
        <v>0</v>
      </c>
      <c r="V54" s="69"/>
      <c r="W54" s="70">
        <v>0.11</v>
      </c>
      <c r="X54" s="15">
        <f t="shared" si="16"/>
        <v>1.3302752293577982E-2</v>
      </c>
      <c r="Y54" s="16">
        <f>VLOOKUP(C54,台股行情!A:D,4,FALSE)</f>
        <v>47.85</v>
      </c>
      <c r="Z54" s="38">
        <f>VLOOKUP(C54,台股行情!A:E,5,FALSE)</f>
        <v>-1.7</v>
      </c>
      <c r="AA54" s="90">
        <f t="shared" ca="1" si="17"/>
        <v>1790.6034388347387</v>
      </c>
      <c r="AB54" s="103" t="s">
        <v>411</v>
      </c>
      <c r="AC54" s="103" t="s">
        <v>412</v>
      </c>
    </row>
    <row r="55" spans="1:29" outlineLevel="1">
      <c r="A55" s="99">
        <v>44285</v>
      </c>
      <c r="B55" s="11" t="s">
        <v>19</v>
      </c>
      <c r="C55" s="11">
        <v>3005</v>
      </c>
      <c r="D55" s="11" t="s">
        <v>872</v>
      </c>
      <c r="E55" s="11">
        <v>1000</v>
      </c>
      <c r="F55" s="11">
        <v>64.400000000000006</v>
      </c>
      <c r="G55" s="11">
        <f t="shared" si="9"/>
        <v>64400.000000000007</v>
      </c>
      <c r="H55" s="11">
        <v>91</v>
      </c>
      <c r="I55" s="104">
        <v>44292</v>
      </c>
      <c r="J55" s="16">
        <v>58.4</v>
      </c>
      <c r="K55" s="11">
        <f t="shared" si="10"/>
        <v>58400</v>
      </c>
      <c r="L55" s="17">
        <v>83</v>
      </c>
      <c r="M55" s="11">
        <v>175</v>
      </c>
      <c r="N55" s="11">
        <v>0</v>
      </c>
      <c r="O55" s="13">
        <f t="shared" si="11"/>
        <v>0</v>
      </c>
      <c r="P55" s="14">
        <f t="shared" si="12"/>
        <v>-3166.5700000000074</v>
      </c>
      <c r="Q55" s="14">
        <f t="shared" si="13"/>
        <v>0</v>
      </c>
      <c r="R55" s="14">
        <v>3587</v>
      </c>
      <c r="S55" s="14">
        <v>10</v>
      </c>
      <c r="T55" s="14">
        <f t="shared" si="14"/>
        <v>0</v>
      </c>
      <c r="U55" s="69">
        <f t="shared" si="15"/>
        <v>0</v>
      </c>
      <c r="V55" s="69"/>
      <c r="W55" s="70">
        <v>0.11</v>
      </c>
      <c r="X55" s="15">
        <f t="shared" si="16"/>
        <v>-4.9170341614906944E-2</v>
      </c>
      <c r="Y55" s="16">
        <f>VLOOKUP(C55,台股行情!A:D,4,FALSE)</f>
        <v>121</v>
      </c>
      <c r="Z55" s="38">
        <f>VLOOKUP(C55,台股行情!A:E,5,FALSE)</f>
        <v>0.5</v>
      </c>
      <c r="AA55" s="90">
        <f t="shared" ca="1" si="17"/>
        <v>1234.2569269521412</v>
      </c>
      <c r="AB55" s="103" t="s">
        <v>169</v>
      </c>
      <c r="AC55" s="103"/>
    </row>
    <row r="56" spans="1:29" outlineLevel="1">
      <c r="A56" s="99">
        <v>44280</v>
      </c>
      <c r="B56" s="11" t="s">
        <v>19</v>
      </c>
      <c r="C56" s="11">
        <v>5523</v>
      </c>
      <c r="D56" s="11" t="s">
        <v>1314</v>
      </c>
      <c r="E56" s="11">
        <v>2000</v>
      </c>
      <c r="F56" s="11">
        <v>20.65</v>
      </c>
      <c r="G56" s="11">
        <f t="shared" si="9"/>
        <v>41300</v>
      </c>
      <c r="H56" s="11">
        <v>58</v>
      </c>
      <c r="I56" s="104">
        <v>44292</v>
      </c>
      <c r="J56" s="16">
        <v>22.8</v>
      </c>
      <c r="K56" s="11">
        <f t="shared" si="10"/>
        <v>45600</v>
      </c>
      <c r="L56" s="17">
        <v>64</v>
      </c>
      <c r="M56" s="11">
        <v>136</v>
      </c>
      <c r="N56" s="11">
        <v>0</v>
      </c>
      <c r="O56" s="13">
        <f t="shared" si="11"/>
        <v>0</v>
      </c>
      <c r="P56" s="14">
        <f t="shared" si="12"/>
        <v>4032</v>
      </c>
      <c r="Q56" s="14">
        <f t="shared" si="13"/>
        <v>0</v>
      </c>
      <c r="R56" s="14"/>
      <c r="S56" s="14">
        <v>10</v>
      </c>
      <c r="T56" s="14">
        <f t="shared" si="14"/>
        <v>0</v>
      </c>
      <c r="U56" s="69">
        <f t="shared" si="15"/>
        <v>0</v>
      </c>
      <c r="V56" s="69"/>
      <c r="W56" s="70">
        <v>0.11</v>
      </c>
      <c r="X56" s="15">
        <f t="shared" si="16"/>
        <v>9.7627118644067798E-2</v>
      </c>
      <c r="Y56" s="16" t="str">
        <f>VLOOKUP(C56,台股行情!A:D,4,FALSE)</f>
        <v>--</v>
      </c>
      <c r="Z56" s="38" t="str">
        <f>VLOOKUP(C56,台股行情!A:E,5,FALSE)</f>
        <v>--</v>
      </c>
      <c r="AA56" s="90">
        <f t="shared" ca="1" si="17"/>
        <v>1356.9160004380681</v>
      </c>
      <c r="AB56" s="103" t="s">
        <v>219</v>
      </c>
      <c r="AC56" s="103" t="s">
        <v>424</v>
      </c>
    </row>
    <row r="57" spans="1:29" outlineLevel="1">
      <c r="A57" s="99">
        <v>44272</v>
      </c>
      <c r="B57" s="11" t="s">
        <v>19</v>
      </c>
      <c r="C57" s="11">
        <v>3707</v>
      </c>
      <c r="D57" s="11" t="s">
        <v>262</v>
      </c>
      <c r="E57" s="11">
        <v>1000</v>
      </c>
      <c r="F57" s="11">
        <v>51.3</v>
      </c>
      <c r="G57" s="11">
        <f t="shared" si="9"/>
        <v>51300</v>
      </c>
      <c r="H57" s="11">
        <v>73</v>
      </c>
      <c r="I57" s="104">
        <v>44292</v>
      </c>
      <c r="J57" s="16">
        <v>64.400000000000006</v>
      </c>
      <c r="K57" s="11">
        <f t="shared" si="10"/>
        <v>64400.000000000007</v>
      </c>
      <c r="L57" s="17">
        <v>91</v>
      </c>
      <c r="M57" s="11">
        <v>193</v>
      </c>
      <c r="N57" s="11">
        <v>0</v>
      </c>
      <c r="O57" s="13">
        <f t="shared" si="11"/>
        <v>0</v>
      </c>
      <c r="P57" s="14">
        <f t="shared" si="12"/>
        <v>12733.000000000007</v>
      </c>
      <c r="Q57" s="14">
        <f t="shared" si="13"/>
        <v>0</v>
      </c>
      <c r="R57" s="14"/>
      <c r="S57" s="14">
        <v>10</v>
      </c>
      <c r="T57" s="14">
        <f t="shared" si="14"/>
        <v>0</v>
      </c>
      <c r="U57" s="69">
        <f t="shared" si="15"/>
        <v>0</v>
      </c>
      <c r="V57" s="69"/>
      <c r="W57" s="70">
        <v>0.11</v>
      </c>
      <c r="X57" s="15">
        <f t="shared" si="16"/>
        <v>0.24820662768031204</v>
      </c>
      <c r="Y57" s="16">
        <f>VLOOKUP(C57,台股行情!A:D,4,FALSE)</f>
        <v>77</v>
      </c>
      <c r="Z57" s="38">
        <f>VLOOKUP(C57,台股行情!A:E,5,FALSE)</f>
        <v>-4.7</v>
      </c>
      <c r="AA57" s="90">
        <f t="shared" ca="1" si="17"/>
        <v>2809.1118168875259</v>
      </c>
      <c r="AB57" s="103" t="s">
        <v>411</v>
      </c>
      <c r="AC57" s="103" t="s">
        <v>425</v>
      </c>
    </row>
    <row r="58" spans="1:29" outlineLevel="1">
      <c r="A58" s="99">
        <v>44287</v>
      </c>
      <c r="B58" s="11" t="s">
        <v>19</v>
      </c>
      <c r="C58" s="11">
        <v>1313</v>
      </c>
      <c r="D58" s="11" t="s">
        <v>467</v>
      </c>
      <c r="E58" s="11">
        <v>2000</v>
      </c>
      <c r="F58" s="11">
        <v>20.65</v>
      </c>
      <c r="G58" s="11">
        <f t="shared" si="9"/>
        <v>41300</v>
      </c>
      <c r="H58" s="11">
        <v>58</v>
      </c>
      <c r="I58" s="104">
        <v>44292</v>
      </c>
      <c r="J58" s="16">
        <v>21</v>
      </c>
      <c r="K58" s="11">
        <f t="shared" si="10"/>
        <v>42000</v>
      </c>
      <c r="L58" s="17">
        <v>59</v>
      </c>
      <c r="M58" s="11">
        <v>126</v>
      </c>
      <c r="N58" s="11">
        <v>0</v>
      </c>
      <c r="O58" s="13">
        <f t="shared" si="11"/>
        <v>0</v>
      </c>
      <c r="P58" s="14">
        <f t="shared" si="12"/>
        <v>447</v>
      </c>
      <c r="Q58" s="14">
        <f t="shared" si="13"/>
        <v>0</v>
      </c>
      <c r="R58" s="14"/>
      <c r="S58" s="14">
        <v>10</v>
      </c>
      <c r="T58" s="14">
        <f t="shared" si="14"/>
        <v>0</v>
      </c>
      <c r="U58" s="69">
        <f t="shared" si="15"/>
        <v>0</v>
      </c>
      <c r="V58" s="69"/>
      <c r="W58" s="70">
        <v>0.11</v>
      </c>
      <c r="X58" s="15">
        <f t="shared" si="16"/>
        <v>1.0823244552058112E-2</v>
      </c>
      <c r="Y58" s="16">
        <f>VLOOKUP(C58,台股行情!A:D,4,FALSE)</f>
        <v>12.9</v>
      </c>
      <c r="Z58" s="38">
        <f>VLOOKUP(C58,台股行情!A:E,5,FALSE)</f>
        <v>-0.7</v>
      </c>
      <c r="AA58" s="90">
        <f t="shared" ca="1" si="17"/>
        <v>565.38166684919508</v>
      </c>
      <c r="AB58" s="103" t="s">
        <v>169</v>
      </c>
      <c r="AC58" s="103" t="s">
        <v>426</v>
      </c>
    </row>
    <row r="59" spans="1:29" outlineLevel="1">
      <c r="A59" s="99">
        <v>44284</v>
      </c>
      <c r="B59" s="11" t="s">
        <v>19</v>
      </c>
      <c r="C59" s="11">
        <v>2330</v>
      </c>
      <c r="D59" s="11" t="s">
        <v>1549</v>
      </c>
      <c r="E59" s="11">
        <v>1000</v>
      </c>
      <c r="F59" s="11">
        <v>598</v>
      </c>
      <c r="G59" s="11">
        <f t="shared" si="9"/>
        <v>598000</v>
      </c>
      <c r="H59" s="11">
        <v>852</v>
      </c>
      <c r="I59" s="104">
        <v>44292</v>
      </c>
      <c r="J59" s="16">
        <v>610</v>
      </c>
      <c r="K59" s="11">
        <f t="shared" si="10"/>
        <v>610000</v>
      </c>
      <c r="L59" s="17">
        <v>869</v>
      </c>
      <c r="M59" s="11">
        <v>1830</v>
      </c>
      <c r="N59" s="11">
        <v>0</v>
      </c>
      <c r="O59" s="13">
        <f t="shared" si="11"/>
        <v>0</v>
      </c>
      <c r="P59" s="14">
        <f t="shared" si="12"/>
        <v>8439</v>
      </c>
      <c r="Q59" s="14">
        <f t="shared" si="13"/>
        <v>0</v>
      </c>
      <c r="R59" s="14"/>
      <c r="S59" s="14">
        <v>10</v>
      </c>
      <c r="T59" s="14">
        <f t="shared" si="14"/>
        <v>0</v>
      </c>
      <c r="U59" s="69">
        <f t="shared" si="15"/>
        <v>0</v>
      </c>
      <c r="V59" s="69"/>
      <c r="W59" s="70">
        <v>0.11</v>
      </c>
      <c r="X59" s="15">
        <f t="shared" si="16"/>
        <v>1.4112040133779265E-2</v>
      </c>
      <c r="Y59" s="16">
        <f>VLOOKUP(C59,台股行情!A:D,4,FALSE)</f>
        <v>2440</v>
      </c>
      <c r="Z59" s="38">
        <f>VLOOKUP(C59,台股行情!A:E,5,FALSE)</f>
        <v>-50</v>
      </c>
      <c r="AA59" s="90">
        <f t="shared" ca="1" si="17"/>
        <v>13098.236775818639</v>
      </c>
      <c r="AB59" s="103" t="s">
        <v>209</v>
      </c>
      <c r="AC59" s="103"/>
    </row>
    <row r="60" spans="1:29" outlineLevel="1">
      <c r="A60" s="99">
        <v>44285</v>
      </c>
      <c r="B60" s="11" t="s">
        <v>19</v>
      </c>
      <c r="C60" s="11">
        <v>2063</v>
      </c>
      <c r="D60" s="11" t="s">
        <v>644</v>
      </c>
      <c r="E60" s="11">
        <v>1000</v>
      </c>
      <c r="F60" s="11">
        <v>35.700000000000003</v>
      </c>
      <c r="G60" s="11">
        <f t="shared" si="9"/>
        <v>35700</v>
      </c>
      <c r="H60" s="11">
        <v>50</v>
      </c>
      <c r="I60" s="104">
        <v>44292</v>
      </c>
      <c r="J60" s="16">
        <v>34.25</v>
      </c>
      <c r="K60" s="11">
        <f t="shared" si="10"/>
        <v>34250</v>
      </c>
      <c r="L60" s="17">
        <v>48</v>
      </c>
      <c r="M60" s="11">
        <v>102</v>
      </c>
      <c r="N60" s="11">
        <v>0</v>
      </c>
      <c r="O60" s="13">
        <f t="shared" si="11"/>
        <v>0</v>
      </c>
      <c r="P60" s="14">
        <f t="shared" si="12"/>
        <v>120</v>
      </c>
      <c r="Q60" s="14">
        <f t="shared" si="13"/>
        <v>0</v>
      </c>
      <c r="R60" s="14">
        <v>2000</v>
      </c>
      <c r="S60" s="14">
        <v>10</v>
      </c>
      <c r="T60" s="14">
        <f t="shared" si="14"/>
        <v>0</v>
      </c>
      <c r="U60" s="69">
        <f t="shared" si="15"/>
        <v>0</v>
      </c>
      <c r="V60" s="69"/>
      <c r="W60" s="70">
        <v>0.11</v>
      </c>
      <c r="X60" s="15">
        <f t="shared" si="16"/>
        <v>3.3613445378151263E-3</v>
      </c>
      <c r="Y60" s="16">
        <f>VLOOKUP(C60,台股行情!A:D,4,FALSE)</f>
        <v>23.7</v>
      </c>
      <c r="Z60" s="38">
        <f>VLOOKUP(C60,台股行情!A:E,5,FALSE)</f>
        <v>-0.4</v>
      </c>
      <c r="AA60" s="90">
        <f t="shared" ca="1" si="17"/>
        <v>684.20764428868688</v>
      </c>
      <c r="AB60" s="103" t="s">
        <v>422</v>
      </c>
      <c r="AC60" s="103" t="s">
        <v>427</v>
      </c>
    </row>
    <row r="61" spans="1:29" outlineLevel="1">
      <c r="A61" s="99">
        <v>44294</v>
      </c>
      <c r="B61" s="11" t="s">
        <v>19</v>
      </c>
      <c r="C61" s="11">
        <v>2020</v>
      </c>
      <c r="D61" s="11" t="s">
        <v>629</v>
      </c>
      <c r="E61" s="11">
        <v>2000</v>
      </c>
      <c r="F61" s="11">
        <v>22.8</v>
      </c>
      <c r="G61" s="11">
        <f t="shared" si="9"/>
        <v>45600</v>
      </c>
      <c r="H61" s="11">
        <v>64</v>
      </c>
      <c r="I61" s="104">
        <v>44294</v>
      </c>
      <c r="J61" s="16">
        <v>23.2</v>
      </c>
      <c r="K61" s="11">
        <f t="shared" si="10"/>
        <v>46400</v>
      </c>
      <c r="L61" s="17">
        <v>66</v>
      </c>
      <c r="M61" s="11">
        <v>138</v>
      </c>
      <c r="N61" s="11">
        <v>0</v>
      </c>
      <c r="O61" s="13">
        <f t="shared" si="11"/>
        <v>0</v>
      </c>
      <c r="P61" s="14">
        <f t="shared" si="12"/>
        <v>522</v>
      </c>
      <c r="Q61" s="14">
        <f t="shared" si="13"/>
        <v>0</v>
      </c>
      <c r="R61" s="14"/>
      <c r="S61" s="14">
        <v>10</v>
      </c>
      <c r="T61" s="14">
        <f t="shared" si="14"/>
        <v>0</v>
      </c>
      <c r="U61" s="69">
        <f t="shared" si="15"/>
        <v>0</v>
      </c>
      <c r="V61" s="69"/>
      <c r="W61" s="70">
        <v>0.11</v>
      </c>
      <c r="X61" s="15">
        <f t="shared" si="16"/>
        <v>1.1447368421052631E-2</v>
      </c>
      <c r="Y61" s="16">
        <f>VLOOKUP(C61,台股行情!A:D,4,FALSE)</f>
        <v>24</v>
      </c>
      <c r="Z61" s="38">
        <f>VLOOKUP(C61,台股行情!A:E,5,FALSE)</f>
        <v>-0.3</v>
      </c>
      <c r="AA61" s="90">
        <f t="shared" ca="1" si="17"/>
        <v>0</v>
      </c>
      <c r="AB61" s="103" t="s">
        <v>429</v>
      </c>
      <c r="AC61" s="103" t="s">
        <v>413</v>
      </c>
    </row>
    <row r="62" spans="1:29" outlineLevel="1">
      <c r="A62" s="99">
        <v>44293</v>
      </c>
      <c r="B62" s="11" t="s">
        <v>19</v>
      </c>
      <c r="C62" s="11">
        <v>2376</v>
      </c>
      <c r="D62" s="11" t="s">
        <v>702</v>
      </c>
      <c r="E62" s="11">
        <v>1000</v>
      </c>
      <c r="F62" s="11">
        <v>100.5</v>
      </c>
      <c r="G62" s="11">
        <f t="shared" si="9"/>
        <v>100500</v>
      </c>
      <c r="H62" s="11">
        <v>143</v>
      </c>
      <c r="I62" s="104">
        <v>44299</v>
      </c>
      <c r="J62" s="16">
        <v>104.5</v>
      </c>
      <c r="K62" s="11">
        <f t="shared" si="10"/>
        <v>104500</v>
      </c>
      <c r="L62" s="17">
        <v>148</v>
      </c>
      <c r="M62" s="11">
        <v>313</v>
      </c>
      <c r="N62" s="11">
        <v>0</v>
      </c>
      <c r="O62" s="13">
        <f t="shared" si="11"/>
        <v>0</v>
      </c>
      <c r="P62" s="14">
        <f t="shared" si="12"/>
        <v>3386</v>
      </c>
      <c r="Q62" s="14">
        <f t="shared" si="13"/>
        <v>0</v>
      </c>
      <c r="R62" s="14"/>
      <c r="S62" s="14">
        <v>10</v>
      </c>
      <c r="T62" s="14">
        <f t="shared" si="14"/>
        <v>0</v>
      </c>
      <c r="U62" s="69">
        <f t="shared" si="15"/>
        <v>0</v>
      </c>
      <c r="V62" s="69"/>
      <c r="W62" s="70">
        <v>0.11</v>
      </c>
      <c r="X62" s="15">
        <f t="shared" si="16"/>
        <v>3.3691542288557211E-2</v>
      </c>
      <c r="Y62" s="16">
        <f>VLOOKUP(C62,台股行情!A:D,4,FALSE)</f>
        <v>347</v>
      </c>
      <c r="Z62" s="38">
        <f>VLOOKUP(C62,台股行情!A:E,5,FALSE)</f>
        <v>-9</v>
      </c>
      <c r="AA62" s="90">
        <f t="shared" ca="1" si="17"/>
        <v>1650.9692257145987</v>
      </c>
      <c r="AB62" s="103" t="s">
        <v>428</v>
      </c>
      <c r="AC62" s="103" t="s">
        <v>412</v>
      </c>
    </row>
    <row r="63" spans="1:29" outlineLevel="1">
      <c r="A63" s="99">
        <v>44293</v>
      </c>
      <c r="B63" s="11" t="s">
        <v>19</v>
      </c>
      <c r="C63" s="11">
        <v>3596</v>
      </c>
      <c r="D63" s="11" t="s">
        <v>1566</v>
      </c>
      <c r="E63" s="11">
        <v>1000</v>
      </c>
      <c r="F63" s="11">
        <v>118.5</v>
      </c>
      <c r="G63" s="11">
        <f t="shared" si="9"/>
        <v>118500</v>
      </c>
      <c r="H63" s="11">
        <v>168</v>
      </c>
      <c r="I63" s="104">
        <v>44299</v>
      </c>
      <c r="J63" s="16">
        <v>126</v>
      </c>
      <c r="K63" s="11">
        <f t="shared" si="10"/>
        <v>126000</v>
      </c>
      <c r="L63" s="17">
        <v>179</v>
      </c>
      <c r="M63" s="11">
        <v>378</v>
      </c>
      <c r="N63" s="11">
        <v>0</v>
      </c>
      <c r="O63" s="13">
        <f t="shared" si="11"/>
        <v>0</v>
      </c>
      <c r="P63" s="14">
        <f t="shared" si="12"/>
        <v>6765</v>
      </c>
      <c r="Q63" s="14">
        <f t="shared" si="13"/>
        <v>0</v>
      </c>
      <c r="R63" s="14"/>
      <c r="S63" s="14">
        <v>10</v>
      </c>
      <c r="T63" s="14">
        <f t="shared" si="14"/>
        <v>0</v>
      </c>
      <c r="U63" s="69">
        <f t="shared" si="15"/>
        <v>0</v>
      </c>
      <c r="V63" s="69"/>
      <c r="W63" s="70">
        <v>0.11</v>
      </c>
      <c r="X63" s="15">
        <f t="shared" si="16"/>
        <v>5.7088607594936711E-2</v>
      </c>
      <c r="Y63" s="16">
        <f>VLOOKUP(C63,台股行情!A:D,4,FALSE)</f>
        <v>158.5</v>
      </c>
      <c r="Z63" s="38">
        <f>VLOOKUP(C63,台股行情!A:E,5,FALSE)</f>
        <v>-2</v>
      </c>
      <c r="AA63" s="90">
        <f t="shared" ca="1" si="17"/>
        <v>1946.6652064396012</v>
      </c>
      <c r="AB63" s="103" t="s">
        <v>169</v>
      </c>
      <c r="AC63" s="103" t="s">
        <v>430</v>
      </c>
    </row>
    <row r="64" spans="1:29" outlineLevel="1">
      <c r="A64" s="99">
        <v>44292</v>
      </c>
      <c r="B64" s="11" t="s">
        <v>19</v>
      </c>
      <c r="C64" s="11">
        <v>2881</v>
      </c>
      <c r="D64" s="11" t="s">
        <v>1557</v>
      </c>
      <c r="E64" s="11">
        <v>1000</v>
      </c>
      <c r="F64" s="11">
        <v>57.6</v>
      </c>
      <c r="G64" s="11">
        <f t="shared" si="9"/>
        <v>57600</v>
      </c>
      <c r="H64" s="11">
        <v>82</v>
      </c>
      <c r="I64" s="104">
        <v>44308</v>
      </c>
      <c r="J64" s="16">
        <v>61.5</v>
      </c>
      <c r="K64" s="11">
        <f t="shared" si="10"/>
        <v>61500</v>
      </c>
      <c r="L64" s="17">
        <v>87</v>
      </c>
      <c r="M64" s="11">
        <v>184</v>
      </c>
      <c r="N64" s="11">
        <v>0</v>
      </c>
      <c r="O64" s="13">
        <f t="shared" si="11"/>
        <v>0</v>
      </c>
      <c r="P64" s="14">
        <f t="shared" si="12"/>
        <v>3537</v>
      </c>
      <c r="Q64" s="14">
        <f t="shared" si="13"/>
        <v>0</v>
      </c>
      <c r="R64" s="14"/>
      <c r="S64" s="14">
        <v>10</v>
      </c>
      <c r="T64" s="14">
        <f t="shared" si="14"/>
        <v>0</v>
      </c>
      <c r="U64" s="69">
        <f t="shared" si="15"/>
        <v>0</v>
      </c>
      <c r="V64" s="69"/>
      <c r="W64" s="70">
        <v>0.11</v>
      </c>
      <c r="X64" s="15">
        <f t="shared" si="16"/>
        <v>6.1406250000000002E-2</v>
      </c>
      <c r="Y64" s="16">
        <f>VLOOKUP(C64,台股行情!A:D,4,FALSE)</f>
        <v>159.5</v>
      </c>
      <c r="Z64" s="38">
        <f>VLOOKUP(C64,台股行情!A:E,5,FALSE)</f>
        <v>-1</v>
      </c>
      <c r="AA64" s="90">
        <f t="shared" ca="1" si="17"/>
        <v>2523.2723688533565</v>
      </c>
      <c r="AB64" s="103" t="s">
        <v>209</v>
      </c>
      <c r="AC64" s="103"/>
    </row>
    <row r="65" spans="1:29" outlineLevel="1">
      <c r="A65" s="99">
        <v>44299</v>
      </c>
      <c r="B65" s="11" t="s">
        <v>19</v>
      </c>
      <c r="C65" s="11">
        <v>1440</v>
      </c>
      <c r="D65" s="11" t="s">
        <v>1541</v>
      </c>
      <c r="E65" s="11">
        <v>1000</v>
      </c>
      <c r="F65" s="11">
        <v>24.65</v>
      </c>
      <c r="G65" s="11">
        <f t="shared" si="9"/>
        <v>24650</v>
      </c>
      <c r="H65" s="11">
        <v>35</v>
      </c>
      <c r="I65" s="104">
        <v>44308</v>
      </c>
      <c r="J65" s="16">
        <v>27.7</v>
      </c>
      <c r="K65" s="11">
        <f t="shared" si="10"/>
        <v>27700</v>
      </c>
      <c r="L65" s="17">
        <v>39</v>
      </c>
      <c r="M65" s="11">
        <v>83</v>
      </c>
      <c r="N65" s="11">
        <v>0</v>
      </c>
      <c r="O65" s="13">
        <f t="shared" si="11"/>
        <v>0</v>
      </c>
      <c r="P65" s="14">
        <f t="shared" si="12"/>
        <v>2883</v>
      </c>
      <c r="Q65" s="14">
        <f t="shared" si="13"/>
        <v>0</v>
      </c>
      <c r="R65" s="14"/>
      <c r="S65" s="14">
        <v>10</v>
      </c>
      <c r="T65" s="14">
        <f t="shared" si="14"/>
        <v>0</v>
      </c>
      <c r="U65" s="69">
        <f t="shared" si="15"/>
        <v>0</v>
      </c>
      <c r="V65" s="69"/>
      <c r="W65" s="70">
        <v>0.11</v>
      </c>
      <c r="X65" s="15">
        <f t="shared" si="16"/>
        <v>0.11695740365111562</v>
      </c>
      <c r="Y65" s="16">
        <f>VLOOKUP(C65,台股行情!A:D,4,FALSE)</f>
        <v>14.1</v>
      </c>
      <c r="Z65" s="38">
        <f>VLOOKUP(C65,台股行情!A:E,5,FALSE)</f>
        <v>-0.4</v>
      </c>
      <c r="AA65" s="90">
        <f t="shared" ca="1" si="17"/>
        <v>607.40882707260982</v>
      </c>
      <c r="AB65" s="103" t="s">
        <v>219</v>
      </c>
      <c r="AC65" s="103"/>
    </row>
    <row r="66" spans="1:29" outlineLevel="1">
      <c r="A66" s="99">
        <v>44300</v>
      </c>
      <c r="B66" s="11" t="s">
        <v>19</v>
      </c>
      <c r="C66" s="11">
        <v>3042</v>
      </c>
      <c r="D66" s="11" t="s">
        <v>1562</v>
      </c>
      <c r="E66" s="11">
        <v>1000</v>
      </c>
      <c r="F66" s="11">
        <v>109</v>
      </c>
      <c r="G66" s="11">
        <f t="shared" ref="G66:G96" si="18">E66*F66</f>
        <v>109000</v>
      </c>
      <c r="H66" s="11">
        <v>155</v>
      </c>
      <c r="I66" s="104">
        <v>44308</v>
      </c>
      <c r="J66" s="16">
        <v>115.6</v>
      </c>
      <c r="K66" s="11">
        <f t="shared" ref="K66:K96" si="19">E66*J66</f>
        <v>115600</v>
      </c>
      <c r="L66" s="17">
        <v>163</v>
      </c>
      <c r="M66" s="11">
        <v>345</v>
      </c>
      <c r="N66" s="11">
        <v>0</v>
      </c>
      <c r="O66" s="13">
        <f t="shared" ref="O66:O96" si="20">IF(I66="",E66*Y66,0)</f>
        <v>0</v>
      </c>
      <c r="P66" s="14">
        <f t="shared" ref="P66:P96" si="21">IF(I66="",R66-H66,(K66-H66-SUM(L66:N66)+R66-S66-T66)-G66)+(ROUND(R66*V66,0)-ROUND(R66*(1+V66),0)*W66)</f>
        <v>5927</v>
      </c>
      <c r="Q66" s="14">
        <f t="shared" ref="Q66:Q96" si="22">IF(I66="",(O66-G66-(O66*0.1425%*0.65)-(O66*0.3%)-S66-T66),0)</f>
        <v>0</v>
      </c>
      <c r="R66" s="14"/>
      <c r="S66" s="14">
        <v>10</v>
      </c>
      <c r="T66" s="14">
        <f t="shared" ref="T66:T96" si="23">IF(ROUND(R66*(1+V66),0)&gt;20000,ROUND(ROUND(R66*(1+V66),0)*2%,0),0)</f>
        <v>0</v>
      </c>
      <c r="U66" s="69">
        <f t="shared" ref="U66:U96" si="24">(V66*50%)/(1+50%*V66)</f>
        <v>0</v>
      </c>
      <c r="V66" s="69"/>
      <c r="W66" s="70">
        <v>0.11</v>
      </c>
      <c r="X66" s="15">
        <f t="shared" ref="X66:X96" si="25">(P66+Q66)/G66</f>
        <v>5.4376146788990824E-2</v>
      </c>
      <c r="Y66" s="16">
        <f>VLOOKUP(C66,台股行情!A:D,4,FALSE)</f>
        <v>189.5</v>
      </c>
      <c r="Z66" s="38">
        <f>VLOOKUP(C66,台股行情!A:E,5,FALSE)</f>
        <v>-15.5</v>
      </c>
      <c r="AA66" s="90">
        <f t="shared" ref="AA66:AA96" ca="1" si="26">IF(I66="",((TODAY()-A66)*G66)/365.24,((I66-A66)*G66)/365.24)</f>
        <v>2387.4712517796515</v>
      </c>
      <c r="AB66" s="103" t="s">
        <v>431</v>
      </c>
      <c r="AC66" s="103"/>
    </row>
    <row r="67" spans="1:29" outlineLevel="1">
      <c r="A67" s="99">
        <v>44300</v>
      </c>
      <c r="B67" s="11" t="s">
        <v>19</v>
      </c>
      <c r="C67" s="11">
        <v>3596</v>
      </c>
      <c r="D67" s="11" t="s">
        <v>1566</v>
      </c>
      <c r="E67" s="11">
        <v>1000</v>
      </c>
      <c r="F67" s="11">
        <v>115.5</v>
      </c>
      <c r="G67" s="11">
        <f t="shared" si="18"/>
        <v>115500</v>
      </c>
      <c r="H67" s="11">
        <v>164</v>
      </c>
      <c r="I67" s="104">
        <v>44308</v>
      </c>
      <c r="J67" s="16">
        <v>114</v>
      </c>
      <c r="K67" s="11">
        <f t="shared" si="19"/>
        <v>114000</v>
      </c>
      <c r="L67" s="17">
        <v>162</v>
      </c>
      <c r="M67" s="11">
        <v>342</v>
      </c>
      <c r="N67" s="11">
        <v>0</v>
      </c>
      <c r="O67" s="13">
        <f t="shared" si="20"/>
        <v>0</v>
      </c>
      <c r="P67" s="14">
        <f t="shared" si="21"/>
        <v>-2178</v>
      </c>
      <c r="Q67" s="14">
        <f t="shared" si="22"/>
        <v>0</v>
      </c>
      <c r="R67" s="14"/>
      <c r="S67" s="14">
        <v>10</v>
      </c>
      <c r="T67" s="14">
        <f t="shared" si="23"/>
        <v>0</v>
      </c>
      <c r="U67" s="69">
        <f t="shared" si="24"/>
        <v>0</v>
      </c>
      <c r="V67" s="69"/>
      <c r="W67" s="70">
        <v>0.11</v>
      </c>
      <c r="X67" s="15">
        <f t="shared" si="25"/>
        <v>-1.8857142857142857E-2</v>
      </c>
      <c r="Y67" s="16">
        <f>VLOOKUP(C67,台股行情!A:D,4,FALSE)</f>
        <v>158.5</v>
      </c>
      <c r="Z67" s="38">
        <f>VLOOKUP(C67,台股行情!A:E,5,FALSE)</f>
        <v>-2</v>
      </c>
      <c r="AA67" s="90">
        <f t="shared" ca="1" si="26"/>
        <v>2529.8433906472455</v>
      </c>
      <c r="AB67" s="103" t="s">
        <v>169</v>
      </c>
      <c r="AC67" s="103"/>
    </row>
    <row r="68" spans="1:29" outlineLevel="1">
      <c r="A68" s="99">
        <v>44302</v>
      </c>
      <c r="B68" s="11" t="s">
        <v>19</v>
      </c>
      <c r="C68" s="11">
        <v>2103</v>
      </c>
      <c r="D68" s="11" t="s">
        <v>1545</v>
      </c>
      <c r="E68" s="11">
        <v>1000</v>
      </c>
      <c r="F68" s="11">
        <v>30.75</v>
      </c>
      <c r="G68" s="11">
        <f t="shared" si="18"/>
        <v>30750</v>
      </c>
      <c r="H68" s="11">
        <v>43</v>
      </c>
      <c r="I68" s="104">
        <v>44308</v>
      </c>
      <c r="J68" s="16">
        <v>32.9</v>
      </c>
      <c r="K68" s="11">
        <f t="shared" si="19"/>
        <v>32900</v>
      </c>
      <c r="L68" s="17">
        <v>46</v>
      </c>
      <c r="M68" s="11">
        <v>98</v>
      </c>
      <c r="N68" s="11">
        <v>0</v>
      </c>
      <c r="O68" s="13">
        <f t="shared" si="20"/>
        <v>0</v>
      </c>
      <c r="P68" s="14">
        <f t="shared" si="21"/>
        <v>1953</v>
      </c>
      <c r="Q68" s="14">
        <f t="shared" si="22"/>
        <v>0</v>
      </c>
      <c r="R68" s="14"/>
      <c r="S68" s="14">
        <v>10</v>
      </c>
      <c r="T68" s="14">
        <f t="shared" si="23"/>
        <v>0</v>
      </c>
      <c r="U68" s="69">
        <f t="shared" si="24"/>
        <v>0</v>
      </c>
      <c r="V68" s="69"/>
      <c r="W68" s="70">
        <v>0.11</v>
      </c>
      <c r="X68" s="15">
        <f t="shared" si="25"/>
        <v>6.351219512195122E-2</v>
      </c>
      <c r="Y68" s="16">
        <f>VLOOKUP(C68,台股行情!A:D,4,FALSE)</f>
        <v>28.6</v>
      </c>
      <c r="Z68" s="38">
        <f>VLOOKUP(C68,台股行情!A:E,5,FALSE)</f>
        <v>-1.35</v>
      </c>
      <c r="AA68" s="90">
        <f t="shared" ca="1" si="26"/>
        <v>505.147300405213</v>
      </c>
      <c r="AB68" s="103" t="s">
        <v>219</v>
      </c>
      <c r="AC68" s="103"/>
    </row>
    <row r="69" spans="1:29" outlineLevel="1">
      <c r="A69" s="99">
        <v>44306</v>
      </c>
      <c r="B69" s="11" t="s">
        <v>19</v>
      </c>
      <c r="C69" s="11">
        <v>2009</v>
      </c>
      <c r="D69" s="11" t="s">
        <v>1543</v>
      </c>
      <c r="E69" s="11">
        <v>1000</v>
      </c>
      <c r="F69" s="11">
        <v>46.25</v>
      </c>
      <c r="G69" s="11">
        <f t="shared" si="18"/>
        <v>46250</v>
      </c>
      <c r="H69" s="11">
        <v>65</v>
      </c>
      <c r="I69" s="104">
        <v>44308</v>
      </c>
      <c r="J69" s="16">
        <v>48.75</v>
      </c>
      <c r="K69" s="11">
        <f t="shared" si="19"/>
        <v>48750</v>
      </c>
      <c r="L69" s="17">
        <v>69</v>
      </c>
      <c r="M69" s="11">
        <v>146</v>
      </c>
      <c r="N69" s="11">
        <v>0</v>
      </c>
      <c r="O69" s="13">
        <f t="shared" si="20"/>
        <v>0</v>
      </c>
      <c r="P69" s="14">
        <f t="shared" si="21"/>
        <v>2210</v>
      </c>
      <c r="Q69" s="14">
        <f t="shared" si="22"/>
        <v>0</v>
      </c>
      <c r="R69" s="14"/>
      <c r="S69" s="14">
        <v>10</v>
      </c>
      <c r="T69" s="14">
        <f t="shared" si="23"/>
        <v>0</v>
      </c>
      <c r="U69" s="69">
        <f t="shared" si="24"/>
        <v>0</v>
      </c>
      <c r="V69" s="69"/>
      <c r="W69" s="70">
        <v>0.11</v>
      </c>
      <c r="X69" s="15">
        <f t="shared" si="25"/>
        <v>4.7783783783783784E-2</v>
      </c>
      <c r="Y69" s="16">
        <f>VLOOKUP(C69,台股行情!A:D,4,FALSE)</f>
        <v>39.549999999999997</v>
      </c>
      <c r="Z69" s="38">
        <f>VLOOKUP(C69,台股行情!A:E,5,FALSE)</f>
        <v>-1.35</v>
      </c>
      <c r="AA69" s="90">
        <f t="shared" ca="1" si="26"/>
        <v>253.25813163946992</v>
      </c>
      <c r="AB69" s="103" t="s">
        <v>411</v>
      </c>
      <c r="AC69" s="103"/>
    </row>
    <row r="70" spans="1:29" outlineLevel="1">
      <c r="A70" s="99">
        <v>44307</v>
      </c>
      <c r="B70" s="11" t="s">
        <v>19</v>
      </c>
      <c r="C70" s="11">
        <v>5483</v>
      </c>
      <c r="D70" s="11" t="s">
        <v>1574</v>
      </c>
      <c r="E70" s="11">
        <v>1000</v>
      </c>
      <c r="F70" s="11">
        <v>192</v>
      </c>
      <c r="G70" s="11">
        <f t="shared" si="18"/>
        <v>192000</v>
      </c>
      <c r="H70" s="11">
        <v>273</v>
      </c>
      <c r="I70" s="104">
        <v>44308</v>
      </c>
      <c r="J70" s="16">
        <v>197</v>
      </c>
      <c r="K70" s="11">
        <f t="shared" si="19"/>
        <v>197000</v>
      </c>
      <c r="L70" s="17">
        <v>280</v>
      </c>
      <c r="M70" s="11">
        <v>591</v>
      </c>
      <c r="N70" s="11">
        <v>0</v>
      </c>
      <c r="O70" s="13">
        <f t="shared" si="20"/>
        <v>0</v>
      </c>
      <c r="P70" s="14">
        <f t="shared" si="21"/>
        <v>3846</v>
      </c>
      <c r="Q70" s="14">
        <f t="shared" si="22"/>
        <v>0</v>
      </c>
      <c r="R70" s="14"/>
      <c r="S70" s="14">
        <v>10</v>
      </c>
      <c r="T70" s="14">
        <f t="shared" si="23"/>
        <v>0</v>
      </c>
      <c r="U70" s="69">
        <f t="shared" si="24"/>
        <v>0</v>
      </c>
      <c r="V70" s="69"/>
      <c r="W70" s="70">
        <v>0.11</v>
      </c>
      <c r="X70" s="15">
        <f t="shared" si="25"/>
        <v>2.003125E-2</v>
      </c>
      <c r="Y70" s="16">
        <f>VLOOKUP(C70,台股行情!A:D,4,FALSE)</f>
        <v>195.5</v>
      </c>
      <c r="Z70" s="38">
        <f>VLOOKUP(C70,台股行情!A:E,5,FALSE)</f>
        <v>-13</v>
      </c>
      <c r="AA70" s="90">
        <f t="shared" ca="1" si="26"/>
        <v>525.681743511116</v>
      </c>
      <c r="AB70" s="103" t="s">
        <v>411</v>
      </c>
      <c r="AC70" s="103"/>
    </row>
    <row r="71" spans="1:29" outlineLevel="1">
      <c r="A71" s="99">
        <v>44299</v>
      </c>
      <c r="B71" s="11" t="s">
        <v>19</v>
      </c>
      <c r="C71" s="11">
        <v>1304</v>
      </c>
      <c r="D71" s="11" t="s">
        <v>242</v>
      </c>
      <c r="E71" s="11">
        <v>1000</v>
      </c>
      <c r="F71" s="11">
        <v>29.4</v>
      </c>
      <c r="G71" s="11">
        <f t="shared" si="18"/>
        <v>29400</v>
      </c>
      <c r="H71" s="11">
        <v>42</v>
      </c>
      <c r="I71" s="104">
        <v>44312</v>
      </c>
      <c r="J71" s="16">
        <v>37</v>
      </c>
      <c r="K71" s="11">
        <f t="shared" si="19"/>
        <v>37000</v>
      </c>
      <c r="L71" s="17">
        <v>52</v>
      </c>
      <c r="M71" s="11">
        <v>111</v>
      </c>
      <c r="N71" s="11">
        <v>0</v>
      </c>
      <c r="O71" s="13">
        <f t="shared" si="20"/>
        <v>0</v>
      </c>
      <c r="P71" s="14">
        <f t="shared" si="21"/>
        <v>7385</v>
      </c>
      <c r="Q71" s="14">
        <f t="shared" si="22"/>
        <v>0</v>
      </c>
      <c r="R71" s="14"/>
      <c r="S71" s="14">
        <v>10</v>
      </c>
      <c r="T71" s="14">
        <f t="shared" si="23"/>
        <v>0</v>
      </c>
      <c r="U71" s="69">
        <f t="shared" si="24"/>
        <v>0</v>
      </c>
      <c r="V71" s="69"/>
      <c r="W71" s="70">
        <v>0.11</v>
      </c>
      <c r="X71" s="15">
        <f t="shared" si="25"/>
        <v>0.25119047619047619</v>
      </c>
      <c r="Y71" s="16">
        <f>VLOOKUP(C71,台股行情!A:D,4,FALSE)</f>
        <v>13.2</v>
      </c>
      <c r="Z71" s="38">
        <f>VLOOKUP(C71,台股行情!A:E,5,FALSE)</f>
        <v>-0.8</v>
      </c>
      <c r="AA71" s="90">
        <f t="shared" ca="1" si="26"/>
        <v>1046.4352206768151</v>
      </c>
      <c r="AB71" s="103" t="s">
        <v>219</v>
      </c>
      <c r="AC71" s="103"/>
    </row>
    <row r="72" spans="1:29" outlineLevel="1">
      <c r="A72" s="99">
        <v>44306</v>
      </c>
      <c r="B72" s="11" t="s">
        <v>19</v>
      </c>
      <c r="C72" s="11">
        <v>1309</v>
      </c>
      <c r="D72" s="11" t="s">
        <v>1540</v>
      </c>
      <c r="E72" s="11">
        <v>1000</v>
      </c>
      <c r="F72" s="11">
        <v>50.3</v>
      </c>
      <c r="G72" s="11">
        <f t="shared" si="18"/>
        <v>50300</v>
      </c>
      <c r="H72" s="11">
        <v>71</v>
      </c>
      <c r="I72" s="104">
        <v>44313</v>
      </c>
      <c r="J72" s="16">
        <v>47.6</v>
      </c>
      <c r="K72" s="11">
        <f t="shared" si="19"/>
        <v>47600</v>
      </c>
      <c r="L72" s="17">
        <v>67</v>
      </c>
      <c r="M72" s="11">
        <v>142</v>
      </c>
      <c r="N72" s="11">
        <v>0</v>
      </c>
      <c r="O72" s="13">
        <f t="shared" si="20"/>
        <v>0</v>
      </c>
      <c r="P72" s="14">
        <f t="shared" si="21"/>
        <v>-2990</v>
      </c>
      <c r="Q72" s="14">
        <f t="shared" si="22"/>
        <v>0</v>
      </c>
      <c r="R72" s="14"/>
      <c r="S72" s="14">
        <v>10</v>
      </c>
      <c r="T72" s="14">
        <f t="shared" si="23"/>
        <v>0</v>
      </c>
      <c r="U72" s="69">
        <f t="shared" si="24"/>
        <v>0</v>
      </c>
      <c r="V72" s="69"/>
      <c r="W72" s="70">
        <v>0.11</v>
      </c>
      <c r="X72" s="15">
        <f t="shared" si="25"/>
        <v>-5.9443339960238567E-2</v>
      </c>
      <c r="Y72" s="16">
        <f>VLOOKUP(C72,台股行情!A:D,4,FALSE)</f>
        <v>14.35</v>
      </c>
      <c r="Z72" s="38">
        <f>VLOOKUP(C72,台股行情!A:E,5,FALSE)</f>
        <v>-0.8</v>
      </c>
      <c r="AA72" s="90">
        <f t="shared" ca="1" si="26"/>
        <v>964.023655678458</v>
      </c>
      <c r="AB72" s="103" t="s">
        <v>411</v>
      </c>
      <c r="AC72" s="135" t="s">
        <v>1495</v>
      </c>
    </row>
    <row r="73" spans="1:29" outlineLevel="1">
      <c r="A73" s="99">
        <v>44313</v>
      </c>
      <c r="B73" s="11" t="s">
        <v>19</v>
      </c>
      <c r="C73" s="11">
        <v>3030</v>
      </c>
      <c r="D73" s="11" t="s">
        <v>1561</v>
      </c>
      <c r="E73" s="11">
        <v>1000</v>
      </c>
      <c r="F73" s="11">
        <v>68.599999999999994</v>
      </c>
      <c r="G73" s="11">
        <f t="shared" si="18"/>
        <v>68600</v>
      </c>
      <c r="H73" s="11">
        <v>97</v>
      </c>
      <c r="I73" s="104">
        <v>44321</v>
      </c>
      <c r="J73" s="16">
        <v>61.1</v>
      </c>
      <c r="K73" s="11">
        <f t="shared" si="19"/>
        <v>61100</v>
      </c>
      <c r="L73" s="17">
        <v>87</v>
      </c>
      <c r="M73" s="11">
        <v>183</v>
      </c>
      <c r="N73" s="11">
        <v>0</v>
      </c>
      <c r="O73" s="13">
        <f t="shared" si="20"/>
        <v>0</v>
      </c>
      <c r="P73" s="14">
        <f t="shared" si="21"/>
        <v>-7877</v>
      </c>
      <c r="Q73" s="14">
        <f t="shared" si="22"/>
        <v>0</v>
      </c>
      <c r="R73" s="14"/>
      <c r="S73" s="14">
        <v>10</v>
      </c>
      <c r="T73" s="14">
        <f t="shared" si="23"/>
        <v>0</v>
      </c>
      <c r="U73" s="69">
        <f t="shared" si="24"/>
        <v>0</v>
      </c>
      <c r="V73" s="69"/>
      <c r="W73" s="70">
        <v>0.11</v>
      </c>
      <c r="X73" s="15">
        <f t="shared" si="25"/>
        <v>-0.11482507288629738</v>
      </c>
      <c r="Y73" s="16">
        <f>VLOOKUP(C73,台股行情!A:D,4,FALSE)</f>
        <v>285</v>
      </c>
      <c r="Z73" s="38">
        <f>VLOOKUP(C73,台股行情!A:E,5,FALSE)</f>
        <v>-22</v>
      </c>
      <c r="AA73" s="90">
        <f t="shared" ca="1" si="26"/>
        <v>1502.5736502026064</v>
      </c>
      <c r="AB73" s="103" t="s">
        <v>219</v>
      </c>
      <c r="AC73" s="135" t="s">
        <v>1496</v>
      </c>
    </row>
    <row r="74" spans="1:29" outlineLevel="1">
      <c r="A74" s="99">
        <v>44299</v>
      </c>
      <c r="B74" s="11" t="s">
        <v>19</v>
      </c>
      <c r="C74" s="11">
        <v>1304</v>
      </c>
      <c r="D74" s="11" t="s">
        <v>242</v>
      </c>
      <c r="E74" s="205">
        <v>1000</v>
      </c>
      <c r="F74" s="11">
        <v>29.4</v>
      </c>
      <c r="G74" s="11">
        <f t="shared" si="18"/>
        <v>29400</v>
      </c>
      <c r="H74" s="11">
        <v>41</v>
      </c>
      <c r="I74" s="104">
        <v>44323</v>
      </c>
      <c r="J74" s="16">
        <v>36.200000000000003</v>
      </c>
      <c r="K74" s="11">
        <f t="shared" si="19"/>
        <v>36200</v>
      </c>
      <c r="L74" s="17">
        <v>51</v>
      </c>
      <c r="M74" s="11">
        <v>108</v>
      </c>
      <c r="N74" s="11">
        <v>0</v>
      </c>
      <c r="O74" s="13">
        <f t="shared" si="20"/>
        <v>0</v>
      </c>
      <c r="P74" s="14">
        <f t="shared" si="21"/>
        <v>6590</v>
      </c>
      <c r="Q74" s="14">
        <f t="shared" si="22"/>
        <v>0</v>
      </c>
      <c r="R74" s="14"/>
      <c r="S74" s="14">
        <v>10</v>
      </c>
      <c r="T74" s="14">
        <f t="shared" si="23"/>
        <v>0</v>
      </c>
      <c r="U74" s="69">
        <f t="shared" si="24"/>
        <v>0</v>
      </c>
      <c r="V74" s="69"/>
      <c r="W74" s="70">
        <v>0.11</v>
      </c>
      <c r="X74" s="15">
        <f t="shared" si="25"/>
        <v>0.22414965986394558</v>
      </c>
      <c r="Y74" s="16">
        <f>VLOOKUP(C74,台股行情!A:D,4,FALSE)</f>
        <v>13.2</v>
      </c>
      <c r="Z74" s="38">
        <f>VLOOKUP(C74,台股行情!A:E,5,FALSE)</f>
        <v>-0.8</v>
      </c>
      <c r="AA74" s="90">
        <f t="shared" ca="1" si="26"/>
        <v>1931.8804074033512</v>
      </c>
      <c r="AB74" s="103" t="s">
        <v>219</v>
      </c>
      <c r="AC74" s="103" t="s">
        <v>1497</v>
      </c>
    </row>
    <row r="75" spans="1:29" outlineLevel="1">
      <c r="A75" s="99">
        <v>44308</v>
      </c>
      <c r="B75" s="11" t="s">
        <v>19</v>
      </c>
      <c r="C75" s="11">
        <v>2637</v>
      </c>
      <c r="D75" s="11" t="s">
        <v>1554</v>
      </c>
      <c r="E75" s="11">
        <v>1000</v>
      </c>
      <c r="F75" s="11">
        <v>53.9</v>
      </c>
      <c r="G75" s="11">
        <f t="shared" si="18"/>
        <v>53900</v>
      </c>
      <c r="H75" s="11">
        <v>76</v>
      </c>
      <c r="I75" s="104">
        <v>44323</v>
      </c>
      <c r="J75" s="16">
        <v>62.5</v>
      </c>
      <c r="K75" s="11">
        <f t="shared" si="19"/>
        <v>62500</v>
      </c>
      <c r="L75" s="17">
        <v>89</v>
      </c>
      <c r="M75" s="11">
        <v>187</v>
      </c>
      <c r="N75" s="11">
        <v>0</v>
      </c>
      <c r="O75" s="13">
        <f t="shared" si="20"/>
        <v>0</v>
      </c>
      <c r="P75" s="14">
        <f t="shared" si="21"/>
        <v>8238</v>
      </c>
      <c r="Q75" s="14">
        <f t="shared" si="22"/>
        <v>0</v>
      </c>
      <c r="R75" s="14"/>
      <c r="S75" s="14">
        <v>10</v>
      </c>
      <c r="T75" s="14">
        <f t="shared" si="23"/>
        <v>0</v>
      </c>
      <c r="U75" s="69">
        <f t="shared" si="24"/>
        <v>0</v>
      </c>
      <c r="V75" s="69"/>
      <c r="W75" s="70">
        <v>0.11</v>
      </c>
      <c r="X75" s="15">
        <f t="shared" si="25"/>
        <v>0.15283858998144711</v>
      </c>
      <c r="Y75" s="16">
        <f>VLOOKUP(C75,台股行情!A:D,4,FALSE)</f>
        <v>101</v>
      </c>
      <c r="Z75" s="38">
        <f>VLOOKUP(C75,台股行情!A:E,5,FALSE)</f>
        <v>-2.5</v>
      </c>
      <c r="AA75" s="90">
        <f t="shared" ca="1" si="26"/>
        <v>2213.6129668163398</v>
      </c>
      <c r="AB75" s="103" t="s">
        <v>411</v>
      </c>
      <c r="AC75" s="103" t="s">
        <v>1497</v>
      </c>
    </row>
    <row r="76" spans="1:29" outlineLevel="1">
      <c r="A76" s="99">
        <v>44299</v>
      </c>
      <c r="B76" s="11" t="s">
        <v>19</v>
      </c>
      <c r="C76" s="11">
        <v>1440</v>
      </c>
      <c r="D76" s="11" t="s">
        <v>1541</v>
      </c>
      <c r="E76" s="205">
        <v>1000</v>
      </c>
      <c r="F76" s="11">
        <v>24.65</v>
      </c>
      <c r="G76" s="11">
        <f t="shared" si="18"/>
        <v>24650</v>
      </c>
      <c r="H76" s="11">
        <v>35</v>
      </c>
      <c r="I76" s="104">
        <v>44330</v>
      </c>
      <c r="J76" s="16">
        <v>26.65</v>
      </c>
      <c r="K76" s="11">
        <f t="shared" si="19"/>
        <v>26650</v>
      </c>
      <c r="L76" s="17">
        <v>37</v>
      </c>
      <c r="M76" s="11">
        <v>79</v>
      </c>
      <c r="N76" s="11">
        <v>0</v>
      </c>
      <c r="O76" s="13">
        <f t="shared" si="20"/>
        <v>0</v>
      </c>
      <c r="P76" s="14">
        <f t="shared" si="21"/>
        <v>1839</v>
      </c>
      <c r="Q76" s="14">
        <f t="shared" si="22"/>
        <v>0</v>
      </c>
      <c r="R76" s="14"/>
      <c r="S76" s="14">
        <v>10</v>
      </c>
      <c r="T76" s="14">
        <f t="shared" si="23"/>
        <v>0</v>
      </c>
      <c r="U76" s="69">
        <f t="shared" si="24"/>
        <v>0</v>
      </c>
      <c r="V76" s="69"/>
      <c r="W76" s="70">
        <v>0.11</v>
      </c>
      <c r="X76" s="15">
        <f t="shared" si="25"/>
        <v>7.4604462474645028E-2</v>
      </c>
      <c r="Y76" s="16">
        <f>VLOOKUP(C76,台股行情!A:D,4,FALSE)</f>
        <v>14.1</v>
      </c>
      <c r="Z76" s="38">
        <f>VLOOKUP(C76,台股行情!A:E,5,FALSE)</f>
        <v>-0.4</v>
      </c>
      <c r="AA76" s="90">
        <f t="shared" ca="1" si="26"/>
        <v>2092.1859599167669</v>
      </c>
      <c r="AB76" s="103" t="s">
        <v>219</v>
      </c>
      <c r="AC76" s="103" t="s">
        <v>1498</v>
      </c>
    </row>
    <row r="77" spans="1:29">
      <c r="A77" s="99">
        <v>44277</v>
      </c>
      <c r="B77" s="11" t="s">
        <v>19</v>
      </c>
      <c r="C77" s="11">
        <v>4938</v>
      </c>
      <c r="D77" s="11" t="s">
        <v>1569</v>
      </c>
      <c r="E77" s="11">
        <v>1000</v>
      </c>
      <c r="F77" s="11">
        <v>73.900000000000006</v>
      </c>
      <c r="G77" s="11">
        <f t="shared" si="18"/>
        <v>73900</v>
      </c>
      <c r="H77" s="11">
        <v>105</v>
      </c>
      <c r="I77" s="104">
        <v>44390</v>
      </c>
      <c r="J77" s="16">
        <v>68</v>
      </c>
      <c r="K77" s="11">
        <f t="shared" si="19"/>
        <v>68000</v>
      </c>
      <c r="L77" s="17">
        <v>96</v>
      </c>
      <c r="M77" s="11">
        <v>204</v>
      </c>
      <c r="N77" s="11">
        <v>0</v>
      </c>
      <c r="O77" s="13">
        <f t="shared" si="20"/>
        <v>0</v>
      </c>
      <c r="P77" s="14">
        <f t="shared" si="21"/>
        <v>-2320.6799999999998</v>
      </c>
      <c r="Q77" s="14">
        <f t="shared" si="22"/>
        <v>0</v>
      </c>
      <c r="R77" s="14">
        <v>4488</v>
      </c>
      <c r="S77" s="14">
        <v>10</v>
      </c>
      <c r="T77" s="14">
        <f t="shared" si="23"/>
        <v>0</v>
      </c>
      <c r="U77" s="69">
        <f t="shared" si="24"/>
        <v>0</v>
      </c>
      <c r="V77" s="69"/>
      <c r="W77" s="70">
        <v>0.11</v>
      </c>
      <c r="X77" s="15">
        <f t="shared" si="25"/>
        <v>-3.1402976995940461E-2</v>
      </c>
      <c r="Y77" s="16">
        <f>VLOOKUP(C77,台股行情!A:D,4,FALSE)</f>
        <v>98.1</v>
      </c>
      <c r="Z77" s="38">
        <f>VLOOKUP(C77,台股行情!A:E,5,FALSE)</f>
        <v>-1.9</v>
      </c>
      <c r="AA77" s="90">
        <f t="shared" ca="1" si="26"/>
        <v>22863.596539261856</v>
      </c>
      <c r="AB77" s="103" t="s">
        <v>209</v>
      </c>
      <c r="AC77" s="103"/>
    </row>
    <row r="78" spans="1:29" outlineLevel="1">
      <c r="A78" s="99">
        <v>44278</v>
      </c>
      <c r="B78" s="11" t="s">
        <v>19</v>
      </c>
      <c r="C78" s="11">
        <v>3711</v>
      </c>
      <c r="D78" s="11" t="s">
        <v>396</v>
      </c>
      <c r="E78" s="11">
        <v>1000</v>
      </c>
      <c r="F78" s="11">
        <v>109.5</v>
      </c>
      <c r="G78" s="11">
        <f t="shared" si="18"/>
        <v>109500</v>
      </c>
      <c r="H78" s="11">
        <v>156</v>
      </c>
      <c r="I78" s="104">
        <v>44413</v>
      </c>
      <c r="J78" s="16">
        <v>133</v>
      </c>
      <c r="K78" s="11">
        <f t="shared" si="19"/>
        <v>133000</v>
      </c>
      <c r="L78" s="17">
        <v>189</v>
      </c>
      <c r="M78" s="11">
        <v>399</v>
      </c>
      <c r="N78" s="11">
        <v>0</v>
      </c>
      <c r="O78" s="13">
        <f t="shared" si="20"/>
        <v>0</v>
      </c>
      <c r="P78" s="14">
        <f t="shared" si="21"/>
        <v>22746</v>
      </c>
      <c r="Q78" s="14">
        <f t="shared" si="22"/>
        <v>0</v>
      </c>
      <c r="R78" s="14"/>
      <c r="S78" s="14">
        <v>10</v>
      </c>
      <c r="T78" s="14">
        <f t="shared" si="23"/>
        <v>0</v>
      </c>
      <c r="U78" s="69">
        <f t="shared" si="24"/>
        <v>0</v>
      </c>
      <c r="V78" s="69"/>
      <c r="W78" s="70">
        <v>0.11</v>
      </c>
      <c r="X78" s="15">
        <f t="shared" si="25"/>
        <v>0.20772602739726029</v>
      </c>
      <c r="Y78" s="16">
        <f>VLOOKUP(C78,台股行情!A:D,4,FALSE)</f>
        <v>673</v>
      </c>
      <c r="Z78" s="38">
        <f>VLOOKUP(C78,台股行情!A:E,5,FALSE)</f>
        <v>-74</v>
      </c>
      <c r="AA78" s="90">
        <f t="shared" ca="1" si="26"/>
        <v>40473.387361734749</v>
      </c>
      <c r="AB78" s="103" t="s">
        <v>209</v>
      </c>
      <c r="AC78" s="103"/>
    </row>
    <row r="79" spans="1:29" outlineLevel="1">
      <c r="A79" s="99">
        <v>44399</v>
      </c>
      <c r="B79" s="11" t="s">
        <v>19</v>
      </c>
      <c r="C79" s="11">
        <v>2317</v>
      </c>
      <c r="D79" s="11" t="s">
        <v>245</v>
      </c>
      <c r="E79" s="11">
        <v>1000</v>
      </c>
      <c r="F79" s="11">
        <v>111.5</v>
      </c>
      <c r="G79" s="11">
        <f t="shared" si="18"/>
        <v>111500</v>
      </c>
      <c r="H79" s="11">
        <v>158</v>
      </c>
      <c r="I79" s="104">
        <v>44412</v>
      </c>
      <c r="J79" s="16">
        <v>112.5</v>
      </c>
      <c r="K79" s="11">
        <f t="shared" si="19"/>
        <v>112500</v>
      </c>
      <c r="L79" s="17">
        <v>160</v>
      </c>
      <c r="M79" s="11">
        <v>337</v>
      </c>
      <c r="N79" s="11">
        <v>0</v>
      </c>
      <c r="O79" s="13">
        <f t="shared" si="20"/>
        <v>0</v>
      </c>
      <c r="P79" s="14">
        <f t="shared" si="21"/>
        <v>335</v>
      </c>
      <c r="Q79" s="14">
        <f t="shared" si="22"/>
        <v>0</v>
      </c>
      <c r="R79" s="14"/>
      <c r="S79" s="14">
        <v>10</v>
      </c>
      <c r="T79" s="14">
        <f t="shared" si="23"/>
        <v>0</v>
      </c>
      <c r="U79" s="69">
        <f t="shared" si="24"/>
        <v>0</v>
      </c>
      <c r="V79" s="69"/>
      <c r="W79" s="70">
        <v>0.11</v>
      </c>
      <c r="X79" s="15">
        <f t="shared" si="25"/>
        <v>3.0044843049327353E-3</v>
      </c>
      <c r="Y79" s="16">
        <f>VLOOKUP(C79,台股行情!A:D,4,FALSE)</f>
        <v>239.5</v>
      </c>
      <c r="Z79" s="38">
        <f>VLOOKUP(C79,台股行情!A:E,5,FALSE)</f>
        <v>-3.5</v>
      </c>
      <c r="AA79" s="90">
        <f t="shared" ca="1" si="26"/>
        <v>3968.62337093418</v>
      </c>
      <c r="AB79" s="103" t="s">
        <v>169</v>
      </c>
      <c r="AC79" s="103"/>
    </row>
    <row r="80" spans="1:29" outlineLevel="1">
      <c r="A80" s="99">
        <v>44308</v>
      </c>
      <c r="B80" s="11" t="s">
        <v>19</v>
      </c>
      <c r="C80" s="11">
        <v>1905</v>
      </c>
      <c r="D80" s="11" t="s">
        <v>1542</v>
      </c>
      <c r="E80" s="11">
        <v>1000</v>
      </c>
      <c r="F80" s="11">
        <v>26.4</v>
      </c>
      <c r="G80" s="11">
        <f t="shared" si="18"/>
        <v>26400</v>
      </c>
      <c r="H80" s="11">
        <v>37</v>
      </c>
      <c r="I80" s="104">
        <v>44439</v>
      </c>
      <c r="J80" s="16">
        <v>24.35</v>
      </c>
      <c r="K80" s="11">
        <f t="shared" si="19"/>
        <v>24350</v>
      </c>
      <c r="L80" s="17">
        <v>34</v>
      </c>
      <c r="M80" s="11">
        <v>73</v>
      </c>
      <c r="N80" s="11">
        <v>0</v>
      </c>
      <c r="O80" s="13">
        <f t="shared" si="20"/>
        <v>0</v>
      </c>
      <c r="P80" s="14">
        <f t="shared" si="21"/>
        <v>-2204</v>
      </c>
      <c r="Q80" s="14">
        <f t="shared" si="22"/>
        <v>0</v>
      </c>
      <c r="R80" s="14"/>
      <c r="S80" s="14">
        <v>10</v>
      </c>
      <c r="T80" s="14">
        <f t="shared" si="23"/>
        <v>0</v>
      </c>
      <c r="U80" s="69">
        <f t="shared" si="24"/>
        <v>0</v>
      </c>
      <c r="V80" s="69"/>
      <c r="W80" s="70">
        <v>0.11</v>
      </c>
      <c r="X80" s="15">
        <f t="shared" si="25"/>
        <v>-8.3484848484848481E-2</v>
      </c>
      <c r="Y80" s="16">
        <f>VLOOKUP(C80,台股行情!A:D,4,FALSE)</f>
        <v>13.1</v>
      </c>
      <c r="Z80" s="38">
        <f>VLOOKUP(C80,台股行情!A:E,5,FALSE)</f>
        <v>0</v>
      </c>
      <c r="AA80" s="90">
        <f t="shared" ca="1" si="26"/>
        <v>9468.8424049939767</v>
      </c>
      <c r="AB80" s="103" t="s">
        <v>411</v>
      </c>
      <c r="AC80" s="135" t="s">
        <v>1501</v>
      </c>
    </row>
    <row r="81" spans="1:29" outlineLevel="1">
      <c r="A81" s="99">
        <v>44313</v>
      </c>
      <c r="B81" s="11" t="s">
        <v>19</v>
      </c>
      <c r="C81" s="11">
        <v>8440</v>
      </c>
      <c r="D81" s="11" t="s">
        <v>2176</v>
      </c>
      <c r="E81" s="11">
        <v>1000</v>
      </c>
      <c r="F81" s="11">
        <v>22.7</v>
      </c>
      <c r="G81" s="11">
        <f t="shared" si="18"/>
        <v>22700</v>
      </c>
      <c r="H81" s="11">
        <v>32</v>
      </c>
      <c r="I81" s="104">
        <v>44439</v>
      </c>
      <c r="J81" s="16">
        <v>18.8</v>
      </c>
      <c r="K81" s="11">
        <f t="shared" si="19"/>
        <v>18800</v>
      </c>
      <c r="L81" s="17">
        <v>26</v>
      </c>
      <c r="M81" s="11">
        <v>56</v>
      </c>
      <c r="N81" s="11">
        <v>0</v>
      </c>
      <c r="O81" s="13">
        <f t="shared" si="20"/>
        <v>0</v>
      </c>
      <c r="P81" s="14">
        <f t="shared" si="21"/>
        <v>-3490</v>
      </c>
      <c r="Q81" s="14">
        <f t="shared" si="22"/>
        <v>0</v>
      </c>
      <c r="R81" s="14">
        <v>600</v>
      </c>
      <c r="S81" s="14">
        <v>10</v>
      </c>
      <c r="T81" s="14">
        <f t="shared" si="23"/>
        <v>0</v>
      </c>
      <c r="U81" s="69">
        <f t="shared" si="24"/>
        <v>0</v>
      </c>
      <c r="V81" s="69"/>
      <c r="W81" s="70">
        <v>0.11</v>
      </c>
      <c r="X81" s="15">
        <f t="shared" si="25"/>
        <v>-0.1537444933920705</v>
      </c>
      <c r="Y81" s="16">
        <f>VLOOKUP(C81,台股行情!A:D,4,FALSE)</f>
        <v>19.95</v>
      </c>
      <c r="Z81" s="38">
        <f>VLOOKUP(C81,台股行情!A:E,5,FALSE)</f>
        <v>-0.25</v>
      </c>
      <c r="AA81" s="90">
        <f t="shared" ca="1" si="26"/>
        <v>7831.0152228671559</v>
      </c>
      <c r="AB81" s="103" t="s">
        <v>219</v>
      </c>
      <c r="AC81" s="143" t="s">
        <v>1501</v>
      </c>
    </row>
    <row r="82" spans="1:29" outlineLevel="1">
      <c r="A82" s="99">
        <v>44308</v>
      </c>
      <c r="B82" s="11" t="s">
        <v>19</v>
      </c>
      <c r="C82" s="11">
        <v>2409</v>
      </c>
      <c r="D82" s="11" t="s">
        <v>1665</v>
      </c>
      <c r="E82" s="11">
        <v>1000</v>
      </c>
      <c r="F82" s="11">
        <v>30.2</v>
      </c>
      <c r="G82" s="11">
        <f t="shared" si="18"/>
        <v>30200</v>
      </c>
      <c r="H82" s="11">
        <v>43</v>
      </c>
      <c r="I82" s="169">
        <v>44442</v>
      </c>
      <c r="J82" s="16">
        <v>17.350000000000001</v>
      </c>
      <c r="K82" s="11">
        <f t="shared" si="19"/>
        <v>17350</v>
      </c>
      <c r="L82" s="17">
        <v>24</v>
      </c>
      <c r="M82" s="11">
        <v>52</v>
      </c>
      <c r="N82" s="11">
        <v>0</v>
      </c>
      <c r="O82" s="13">
        <f t="shared" si="20"/>
        <v>0</v>
      </c>
      <c r="P82" s="14">
        <f t="shared" si="21"/>
        <v>-12712</v>
      </c>
      <c r="Q82" s="14">
        <f t="shared" si="22"/>
        <v>0</v>
      </c>
      <c r="R82" s="14">
        <v>300</v>
      </c>
      <c r="S82" s="14">
        <v>10</v>
      </c>
      <c r="T82" s="14">
        <f t="shared" si="23"/>
        <v>0</v>
      </c>
      <c r="U82" s="69">
        <f t="shared" si="24"/>
        <v>0</v>
      </c>
      <c r="V82" s="69"/>
      <c r="W82" s="70">
        <v>0.11</v>
      </c>
      <c r="X82" s="15">
        <f t="shared" si="25"/>
        <v>-0.4209271523178808</v>
      </c>
      <c r="Y82" s="16">
        <f>VLOOKUP(C82,台股行情!A:D,4,FALSE)</f>
        <v>34.9</v>
      </c>
      <c r="Z82" s="38">
        <f>VLOOKUP(C82,台股行情!A:E,5,FALSE)</f>
        <v>-1.35</v>
      </c>
      <c r="AA82" s="90">
        <f t="shared" ca="1" si="26"/>
        <v>11079.837914795751</v>
      </c>
      <c r="AB82" s="103" t="s">
        <v>209</v>
      </c>
      <c r="AC82" s="143" t="s">
        <v>1501</v>
      </c>
    </row>
    <row r="83" spans="1:29" outlineLevel="1">
      <c r="A83" s="99">
        <v>44308</v>
      </c>
      <c r="B83" s="11" t="s">
        <v>19</v>
      </c>
      <c r="C83" s="11">
        <v>3481</v>
      </c>
      <c r="D83" s="11" t="s">
        <v>255</v>
      </c>
      <c r="E83" s="11">
        <v>1000</v>
      </c>
      <c r="F83" s="11">
        <v>29.35</v>
      </c>
      <c r="G83" s="11">
        <f t="shared" si="18"/>
        <v>29350</v>
      </c>
      <c r="H83" s="11">
        <v>41</v>
      </c>
      <c r="I83" s="169">
        <v>44442</v>
      </c>
      <c r="J83" s="16">
        <v>16.850000000000001</v>
      </c>
      <c r="K83" s="11">
        <f t="shared" si="19"/>
        <v>16850</v>
      </c>
      <c r="L83" s="17">
        <v>24</v>
      </c>
      <c r="M83" s="11">
        <v>50</v>
      </c>
      <c r="N83" s="11">
        <v>0</v>
      </c>
      <c r="O83" s="13">
        <f t="shared" si="20"/>
        <v>0</v>
      </c>
      <c r="P83" s="14">
        <f t="shared" si="21"/>
        <v>-12270.78</v>
      </c>
      <c r="Q83" s="14">
        <f t="shared" si="22"/>
        <v>0</v>
      </c>
      <c r="R83" s="14">
        <v>398</v>
      </c>
      <c r="S83" s="14">
        <v>10</v>
      </c>
      <c r="T83" s="14">
        <f t="shared" si="23"/>
        <v>0</v>
      </c>
      <c r="U83" s="69">
        <f t="shared" si="24"/>
        <v>0</v>
      </c>
      <c r="V83" s="69"/>
      <c r="W83" s="70">
        <v>0.11</v>
      </c>
      <c r="X83" s="15">
        <f t="shared" si="25"/>
        <v>-0.41808449744463377</v>
      </c>
      <c r="Y83" s="16">
        <f>VLOOKUP(C83,台股行情!A:D,4,FALSE)</f>
        <v>48.3</v>
      </c>
      <c r="Z83" s="38">
        <f>VLOOKUP(C83,台股行情!A:E,5,FALSE)</f>
        <v>-2.6</v>
      </c>
      <c r="AA83" s="90">
        <f t="shared" ca="1" si="26"/>
        <v>10767.988172160771</v>
      </c>
      <c r="AB83" s="103" t="s">
        <v>209</v>
      </c>
      <c r="AC83" s="143" t="s">
        <v>1501</v>
      </c>
    </row>
    <row r="84" spans="1:29" outlineLevel="1">
      <c r="A84" s="99">
        <v>44300</v>
      </c>
      <c r="B84" s="11" t="s">
        <v>19</v>
      </c>
      <c r="C84" s="11">
        <v>2618</v>
      </c>
      <c r="D84" s="11" t="s">
        <v>1553</v>
      </c>
      <c r="E84" s="11">
        <v>1000</v>
      </c>
      <c r="F84" s="11">
        <v>17.95</v>
      </c>
      <c r="G84" s="11">
        <f t="shared" si="18"/>
        <v>17950</v>
      </c>
      <c r="H84" s="11">
        <v>25</v>
      </c>
      <c r="I84" s="169">
        <v>44442</v>
      </c>
      <c r="J84" s="16">
        <v>18.45</v>
      </c>
      <c r="K84" s="11">
        <f t="shared" si="19"/>
        <v>18450</v>
      </c>
      <c r="L84" s="17">
        <v>26</v>
      </c>
      <c r="M84" s="11">
        <v>55</v>
      </c>
      <c r="N84" s="11">
        <v>0</v>
      </c>
      <c r="O84" s="13">
        <f t="shared" si="20"/>
        <v>0</v>
      </c>
      <c r="P84" s="14">
        <f t="shared" si="21"/>
        <v>384</v>
      </c>
      <c r="Q84" s="14">
        <f t="shared" si="22"/>
        <v>0</v>
      </c>
      <c r="R84" s="14"/>
      <c r="S84" s="14">
        <v>10</v>
      </c>
      <c r="T84" s="14">
        <f t="shared" si="23"/>
        <v>0</v>
      </c>
      <c r="U84" s="69">
        <f t="shared" si="24"/>
        <v>0</v>
      </c>
      <c r="V84" s="69"/>
      <c r="W84" s="70">
        <v>0.11</v>
      </c>
      <c r="X84" s="15">
        <f t="shared" si="25"/>
        <v>2.1392757660167131E-2</v>
      </c>
      <c r="Y84" s="16">
        <f>VLOOKUP(C84,台股行情!A:D,4,FALSE)</f>
        <v>43.45</v>
      </c>
      <c r="Z84" s="38">
        <f>VLOOKUP(C84,台股行情!A:E,5,FALSE)</f>
        <v>0.05</v>
      </c>
      <c r="AA84" s="90">
        <f t="shared" ca="1" si="26"/>
        <v>6978.6989376848096</v>
      </c>
      <c r="AB84" s="103" t="s">
        <v>219</v>
      </c>
      <c r="AC84" s="103"/>
    </row>
    <row r="85" spans="1:29" outlineLevel="1">
      <c r="A85" s="99">
        <v>44308</v>
      </c>
      <c r="B85" s="11" t="s">
        <v>19</v>
      </c>
      <c r="C85" s="11">
        <v>2031</v>
      </c>
      <c r="D85" s="11" t="s">
        <v>1544</v>
      </c>
      <c r="E85" s="11">
        <v>1000</v>
      </c>
      <c r="F85" s="11">
        <v>61.2</v>
      </c>
      <c r="G85" s="11">
        <f t="shared" si="18"/>
        <v>61200</v>
      </c>
      <c r="H85" s="11">
        <v>87</v>
      </c>
      <c r="I85" s="169">
        <v>44445</v>
      </c>
      <c r="J85" s="16">
        <v>67</v>
      </c>
      <c r="K85" s="11">
        <f t="shared" si="19"/>
        <v>67000</v>
      </c>
      <c r="L85" s="17">
        <v>95</v>
      </c>
      <c r="M85" s="11">
        <v>201</v>
      </c>
      <c r="N85" s="11">
        <v>0</v>
      </c>
      <c r="O85" s="13">
        <f t="shared" si="20"/>
        <v>0</v>
      </c>
      <c r="P85" s="14">
        <f t="shared" si="21"/>
        <v>7115.8</v>
      </c>
      <c r="Q85" s="14">
        <f t="shared" si="22"/>
        <v>0</v>
      </c>
      <c r="R85" s="14">
        <v>1920</v>
      </c>
      <c r="S85" s="14">
        <v>10</v>
      </c>
      <c r="T85" s="14">
        <f t="shared" si="23"/>
        <v>0</v>
      </c>
      <c r="U85" s="69">
        <f t="shared" si="24"/>
        <v>0</v>
      </c>
      <c r="V85" s="69"/>
      <c r="W85" s="70">
        <v>0.11</v>
      </c>
      <c r="X85" s="15">
        <f t="shared" si="25"/>
        <v>0.11627124183006536</v>
      </c>
      <c r="Y85" s="16">
        <f>VLOOKUP(C85,台股行情!A:D,4,FALSE)</f>
        <v>46.95</v>
      </c>
      <c r="Z85" s="38">
        <f>VLOOKUP(C85,台股行情!A:E,5,FALSE)</f>
        <v>-0.4</v>
      </c>
      <c r="AA85" s="90">
        <f t="shared" ca="1" si="26"/>
        <v>22955.864636951046</v>
      </c>
      <c r="AB85" s="103" t="s">
        <v>411</v>
      </c>
      <c r="AC85" s="103"/>
    </row>
    <row r="86" spans="1:29" outlineLevel="1">
      <c r="A86" s="99">
        <v>44390</v>
      </c>
      <c r="B86" s="11" t="s">
        <v>19</v>
      </c>
      <c r="C86" s="11">
        <v>3029</v>
      </c>
      <c r="D86" s="11" t="s">
        <v>1560</v>
      </c>
      <c r="E86" s="11">
        <v>1000</v>
      </c>
      <c r="F86" s="11">
        <v>49.5</v>
      </c>
      <c r="G86" s="11">
        <f t="shared" si="18"/>
        <v>49500</v>
      </c>
      <c r="H86" s="11">
        <v>70</v>
      </c>
      <c r="I86" s="169">
        <v>44456</v>
      </c>
      <c r="J86" s="16">
        <v>45.9</v>
      </c>
      <c r="K86" s="11">
        <f t="shared" si="19"/>
        <v>45900</v>
      </c>
      <c r="L86" s="17">
        <v>65</v>
      </c>
      <c r="M86" s="11">
        <v>137</v>
      </c>
      <c r="N86" s="11">
        <v>0</v>
      </c>
      <c r="O86" s="13">
        <f t="shared" si="20"/>
        <v>0</v>
      </c>
      <c r="P86" s="14">
        <f t="shared" si="21"/>
        <v>-1212</v>
      </c>
      <c r="Q86" s="14">
        <f t="shared" si="22"/>
        <v>0</v>
      </c>
      <c r="R86" s="14">
        <v>3000</v>
      </c>
      <c r="S86" s="14">
        <v>10</v>
      </c>
      <c r="T86" s="14">
        <f t="shared" si="23"/>
        <v>0</v>
      </c>
      <c r="U86" s="69">
        <f t="shared" si="24"/>
        <v>0</v>
      </c>
      <c r="V86" s="69"/>
      <c r="W86" s="70">
        <v>0.11</v>
      </c>
      <c r="X86" s="15">
        <f t="shared" si="25"/>
        <v>-2.4484848484848484E-2</v>
      </c>
      <c r="Y86" s="16">
        <f>VLOOKUP(C86,台股行情!A:D,4,FALSE)</f>
        <v>119.5</v>
      </c>
      <c r="Z86" s="38">
        <f>VLOOKUP(C86,台股行情!A:E,5,FALSE)</f>
        <v>-2</v>
      </c>
      <c r="AA86" s="90">
        <f t="shared" ca="1" si="26"/>
        <v>8944.8034169313323</v>
      </c>
      <c r="AB86" s="103" t="s">
        <v>169</v>
      </c>
      <c r="AC86" s="103"/>
    </row>
    <row r="87" spans="1:29" outlineLevel="1">
      <c r="A87" s="99">
        <v>44300</v>
      </c>
      <c r="B87" s="11" t="s">
        <v>19</v>
      </c>
      <c r="C87" s="11">
        <v>2618</v>
      </c>
      <c r="D87" s="11" t="s">
        <v>1553</v>
      </c>
      <c r="E87" s="11">
        <v>4000</v>
      </c>
      <c r="F87" s="11">
        <v>17.95</v>
      </c>
      <c r="G87" s="11">
        <f t="shared" si="18"/>
        <v>71800</v>
      </c>
      <c r="H87" s="11">
        <v>122</v>
      </c>
      <c r="I87" s="169">
        <v>44503</v>
      </c>
      <c r="J87" s="16">
        <v>20.5</v>
      </c>
      <c r="K87" s="11">
        <f t="shared" si="19"/>
        <v>82000</v>
      </c>
      <c r="L87" s="17">
        <v>116</v>
      </c>
      <c r="M87" s="11">
        <v>246</v>
      </c>
      <c r="N87" s="11">
        <v>0</v>
      </c>
      <c r="O87" s="13">
        <f t="shared" si="20"/>
        <v>0</v>
      </c>
      <c r="P87" s="14">
        <f t="shared" si="21"/>
        <v>9706</v>
      </c>
      <c r="Q87" s="14">
        <f t="shared" si="22"/>
        <v>0</v>
      </c>
      <c r="R87" s="14"/>
      <c r="S87" s="14">
        <v>10</v>
      </c>
      <c r="T87" s="14">
        <f t="shared" si="23"/>
        <v>0</v>
      </c>
      <c r="U87" s="69">
        <f t="shared" si="24"/>
        <v>0</v>
      </c>
      <c r="V87" s="69"/>
      <c r="W87" s="70">
        <v>0.11</v>
      </c>
      <c r="X87" s="15">
        <f t="shared" si="25"/>
        <v>0.13518105849582174</v>
      </c>
      <c r="Y87" s="16">
        <f>VLOOKUP(C87,台股行情!A:D,4,FALSE)</f>
        <v>43.45</v>
      </c>
      <c r="Z87" s="38">
        <f>VLOOKUP(C87,台股行情!A:E,5,FALSE)</f>
        <v>0.05</v>
      </c>
      <c r="AA87" s="90">
        <f t="shared" ca="1" si="26"/>
        <v>39906.36293943708</v>
      </c>
      <c r="AB87" s="103" t="s">
        <v>219</v>
      </c>
      <c r="AC87" s="103"/>
    </row>
    <row r="88" spans="1:29" outlineLevel="1">
      <c r="A88" s="99">
        <v>44313</v>
      </c>
      <c r="B88" s="11" t="s">
        <v>19</v>
      </c>
      <c r="C88" s="11">
        <v>8440</v>
      </c>
      <c r="D88" s="11" t="s">
        <v>2176</v>
      </c>
      <c r="E88" s="11">
        <v>1000</v>
      </c>
      <c r="F88" s="11">
        <v>22.7</v>
      </c>
      <c r="G88" s="11">
        <f t="shared" si="18"/>
        <v>22700</v>
      </c>
      <c r="H88" s="11">
        <v>32</v>
      </c>
      <c r="I88" s="169">
        <v>44531</v>
      </c>
      <c r="J88" s="16">
        <v>18.399999999999999</v>
      </c>
      <c r="K88" s="11">
        <f t="shared" si="19"/>
        <v>18400</v>
      </c>
      <c r="L88" s="17">
        <v>26</v>
      </c>
      <c r="M88" s="11">
        <v>55</v>
      </c>
      <c r="N88" s="11">
        <v>0</v>
      </c>
      <c r="O88" s="13">
        <f t="shared" si="20"/>
        <v>0</v>
      </c>
      <c r="P88" s="14">
        <f t="shared" si="21"/>
        <v>-3889</v>
      </c>
      <c r="Q88" s="14">
        <f t="shared" si="22"/>
        <v>0</v>
      </c>
      <c r="R88" s="14">
        <v>600</v>
      </c>
      <c r="S88" s="14">
        <v>10</v>
      </c>
      <c r="T88" s="14">
        <f t="shared" si="23"/>
        <v>0</v>
      </c>
      <c r="U88" s="69">
        <f t="shared" si="24"/>
        <v>0</v>
      </c>
      <c r="V88" s="69"/>
      <c r="W88" s="70">
        <v>0.11</v>
      </c>
      <c r="X88" s="15">
        <f t="shared" si="25"/>
        <v>-0.17132158590308369</v>
      </c>
      <c r="Y88" s="16">
        <f>VLOOKUP(C88,台股行情!A:D,4,FALSE)</f>
        <v>19.95</v>
      </c>
      <c r="Z88" s="38">
        <f>VLOOKUP(C88,台股行情!A:E,5,FALSE)</f>
        <v>-0.25</v>
      </c>
      <c r="AA88" s="90">
        <f t="shared" ca="1" si="26"/>
        <v>13548.899353849523</v>
      </c>
      <c r="AB88" s="103" t="s">
        <v>219</v>
      </c>
      <c r="AC88" s="143" t="s">
        <v>1501</v>
      </c>
    </row>
    <row r="89" spans="1:29" outlineLevel="1">
      <c r="A89" s="99">
        <v>44445</v>
      </c>
      <c r="B89" s="11" t="s">
        <v>19</v>
      </c>
      <c r="C89" s="11">
        <v>6196</v>
      </c>
      <c r="D89" s="11" t="s">
        <v>1577</v>
      </c>
      <c r="E89" s="11">
        <v>1000</v>
      </c>
      <c r="F89" s="11">
        <v>116</v>
      </c>
      <c r="G89" s="11">
        <f t="shared" si="18"/>
        <v>116000</v>
      </c>
      <c r="H89" s="11">
        <v>165</v>
      </c>
      <c r="I89" s="169">
        <v>44545</v>
      </c>
      <c r="J89" s="16">
        <v>149</v>
      </c>
      <c r="K89" s="11">
        <f t="shared" si="19"/>
        <v>149000</v>
      </c>
      <c r="L89" s="17">
        <v>212</v>
      </c>
      <c r="M89" s="11">
        <v>447</v>
      </c>
      <c r="N89" s="11">
        <v>0</v>
      </c>
      <c r="O89" s="13">
        <f t="shared" si="20"/>
        <v>0</v>
      </c>
      <c r="P89" s="14">
        <f t="shared" si="21"/>
        <v>32166</v>
      </c>
      <c r="Q89" s="14">
        <f t="shared" si="22"/>
        <v>0</v>
      </c>
      <c r="R89" s="14"/>
      <c r="S89" s="14">
        <v>10</v>
      </c>
      <c r="T89" s="14">
        <f t="shared" si="23"/>
        <v>0</v>
      </c>
      <c r="U89" s="69">
        <f t="shared" si="24"/>
        <v>0</v>
      </c>
      <c r="V89" s="69"/>
      <c r="W89" s="70">
        <v>0.11</v>
      </c>
      <c r="X89" s="15">
        <f t="shared" si="25"/>
        <v>0.27729310344827585</v>
      </c>
      <c r="Y89" s="16">
        <f>VLOOKUP(C89,台股行情!A:D,4,FALSE)</f>
        <v>613</v>
      </c>
      <c r="Z89" s="38">
        <f>VLOOKUP(C89,台股行情!A:E,5,FALSE)</f>
        <v>-43</v>
      </c>
      <c r="AA89" s="90">
        <f t="shared" ca="1" si="26"/>
        <v>31759.938670463256</v>
      </c>
      <c r="AB89" s="103"/>
      <c r="AC89" s="103"/>
    </row>
    <row r="90" spans="1:29" outlineLevel="1">
      <c r="A90" s="99">
        <v>44522</v>
      </c>
      <c r="B90" s="11" t="s">
        <v>19</v>
      </c>
      <c r="C90" s="11">
        <v>3481</v>
      </c>
      <c r="D90" s="11" t="s">
        <v>255</v>
      </c>
      <c r="E90" s="11">
        <v>1000</v>
      </c>
      <c r="F90" s="11">
        <v>19.05</v>
      </c>
      <c r="G90" s="11">
        <f t="shared" si="18"/>
        <v>19050</v>
      </c>
      <c r="H90" s="11">
        <v>27</v>
      </c>
      <c r="I90" s="169">
        <v>44551</v>
      </c>
      <c r="J90" s="16">
        <v>19.350000000000001</v>
      </c>
      <c r="K90" s="11">
        <f t="shared" si="19"/>
        <v>19350</v>
      </c>
      <c r="L90" s="17">
        <v>27</v>
      </c>
      <c r="M90" s="11">
        <v>58</v>
      </c>
      <c r="N90" s="11">
        <v>0</v>
      </c>
      <c r="O90" s="13">
        <f t="shared" si="20"/>
        <v>0</v>
      </c>
      <c r="P90" s="14">
        <f t="shared" si="21"/>
        <v>178</v>
      </c>
      <c r="Q90" s="14">
        <f t="shared" si="22"/>
        <v>0</v>
      </c>
      <c r="R90" s="14"/>
      <c r="S90" s="14">
        <v>10</v>
      </c>
      <c r="T90" s="14">
        <f t="shared" si="23"/>
        <v>0</v>
      </c>
      <c r="U90" s="69">
        <f t="shared" si="24"/>
        <v>0</v>
      </c>
      <c r="V90" s="69"/>
      <c r="W90" s="70">
        <v>0.11</v>
      </c>
      <c r="X90" s="15">
        <f t="shared" si="25"/>
        <v>9.3438320209973755E-3</v>
      </c>
      <c r="Y90" s="16">
        <f>VLOOKUP(C90,台股行情!A:D,4,FALSE)</f>
        <v>48.3</v>
      </c>
      <c r="Z90" s="38">
        <f>VLOOKUP(C90,台股行情!A:E,5,FALSE)</f>
        <v>-2.6</v>
      </c>
      <c r="AA90" s="90">
        <f t="shared" ca="1" si="26"/>
        <v>1512.5670791808125</v>
      </c>
      <c r="AB90" s="103" t="s">
        <v>219</v>
      </c>
      <c r="AC90" s="103"/>
    </row>
    <row r="91" spans="1:29" outlineLevel="1">
      <c r="A91" s="99">
        <v>44293</v>
      </c>
      <c r="B91" s="11" t="s">
        <v>19</v>
      </c>
      <c r="C91" s="11">
        <v>3023</v>
      </c>
      <c r="D91" s="11" t="s">
        <v>1559</v>
      </c>
      <c r="E91" s="11">
        <v>1000</v>
      </c>
      <c r="F91" s="11">
        <v>280.5</v>
      </c>
      <c r="G91" s="11">
        <f t="shared" si="18"/>
        <v>280500</v>
      </c>
      <c r="H91" s="11">
        <v>399</v>
      </c>
      <c r="I91" s="169">
        <v>44554</v>
      </c>
      <c r="J91" s="16">
        <v>289.5</v>
      </c>
      <c r="K91" s="11">
        <f t="shared" si="19"/>
        <v>289500</v>
      </c>
      <c r="L91" s="17">
        <v>412</v>
      </c>
      <c r="M91" s="11">
        <v>868</v>
      </c>
      <c r="N91" s="11">
        <v>0</v>
      </c>
      <c r="O91" s="13">
        <f t="shared" si="20"/>
        <v>0</v>
      </c>
      <c r="P91" s="14">
        <f t="shared" si="21"/>
        <v>12907.32</v>
      </c>
      <c r="Q91" s="14">
        <f t="shared" si="22"/>
        <v>0</v>
      </c>
      <c r="R91" s="14">
        <v>6288</v>
      </c>
      <c r="S91" s="14">
        <v>10</v>
      </c>
      <c r="T91" s="14">
        <f t="shared" si="23"/>
        <v>0</v>
      </c>
      <c r="U91" s="69">
        <f t="shared" si="24"/>
        <v>0</v>
      </c>
      <c r="V91" s="69"/>
      <c r="W91" s="70">
        <v>0.11</v>
      </c>
      <c r="X91" s="15">
        <f t="shared" si="25"/>
        <v>4.6015401069518715E-2</v>
      </c>
      <c r="Y91" s="16">
        <f>VLOOKUP(C91,台股行情!A:D,4,FALSE)</f>
        <v>321.5</v>
      </c>
      <c r="Z91" s="38">
        <f>VLOOKUP(C91,台股行情!A:E,5,FALSE)</f>
        <v>3</v>
      </c>
      <c r="AA91" s="90">
        <f t="shared" ca="1" si="26"/>
        <v>200444.91293396123</v>
      </c>
      <c r="AB91" s="103" t="s">
        <v>411</v>
      </c>
      <c r="AC91" s="103"/>
    </row>
    <row r="92" spans="1:29" outlineLevel="1">
      <c r="A92" s="99">
        <v>44308</v>
      </c>
      <c r="B92" s="11" t="s">
        <v>19</v>
      </c>
      <c r="C92" s="11">
        <v>2208</v>
      </c>
      <c r="D92" s="11" t="s">
        <v>1546</v>
      </c>
      <c r="E92" s="11">
        <v>2000</v>
      </c>
      <c r="F92" s="11">
        <v>29.35</v>
      </c>
      <c r="G92" s="11">
        <f t="shared" si="18"/>
        <v>58700</v>
      </c>
      <c r="H92" s="11">
        <v>83</v>
      </c>
      <c r="I92" s="169">
        <v>44554</v>
      </c>
      <c r="J92" s="16">
        <v>21.45</v>
      </c>
      <c r="K92" s="11">
        <f t="shared" si="19"/>
        <v>42900</v>
      </c>
      <c r="L92" s="17">
        <v>60</v>
      </c>
      <c r="M92" s="11">
        <v>128</v>
      </c>
      <c r="N92" s="11">
        <v>0</v>
      </c>
      <c r="O92" s="13">
        <f t="shared" si="20"/>
        <v>0</v>
      </c>
      <c r="P92" s="14">
        <f t="shared" si="21"/>
        <v>-16081</v>
      </c>
      <c r="Q92" s="14">
        <f t="shared" si="22"/>
        <v>0</v>
      </c>
      <c r="R92" s="14"/>
      <c r="S92" s="14">
        <v>10</v>
      </c>
      <c r="T92" s="14">
        <f t="shared" si="23"/>
        <v>0</v>
      </c>
      <c r="U92" s="69">
        <f t="shared" si="24"/>
        <v>0</v>
      </c>
      <c r="V92" s="69"/>
      <c r="W92" s="70">
        <v>0.11</v>
      </c>
      <c r="X92" s="15">
        <f t="shared" si="25"/>
        <v>-0.27395229982964225</v>
      </c>
      <c r="Y92" s="16">
        <f>VLOOKUP(C92,台股行情!A:D,4,FALSE)</f>
        <v>18</v>
      </c>
      <c r="Z92" s="38">
        <f>VLOOKUP(C92,台股行情!A:E,5,FALSE)</f>
        <v>-0.3</v>
      </c>
      <c r="AA92" s="90">
        <f t="shared" ca="1" si="26"/>
        <v>39536.195378381337</v>
      </c>
      <c r="AB92" s="103" t="s">
        <v>411</v>
      </c>
      <c r="AC92" s="103"/>
    </row>
    <row r="93" spans="1:29" outlineLevel="1">
      <c r="A93" s="99">
        <v>44522</v>
      </c>
      <c r="B93" s="11" t="s">
        <v>19</v>
      </c>
      <c r="C93" s="11">
        <v>2409</v>
      </c>
      <c r="D93" s="11" t="s">
        <v>1665</v>
      </c>
      <c r="E93" s="11">
        <v>1000</v>
      </c>
      <c r="F93" s="11">
        <v>21.95</v>
      </c>
      <c r="G93" s="11">
        <f t="shared" si="18"/>
        <v>21950</v>
      </c>
      <c r="H93" s="11">
        <v>31</v>
      </c>
      <c r="I93" s="169">
        <v>44554</v>
      </c>
      <c r="J93" s="16">
        <v>22.35</v>
      </c>
      <c r="K93" s="11">
        <f t="shared" si="19"/>
        <v>22350</v>
      </c>
      <c r="L93" s="17">
        <v>31</v>
      </c>
      <c r="M93" s="11">
        <v>67</v>
      </c>
      <c r="N93" s="11">
        <v>0</v>
      </c>
      <c r="O93" s="13">
        <f t="shared" si="20"/>
        <v>0</v>
      </c>
      <c r="P93" s="14">
        <f t="shared" si="21"/>
        <v>261</v>
      </c>
      <c r="Q93" s="14">
        <f t="shared" si="22"/>
        <v>0</v>
      </c>
      <c r="R93" s="14"/>
      <c r="S93" s="14">
        <v>10</v>
      </c>
      <c r="T93" s="14">
        <f t="shared" si="23"/>
        <v>0</v>
      </c>
      <c r="U93" s="69">
        <f t="shared" si="24"/>
        <v>0</v>
      </c>
      <c r="V93" s="69"/>
      <c r="W93" s="70">
        <v>0.11</v>
      </c>
      <c r="X93" s="15">
        <f t="shared" si="25"/>
        <v>1.1890660592255126E-2</v>
      </c>
      <c r="Y93" s="16">
        <f>VLOOKUP(C93,台股行情!A:D,4,FALSE)</f>
        <v>34.9</v>
      </c>
      <c r="Z93" s="38">
        <f>VLOOKUP(C93,台股行情!A:E,5,FALSE)</f>
        <v>-1.35</v>
      </c>
      <c r="AA93" s="90">
        <f t="shared" ca="1" si="26"/>
        <v>1923.1190450114993</v>
      </c>
      <c r="AB93" s="103" t="s">
        <v>219</v>
      </c>
      <c r="AC93" s="103"/>
    </row>
    <row r="94" spans="1:29" outlineLevel="1">
      <c r="A94" s="99">
        <v>44523</v>
      </c>
      <c r="B94" s="11" t="s">
        <v>19</v>
      </c>
      <c r="C94" s="11">
        <v>2481</v>
      </c>
      <c r="D94" s="219" t="s">
        <v>2428</v>
      </c>
      <c r="E94" s="11">
        <v>1000</v>
      </c>
      <c r="F94" s="11">
        <v>108</v>
      </c>
      <c r="G94" s="11">
        <f t="shared" si="18"/>
        <v>108000</v>
      </c>
      <c r="H94" s="11">
        <v>153</v>
      </c>
      <c r="I94" s="169">
        <v>44554</v>
      </c>
      <c r="J94" s="16">
        <v>109</v>
      </c>
      <c r="K94" s="11">
        <f t="shared" si="19"/>
        <v>109000</v>
      </c>
      <c r="L94" s="17">
        <v>155</v>
      </c>
      <c r="M94" s="11">
        <v>327</v>
      </c>
      <c r="N94" s="11">
        <v>0</v>
      </c>
      <c r="O94" s="13">
        <f t="shared" si="20"/>
        <v>0</v>
      </c>
      <c r="P94" s="14">
        <f t="shared" si="21"/>
        <v>355</v>
      </c>
      <c r="Q94" s="14">
        <f t="shared" si="22"/>
        <v>0</v>
      </c>
      <c r="R94" s="14"/>
      <c r="S94" s="14">
        <v>10</v>
      </c>
      <c r="T94" s="14">
        <f t="shared" si="23"/>
        <v>0</v>
      </c>
      <c r="U94" s="69">
        <f t="shared" si="24"/>
        <v>0</v>
      </c>
      <c r="V94" s="69"/>
      <c r="W94" s="70">
        <v>0.11</v>
      </c>
      <c r="X94" s="15">
        <f t="shared" si="25"/>
        <v>3.2870370370370371E-3</v>
      </c>
      <c r="Y94" s="16">
        <f>VLOOKUP(C94,台股行情!A:D,4,FALSE)</f>
        <v>155.5</v>
      </c>
      <c r="Z94" s="38">
        <f>VLOOKUP(C94,台股行情!A:E,5,FALSE)</f>
        <v>-10.5</v>
      </c>
      <c r="AA94" s="90">
        <f t="shared" ca="1" si="26"/>
        <v>9166.575402475084</v>
      </c>
      <c r="AB94" s="103" t="s">
        <v>219</v>
      </c>
      <c r="AC94" s="103"/>
    </row>
    <row r="95" spans="1:29" outlineLevel="1">
      <c r="A95" s="99">
        <v>44547</v>
      </c>
      <c r="B95" s="11" t="s">
        <v>19</v>
      </c>
      <c r="C95" s="11">
        <v>2103</v>
      </c>
      <c r="D95" s="11" t="s">
        <v>1545</v>
      </c>
      <c r="E95" s="11">
        <v>1000</v>
      </c>
      <c r="F95" s="11">
        <v>38.299999999999997</v>
      </c>
      <c r="G95" s="11">
        <f t="shared" si="18"/>
        <v>38300</v>
      </c>
      <c r="H95" s="11">
        <v>54</v>
      </c>
      <c r="I95" s="169">
        <v>44554</v>
      </c>
      <c r="J95" s="16">
        <v>40.950000000000003</v>
      </c>
      <c r="K95" s="11">
        <f t="shared" si="19"/>
        <v>40950</v>
      </c>
      <c r="L95" s="17">
        <v>58</v>
      </c>
      <c r="M95" s="11">
        <v>122</v>
      </c>
      <c r="N95" s="11">
        <v>0</v>
      </c>
      <c r="O95" s="13">
        <f t="shared" si="20"/>
        <v>0</v>
      </c>
      <c r="P95" s="14">
        <f t="shared" si="21"/>
        <v>2406</v>
      </c>
      <c r="Q95" s="14">
        <f t="shared" si="22"/>
        <v>0</v>
      </c>
      <c r="R95" s="14"/>
      <c r="S95" s="14">
        <v>10</v>
      </c>
      <c r="T95" s="14">
        <f t="shared" si="23"/>
        <v>0</v>
      </c>
      <c r="U95" s="69">
        <f t="shared" si="24"/>
        <v>0</v>
      </c>
      <c r="V95" s="69"/>
      <c r="W95" s="70">
        <v>0.11</v>
      </c>
      <c r="X95" s="15">
        <f t="shared" si="25"/>
        <v>6.2819843342036552E-2</v>
      </c>
      <c r="Y95" s="16">
        <f>VLOOKUP(C95,台股行情!A:D,4,FALSE)</f>
        <v>28.6</v>
      </c>
      <c r="Z95" s="38">
        <f>VLOOKUP(C95,台股行情!A:E,5,FALSE)</f>
        <v>-1.35</v>
      </c>
      <c r="AA95" s="90">
        <f t="shared" ca="1" si="26"/>
        <v>734.03789289234476</v>
      </c>
      <c r="AB95" s="103" t="s">
        <v>219</v>
      </c>
      <c r="AC95" s="103"/>
    </row>
    <row r="96" spans="1:29" outlineLevel="1">
      <c r="A96" s="99">
        <v>44547</v>
      </c>
      <c r="B96" s="11" t="s">
        <v>19</v>
      </c>
      <c r="C96" s="11">
        <v>3060</v>
      </c>
      <c r="D96" s="11" t="s">
        <v>904</v>
      </c>
      <c r="E96" s="11">
        <v>1000</v>
      </c>
      <c r="F96" s="11">
        <v>27.95</v>
      </c>
      <c r="G96" s="11">
        <f t="shared" si="18"/>
        <v>27950</v>
      </c>
      <c r="H96" s="11">
        <v>39</v>
      </c>
      <c r="I96" s="169">
        <v>44554</v>
      </c>
      <c r="J96" s="16">
        <v>26.3</v>
      </c>
      <c r="K96" s="11">
        <f t="shared" si="19"/>
        <v>26300</v>
      </c>
      <c r="L96" s="17">
        <v>37</v>
      </c>
      <c r="M96" s="11">
        <v>78</v>
      </c>
      <c r="N96" s="11">
        <v>0</v>
      </c>
      <c r="O96" s="13">
        <f t="shared" si="20"/>
        <v>0</v>
      </c>
      <c r="P96" s="14">
        <f t="shared" si="21"/>
        <v>-1814</v>
      </c>
      <c r="Q96" s="14">
        <f t="shared" si="22"/>
        <v>0</v>
      </c>
      <c r="R96" s="14"/>
      <c r="S96" s="14">
        <v>10</v>
      </c>
      <c r="T96" s="14">
        <f t="shared" si="23"/>
        <v>0</v>
      </c>
      <c r="U96" s="69">
        <f t="shared" si="24"/>
        <v>0</v>
      </c>
      <c r="V96" s="69"/>
      <c r="W96" s="70">
        <v>0.11</v>
      </c>
      <c r="X96" s="15">
        <f t="shared" si="25"/>
        <v>-6.4901610017889091E-2</v>
      </c>
      <c r="Y96" s="16">
        <f>VLOOKUP(C96,台股行情!A:D,4,FALSE)</f>
        <v>27.35</v>
      </c>
      <c r="Z96" s="38">
        <f>VLOOKUP(C96,台股行情!A:E,5,FALSE)</f>
        <v>-0.8</v>
      </c>
      <c r="AA96" s="90">
        <f t="shared" ca="1" si="26"/>
        <v>535.67517248932211</v>
      </c>
      <c r="AB96" s="103" t="s">
        <v>219</v>
      </c>
      <c r="AC96" s="207" t="s">
        <v>2337</v>
      </c>
    </row>
    <row r="97" spans="1:30">
      <c r="A97" s="99">
        <v>44285</v>
      </c>
      <c r="B97" s="11" t="s">
        <v>19</v>
      </c>
      <c r="C97" s="11">
        <v>2344</v>
      </c>
      <c r="D97" s="11" t="s">
        <v>1550</v>
      </c>
      <c r="E97" s="11">
        <v>1000</v>
      </c>
      <c r="F97" s="11">
        <v>30.1</v>
      </c>
      <c r="G97" s="11">
        <f t="shared" ref="G97:G102" si="27">E97*F97</f>
        <v>30100</v>
      </c>
      <c r="H97" s="11">
        <v>42</v>
      </c>
      <c r="I97" s="308">
        <v>44567</v>
      </c>
      <c r="J97" s="16">
        <v>30.75</v>
      </c>
      <c r="K97" s="11">
        <f t="shared" ref="K97:K102" si="28">E97*J97</f>
        <v>30750</v>
      </c>
      <c r="L97" s="17">
        <v>43</v>
      </c>
      <c r="M97" s="11">
        <v>92</v>
      </c>
      <c r="N97" s="11">
        <v>0</v>
      </c>
      <c r="O97" s="13">
        <f t="shared" ref="O97:O102" si="29">IF(I97="",E97*Y97,0)</f>
        <v>0</v>
      </c>
      <c r="P97" s="14">
        <f t="shared" ref="P97:P102" si="30">IF(I97="",R97-H97,(K97-H97-SUM(L97:N97)+R97-S97-T97)-G97)+(ROUND(R97*V97,0)-ROUND(R97*(1+V97),0)*W97)</f>
        <v>641</v>
      </c>
      <c r="Q97" s="14">
        <f t="shared" ref="Q97:Q102" si="31">IF(I97="",(O97-G97-(O97*0.1425%*0.65)-(O97*0.3%)-S97-T97),0)</f>
        <v>0</v>
      </c>
      <c r="R97" s="14">
        <v>200</v>
      </c>
      <c r="S97" s="14">
        <v>10</v>
      </c>
      <c r="T97" s="14">
        <f t="shared" ref="T97:T102" si="32">IF(ROUND(R97*(1+V97),0)&gt;20000,ROUND(ROUND(R97*(1+V97),0)*2%,0),0)</f>
        <v>0</v>
      </c>
      <c r="U97" s="69">
        <f t="shared" ref="U97:U102" si="33">(V97*50%)/(1+50%*V97)</f>
        <v>0</v>
      </c>
      <c r="V97" s="69"/>
      <c r="W97" s="70">
        <v>0.11</v>
      </c>
      <c r="X97" s="15">
        <f t="shared" ref="X97:X102" si="34">(P97+Q97)/G97</f>
        <v>2.1295681063122924E-2</v>
      </c>
      <c r="Y97" s="16">
        <f>VLOOKUP(C97,台股行情!A:D,4,FALSE)</f>
        <v>155</v>
      </c>
      <c r="Z97" s="38">
        <f>VLOOKUP(C97,台股行情!A:E,5,FALSE)</f>
        <v>-10</v>
      </c>
      <c r="AA97" s="90">
        <f t="shared" ref="AA97:AA102" ca="1" si="35">IF(I97="",((TODAY()-A97)*G97)/365.24,((I97-A97)*G97)/365.24)</f>
        <v>23240.061329536744</v>
      </c>
      <c r="AB97" s="103" t="s">
        <v>209</v>
      </c>
      <c r="AC97" s="103"/>
    </row>
    <row r="98" spans="1:30" outlineLevel="1">
      <c r="A98" s="99">
        <v>44300</v>
      </c>
      <c r="B98" s="11" t="s">
        <v>19</v>
      </c>
      <c r="C98" s="11">
        <v>2330</v>
      </c>
      <c r="D98" s="11" t="s">
        <v>1549</v>
      </c>
      <c r="E98" s="11">
        <v>1000</v>
      </c>
      <c r="F98" s="11">
        <v>607</v>
      </c>
      <c r="G98" s="11">
        <f t="shared" si="27"/>
        <v>607000</v>
      </c>
      <c r="H98" s="11">
        <v>864</v>
      </c>
      <c r="I98" s="308">
        <v>44567</v>
      </c>
      <c r="J98" s="16">
        <v>639</v>
      </c>
      <c r="K98" s="11">
        <f t="shared" si="28"/>
        <v>639000</v>
      </c>
      <c r="L98" s="17">
        <v>910</v>
      </c>
      <c r="M98" s="11">
        <v>1917</v>
      </c>
      <c r="N98" s="11">
        <v>0</v>
      </c>
      <c r="O98" s="13">
        <f t="shared" si="29"/>
        <v>0</v>
      </c>
      <c r="P98" s="14">
        <f t="shared" si="30"/>
        <v>35399</v>
      </c>
      <c r="Q98" s="14">
        <f t="shared" si="31"/>
        <v>0</v>
      </c>
      <c r="R98" s="14">
        <f>2500+2750+2750</f>
        <v>8000</v>
      </c>
      <c r="S98" s="14">
        <v>30</v>
      </c>
      <c r="T98" s="14">
        <f t="shared" si="32"/>
        <v>0</v>
      </c>
      <c r="U98" s="69">
        <f t="shared" si="33"/>
        <v>0</v>
      </c>
      <c r="V98" s="69"/>
      <c r="W98" s="70">
        <v>0.11</v>
      </c>
      <c r="X98" s="15">
        <f t="shared" si="34"/>
        <v>5.8317957166392091E-2</v>
      </c>
      <c r="Y98" s="16">
        <f>VLOOKUP(C98,台股行情!A:D,4,FALSE)</f>
        <v>2440</v>
      </c>
      <c r="Z98" s="38">
        <f>VLOOKUP(C98,台股行情!A:E,5,FALSE)</f>
        <v>-50</v>
      </c>
      <c r="AA98" s="90">
        <f t="shared" ca="1" si="35"/>
        <v>443732.8879640784</v>
      </c>
      <c r="AB98" s="103" t="s">
        <v>209</v>
      </c>
      <c r="AC98" s="103"/>
    </row>
    <row r="99" spans="1:30" outlineLevel="1">
      <c r="A99" s="99">
        <v>44439</v>
      </c>
      <c r="B99" s="11" t="s">
        <v>19</v>
      </c>
      <c r="C99" s="11">
        <v>3034</v>
      </c>
      <c r="D99" s="11" t="s">
        <v>199</v>
      </c>
      <c r="E99" s="11">
        <v>1000</v>
      </c>
      <c r="F99" s="11">
        <v>447</v>
      </c>
      <c r="G99" s="11">
        <f t="shared" si="27"/>
        <v>447000</v>
      </c>
      <c r="H99" s="11">
        <v>636</v>
      </c>
      <c r="I99" s="308">
        <v>44567</v>
      </c>
      <c r="J99" s="16">
        <v>516</v>
      </c>
      <c r="K99" s="11">
        <f t="shared" si="28"/>
        <v>516000</v>
      </c>
      <c r="L99" s="17">
        <v>735</v>
      </c>
      <c r="M99" s="11">
        <v>1548</v>
      </c>
      <c r="N99" s="11">
        <v>0</v>
      </c>
      <c r="O99" s="13">
        <f t="shared" si="29"/>
        <v>0</v>
      </c>
      <c r="P99" s="14">
        <f t="shared" si="30"/>
        <v>66071</v>
      </c>
      <c r="Q99" s="14">
        <f t="shared" si="31"/>
        <v>0</v>
      </c>
      <c r="R99" s="14"/>
      <c r="S99" s="14">
        <v>10</v>
      </c>
      <c r="T99" s="14">
        <f t="shared" si="32"/>
        <v>0</v>
      </c>
      <c r="U99" s="69">
        <f t="shared" si="33"/>
        <v>0</v>
      </c>
      <c r="V99" s="69"/>
      <c r="W99" s="70">
        <v>0.11</v>
      </c>
      <c r="X99" s="15">
        <f t="shared" si="34"/>
        <v>0.14780984340044742</v>
      </c>
      <c r="Y99" s="16">
        <f>VLOOKUP(C99,台股行情!A:D,4,FALSE)</f>
        <v>565</v>
      </c>
      <c r="Z99" s="38">
        <f>VLOOKUP(C99,台股行情!A:E,5,FALSE)</f>
        <v>5</v>
      </c>
      <c r="AA99" s="90">
        <f t="shared" ca="1" si="35"/>
        <v>156653.15956631256</v>
      </c>
      <c r="AB99" s="103" t="s">
        <v>209</v>
      </c>
      <c r="AC99" s="103"/>
    </row>
    <row r="100" spans="1:30" outlineLevel="1">
      <c r="A100" s="99">
        <v>44515</v>
      </c>
      <c r="B100" s="11" t="s">
        <v>19</v>
      </c>
      <c r="C100" s="11">
        <v>1504</v>
      </c>
      <c r="D100" s="11" t="s">
        <v>521</v>
      </c>
      <c r="E100" s="11">
        <v>1000</v>
      </c>
      <c r="F100" s="11">
        <v>31.65</v>
      </c>
      <c r="G100" s="11">
        <f t="shared" si="27"/>
        <v>31650</v>
      </c>
      <c r="H100" s="11">
        <v>45</v>
      </c>
      <c r="I100" s="308">
        <v>45006</v>
      </c>
      <c r="J100" s="16">
        <v>36.25</v>
      </c>
      <c r="K100" s="11">
        <f t="shared" si="28"/>
        <v>36250</v>
      </c>
      <c r="L100" s="17">
        <v>51</v>
      </c>
      <c r="M100" s="11">
        <v>108</v>
      </c>
      <c r="N100" s="11">
        <v>0</v>
      </c>
      <c r="O100" s="13">
        <f t="shared" si="29"/>
        <v>0</v>
      </c>
      <c r="P100" s="14">
        <f t="shared" si="30"/>
        <v>5592.5</v>
      </c>
      <c r="Q100" s="14">
        <f t="shared" si="31"/>
        <v>0</v>
      </c>
      <c r="R100" s="14">
        <v>1350</v>
      </c>
      <c r="S100" s="14">
        <v>5</v>
      </c>
      <c r="T100" s="14">
        <f t="shared" si="32"/>
        <v>0</v>
      </c>
      <c r="U100" s="69">
        <f t="shared" si="33"/>
        <v>0</v>
      </c>
      <c r="V100" s="69"/>
      <c r="W100" s="70">
        <v>0.11</v>
      </c>
      <c r="X100" s="15">
        <f t="shared" si="34"/>
        <v>0.17669826224328594</v>
      </c>
      <c r="Y100" s="16">
        <f>VLOOKUP(C100,台股行情!A:D,4,FALSE)</f>
        <v>69.2</v>
      </c>
      <c r="Z100" s="38">
        <f>VLOOKUP(C100,台股行情!A:E,5,FALSE)</f>
        <v>-1.7</v>
      </c>
      <c r="AA100" s="90">
        <f t="shared" ca="1" si="35"/>
        <v>42547.776804293069</v>
      </c>
      <c r="AB100" s="103" t="s">
        <v>219</v>
      </c>
      <c r="AC100" s="188" t="s">
        <v>2260</v>
      </c>
    </row>
    <row r="101" spans="1:30" outlineLevel="1">
      <c r="A101" s="99">
        <v>44515</v>
      </c>
      <c r="B101" s="11" t="s">
        <v>19</v>
      </c>
      <c r="C101" s="11">
        <v>1504</v>
      </c>
      <c r="D101" s="11" t="s">
        <v>521</v>
      </c>
      <c r="E101" s="11">
        <v>1000</v>
      </c>
      <c r="F101" s="11">
        <v>31.65</v>
      </c>
      <c r="G101" s="11">
        <f t="shared" si="27"/>
        <v>31650</v>
      </c>
      <c r="H101" s="11">
        <v>45</v>
      </c>
      <c r="I101" s="308">
        <v>45009</v>
      </c>
      <c r="J101" s="16">
        <v>44</v>
      </c>
      <c r="K101" s="11">
        <f t="shared" si="28"/>
        <v>44000</v>
      </c>
      <c r="L101" s="17">
        <v>62</v>
      </c>
      <c r="M101" s="11">
        <v>132</v>
      </c>
      <c r="N101" s="11">
        <v>0</v>
      </c>
      <c r="O101" s="13">
        <f t="shared" si="29"/>
        <v>0</v>
      </c>
      <c r="P101" s="14">
        <f t="shared" si="30"/>
        <v>13307.5</v>
      </c>
      <c r="Q101" s="14">
        <f t="shared" si="31"/>
        <v>0</v>
      </c>
      <c r="R101" s="14">
        <v>1350</v>
      </c>
      <c r="S101" s="14">
        <v>5</v>
      </c>
      <c r="T101" s="14">
        <f t="shared" si="32"/>
        <v>0</v>
      </c>
      <c r="U101" s="69">
        <f t="shared" si="33"/>
        <v>0</v>
      </c>
      <c r="V101" s="69"/>
      <c r="W101" s="70">
        <v>0.11</v>
      </c>
      <c r="X101" s="15">
        <f t="shared" si="34"/>
        <v>0.42045813586097947</v>
      </c>
      <c r="Y101" s="16">
        <f>VLOOKUP(C101,台股行情!A:D,4,FALSE)</f>
        <v>69.2</v>
      </c>
      <c r="Z101" s="38">
        <f>VLOOKUP(C101,台股行情!A:E,5,FALSE)</f>
        <v>-1.7</v>
      </c>
      <c r="AA101" s="90">
        <f t="shared" ca="1" si="35"/>
        <v>42807.742854013799</v>
      </c>
      <c r="AB101" s="103" t="s">
        <v>219</v>
      </c>
      <c r="AC101" s="188" t="s">
        <v>2260</v>
      </c>
    </row>
    <row r="102" spans="1:30" outlineLevel="1">
      <c r="A102" s="99">
        <v>44308</v>
      </c>
      <c r="B102" s="11" t="s">
        <v>19</v>
      </c>
      <c r="C102" s="11">
        <v>3090</v>
      </c>
      <c r="D102" s="11" t="s">
        <v>1563</v>
      </c>
      <c r="E102" s="11">
        <v>1000</v>
      </c>
      <c r="F102" s="11">
        <v>59.2</v>
      </c>
      <c r="G102" s="11">
        <f t="shared" si="27"/>
        <v>59200</v>
      </c>
      <c r="H102" s="11">
        <v>84</v>
      </c>
      <c r="I102" s="308">
        <v>45104</v>
      </c>
      <c r="J102" s="16">
        <v>58.2</v>
      </c>
      <c r="K102" s="11">
        <f t="shared" si="28"/>
        <v>58200</v>
      </c>
      <c r="L102" s="17">
        <v>82</v>
      </c>
      <c r="M102" s="11">
        <v>174</v>
      </c>
      <c r="N102" s="11">
        <v>0</v>
      </c>
      <c r="O102" s="13">
        <f t="shared" si="29"/>
        <v>0</v>
      </c>
      <c r="P102" s="14">
        <f t="shared" si="30"/>
        <v>4959</v>
      </c>
      <c r="Q102" s="14">
        <f t="shared" si="31"/>
        <v>0</v>
      </c>
      <c r="R102" s="14">
        <f>3100+4000</f>
        <v>7100</v>
      </c>
      <c r="S102" s="14">
        <v>20</v>
      </c>
      <c r="T102" s="14">
        <f t="shared" si="32"/>
        <v>0</v>
      </c>
      <c r="U102" s="69">
        <f t="shared" si="33"/>
        <v>0</v>
      </c>
      <c r="V102" s="69"/>
      <c r="W102" s="70">
        <v>0.11</v>
      </c>
      <c r="X102" s="15">
        <f t="shared" si="34"/>
        <v>8.376689189189189E-2</v>
      </c>
      <c r="Y102" s="16">
        <f>VLOOKUP(C102,台股行情!A:D,4,FALSE)</f>
        <v>171.5</v>
      </c>
      <c r="Z102" s="38">
        <f>VLOOKUP(C102,台股行情!A:E,5,FALSE)</f>
        <v>-12</v>
      </c>
      <c r="AA102" s="90">
        <f t="shared" ca="1" si="35"/>
        <v>129019.82258241157</v>
      </c>
      <c r="AB102" s="103" t="s">
        <v>209</v>
      </c>
      <c r="AC102" s="103"/>
    </row>
    <row r="103" spans="1:30" outlineLevel="1">
      <c r="A103" s="99">
        <v>44299</v>
      </c>
      <c r="B103" s="11" t="s">
        <v>19</v>
      </c>
      <c r="C103" s="11">
        <v>4930</v>
      </c>
      <c r="D103" s="11" t="s">
        <v>1630</v>
      </c>
      <c r="E103" s="11">
        <v>595</v>
      </c>
      <c r="F103" s="11">
        <v>35.950000000000003</v>
      </c>
      <c r="G103" s="183">
        <v>35950</v>
      </c>
      <c r="H103" s="183">
        <v>51</v>
      </c>
      <c r="I103" s="308">
        <v>45520</v>
      </c>
      <c r="J103" s="16">
        <v>31.7</v>
      </c>
      <c r="K103" s="11">
        <v>18861</v>
      </c>
      <c r="L103" s="17">
        <v>26</v>
      </c>
      <c r="M103" s="11">
        <v>56</v>
      </c>
      <c r="N103" s="11">
        <v>0</v>
      </c>
      <c r="O103" s="13">
        <f t="shared" ref="O103" si="36">IF(I103="",E103*Y103,0)</f>
        <v>0</v>
      </c>
      <c r="P103" s="14">
        <f t="shared" ref="P103" si="37">IF(I103="",R103-H103,(K103-H103-SUM(L103:N103)+R103-S103-T103)-G103)+(ROUND(R103*V103,0)-ROUND(R103*(1+V103),0)*W103)</f>
        <v>-5734.93</v>
      </c>
      <c r="Q103" s="14">
        <f t="shared" ref="Q103" si="38">IF(I103="",(O103-G103-(O103*0.1425%*0.65)-(O103*0.3%)-S103-T103),0)</f>
        <v>0</v>
      </c>
      <c r="R103" s="14">
        <f>3500+4049+2856+1190+1368</f>
        <v>12963</v>
      </c>
      <c r="S103" s="14">
        <v>50</v>
      </c>
      <c r="T103" s="14">
        <f t="shared" ref="T103" si="39">IF(ROUND(R103*(1+V103),0)&gt;20000,ROUND(ROUND(R103*(1+V103),0)*2%,0),0)</f>
        <v>0</v>
      </c>
      <c r="U103" s="69">
        <f t="shared" ref="U103" si="40">(V103*50%)/(1+50%*V103)</f>
        <v>0</v>
      </c>
      <c r="V103" s="69"/>
      <c r="W103" s="70">
        <v>0.11</v>
      </c>
      <c r="X103" s="15">
        <f t="shared" ref="X103" si="41">(P103+Q103)/G103</f>
        <v>-0.15952517385257303</v>
      </c>
      <c r="Y103" s="16">
        <f>VLOOKUP(C103,台股行情!A:D,4,FALSE)</f>
        <v>15.5</v>
      </c>
      <c r="Z103" s="38">
        <f>VLOOKUP(C103,台股行情!A:E,5,FALSE)</f>
        <v>0</v>
      </c>
      <c r="AA103" s="90">
        <f t="shared" ref="AA103:AA104" ca="1" si="42">IF(I103="",((TODAY()-A103)*G103)/365.24,((I103-A103)*G103)/365.24)</f>
        <v>120181.11378819407</v>
      </c>
      <c r="AB103" s="103" t="s">
        <v>169</v>
      </c>
      <c r="AC103" s="135" t="s">
        <v>2593</v>
      </c>
    </row>
    <row r="104" spans="1:30" outlineLevel="1">
      <c r="A104" s="99">
        <v>44517</v>
      </c>
      <c r="B104" s="11" t="s">
        <v>19</v>
      </c>
      <c r="C104" s="11">
        <v>3545</v>
      </c>
      <c r="D104" s="11" t="s">
        <v>1030</v>
      </c>
      <c r="E104" s="11">
        <v>1000</v>
      </c>
      <c r="F104" s="11">
        <v>164</v>
      </c>
      <c r="G104" s="11">
        <v>164000</v>
      </c>
      <c r="H104" s="11">
        <v>233</v>
      </c>
      <c r="I104" s="308">
        <v>46031</v>
      </c>
      <c r="J104" s="16">
        <v>52.3</v>
      </c>
      <c r="K104" s="11">
        <v>52300</v>
      </c>
      <c r="L104" s="11">
        <v>74</v>
      </c>
      <c r="M104" s="11">
        <v>156</v>
      </c>
      <c r="N104" s="11">
        <v>0</v>
      </c>
      <c r="O104" s="13">
        <v>0</v>
      </c>
      <c r="P104" s="14">
        <v>-95230.7</v>
      </c>
      <c r="Q104" s="14">
        <v>0</v>
      </c>
      <c r="R104" s="14">
        <v>19070</v>
      </c>
      <c r="S104" s="14">
        <v>40</v>
      </c>
      <c r="T104" s="14">
        <v>0</v>
      </c>
      <c r="U104" s="69">
        <v>0</v>
      </c>
      <c r="V104" s="69"/>
      <c r="W104" s="70">
        <v>0.11</v>
      </c>
      <c r="X104" s="15">
        <v>-0.58067499999999994</v>
      </c>
      <c r="Y104" s="16">
        <v>52.8</v>
      </c>
      <c r="Z104" s="38">
        <f>VLOOKUP(C104,台股行情!A:E,5,FALSE)</f>
        <v>-0.5</v>
      </c>
      <c r="AA104" s="90">
        <f t="shared" ca="1" si="42"/>
        <v>679816.01138977113</v>
      </c>
      <c r="AB104" s="103" t="s">
        <v>411</v>
      </c>
      <c r="AC104" s="135" t="s">
        <v>2984</v>
      </c>
    </row>
    <row r="105" spans="1:30" outlineLevel="1">
      <c r="A105" s="99">
        <v>44308</v>
      </c>
      <c r="B105" s="11" t="s">
        <v>19</v>
      </c>
      <c r="C105" s="11">
        <v>2002</v>
      </c>
      <c r="D105" s="11" t="str">
        <f>VLOOKUP(C105,台股行情!A:B,2,FALSE)</f>
        <v>中鋼</v>
      </c>
      <c r="E105" s="11">
        <v>1000</v>
      </c>
      <c r="F105" s="11">
        <v>39.9</v>
      </c>
      <c r="G105" s="11">
        <f>E105*F105</f>
        <v>39900</v>
      </c>
      <c r="H105" s="11">
        <v>56</v>
      </c>
      <c r="I105" s="308">
        <v>46042</v>
      </c>
      <c r="J105" s="16">
        <v>19.25</v>
      </c>
      <c r="K105" s="11">
        <f>E105*J105</f>
        <v>19250</v>
      </c>
      <c r="L105" s="11">
        <f>ROUND(J105*E105*0.1425%,0)</f>
        <v>27</v>
      </c>
      <c r="M105" s="11">
        <f>ROUND(J105*E105*0.3%,0)</f>
        <v>58</v>
      </c>
      <c r="N105" s="11">
        <v>0</v>
      </c>
      <c r="O105" s="13">
        <f>IF(I105="",E105*Y105,0)</f>
        <v>0</v>
      </c>
      <c r="P105" s="14">
        <f>IF(I105="",R105-H105,(K105-H105-SUM(L105:N105)+R105-S105-T105)-G105)+(ROUND(R105*V105,0)-ROUND(R105*(1+V105),0)*W105)</f>
        <v>-16319.8</v>
      </c>
      <c r="Q105" s="14">
        <f>IF(I105="",(O105-G105-(O105*0.1425%*0.65)-(O105*0.3%)-S105-T105),0)</f>
        <v>0</v>
      </c>
      <c r="R105" s="14">
        <f>300+3100+1000+350+330</f>
        <v>5080</v>
      </c>
      <c r="S105" s="14">
        <v>50</v>
      </c>
      <c r="T105" s="14">
        <f>IF(ROUND(R105*(1+V105),0)&gt;20000,ROUND(ROUND(R105*(1+V105),0)*2%,0),0)</f>
        <v>0</v>
      </c>
      <c r="U105" s="69">
        <f>(V105*50%)/(1+50%*V105)</f>
        <v>0</v>
      </c>
      <c r="V105" s="69"/>
      <c r="W105" s="70">
        <v>0.11</v>
      </c>
      <c r="X105" s="15">
        <f>(P105+Q105)/G105</f>
        <v>-0.40901754385964911</v>
      </c>
      <c r="Y105" s="16">
        <f>VLOOKUP(C105,台股行情!A:D,4,FALSE)</f>
        <v>19.25</v>
      </c>
      <c r="Z105" s="38">
        <f>VLOOKUP(C105,台股行情!A:E,5,FALSE)</f>
        <v>-0.25</v>
      </c>
      <c r="AA105" s="90">
        <f ca="1">IF(I105="",((TODAY()-A105)*G105)/365.24,((I105-A105)*G105)/365.24)</f>
        <v>189427.77351878217</v>
      </c>
      <c r="AB105" s="103" t="s">
        <v>411</v>
      </c>
      <c r="AC105" s="135" t="s">
        <v>2984</v>
      </c>
      <c r="AD105" s="320" t="s">
        <v>2983</v>
      </c>
    </row>
    <row r="106" spans="1:30" outlineLevel="1">
      <c r="A106" s="99">
        <v>44308</v>
      </c>
      <c r="B106" s="11" t="s">
        <v>19</v>
      </c>
      <c r="C106" s="11">
        <v>2002</v>
      </c>
      <c r="D106" s="11" t="str">
        <f>VLOOKUP(C106,台股行情!A:B,2,FALSE)</f>
        <v>中鋼</v>
      </c>
      <c r="E106" s="11">
        <v>2000</v>
      </c>
      <c r="F106" s="11">
        <v>39.200000000000003</v>
      </c>
      <c r="G106" s="11">
        <f>E106*F106</f>
        <v>78400</v>
      </c>
      <c r="H106" s="11">
        <v>111</v>
      </c>
      <c r="I106" s="308">
        <v>46043</v>
      </c>
      <c r="J106" s="16">
        <v>19.05</v>
      </c>
      <c r="K106" s="11">
        <f>E106*J106</f>
        <v>38100</v>
      </c>
      <c r="L106" s="11">
        <f>ROUND(J106*E106*0.1425%,0)</f>
        <v>54</v>
      </c>
      <c r="M106" s="11">
        <f>ROUND(J106*E106*0.3%,0)</f>
        <v>114</v>
      </c>
      <c r="N106" s="11">
        <v>0</v>
      </c>
      <c r="O106" s="13">
        <f>IF(I106="",E106*Y106,0)</f>
        <v>0</v>
      </c>
      <c r="P106" s="14">
        <f>IF(I106="",R106-H106,(K106-H106-SUM(L106:N106)+R106-S106-T106)-G106)+(ROUND(R106*V106,0)-ROUND(R106*(1+V106),0)*W106)</f>
        <v>-31586.6</v>
      </c>
      <c r="Q106" s="14">
        <f>IF(I106="",(O106-G106-(O106*0.1425%*0.65)-(O106*0.3%)-S106-T106),0)</f>
        <v>0</v>
      </c>
      <c r="R106" s="14">
        <f>600+6200+2000+700+660</f>
        <v>10160</v>
      </c>
      <c r="S106" s="14">
        <v>50</v>
      </c>
      <c r="T106" s="14">
        <f>IF(ROUND(R106*(1+V106),0)&gt;20000,ROUND(ROUND(R106*(1+V106),0)*2%,0),0)</f>
        <v>0</v>
      </c>
      <c r="U106" s="69">
        <f>(V106*50%)/(1+50%*V106)</f>
        <v>0</v>
      </c>
      <c r="V106" s="69"/>
      <c r="W106" s="70">
        <v>0.11</v>
      </c>
      <c r="X106" s="15">
        <f>(P106+Q106)/G106</f>
        <v>-0.40289030612244897</v>
      </c>
      <c r="Y106" s="16">
        <f>VLOOKUP(C106,台股行情!A:D,4,FALSE)</f>
        <v>19.25</v>
      </c>
      <c r="Z106" s="38">
        <f>VLOOKUP(C106,台股行情!A:E,5,FALSE)</f>
        <v>-0.25</v>
      </c>
      <c r="AA106" s="90">
        <f ca="1">IF(I106="",((TODAY()-A106)*G106)/365.24,((I106-A106)*G106)/365.24)</f>
        <v>372423.61187164602</v>
      </c>
      <c r="AB106" s="103" t="s">
        <v>411</v>
      </c>
      <c r="AC106" s="135" t="s">
        <v>2984</v>
      </c>
      <c r="AD106" s="320" t="s">
        <v>2983</v>
      </c>
    </row>
    <row r="107" spans="1:30" outlineLevel="1">
      <c r="A107" s="99">
        <v>44293</v>
      </c>
      <c r="B107" s="11" t="s">
        <v>19</v>
      </c>
      <c r="C107" s="11">
        <v>8086</v>
      </c>
      <c r="D107" s="11" t="str">
        <f>VLOOKUP(C107,台股行情!A:B,2,FALSE)</f>
        <v>宏捷科</v>
      </c>
      <c r="E107" s="11">
        <v>1000</v>
      </c>
      <c r="F107" s="11">
        <v>165.5</v>
      </c>
      <c r="G107" s="11">
        <f>E107*F107</f>
        <v>165500</v>
      </c>
      <c r="H107" s="11">
        <v>235</v>
      </c>
      <c r="I107" s="308">
        <v>46090</v>
      </c>
      <c r="J107" s="16">
        <v>118</v>
      </c>
      <c r="K107" s="11">
        <f>E107*J107</f>
        <v>118000</v>
      </c>
      <c r="L107" s="11">
        <v>168</v>
      </c>
      <c r="M107" s="11">
        <v>354</v>
      </c>
      <c r="N107" s="11">
        <v>0</v>
      </c>
      <c r="O107" s="13">
        <f>IF(I107="",E107*Y107,0)</f>
        <v>0</v>
      </c>
      <c r="P107" s="14">
        <f>IF(I107="",R107-H107,(K107-H107-SUM(L107:N107)+R107-S107-T107)-G107)+(ROUND(R107*V107,0)-ROUND(R107*(1+V107),0)*W107)</f>
        <v>-41363.9</v>
      </c>
      <c r="Q107" s="14">
        <f>IF(I107="",(O107-G107-(O107*0.1425%*0.65)-(O107*0.3%)-S107-T107),0)</f>
        <v>0</v>
      </c>
      <c r="R107" s="14">
        <f>2800+2800+1000+1190</f>
        <v>7790</v>
      </c>
      <c r="S107" s="14">
        <v>40</v>
      </c>
      <c r="T107" s="14">
        <f>IF(ROUND(R107*(1+V107),0)&gt;20000,ROUND(ROUND(R107*(1+V107),0)*2%,0),0)</f>
        <v>0</v>
      </c>
      <c r="U107" s="69">
        <f>(V107*50%)/(1+50%*V107)</f>
        <v>0</v>
      </c>
      <c r="V107" s="69"/>
      <c r="W107" s="70">
        <v>0.11</v>
      </c>
      <c r="X107" s="15">
        <f>(P107+Q107)/G107</f>
        <v>-0.24993293051359516</v>
      </c>
      <c r="Y107" s="16">
        <f>VLOOKUP(C107,台股行情!A:D,4,FALSE)</f>
        <v>130</v>
      </c>
      <c r="Z107" s="38">
        <f>VLOOKUP(C107,台股行情!A:E,5,FALSE)</f>
        <v>-11</v>
      </c>
      <c r="AA107" s="90">
        <f ca="1">IF(I107="",((TODAY()-A107)*G107)/365.24,((I107-A107)*G107)/365.24)</f>
        <v>814268.70003285503</v>
      </c>
      <c r="AB107" s="103" t="s">
        <v>411</v>
      </c>
      <c r="AC107" s="135" t="s">
        <v>3072</v>
      </c>
      <c r="AD107" s="338" t="s">
        <v>3008</v>
      </c>
    </row>
    <row r="108" spans="1:30" outlineLevel="1">
      <c r="A108" s="99">
        <v>44308</v>
      </c>
      <c r="B108" s="11" t="s">
        <v>19</v>
      </c>
      <c r="C108" s="11">
        <v>2409</v>
      </c>
      <c r="D108" s="189" t="str">
        <f>VLOOKUP(C108,台股行情!A:B,2,FALSE)</f>
        <v>友達</v>
      </c>
      <c r="E108" s="11">
        <v>800</v>
      </c>
      <c r="F108" s="11">
        <v>30.3</v>
      </c>
      <c r="G108" s="183">
        <v>30300</v>
      </c>
      <c r="H108" s="183">
        <v>43</v>
      </c>
      <c r="I108" s="308">
        <v>46119</v>
      </c>
      <c r="J108" s="16">
        <v>16.45</v>
      </c>
      <c r="K108" s="11">
        <f>E108*J108</f>
        <v>13160</v>
      </c>
      <c r="L108" s="11">
        <v>18</v>
      </c>
      <c r="M108" s="11">
        <f>ROUND(J108*E108*0.3%,0)</f>
        <v>39</v>
      </c>
      <c r="N108" s="11">
        <v>0</v>
      </c>
      <c r="O108" s="13">
        <f>IF(I108="",E108*Y108,0)</f>
        <v>0</v>
      </c>
      <c r="P108" s="14">
        <f>IF(I108="",R108-H108,(K108-H108-SUM(L108:N108)+R108-S108-T108)-G108)+(ROUND(R108*V108,0)-ROUND(R108*(1+V108),0)*W108)</f>
        <v>-14706.33</v>
      </c>
      <c r="Q108" s="14">
        <f>IF(I108="",(O108-G108-(O108*0.1425%*0.65)-(O108*0.3%)-S108-T108),0)</f>
        <v>0</v>
      </c>
      <c r="R108" s="14">
        <f>300+1000+640+720+243</f>
        <v>2903</v>
      </c>
      <c r="S108" s="14">
        <v>50</v>
      </c>
      <c r="T108" s="14">
        <f>IF(ROUND(R108*(1+V108),0)&gt;20000,ROUND(ROUND(R108*(1+V108),0)*2%,0),0)</f>
        <v>0</v>
      </c>
      <c r="U108" s="69">
        <f>(V108*50%)/(1+50%*V108)</f>
        <v>0</v>
      </c>
      <c r="V108" s="69"/>
      <c r="W108" s="70">
        <v>0.11</v>
      </c>
      <c r="X108" s="15">
        <f>(P108+Q108)/G108</f>
        <v>-0.48535742574257423</v>
      </c>
      <c r="Y108" s="16">
        <f>VLOOKUP(C108,台股行情!A:D,4,FALSE)</f>
        <v>34.9</v>
      </c>
      <c r="Z108" s="38">
        <f>VLOOKUP(C108,台股行情!A:E,5,FALSE)</f>
        <v>-1.35</v>
      </c>
      <c r="AA108" s="90">
        <f ca="1">IF(I108="",((TODAY()-A108)*G108)/365.24,((I108-A108)*G108)/365.24)</f>
        <v>150239.0209177527</v>
      </c>
      <c r="AB108" s="103"/>
      <c r="AC108" s="311"/>
      <c r="AD108" s="320" t="s">
        <v>2983</v>
      </c>
    </row>
    <row r="109" spans="1:30">
      <c r="A109" s="99">
        <v>44278</v>
      </c>
      <c r="B109" s="11" t="s">
        <v>19</v>
      </c>
      <c r="C109" s="11">
        <v>6153</v>
      </c>
      <c r="D109" s="11" t="str">
        <f>VLOOKUP(C109,台股行情!A:B,2,FALSE)</f>
        <v>嘉聯益</v>
      </c>
      <c r="E109" s="11">
        <v>3000</v>
      </c>
      <c r="F109" s="11">
        <v>37.799999999999997</v>
      </c>
      <c r="G109" s="11">
        <f>E109*F109</f>
        <v>113399.99999999999</v>
      </c>
      <c r="H109" s="11">
        <v>161</v>
      </c>
      <c r="I109" s="308">
        <v>46149</v>
      </c>
      <c r="J109" s="16">
        <v>19.05</v>
      </c>
      <c r="K109" s="11">
        <f>E109*J109</f>
        <v>57150</v>
      </c>
      <c r="L109" s="11">
        <f>ROUND(J109*E109*0.1425%,0)</f>
        <v>81</v>
      </c>
      <c r="M109" s="11">
        <f>ROUND(J109*E109*0.3%,0)</f>
        <v>171</v>
      </c>
      <c r="N109" s="11">
        <v>0</v>
      </c>
      <c r="O109" s="13">
        <f>IF(I109="",E109*Y109,0)</f>
        <v>0</v>
      </c>
      <c r="P109" s="14">
        <f>IF(I109="",R109-H109,(K109-H109-SUM(L109:N109)+R109-S109-T109)-G109)+(ROUND(R109*V109,0)-ROUND(R109*(1+V109),0)*W109)</f>
        <v>-54705.419999999984</v>
      </c>
      <c r="Q109" s="14">
        <f>IF(I109="",(O109-G109-(O109*0.1425%*0.65)-(O109*0.3%)-S109-T109),0)</f>
        <v>0</v>
      </c>
      <c r="R109" s="14">
        <f>1500+722</f>
        <v>2222</v>
      </c>
      <c r="S109" s="14">
        <v>20</v>
      </c>
      <c r="T109" s="14">
        <f>IF(ROUND(R109*(1+V109),0)&gt;20000,ROUND(ROUND(R109*(1+V109),0)*2%,0),0)</f>
        <v>0</v>
      </c>
      <c r="U109" s="69">
        <f>(V109*50%)/(1+50%*V109)</f>
        <v>0</v>
      </c>
      <c r="V109" s="69"/>
      <c r="W109" s="70">
        <v>0.11</v>
      </c>
      <c r="X109" s="15">
        <f>(P109+Q109)/G109</f>
        <v>-0.48241111111111101</v>
      </c>
      <c r="Y109" s="16">
        <f>VLOOKUP(C109,台股行情!A:D,4,FALSE)</f>
        <v>18.05</v>
      </c>
      <c r="Z109" s="38">
        <f>VLOOKUP(C109,台股行情!A:E,5,FALSE)</f>
        <v>-0.95</v>
      </c>
      <c r="AA109" s="90">
        <f ca="1">IF(I109="",((TODAY()-A109)*G109)/365.24,((I109-A109)*G109)/365.24)</f>
        <v>580909.53893330402</v>
      </c>
      <c r="AB109" s="103" t="s">
        <v>209</v>
      </c>
      <c r="AC109" s="311"/>
      <c r="AD109" s="339" t="s">
        <v>2983</v>
      </c>
    </row>
    <row r="110" spans="1:30">
      <c r="A110" s="58"/>
      <c r="B110" s="11"/>
      <c r="C110" s="11"/>
      <c r="D110" s="11"/>
      <c r="E110" s="11"/>
      <c r="F110" s="11"/>
      <c r="G110" s="64"/>
      <c r="H110" s="64"/>
      <c r="I110" s="12"/>
      <c r="J110" s="11"/>
      <c r="K110" s="64"/>
      <c r="L110" s="64"/>
      <c r="M110" s="64"/>
      <c r="N110" s="64"/>
      <c r="O110" s="64"/>
      <c r="P110" s="64"/>
      <c r="Q110" s="14"/>
      <c r="R110" s="64"/>
      <c r="S110" s="11"/>
      <c r="T110" s="14"/>
      <c r="U110" s="69"/>
      <c r="V110" s="57"/>
      <c r="W110" s="75"/>
      <c r="X110" s="57"/>
      <c r="Y110" s="11"/>
      <c r="Z110" s="38"/>
      <c r="AA110" s="90"/>
    </row>
    <row r="111" spans="1:30">
      <c r="A111" s="39"/>
      <c r="B111" s="40"/>
      <c r="C111" s="40"/>
      <c r="D111" s="40"/>
      <c r="E111" s="40"/>
      <c r="F111" s="40"/>
      <c r="G111" s="40"/>
      <c r="H111" s="40"/>
      <c r="I111" s="41"/>
      <c r="J111" s="42"/>
      <c r="K111" s="40"/>
      <c r="L111" s="43"/>
      <c r="M111" s="40"/>
      <c r="N111" s="40"/>
      <c r="O111" s="44"/>
      <c r="P111" s="45"/>
      <c r="Q111" s="45"/>
      <c r="R111" s="45"/>
      <c r="S111" s="45"/>
      <c r="T111" s="45"/>
      <c r="U111" s="73"/>
      <c r="V111" s="73"/>
      <c r="W111" s="76"/>
      <c r="X111" s="46"/>
      <c r="Y111" s="42"/>
      <c r="Z111" s="47"/>
      <c r="AA111" s="90"/>
    </row>
    <row r="112" spans="1:30">
      <c r="A112" s="10"/>
      <c r="B112" s="11"/>
      <c r="C112" s="11"/>
      <c r="D112" s="11"/>
      <c r="E112" s="11"/>
      <c r="F112" s="11"/>
      <c r="G112" s="11"/>
      <c r="H112" s="11"/>
      <c r="I112" s="12"/>
      <c r="J112" s="11"/>
      <c r="K112" s="11"/>
      <c r="L112" s="11"/>
      <c r="M112" s="11"/>
      <c r="N112" s="11"/>
      <c r="O112" s="13"/>
      <c r="P112" s="14"/>
      <c r="Q112" s="14"/>
      <c r="R112" s="14"/>
      <c r="S112" s="14"/>
      <c r="T112" s="14"/>
      <c r="U112" s="14"/>
      <c r="V112" s="69"/>
      <c r="W112" s="70"/>
      <c r="X112" s="15"/>
      <c r="Y112" s="16"/>
      <c r="Z112" s="38"/>
      <c r="AA112" s="90"/>
    </row>
    <row r="113" spans="1:29">
      <c r="A113" s="18">
        <f>MIN(A114:A114)</f>
        <v>0</v>
      </c>
      <c r="B113" s="19"/>
      <c r="C113" s="20"/>
      <c r="D113" s="19"/>
      <c r="E113" s="19"/>
      <c r="F113" s="19"/>
      <c r="G113" s="19"/>
      <c r="H113" s="19"/>
      <c r="I113" s="21"/>
      <c r="J113" s="22"/>
      <c r="K113" s="19"/>
      <c r="L113" s="23"/>
      <c r="M113" s="19"/>
      <c r="N113" s="19"/>
      <c r="O113" s="24"/>
      <c r="P113" s="25"/>
      <c r="Q113" s="25"/>
      <c r="R113" s="25"/>
      <c r="S113" s="25"/>
      <c r="T113" s="25"/>
      <c r="U113" s="25"/>
      <c r="V113" s="74"/>
      <c r="W113" s="77"/>
      <c r="X113" s="26"/>
      <c r="Y113" s="22"/>
      <c r="Z113" s="27"/>
      <c r="AA113" s="90"/>
    </row>
    <row r="114" spans="1:29" ht="17.25" thickBot="1">
      <c r="A114" s="48"/>
      <c r="B114" s="49"/>
      <c r="C114" s="49"/>
      <c r="D114" s="49"/>
      <c r="E114" s="49"/>
      <c r="F114" s="49"/>
      <c r="G114" s="49"/>
      <c r="H114" s="49"/>
      <c r="I114" s="50"/>
      <c r="J114" s="51"/>
      <c r="K114" s="49"/>
      <c r="L114" s="52"/>
      <c r="M114" s="49"/>
      <c r="N114" s="49"/>
      <c r="O114" s="53"/>
      <c r="P114" s="54"/>
      <c r="Q114" s="54"/>
      <c r="R114" s="54"/>
      <c r="S114" s="54"/>
      <c r="T114" s="60"/>
      <c r="U114" s="54"/>
      <c r="V114" s="54"/>
      <c r="W114" s="78"/>
      <c r="X114" s="55"/>
      <c r="Y114" s="51"/>
      <c r="Z114" s="56"/>
      <c r="AA114" s="90"/>
    </row>
    <row r="115" spans="1:29" ht="17.25" thickBot="1">
      <c r="A115" s="29"/>
      <c r="D115" s="9"/>
      <c r="I115" s="30"/>
      <c r="J115" s="31"/>
      <c r="L115" s="32"/>
      <c r="O115" s="33"/>
      <c r="P115" s="34"/>
      <c r="Q115" s="34"/>
      <c r="R115" s="34"/>
      <c r="S115" s="34"/>
      <c r="T115" s="34"/>
      <c r="U115" s="34"/>
      <c r="V115" s="34"/>
      <c r="W115" s="34"/>
      <c r="X115" s="35"/>
      <c r="Y115" s="31"/>
      <c r="Z115" s="31"/>
      <c r="AA115" s="90"/>
    </row>
    <row r="116" spans="1:29" ht="17.25" thickBot="1">
      <c r="A116" s="427"/>
      <c r="B116" s="404"/>
      <c r="C116" s="429"/>
      <c r="D116" s="61" t="s">
        <v>21</v>
      </c>
      <c r="E116" s="447"/>
      <c r="F116" s="426"/>
      <c r="G116" s="62">
        <f>SUM(G113:G114)</f>
        <v>0</v>
      </c>
      <c r="H116" s="62">
        <f>SUM(H113:H114)</f>
        <v>0</v>
      </c>
      <c r="I116" s="447"/>
      <c r="J116" s="426"/>
      <c r="K116" s="436"/>
      <c r="L116" s="437"/>
      <c r="M116" s="437"/>
      <c r="N116" s="438"/>
      <c r="O116" s="62">
        <f>SUM(O113:O114)</f>
        <v>0</v>
      </c>
      <c r="P116" s="101">
        <f>SUM(P113:P114)</f>
        <v>0</v>
      </c>
      <c r="Q116" s="101">
        <f>SUM(Q113:Q114)</f>
        <v>0</v>
      </c>
      <c r="R116" s="62">
        <f>SUM(R113:R114)</f>
        <v>0</v>
      </c>
      <c r="S116" s="71"/>
      <c r="T116" s="71"/>
      <c r="U116" s="71"/>
      <c r="V116" s="71"/>
      <c r="W116" s="71"/>
      <c r="X116" s="67" t="e">
        <f>(P116+Q116)/G116</f>
        <v>#DIV/0!</v>
      </c>
      <c r="Y116" s="445" t="s">
        <v>23</v>
      </c>
      <c r="Z116" s="84">
        <f>IF(AA116=0,0,(P116+Q116)/(AA116))</f>
        <v>0</v>
      </c>
      <c r="AA116" s="90">
        <f>SUM(AA113:AA114)</f>
        <v>0</v>
      </c>
    </row>
    <row r="117" spans="1:29" s="36" customFormat="1" ht="17.25" thickBot="1">
      <c r="A117" s="409"/>
      <c r="B117" s="407"/>
      <c r="C117" s="430"/>
      <c r="D117" s="61" t="s">
        <v>227</v>
      </c>
      <c r="E117" s="425"/>
      <c r="F117" s="426"/>
      <c r="G117" s="63">
        <f>SUM(G2:G114)</f>
        <v>8499700</v>
      </c>
      <c r="H117" s="63">
        <f>SUM(H2:H114)</f>
        <v>12122</v>
      </c>
      <c r="I117" s="425"/>
      <c r="J117" s="426"/>
      <c r="K117" s="63">
        <f>SUM(K22:K114)</f>
        <v>7208521</v>
      </c>
      <c r="L117" s="63">
        <f>SUM(L22:L114)</f>
        <v>10151</v>
      </c>
      <c r="M117" s="63">
        <f>SUM(M22:M114)</f>
        <v>21017</v>
      </c>
      <c r="N117" s="63">
        <f>SUM(N22:N114)</f>
        <v>0</v>
      </c>
      <c r="O117" s="63">
        <f>SUM(O22:O114)</f>
        <v>0</v>
      </c>
      <c r="P117" s="102">
        <f>SUM(P2:P114)</f>
        <v>71433.409999999989</v>
      </c>
      <c r="Q117" s="101">
        <f>SUM(Q22:Q114)</f>
        <v>0</v>
      </c>
      <c r="R117" s="63">
        <f>SUM(R2:R114)</f>
        <v>101369</v>
      </c>
      <c r="S117" s="72"/>
      <c r="T117" s="72"/>
      <c r="U117" s="72"/>
      <c r="V117" s="72"/>
      <c r="W117" s="72"/>
      <c r="X117" s="67">
        <f>(P117+Q117)/G117</f>
        <v>8.4042272080191056E-3</v>
      </c>
      <c r="Y117" s="417"/>
      <c r="Z117" s="84">
        <f ca="1">IF(AA117=0,0,(P117+Q117)/(AA117))</f>
        <v>1.6379081910323588E-2</v>
      </c>
      <c r="AA117" s="90">
        <f ca="1">SUM(AA22:AA114)</f>
        <v>4361258.4875698164</v>
      </c>
      <c r="AB117" s="87"/>
      <c r="AC117" s="88"/>
    </row>
    <row r="118" spans="1:29" s="36" customFormat="1" ht="17.25" thickBot="1">
      <c r="A118" s="410"/>
      <c r="B118" s="411"/>
      <c r="C118" s="431"/>
      <c r="D118" s="61" t="s">
        <v>20</v>
      </c>
      <c r="E118" s="425"/>
      <c r="F118" s="426"/>
      <c r="G118" s="63">
        <f>SUM(G2:G114)</f>
        <v>8499700</v>
      </c>
      <c r="H118" s="63">
        <f>SUM(H2:H114)</f>
        <v>12122</v>
      </c>
      <c r="I118" s="425"/>
      <c r="J118" s="426"/>
      <c r="K118" s="63">
        <f>SUM(K22:K114)</f>
        <v>7208521</v>
      </c>
      <c r="L118" s="63">
        <f>SUM(L22:L114)</f>
        <v>10151</v>
      </c>
      <c r="M118" s="63">
        <f>SUM(M22:M114)</f>
        <v>21017</v>
      </c>
      <c r="N118" s="63">
        <f>SUM(N22:N114)</f>
        <v>0</v>
      </c>
      <c r="O118" s="63">
        <f>SUM(O22:O114)</f>
        <v>0</v>
      </c>
      <c r="P118" s="102">
        <f>SUM(P2:P114)</f>
        <v>71433.409999999989</v>
      </c>
      <c r="Q118" s="101">
        <f>SUM(Q22:Q114)</f>
        <v>0</v>
      </c>
      <c r="R118" s="63">
        <f>SUM(R2:R114)</f>
        <v>101369</v>
      </c>
      <c r="S118" s="72"/>
      <c r="T118" s="72"/>
      <c r="U118" s="72"/>
      <c r="V118" s="72"/>
      <c r="W118" s="72"/>
      <c r="X118" s="67">
        <f>(P118+Q118)/G118</f>
        <v>8.4042272080191056E-3</v>
      </c>
      <c r="Y118" s="418"/>
      <c r="Z118" s="84">
        <f ca="1">IF(AA118=0,0,(P118+Q118)/(AA118))</f>
        <v>1.6379081910323588E-2</v>
      </c>
      <c r="AA118" s="90">
        <f ca="1">AA117</f>
        <v>4361258.4875698164</v>
      </c>
      <c r="AB118" s="87"/>
      <c r="AC118" s="87"/>
    </row>
    <row r="119" spans="1:29" ht="17.25" thickBot="1">
      <c r="A119" s="66"/>
      <c r="C119" s="65"/>
      <c r="D119" s="9"/>
      <c r="P119" s="128"/>
    </row>
    <row r="120" spans="1:29" ht="17.25" thickBot="1">
      <c r="A120" s="421" t="s">
        <v>2660</v>
      </c>
      <c r="B120" s="439"/>
      <c r="C120" s="439"/>
      <c r="D120" s="251" t="s">
        <v>2658</v>
      </c>
      <c r="E120" s="421"/>
      <c r="F120" s="439"/>
      <c r="G120" s="251" t="s">
        <v>2652</v>
      </c>
      <c r="H120" s="251" t="s">
        <v>25</v>
      </c>
      <c r="I120" s="421"/>
      <c r="J120" s="246"/>
      <c r="K120" s="246"/>
      <c r="L120" s="246"/>
      <c r="M120" s="246"/>
      <c r="N120" s="246"/>
      <c r="O120" s="251" t="s">
        <v>2653</v>
      </c>
      <c r="P120" s="251" t="s">
        <v>2654</v>
      </c>
      <c r="Q120" s="251" t="s">
        <v>2655</v>
      </c>
      <c r="R120" s="251" t="s">
        <v>2656</v>
      </c>
      <c r="S120" s="246" t="s">
        <v>25</v>
      </c>
      <c r="T120" s="246" t="s">
        <v>26</v>
      </c>
      <c r="U120" s="421"/>
      <c r="V120" s="246" t="s">
        <v>28</v>
      </c>
      <c r="W120" s="246" t="s">
        <v>27</v>
      </c>
      <c r="X120" s="251" t="s">
        <v>2657</v>
      </c>
      <c r="Y120" s="251" t="s">
        <v>23</v>
      </c>
      <c r="Z120" s="251" t="s">
        <v>168</v>
      </c>
      <c r="AA120" s="89"/>
    </row>
    <row r="121" spans="1:29">
      <c r="A121" s="441"/>
      <c r="B121" s="441"/>
      <c r="C121" s="441"/>
      <c r="D121" s="264" t="s">
        <v>219</v>
      </c>
      <c r="E121" s="441"/>
      <c r="F121" s="441"/>
      <c r="G121" s="265">
        <f>SUMIF(AB$2:AB$115,D121,G$2:G$115)</f>
        <v>1510900</v>
      </c>
      <c r="H121" s="265">
        <f>SUMIF(AB$2:AB$115,D121,H$2:H$115)</f>
        <v>2154</v>
      </c>
      <c r="I121" s="441"/>
      <c r="J121" s="249"/>
      <c r="K121" s="257"/>
      <c r="L121" s="257"/>
      <c r="M121" s="257"/>
      <c r="N121" s="257"/>
      <c r="O121" s="265">
        <f>SUMIF(AI$2:AI$115,K121,O$2:O$115)</f>
        <v>0</v>
      </c>
      <c r="P121" s="266">
        <f>SUMIF(AB$2:AB$115,D121,P$2:P$115)</f>
        <v>38936</v>
      </c>
      <c r="Q121" s="266">
        <f>SUMIF(AB$2:AB$115,"*"&amp;D121&amp;"*",Q$2:Q$115)</f>
        <v>0</v>
      </c>
      <c r="R121" s="265">
        <f>SUMIF(AB$2:AB$115,D121,R$2:R$115)</f>
        <v>3900</v>
      </c>
      <c r="S121" s="257"/>
      <c r="T121" s="257"/>
      <c r="U121" s="423"/>
      <c r="V121" s="257"/>
      <c r="W121" s="257"/>
      <c r="X121" s="267">
        <f>(SUMIF(AB$2:AB$115,D121,P$2:P$115)+SUMIF(AB$2:AB$115,D121,Q$2:Q$115))/SUMIF(AB$2:AB$115,D121,G$2:G$115)</f>
        <v>2.5770070818717322E-2</v>
      </c>
      <c r="Y121" s="267">
        <f ca="1">(P121+Q121)/(AA121)</f>
        <v>0.2119585001471832</v>
      </c>
      <c r="Z121" s="268">
        <f>COUNTIFS(X$2:X$115,"&gt;0",AB$2:AB$115,D121)/COUNTIF(AB$2:AB$115,D121)</f>
        <v>0.66666666666666663</v>
      </c>
      <c r="AA121" s="9">
        <f ca="1">SUMIF(AB$22:AB$115,D121,AA$22:AA$115)</f>
        <v>183696.33665534991</v>
      </c>
    </row>
    <row r="122" spans="1:29">
      <c r="A122" s="441"/>
      <c r="B122" s="441"/>
      <c r="C122" s="441"/>
      <c r="D122" s="247" t="s">
        <v>2661</v>
      </c>
      <c r="E122" s="441"/>
      <c r="F122" s="441"/>
      <c r="G122" s="265">
        <f>SUMIF(AB$2:AB$115,D122,G$2:G$115)</f>
        <v>572350</v>
      </c>
      <c r="H122" s="265">
        <f>SUMIF(AB$2:AB$115,D122,H$2:H$115)</f>
        <v>810</v>
      </c>
      <c r="I122" s="441"/>
      <c r="J122" s="249"/>
      <c r="K122" s="257"/>
      <c r="L122" s="257"/>
      <c r="M122" s="257"/>
      <c r="N122" s="257"/>
      <c r="O122" s="265">
        <f>SUMIF(AI$2:AI$115,K122,O$2:O$115)</f>
        <v>0</v>
      </c>
      <c r="P122" s="266">
        <f>SUMIF(AB$2:AB$115,D122,P$2:P$115)</f>
        <v>-4624.5000000000073</v>
      </c>
      <c r="Q122" s="266">
        <f>SUMIF(AB$2:AB$115,"*"&amp;D122&amp;"*",Q$2:Q$115)</f>
        <v>0</v>
      </c>
      <c r="R122" s="265">
        <f>SUMIF(AB$2:AB$115,D122,R$2:R$115)</f>
        <v>21550</v>
      </c>
      <c r="S122" s="257"/>
      <c r="T122" s="257"/>
      <c r="U122" s="423"/>
      <c r="V122" s="257"/>
      <c r="W122" s="257"/>
      <c r="X122" s="267">
        <f>(SUMIF(AB$2:AB$115,D122,P$2:P$115)+SUMIF(AB$2:AB$115,D122,Q$2:Q$115))/SUMIF(AB$2:AB$115,D122,G$2:G$115)</f>
        <v>-8.0798462479252341E-3</v>
      </c>
      <c r="Y122" s="267">
        <f t="shared" ref="Y122:Y125" ca="1" si="43">(P122+Q122)/(AA122)</f>
        <v>-3.3019195697667765E-2</v>
      </c>
      <c r="Z122" s="268">
        <f>COUNTIFS(X$2:X$115,"&gt;0",AB$2:AB$115,D122)/COUNTIF(AB$2:AB$115,D122)</f>
        <v>0.5</v>
      </c>
      <c r="AA122" s="9">
        <f ca="1">SUMIF(AB$22:AB$115,D122,AA$22:AA$115)</f>
        <v>140054.89541123644</v>
      </c>
    </row>
    <row r="123" spans="1:29">
      <c r="A123" s="441"/>
      <c r="B123" s="441"/>
      <c r="C123" s="441"/>
      <c r="D123" s="247" t="s">
        <v>209</v>
      </c>
      <c r="E123" s="441"/>
      <c r="F123" s="441"/>
      <c r="G123" s="265">
        <f>SUMIF(AB$2:AB$115,D123,G$2:G$115)</f>
        <v>3613050</v>
      </c>
      <c r="H123" s="265">
        <f>SUMIF(AB$2:AB$115,D123,H$2:H$115)</f>
        <v>5132</v>
      </c>
      <c r="I123" s="441"/>
      <c r="J123" s="249"/>
      <c r="K123" s="257"/>
      <c r="L123" s="257"/>
      <c r="M123" s="257"/>
      <c r="N123" s="257"/>
      <c r="O123" s="265">
        <f>SUMIF(AI$2:AI$115,K123,O$2:O$115)</f>
        <v>0</v>
      </c>
      <c r="P123" s="266">
        <f>SUMIF(AB$2:AB$115,D123,P$2:P$115)</f>
        <v>152093.12000000002</v>
      </c>
      <c r="Q123" s="266">
        <f>SUMIF(AB$2:AB$115,"*"&amp;D123&amp;"*",Q$2:Q$115)</f>
        <v>0</v>
      </c>
      <c r="R123" s="265">
        <f>SUMIF(AB$2:AB$115,D123,R$2:R$115)</f>
        <v>22708</v>
      </c>
      <c r="S123" s="257"/>
      <c r="T123" s="257"/>
      <c r="U123" s="423"/>
      <c r="V123" s="257"/>
      <c r="W123" s="257"/>
      <c r="X123" s="267">
        <f>(SUMIF(AB$2:AB$115,D123,P$2:P$115)+SUMIF(AB$2:AB$115,D123,Q$2:Q$115))/SUMIF(AB$2:AB$115,D123,G$2:G$115)</f>
        <v>4.2095492727750802E-2</v>
      </c>
      <c r="Y123" s="267">
        <f t="shared" ca="1" si="43"/>
        <v>0.10267134647114497</v>
      </c>
      <c r="Z123" s="268">
        <f>COUNTIFS(X$2:X$115,"&gt;0",AB$2:AB$115,D123)/COUNTIF(AB$2:AB$115,D123)</f>
        <v>0.6</v>
      </c>
      <c r="AA123" s="9">
        <f ca="1">SUMIF(AB$22:AB$115,D123,AA$22:AA$115)</f>
        <v>1481358.9694447485</v>
      </c>
    </row>
    <row r="124" spans="1:29" ht="17.25" thickBot="1">
      <c r="A124" s="442"/>
      <c r="B124" s="442"/>
      <c r="C124" s="442"/>
      <c r="D124" s="247" t="s">
        <v>2662</v>
      </c>
      <c r="E124" s="442"/>
      <c r="F124" s="442"/>
      <c r="G124" s="265">
        <f>SUMIF(AB$2:AB$115,D124,G$2:G$115)</f>
        <v>455150</v>
      </c>
      <c r="H124" s="265">
        <f>SUMIF(AB$2:AB$115,D124,H$2:H$115)</f>
        <v>768</v>
      </c>
      <c r="I124" s="442"/>
      <c r="J124" s="250"/>
      <c r="K124" s="261"/>
      <c r="L124" s="261"/>
      <c r="M124" s="261"/>
      <c r="N124" s="261"/>
      <c r="O124" s="265">
        <f>SUMIF(AI$2:AI$115,K124,O$2:O$115)</f>
        <v>0</v>
      </c>
      <c r="P124" s="266">
        <f>SUMIF(AB$2:AB$115,D124,P$2:P$115)</f>
        <v>3685</v>
      </c>
      <c r="Q124" s="266">
        <f>SUMIF(AB$2:AB$115,"*"&amp;D124&amp;"*",Q$2:Q$115)</f>
        <v>0</v>
      </c>
      <c r="R124" s="265">
        <f>SUMIF(AB$2:AB$115,D124,R$2:R$115)</f>
        <v>0</v>
      </c>
      <c r="S124" s="261"/>
      <c r="T124" s="261"/>
      <c r="U124" s="444"/>
      <c r="V124" s="261"/>
      <c r="W124" s="261"/>
      <c r="X124" s="267">
        <f>(SUMIF(AB$2:AB$115,D124,P$2:P$115)+SUMIF(AB$2:AB$115,D124,Q$2:Q$115))/SUMIF(AB$2:AB$115,D124,G$2:G$115)</f>
        <v>8.0962320114248056E-3</v>
      </c>
      <c r="Y124" s="267">
        <f t="shared" ca="1" si="43"/>
        <v>0.1828072720358033</v>
      </c>
      <c r="Z124" s="268">
        <f>COUNTIFS(X$2:X$115,"&gt;0",AB$2:AB$115,D124)/COUNTIF(AB$2:AB$115,D124)</f>
        <v>0.54545454545454541</v>
      </c>
      <c r="AA124" s="9">
        <f ca="1">SUMIF(AB$22:AB$115,D124,AA$22:AA$115)</f>
        <v>20157.841419340708</v>
      </c>
    </row>
    <row r="125" spans="1:29" ht="17.25" thickBot="1">
      <c r="A125" s="443"/>
      <c r="B125" s="443"/>
      <c r="C125" s="443"/>
      <c r="D125" s="248" t="s">
        <v>2663</v>
      </c>
      <c r="E125" s="443"/>
      <c r="F125" s="443"/>
      <c r="G125" s="252">
        <f>SUMIF(AB$2:AB$115,D125,G$2:G$115)</f>
        <v>1846200</v>
      </c>
      <c r="H125" s="252">
        <f>SUMIF(AB$2:AB$115,D125,H$2:H$115)</f>
        <v>2546</v>
      </c>
      <c r="I125" s="443"/>
      <c r="J125" s="250"/>
      <c r="K125" s="261"/>
      <c r="L125" s="261"/>
      <c r="M125" s="261"/>
      <c r="N125" s="261"/>
      <c r="O125" s="252">
        <f>SUMIF(AI$2:AI$115,K125,O$2:O$115)</f>
        <v>0</v>
      </c>
      <c r="P125" s="253">
        <f>SUMIF(AB$2:AB$115,D125,P$2:P$115)</f>
        <v>-147576.87999999998</v>
      </c>
      <c r="Q125" s="253">
        <f>SUMIF(AB$2:AB$115,"*"&amp;D125&amp;"*",Q$2:Q$115)</f>
        <v>0</v>
      </c>
      <c r="R125" s="252">
        <f>SUMIF(AB$2:AB$115,D125,R$2:R$115)</f>
        <v>50308</v>
      </c>
      <c r="S125" s="261"/>
      <c r="T125" s="261"/>
      <c r="U125" s="424"/>
      <c r="V125" s="261"/>
      <c r="W125" s="261"/>
      <c r="X125" s="254">
        <f>(SUMIF(AB$2:AB$115,D125,P$2:P$115)+SUMIF(AB$2:AB$115,D125,Q$2:Q$115))/SUMIF(AB$2:AB$115,D125,G$2:G$115)</f>
        <v>-7.9935478279709662E-2</v>
      </c>
      <c r="Y125" s="254">
        <f t="shared" ca="1" si="43"/>
        <v>-6.3006786609068513E-2</v>
      </c>
      <c r="Z125" s="255">
        <f>COUNTIFS(X$2:X$115,"&gt;0",AB$2:AB$115,D125)/COUNTIF(AB$2:AB$115,D125)</f>
        <v>0.61904761904761907</v>
      </c>
      <c r="AA125" s="9">
        <f ca="1">SUMIF(AB$22:AB$115,D125,AA$22:AA$115)</f>
        <v>2342237.8436096814</v>
      </c>
    </row>
    <row r="126" spans="1:29">
      <c r="B126" s="37"/>
      <c r="C126" s="37"/>
      <c r="D126" s="9"/>
    </row>
    <row r="127" spans="1:29">
      <c r="A127" s="37"/>
      <c r="B127" s="37"/>
      <c r="C127" s="37"/>
      <c r="D127" s="9"/>
    </row>
    <row r="128" spans="1:29">
      <c r="A128" s="37"/>
      <c r="B128" s="37"/>
      <c r="C128" s="37"/>
      <c r="D128" s="9"/>
    </row>
    <row r="129" spans="1:4">
      <c r="A129" s="37"/>
      <c r="B129" s="37"/>
      <c r="C129" s="37"/>
      <c r="D129" s="9"/>
    </row>
    <row r="130" spans="1:4">
      <c r="A130" s="37"/>
      <c r="B130" s="37"/>
      <c r="C130" s="37"/>
      <c r="D130" s="9"/>
    </row>
    <row r="131" spans="1:4">
      <c r="A131" s="37"/>
      <c r="B131" s="37"/>
      <c r="C131" s="37"/>
      <c r="D131" s="9"/>
    </row>
    <row r="132" spans="1:4">
      <c r="A132" s="37"/>
      <c r="B132" s="37"/>
      <c r="C132" s="37"/>
      <c r="D132" s="9"/>
    </row>
    <row r="133" spans="1:4">
      <c r="A133" s="37"/>
      <c r="B133" s="37"/>
      <c r="C133" s="37"/>
      <c r="D133" s="9"/>
    </row>
    <row r="134" spans="1:4">
      <c r="A134" s="37"/>
      <c r="B134" s="37"/>
      <c r="C134" s="37"/>
      <c r="D134" s="9"/>
    </row>
  </sheetData>
  <autoFilter ref="A1:AA136" xr:uid="{00000000-0009-0000-0000-000001000000}"/>
  <mergeCells count="9">
    <mergeCell ref="Y116:Y118"/>
    <mergeCell ref="A120:C125"/>
    <mergeCell ref="E120:F125"/>
    <mergeCell ref="I120:I125"/>
    <mergeCell ref="U120:U125"/>
    <mergeCell ref="A116:C118"/>
    <mergeCell ref="E116:F118"/>
    <mergeCell ref="I116:J118"/>
    <mergeCell ref="K116:N116"/>
  </mergeCells>
  <phoneticPr fontId="74" type="noConversion"/>
  <conditionalFormatting sqref="I110:I115">
    <cfRule type="expression" dxfId="1789" priority="833">
      <formula>$I110&gt;(TODAY()-7)</formula>
    </cfRule>
    <cfRule type="expression" dxfId="1788" priority="834">
      <formula>$I110&gt;(TODAY()-30)</formula>
    </cfRule>
  </conditionalFormatting>
  <conditionalFormatting sqref="Z2:Z21">
    <cfRule type="containsText" dxfId="1787" priority="135" operator="containsText" text="▲">
      <formula>NOT(ISERROR(SEARCH("▲",Z2)))</formula>
    </cfRule>
    <cfRule type="containsText" dxfId="1786" priority="136" operator="containsText" text="▼">
      <formula>NOT(ISERROR(SEARCH("▼",Z2)))</formula>
    </cfRule>
  </conditionalFormatting>
  <conditionalFormatting sqref="Z2:Z102">
    <cfRule type="cellIs" dxfId="1785" priority="111" operator="lessThan">
      <formula>0</formula>
    </cfRule>
    <cfRule type="cellIs" dxfId="1784" priority="112" operator="greaterThan">
      <formula>0</formula>
    </cfRule>
  </conditionalFormatting>
  <conditionalFormatting sqref="Z22:Z96 Z110:AA119 Z1:AA1 Z126:AA1048576">
    <cfRule type="containsText" dxfId="1783" priority="835" operator="containsText" text="△">
      <formula>NOT(ISERROR(SEARCH("△",Z1)))</formula>
    </cfRule>
  </conditionalFormatting>
  <conditionalFormatting sqref="Z86">
    <cfRule type="containsText" dxfId="1782" priority="511" operator="containsText" text="▲">
      <formula>NOT(ISERROR(SEARCH("▲",Z86)))</formula>
    </cfRule>
    <cfRule type="containsText" dxfId="1781" priority="512" operator="containsText" text="▼">
      <formula>NOT(ISERROR(SEARCH("▼",Z86)))</formula>
    </cfRule>
  </conditionalFormatting>
  <conditionalFormatting sqref="Z88:Z99">
    <cfRule type="containsText" dxfId="1780" priority="129" operator="containsText" text="▲">
      <formula>NOT(ISERROR(SEARCH("▲",Z88)))</formula>
    </cfRule>
    <cfRule type="containsText" dxfId="1779" priority="130" operator="containsText" text="▼">
      <formula>NOT(ISERROR(SEARCH("▼",Z88)))</formula>
    </cfRule>
  </conditionalFormatting>
  <conditionalFormatting sqref="Z100:Z103">
    <cfRule type="cellIs" dxfId="1778" priority="53" operator="lessThan">
      <formula>0</formula>
    </cfRule>
    <cfRule type="cellIs" dxfId="1777" priority="54" operator="greaterThan">
      <formula>0</formula>
    </cfRule>
    <cfRule type="containsText" dxfId="1776" priority="79" operator="containsText" text="▲">
      <formula>NOT(ISERROR(SEARCH("▲",Z100)))</formula>
    </cfRule>
    <cfRule type="containsText" dxfId="1775" priority="80" operator="containsText" text="▼">
      <formula>NOT(ISERROR(SEARCH("▼",Z100)))</formula>
    </cfRule>
  </conditionalFormatting>
  <conditionalFormatting sqref="Z104:Z108">
    <cfRule type="containsText" dxfId="1774" priority="13" operator="containsText" text="▲">
      <formula>NOT(ISERROR(SEARCH("▲",Z104)))</formula>
    </cfRule>
    <cfRule type="containsText" dxfId="1773" priority="14" operator="containsText" text="▼">
      <formula>NOT(ISERROR(SEARCH("▼",Z104)))</formula>
    </cfRule>
  </conditionalFormatting>
  <conditionalFormatting sqref="Z104:Z114">
    <cfRule type="cellIs" dxfId="1772" priority="1" operator="lessThan">
      <formula>0</formula>
    </cfRule>
    <cfRule type="cellIs" dxfId="1771" priority="2" operator="greaterThan">
      <formula>0</formula>
    </cfRule>
  </conditionalFormatting>
  <conditionalFormatting sqref="Z1:AA1 Z22:Z96 Z110:AA119 Z126:AA1048576">
    <cfRule type="containsText" dxfId="1770" priority="836" operator="containsText" text="▽">
      <formula>NOT(ISERROR(SEARCH("▽",Z1)))</formula>
    </cfRule>
  </conditionalFormatting>
  <conditionalFormatting sqref="Z97:AA99">
    <cfRule type="containsText" dxfId="1769" priority="131" operator="containsText" text="△">
      <formula>NOT(ISERROR(SEARCH("△",Z97)))</formula>
    </cfRule>
    <cfRule type="containsText" dxfId="1768" priority="132" operator="containsText" text="▽">
      <formula>NOT(ISERROR(SEARCH("▽",Z97)))</formula>
    </cfRule>
  </conditionalFormatting>
  <conditionalFormatting sqref="Z100:AA102">
    <cfRule type="containsText" dxfId="1767" priority="107" operator="containsText" text="△">
      <formula>NOT(ISERROR(SEARCH("△",Z100)))</formula>
    </cfRule>
    <cfRule type="containsText" dxfId="1766" priority="108" operator="containsText" text="▽">
      <formula>NOT(ISERROR(SEARCH("▽",Z100)))</formula>
    </cfRule>
    <cfRule type="containsText" dxfId="1765" priority="109" operator="containsText" text="▲">
      <formula>NOT(ISERROR(SEARCH("▲",Z100)))</formula>
    </cfRule>
    <cfRule type="containsText" dxfId="1764" priority="110" operator="containsText" text="▼">
      <formula>NOT(ISERROR(SEARCH("▼",Z100)))</formula>
    </cfRule>
  </conditionalFormatting>
  <conditionalFormatting sqref="Z103:AA103">
    <cfRule type="containsText" dxfId="1763" priority="51" operator="containsText" text="△">
      <formula>NOT(ISERROR(SEARCH("△",Z103)))</formula>
    </cfRule>
    <cfRule type="containsText" dxfId="1762" priority="52" operator="containsText" text="▽">
      <formula>NOT(ISERROR(SEARCH("▽",Z103)))</formula>
    </cfRule>
  </conditionalFormatting>
  <conditionalFormatting sqref="Z104:AA104">
    <cfRule type="containsText" dxfId="1761" priority="49" operator="containsText" text="▲">
      <formula>NOT(ISERROR(SEARCH("▲",Z104)))</formula>
    </cfRule>
    <cfRule type="containsText" dxfId="1760" priority="50" operator="containsText" text="▼">
      <formula>NOT(ISERROR(SEARCH("▼",Z104)))</formula>
    </cfRule>
  </conditionalFormatting>
  <conditionalFormatting sqref="Z105:AA106">
    <cfRule type="containsText" dxfId="1759" priority="39" operator="containsText" text="▲">
      <formula>NOT(ISERROR(SEARCH("▲",Z105)))</formula>
    </cfRule>
    <cfRule type="containsText" dxfId="1758" priority="40" operator="containsText" text="▼">
      <formula>NOT(ISERROR(SEARCH("▼",Z105)))</formula>
    </cfRule>
  </conditionalFormatting>
  <conditionalFormatting sqref="Z107:AA107">
    <cfRule type="containsText" dxfId="1757" priority="25" operator="containsText" text="▲">
      <formula>NOT(ISERROR(SEARCH("▲",Z107)))</formula>
    </cfRule>
    <cfRule type="containsText" dxfId="1756" priority="26" operator="containsText" text="▼">
      <formula>NOT(ISERROR(SEARCH("▼",Z107)))</formula>
    </cfRule>
  </conditionalFormatting>
  <conditionalFormatting sqref="Z108:AA108">
    <cfRule type="containsText" dxfId="1755" priority="15" operator="containsText" text="▲">
      <formula>NOT(ISERROR(SEARCH("▲",Z108)))</formula>
    </cfRule>
    <cfRule type="containsText" dxfId="1754" priority="16" operator="containsText" text="▼">
      <formula>NOT(ISERROR(SEARCH("▼",Z108)))</formula>
    </cfRule>
  </conditionalFormatting>
  <conditionalFormatting sqref="Z109:AA109">
    <cfRule type="containsText" dxfId="1753" priority="3" operator="containsText" text="▲">
      <formula>NOT(ISERROR(SEARCH("▲",Z109)))</formula>
    </cfRule>
    <cfRule type="containsText" dxfId="1752" priority="4" operator="containsText" text="▼">
      <formula>NOT(ISERROR(SEARCH("▼",Z109)))</formula>
    </cfRule>
    <cfRule type="containsText" dxfId="1751" priority="5" operator="containsText" text="▲">
      <formula>NOT(ISERROR(SEARCH("▲",Z109)))</formula>
    </cfRule>
    <cfRule type="containsText" dxfId="1750" priority="6" operator="containsText" text="▼">
      <formula>NOT(ISERROR(SEARCH("▼",Z109)))</formula>
    </cfRule>
  </conditionalFormatting>
  <conditionalFormatting sqref="AA2:AA18">
    <cfRule type="containsText" dxfId="1749" priority="157" operator="containsText" text="△">
      <formula>NOT(ISERROR(SEARCH("△",AA2)))</formula>
    </cfRule>
    <cfRule type="containsText" dxfId="1748" priority="158" operator="containsText" text="▽">
      <formula>NOT(ISERROR(SEARCH("▽",AA2)))</formula>
    </cfRule>
    <cfRule type="containsText" dxfId="1747" priority="159" operator="containsText" text="△">
      <formula>NOT(ISERROR(SEARCH("△",AA2)))</formula>
    </cfRule>
    <cfRule type="containsText" dxfId="1746" priority="160" operator="containsText" text="▽">
      <formula>NOT(ISERROR(SEARCH("▽",AA2)))</formula>
    </cfRule>
    <cfRule type="containsText" dxfId="1745" priority="181" operator="containsText" text="△">
      <formula>NOT(ISERROR(SEARCH("△",AA2)))</formula>
    </cfRule>
    <cfRule type="containsText" dxfId="1744" priority="182" operator="containsText" text="▽">
      <formula>NOT(ISERROR(SEARCH("▽",AA2)))</formula>
    </cfRule>
    <cfRule type="containsText" dxfId="1743" priority="183" operator="containsText" text="△">
      <formula>NOT(ISERROR(SEARCH("△",AA2)))</formula>
    </cfRule>
    <cfRule type="containsText" dxfId="1742" priority="184" operator="containsText" text="▽">
      <formula>NOT(ISERROR(SEARCH("▽",AA2)))</formula>
    </cfRule>
    <cfRule type="containsText" dxfId="1741" priority="185" operator="containsText" text="△">
      <formula>NOT(ISERROR(SEARCH("△",AA2)))</formula>
    </cfRule>
    <cfRule type="containsText" dxfId="1740" priority="186" operator="containsText" text="▽">
      <formula>NOT(ISERROR(SEARCH("▽",AA2)))</formula>
    </cfRule>
    <cfRule type="containsText" dxfId="1739" priority="187" operator="containsText" text="△">
      <formula>NOT(ISERROR(SEARCH("△",AA2)))</formula>
    </cfRule>
    <cfRule type="containsText" dxfId="1738" priority="188" operator="containsText" text="▽">
      <formula>NOT(ISERROR(SEARCH("▽",AA2)))</formula>
    </cfRule>
    <cfRule type="containsText" dxfId="1737" priority="189" operator="containsText" text="△">
      <formula>NOT(ISERROR(SEARCH("△",AA2)))</formula>
    </cfRule>
    <cfRule type="containsText" dxfId="1736" priority="190" operator="containsText" text="▽">
      <formula>NOT(ISERROR(SEARCH("▽",AA2)))</formula>
    </cfRule>
    <cfRule type="containsText" dxfId="1735" priority="191" operator="containsText" text="△">
      <formula>NOT(ISERROR(SEARCH("△",AA2)))</formula>
    </cfRule>
    <cfRule type="containsText" dxfId="1734" priority="192" operator="containsText" text="▽">
      <formula>NOT(ISERROR(SEARCH("▽",AA2)))</formula>
    </cfRule>
    <cfRule type="containsText" dxfId="1733" priority="205" operator="containsText" text="△">
      <formula>NOT(ISERROR(SEARCH("△",AA2)))</formula>
    </cfRule>
    <cfRule type="containsText" dxfId="1732" priority="206" operator="containsText" text="▽">
      <formula>NOT(ISERROR(SEARCH("▽",AA2)))</formula>
    </cfRule>
    <cfRule type="containsText" dxfId="1731" priority="209" operator="containsText" text="△">
      <formula>NOT(ISERROR(SEARCH("△",AA2)))</formula>
    </cfRule>
    <cfRule type="containsText" dxfId="1730" priority="210" operator="containsText" text="▽">
      <formula>NOT(ISERROR(SEARCH("▽",AA2)))</formula>
    </cfRule>
    <cfRule type="containsText" dxfId="1729" priority="211" operator="containsText" text="△">
      <formula>NOT(ISERROR(SEARCH("△",AA2)))</formula>
    </cfRule>
    <cfRule type="containsText" dxfId="1728" priority="212" operator="containsText" text="▽">
      <formula>NOT(ISERROR(SEARCH("▽",AA2)))</formula>
    </cfRule>
    <cfRule type="containsText" dxfId="1727" priority="217" operator="containsText" text="△">
      <formula>NOT(ISERROR(SEARCH("△",AA2)))</formula>
    </cfRule>
    <cfRule type="containsText" dxfId="1726" priority="218" operator="containsText" text="▽">
      <formula>NOT(ISERROR(SEARCH("▽",AA2)))</formula>
    </cfRule>
    <cfRule type="containsText" dxfId="1725" priority="219" operator="containsText" text="△">
      <formula>NOT(ISERROR(SEARCH("△",AA2)))</formula>
    </cfRule>
    <cfRule type="containsText" dxfId="1724" priority="220" operator="containsText" text="▽">
      <formula>NOT(ISERROR(SEARCH("▽",AA2)))</formula>
    </cfRule>
    <cfRule type="containsText" dxfId="1723" priority="223" operator="containsText" text="△">
      <formula>NOT(ISERROR(SEARCH("△",AA2)))</formula>
    </cfRule>
    <cfRule type="containsText" dxfId="1722" priority="224" operator="containsText" text="▽">
      <formula>NOT(ISERROR(SEARCH("▽",AA2)))</formula>
    </cfRule>
    <cfRule type="containsText" dxfId="1721" priority="227" operator="containsText" text="△">
      <formula>NOT(ISERROR(SEARCH("△",AA2)))</formula>
    </cfRule>
    <cfRule type="containsText" dxfId="1720" priority="228" operator="containsText" text="▽">
      <formula>NOT(ISERROR(SEARCH("▽",AA2)))</formula>
    </cfRule>
    <cfRule type="containsText" dxfId="1719" priority="229" operator="containsText" text="△">
      <formula>NOT(ISERROR(SEARCH("△",AA2)))</formula>
    </cfRule>
    <cfRule type="containsText" dxfId="1718" priority="230" operator="containsText" text="▽">
      <formula>NOT(ISERROR(SEARCH("▽",AA2)))</formula>
    </cfRule>
    <cfRule type="containsText" dxfId="1717" priority="231" operator="containsText" text="△">
      <formula>NOT(ISERROR(SEARCH("△",AA2)))</formula>
    </cfRule>
    <cfRule type="containsText" dxfId="1716" priority="232" operator="containsText" text="▽">
      <formula>NOT(ISERROR(SEARCH("▽",AA2)))</formula>
    </cfRule>
    <cfRule type="containsText" dxfId="1715" priority="233" operator="containsText" text="△">
      <formula>NOT(ISERROR(SEARCH("△",AA2)))</formula>
    </cfRule>
    <cfRule type="containsText" dxfId="1714" priority="234" operator="containsText" text="▽">
      <formula>NOT(ISERROR(SEARCH("▽",AA2)))</formula>
    </cfRule>
    <cfRule type="containsText" dxfId="1713" priority="235" operator="containsText" text="△">
      <formula>NOT(ISERROR(SEARCH("△",AA2)))</formula>
    </cfRule>
    <cfRule type="containsText" dxfId="1712" priority="236" operator="containsText" text="▽">
      <formula>NOT(ISERROR(SEARCH("▽",AA2)))</formula>
    </cfRule>
    <cfRule type="containsText" dxfId="1711" priority="237" operator="containsText" text="△">
      <formula>NOT(ISERROR(SEARCH("△",AA2)))</formula>
    </cfRule>
    <cfRule type="containsText" dxfId="1710" priority="238" operator="containsText" text="▽">
      <formula>NOT(ISERROR(SEARCH("▽",AA2)))</formula>
    </cfRule>
    <cfRule type="containsText" dxfId="1709" priority="239" operator="containsText" text="△">
      <formula>NOT(ISERROR(SEARCH("△",AA2)))</formula>
    </cfRule>
    <cfRule type="containsText" dxfId="1708" priority="240" operator="containsText" text="▽">
      <formula>NOT(ISERROR(SEARCH("▽",AA2)))</formula>
    </cfRule>
    <cfRule type="containsText" dxfId="1707" priority="243" operator="containsText" text="△">
      <formula>NOT(ISERROR(SEARCH("△",AA2)))</formula>
    </cfRule>
    <cfRule type="containsText" dxfId="1706" priority="244" operator="containsText" text="▽">
      <formula>NOT(ISERROR(SEARCH("▽",AA2)))</formula>
    </cfRule>
  </conditionalFormatting>
  <conditionalFormatting sqref="AA4:AA18">
    <cfRule type="containsText" dxfId="1705" priority="173" operator="containsText" text="△">
      <formula>NOT(ISERROR(SEARCH("△",AA4)))</formula>
    </cfRule>
    <cfRule type="containsText" dxfId="1704" priority="174" operator="containsText" text="▽">
      <formula>NOT(ISERROR(SEARCH("▽",AA4)))</formula>
    </cfRule>
    <cfRule type="containsText" dxfId="1703" priority="175" operator="containsText" text="△">
      <formula>NOT(ISERROR(SEARCH("△",AA4)))</formula>
    </cfRule>
    <cfRule type="containsText" dxfId="1702" priority="176" operator="containsText" text="▽">
      <formula>NOT(ISERROR(SEARCH("▽",AA4)))</formula>
    </cfRule>
  </conditionalFormatting>
  <conditionalFormatting sqref="AA5:AA18">
    <cfRule type="containsText" dxfId="1701" priority="215" operator="containsText" text="△">
      <formula>NOT(ISERROR(SEARCH("△",AA5)))</formula>
    </cfRule>
    <cfRule type="containsText" dxfId="1700" priority="216" operator="containsText" text="▽">
      <formula>NOT(ISERROR(SEARCH("▽",AA5)))</formula>
    </cfRule>
  </conditionalFormatting>
  <conditionalFormatting sqref="AA6:AA18">
    <cfRule type="containsText" dxfId="1699" priority="207" operator="containsText" text="△">
      <formula>NOT(ISERROR(SEARCH("△",AA6)))</formula>
    </cfRule>
    <cfRule type="containsText" dxfId="1698" priority="208" operator="containsText" text="▽">
      <formula>NOT(ISERROR(SEARCH("▽",AA6)))</formula>
    </cfRule>
  </conditionalFormatting>
  <conditionalFormatting sqref="AA7:AA18">
    <cfRule type="containsText" dxfId="1697" priority="169" operator="containsText" text="△">
      <formula>NOT(ISERROR(SEARCH("△",AA7)))</formula>
    </cfRule>
    <cfRule type="containsText" dxfId="1696" priority="170" operator="containsText" text="▽">
      <formula>NOT(ISERROR(SEARCH("▽",AA7)))</formula>
    </cfRule>
    <cfRule type="containsText" dxfId="1695" priority="171" operator="containsText" text="△">
      <formula>NOT(ISERROR(SEARCH("△",AA7)))</formula>
    </cfRule>
    <cfRule type="containsText" dxfId="1694" priority="172" operator="containsText" text="▽">
      <formula>NOT(ISERROR(SEARCH("▽",AA7)))</formula>
    </cfRule>
  </conditionalFormatting>
  <conditionalFormatting sqref="AA8">
    <cfRule type="containsText" dxfId="1693" priority="165" operator="containsText" text="△">
      <formula>NOT(ISERROR(SEARCH("△",AA8)))</formula>
    </cfRule>
    <cfRule type="containsText" dxfId="1692" priority="166" operator="containsText" text="▽">
      <formula>NOT(ISERROR(SEARCH("▽",AA8)))</formula>
    </cfRule>
    <cfRule type="containsText" dxfId="1691" priority="167" operator="containsText" text="△">
      <formula>NOT(ISERROR(SEARCH("△",AA8)))</formula>
    </cfRule>
    <cfRule type="containsText" dxfId="1690" priority="168" operator="containsText" text="▽">
      <formula>NOT(ISERROR(SEARCH("▽",AA8)))</formula>
    </cfRule>
  </conditionalFormatting>
  <conditionalFormatting sqref="AA9:AA18">
    <cfRule type="containsText" dxfId="1689" priority="153" operator="containsText" text="△">
      <formula>NOT(ISERROR(SEARCH("△",AA9)))</formula>
    </cfRule>
    <cfRule type="containsText" dxfId="1688" priority="154" operator="containsText" text="▽">
      <formula>NOT(ISERROR(SEARCH("▽",AA9)))</formula>
    </cfRule>
    <cfRule type="containsText" dxfId="1687" priority="155" operator="containsText" text="△">
      <formula>NOT(ISERROR(SEARCH("△",AA9)))</formula>
    </cfRule>
    <cfRule type="containsText" dxfId="1686" priority="156" operator="containsText" text="▽">
      <formula>NOT(ISERROR(SEARCH("▽",AA9)))</formula>
    </cfRule>
  </conditionalFormatting>
  <conditionalFormatting sqref="AA10:AA18">
    <cfRule type="containsText" dxfId="1685" priority="201" operator="containsText" text="△">
      <formula>NOT(ISERROR(SEARCH("△",AA10)))</formula>
    </cfRule>
    <cfRule type="containsText" dxfId="1684" priority="202" operator="containsText" text="▽">
      <formula>NOT(ISERROR(SEARCH("▽",AA10)))</formula>
    </cfRule>
    <cfRule type="containsText" dxfId="1683" priority="203" operator="containsText" text="△">
      <formula>NOT(ISERROR(SEARCH("△",AA10)))</formula>
    </cfRule>
    <cfRule type="containsText" dxfId="1682" priority="204" operator="containsText" text="▽">
      <formula>NOT(ISERROR(SEARCH("▽",AA10)))</formula>
    </cfRule>
  </conditionalFormatting>
  <conditionalFormatting sqref="AA11:AA18">
    <cfRule type="containsText" dxfId="1681" priority="241" operator="containsText" text="△">
      <formula>NOT(ISERROR(SEARCH("△",AA11)))</formula>
    </cfRule>
    <cfRule type="containsText" dxfId="1680" priority="242" operator="containsText" text="▽">
      <formula>NOT(ISERROR(SEARCH("▽",AA11)))</formula>
    </cfRule>
  </conditionalFormatting>
  <conditionalFormatting sqref="AA12:AA18">
    <cfRule type="containsText" dxfId="1679" priority="221" operator="containsText" text="△">
      <formula>NOT(ISERROR(SEARCH("△",AA12)))</formula>
    </cfRule>
    <cfRule type="containsText" dxfId="1678" priority="222" operator="containsText" text="▽">
      <formula>NOT(ISERROR(SEARCH("▽",AA12)))</formula>
    </cfRule>
  </conditionalFormatting>
  <conditionalFormatting sqref="AA13:AA18">
    <cfRule type="containsText" dxfId="1677" priority="225" operator="containsText" text="△">
      <formula>NOT(ISERROR(SEARCH("△",AA13)))</formula>
    </cfRule>
    <cfRule type="containsText" dxfId="1676" priority="226" operator="containsText" text="▽">
      <formula>NOT(ISERROR(SEARCH("▽",AA13)))</formula>
    </cfRule>
  </conditionalFormatting>
  <conditionalFormatting sqref="AA14">
    <cfRule type="containsText" dxfId="1675" priority="193" operator="containsText" text="△">
      <formula>NOT(ISERROR(SEARCH("△",AA14)))</formula>
    </cfRule>
    <cfRule type="containsText" dxfId="1674" priority="194" operator="containsText" text="▽">
      <formula>NOT(ISERROR(SEARCH("▽",AA14)))</formula>
    </cfRule>
    <cfRule type="containsText" dxfId="1673" priority="195" operator="containsText" text="△">
      <formula>NOT(ISERROR(SEARCH("△",AA14)))</formula>
    </cfRule>
    <cfRule type="containsText" dxfId="1672" priority="196" operator="containsText" text="▽">
      <formula>NOT(ISERROR(SEARCH("▽",AA14)))</formula>
    </cfRule>
  </conditionalFormatting>
  <conditionalFormatting sqref="AA15">
    <cfRule type="containsText" dxfId="1671" priority="177" operator="containsText" text="△">
      <formula>NOT(ISERROR(SEARCH("△",AA15)))</formula>
    </cfRule>
    <cfRule type="containsText" dxfId="1670" priority="178" operator="containsText" text="▽">
      <formula>NOT(ISERROR(SEARCH("▽",AA15)))</formula>
    </cfRule>
    <cfRule type="containsText" dxfId="1669" priority="179" operator="containsText" text="△">
      <formula>NOT(ISERROR(SEARCH("△",AA15)))</formula>
    </cfRule>
    <cfRule type="containsText" dxfId="1668" priority="180" operator="containsText" text="▽">
      <formula>NOT(ISERROR(SEARCH("▽",AA15)))</formula>
    </cfRule>
  </conditionalFormatting>
  <conditionalFormatting sqref="AA16">
    <cfRule type="containsText" dxfId="1667" priority="161" operator="containsText" text="△">
      <formula>NOT(ISERROR(SEARCH("△",AA16)))</formula>
    </cfRule>
    <cfRule type="containsText" dxfId="1666" priority="162" operator="containsText" text="▽">
      <formula>NOT(ISERROR(SEARCH("▽",AA16)))</formula>
    </cfRule>
    <cfRule type="containsText" dxfId="1665" priority="163" operator="containsText" text="△">
      <formula>NOT(ISERROR(SEARCH("△",AA16)))</formula>
    </cfRule>
    <cfRule type="containsText" dxfId="1664" priority="164" operator="containsText" text="▽">
      <formula>NOT(ISERROR(SEARCH("▽",AA16)))</formula>
    </cfRule>
  </conditionalFormatting>
  <conditionalFormatting sqref="AA17">
    <cfRule type="containsText" dxfId="1663" priority="145" operator="containsText" text="△">
      <formula>NOT(ISERROR(SEARCH("△",AA17)))</formula>
    </cfRule>
    <cfRule type="containsText" dxfId="1662" priority="146" operator="containsText" text="▽">
      <formula>NOT(ISERROR(SEARCH("▽",AA17)))</formula>
    </cfRule>
  </conditionalFormatting>
  <conditionalFormatting sqref="AA17:AA18">
    <cfRule type="containsText" dxfId="1661" priority="147" operator="containsText" text="△">
      <formula>NOT(ISERROR(SEARCH("△",AA17)))</formula>
    </cfRule>
    <cfRule type="containsText" dxfId="1660" priority="148" operator="containsText" text="▽">
      <formula>NOT(ISERROR(SEARCH("▽",AA17)))</formula>
    </cfRule>
  </conditionalFormatting>
  <conditionalFormatting sqref="AA18">
    <cfRule type="containsText" dxfId="1659" priority="151" operator="containsText" text="△">
      <formula>NOT(ISERROR(SEARCH("△",AA18)))</formula>
    </cfRule>
    <cfRule type="containsText" dxfId="1658" priority="152" operator="containsText" text="▽">
      <formula>NOT(ISERROR(SEARCH("▽",AA18)))</formula>
    </cfRule>
  </conditionalFormatting>
  <conditionalFormatting sqref="AA19:AA20">
    <cfRule type="containsText" dxfId="1657" priority="143" operator="containsText" text="△">
      <formula>NOT(ISERROR(SEARCH("△",AA19)))</formula>
    </cfRule>
    <cfRule type="containsText" dxfId="1656" priority="144" operator="containsText" text="▽">
      <formula>NOT(ISERROR(SEARCH("▽",AA19)))</formula>
    </cfRule>
  </conditionalFormatting>
  <conditionalFormatting sqref="AA19:AA21">
    <cfRule type="containsText" dxfId="1655" priority="139" operator="containsText" text="△">
      <formula>NOT(ISERROR(SEARCH("△",AA19)))</formula>
    </cfRule>
    <cfRule type="containsText" dxfId="1654" priority="140" operator="containsText" text="▽">
      <formula>NOT(ISERROR(SEARCH("▽",AA19)))</formula>
    </cfRule>
  </conditionalFormatting>
  <conditionalFormatting sqref="AA20">
    <cfRule type="containsText" dxfId="1653" priority="197" operator="containsText" text="△">
      <formula>NOT(ISERROR(SEARCH("△",AA20)))</formula>
    </cfRule>
    <cfRule type="containsText" dxfId="1652" priority="198" operator="containsText" text="▽">
      <formula>NOT(ISERROR(SEARCH("▽",AA20)))</formula>
    </cfRule>
    <cfRule type="containsText" dxfId="1651" priority="199" operator="containsText" text="△">
      <formula>NOT(ISERROR(SEARCH("△",AA20)))</formula>
    </cfRule>
    <cfRule type="containsText" dxfId="1650" priority="200" operator="containsText" text="▽">
      <formula>NOT(ISERROR(SEARCH("▽",AA20)))</formula>
    </cfRule>
  </conditionalFormatting>
  <conditionalFormatting sqref="AA21">
    <cfRule type="containsText" dxfId="1649" priority="137" operator="containsText" text="△">
      <formula>NOT(ISERROR(SEARCH("△",AA21)))</formula>
    </cfRule>
    <cfRule type="containsText" dxfId="1648" priority="138" operator="containsText" text="▽">
      <formula>NOT(ISERROR(SEARCH("▽",AA21)))</formula>
    </cfRule>
  </conditionalFormatting>
  <conditionalFormatting sqref="AA22:AA23">
    <cfRule type="containsText" dxfId="1647" priority="697" operator="containsText" text="△">
      <formula>NOT(ISERROR(SEARCH("△",AA22)))</formula>
    </cfRule>
    <cfRule type="containsText" dxfId="1646" priority="698" operator="containsText" text="▽">
      <formula>NOT(ISERROR(SEARCH("▽",AA22)))</formula>
    </cfRule>
    <cfRule type="containsText" dxfId="1645" priority="699" operator="containsText" text="△">
      <formula>NOT(ISERROR(SEARCH("△",AA22)))</formula>
    </cfRule>
    <cfRule type="containsText" dxfId="1644" priority="700" operator="containsText" text="▽">
      <formula>NOT(ISERROR(SEARCH("▽",AA22)))</formula>
    </cfRule>
    <cfRule type="containsText" dxfId="1643" priority="701" operator="containsText" text="△">
      <formula>NOT(ISERROR(SEARCH("△",AA22)))</formula>
    </cfRule>
    <cfRule type="containsText" dxfId="1642" priority="702" operator="containsText" text="▽">
      <formula>NOT(ISERROR(SEARCH("▽",AA22)))</formula>
    </cfRule>
  </conditionalFormatting>
  <conditionalFormatting sqref="AA23">
    <cfRule type="containsText" dxfId="1641" priority="695" operator="containsText" text="△">
      <formula>NOT(ISERROR(SEARCH("△",AA23)))</formula>
    </cfRule>
    <cfRule type="containsText" dxfId="1640" priority="696" operator="containsText" text="▽">
      <formula>NOT(ISERROR(SEARCH("▽",AA23)))</formula>
    </cfRule>
  </conditionalFormatting>
  <conditionalFormatting sqref="AA23:AA24">
    <cfRule type="containsText" dxfId="1639" priority="691" operator="containsText" text="△">
      <formula>NOT(ISERROR(SEARCH("△",AA23)))</formula>
    </cfRule>
    <cfRule type="containsText" dxfId="1638" priority="692" operator="containsText" text="▽">
      <formula>NOT(ISERROR(SEARCH("▽",AA23)))</formula>
    </cfRule>
  </conditionalFormatting>
  <conditionalFormatting sqref="AA24:AA96">
    <cfRule type="containsText" dxfId="1637" priority="687" operator="containsText" text="△">
      <formula>NOT(ISERROR(SEARCH("△",AA24)))</formula>
    </cfRule>
    <cfRule type="containsText" dxfId="1636" priority="688" operator="containsText" text="▽">
      <formula>NOT(ISERROR(SEARCH("▽",AA24)))</formula>
    </cfRule>
  </conditionalFormatting>
  <conditionalFormatting sqref="AA25:AA71">
    <cfRule type="containsText" dxfId="1635" priority="685" operator="containsText" text="△">
      <formula>NOT(ISERROR(SEARCH("△",AA25)))</formula>
    </cfRule>
    <cfRule type="containsText" dxfId="1634" priority="686" operator="containsText" text="▽">
      <formula>NOT(ISERROR(SEARCH("▽",AA25)))</formula>
    </cfRule>
  </conditionalFormatting>
  <conditionalFormatting sqref="AA26:AA71">
    <cfRule type="containsText" dxfId="1633" priority="669" operator="containsText" text="△">
      <formula>NOT(ISERROR(SEARCH("△",AA26)))</formula>
    </cfRule>
    <cfRule type="containsText" dxfId="1632" priority="670" operator="containsText" text="▽">
      <formula>NOT(ISERROR(SEARCH("▽",AA26)))</formula>
    </cfRule>
    <cfRule type="containsText" dxfId="1631" priority="671" operator="containsText" text="△">
      <formula>NOT(ISERROR(SEARCH("△",AA26)))</formula>
    </cfRule>
    <cfRule type="containsText" dxfId="1630" priority="672" operator="containsText" text="▽">
      <formula>NOT(ISERROR(SEARCH("▽",AA26)))</formula>
    </cfRule>
  </conditionalFormatting>
  <conditionalFormatting sqref="AA27:AA28">
    <cfRule type="containsText" dxfId="1629" priority="621" operator="containsText" text="△">
      <formula>NOT(ISERROR(SEARCH("△",AA27)))</formula>
    </cfRule>
    <cfRule type="containsText" dxfId="1628" priority="622" operator="containsText" text="▽">
      <formula>NOT(ISERROR(SEARCH("▽",AA27)))</formula>
    </cfRule>
  </conditionalFormatting>
  <conditionalFormatting sqref="AA27:AA71">
    <cfRule type="containsText" dxfId="1627" priority="623" operator="containsText" text="△">
      <formula>NOT(ISERROR(SEARCH("△",AA27)))</formula>
    </cfRule>
    <cfRule type="containsText" dxfId="1626" priority="624" operator="containsText" text="▽">
      <formula>NOT(ISERROR(SEARCH("▽",AA27)))</formula>
    </cfRule>
  </conditionalFormatting>
  <conditionalFormatting sqref="AA28">
    <cfRule type="containsText" dxfId="1625" priority="663" operator="containsText" text="△">
      <formula>NOT(ISERROR(SEARCH("△",AA28)))</formula>
    </cfRule>
    <cfRule type="containsText" dxfId="1624" priority="664" operator="containsText" text="▽">
      <formula>NOT(ISERROR(SEARCH("▽",AA28)))</formula>
    </cfRule>
  </conditionalFormatting>
  <conditionalFormatting sqref="AA28:AA71">
    <cfRule type="containsText" dxfId="1623" priority="627" operator="containsText" text="△">
      <formula>NOT(ISERROR(SEARCH("△",AA28)))</formula>
    </cfRule>
    <cfRule type="containsText" dxfId="1622" priority="628" operator="containsText" text="▽">
      <formula>NOT(ISERROR(SEARCH("▽",AA28)))</formula>
    </cfRule>
  </conditionalFormatting>
  <conditionalFormatting sqref="AA30:AA71">
    <cfRule type="containsText" dxfId="1621" priority="677" operator="containsText" text="△">
      <formula>NOT(ISERROR(SEARCH("△",AA30)))</formula>
    </cfRule>
    <cfRule type="containsText" dxfId="1620" priority="678" operator="containsText" text="▽">
      <formula>NOT(ISERROR(SEARCH("▽",AA30)))</formula>
    </cfRule>
    <cfRule type="containsText" dxfId="1619" priority="679" operator="containsText" text="△">
      <formula>NOT(ISERROR(SEARCH("△",AA30)))</formula>
    </cfRule>
    <cfRule type="containsText" dxfId="1618" priority="680" operator="containsText" text="▽">
      <formula>NOT(ISERROR(SEARCH("▽",AA30)))</formula>
    </cfRule>
  </conditionalFormatting>
  <conditionalFormatting sqref="AA31">
    <cfRule type="containsText" dxfId="1617" priority="673" operator="containsText" text="△">
      <formula>NOT(ISERROR(SEARCH("△",AA31)))</formula>
    </cfRule>
    <cfRule type="containsText" dxfId="1616" priority="674" operator="containsText" text="▽">
      <formula>NOT(ISERROR(SEARCH("▽",AA31)))</formula>
    </cfRule>
    <cfRule type="containsText" dxfId="1615" priority="675" operator="containsText" text="△">
      <formula>NOT(ISERROR(SEARCH("△",AA31)))</formula>
    </cfRule>
    <cfRule type="containsText" dxfId="1614" priority="676" operator="containsText" text="▽">
      <formula>NOT(ISERROR(SEARCH("▽",AA31)))</formula>
    </cfRule>
  </conditionalFormatting>
  <conditionalFormatting sqref="AA32">
    <cfRule type="containsText" dxfId="1613" priority="681" operator="containsText" text="△">
      <formula>NOT(ISERROR(SEARCH("△",AA32)))</formula>
    </cfRule>
    <cfRule type="containsText" dxfId="1612" priority="682" operator="containsText" text="▽">
      <formula>NOT(ISERROR(SEARCH("▽",AA32)))</formula>
    </cfRule>
    <cfRule type="containsText" dxfId="1611" priority="683" operator="containsText" text="△">
      <formula>NOT(ISERROR(SEARCH("△",AA32)))</formula>
    </cfRule>
    <cfRule type="containsText" dxfId="1610" priority="684" operator="containsText" text="▽">
      <formula>NOT(ISERROR(SEARCH("▽",AA32)))</formula>
    </cfRule>
  </conditionalFormatting>
  <conditionalFormatting sqref="AA33">
    <cfRule type="containsText" dxfId="1609" priority="665" operator="containsText" text="△">
      <formula>NOT(ISERROR(SEARCH("△",AA33)))</formula>
    </cfRule>
    <cfRule type="containsText" dxfId="1608" priority="666" operator="containsText" text="▽">
      <formula>NOT(ISERROR(SEARCH("▽",AA33)))</formula>
    </cfRule>
    <cfRule type="containsText" dxfId="1607" priority="667" operator="containsText" text="△">
      <formula>NOT(ISERROR(SEARCH("△",AA33)))</formula>
    </cfRule>
    <cfRule type="containsText" dxfId="1606" priority="668" operator="containsText" text="▽">
      <formula>NOT(ISERROR(SEARCH("▽",AA33)))</formula>
    </cfRule>
  </conditionalFormatting>
  <conditionalFormatting sqref="AA34">
    <cfRule type="containsText" dxfId="1605" priority="617" operator="containsText" text="△">
      <formula>NOT(ISERROR(SEARCH("△",AA34)))</formula>
    </cfRule>
    <cfRule type="containsText" dxfId="1604" priority="618" operator="containsText" text="▽">
      <formula>NOT(ISERROR(SEARCH("▽",AA34)))</formula>
    </cfRule>
    <cfRule type="containsText" dxfId="1603" priority="619" operator="containsText" text="△">
      <formula>NOT(ISERROR(SEARCH("△",AA34)))</formula>
    </cfRule>
    <cfRule type="containsText" dxfId="1602" priority="620" operator="containsText" text="▽">
      <formula>NOT(ISERROR(SEARCH("▽",AA34)))</formula>
    </cfRule>
  </conditionalFormatting>
  <conditionalFormatting sqref="AA35">
    <cfRule type="containsText" dxfId="1601" priority="629" operator="containsText" text="△">
      <formula>NOT(ISERROR(SEARCH("△",AA35)))</formula>
    </cfRule>
    <cfRule type="containsText" dxfId="1600" priority="630" operator="containsText" text="▽">
      <formula>NOT(ISERROR(SEARCH("▽",AA35)))</formula>
    </cfRule>
  </conditionalFormatting>
  <conditionalFormatting sqref="AA35:AA36">
    <cfRule type="containsText" dxfId="1599" priority="631" operator="containsText" text="△">
      <formula>NOT(ISERROR(SEARCH("△",AA35)))</formula>
    </cfRule>
    <cfRule type="containsText" dxfId="1598" priority="632" operator="containsText" text="▽">
      <formula>NOT(ISERROR(SEARCH("▽",AA35)))</formula>
    </cfRule>
  </conditionalFormatting>
  <conditionalFormatting sqref="AA36">
    <cfRule type="containsText" dxfId="1597" priority="635" operator="containsText" text="△">
      <formula>NOT(ISERROR(SEARCH("△",AA36)))</formula>
    </cfRule>
    <cfRule type="containsText" dxfId="1596" priority="636" operator="containsText" text="▽">
      <formula>NOT(ISERROR(SEARCH("▽",AA36)))</formula>
    </cfRule>
  </conditionalFormatting>
  <conditionalFormatting sqref="AA37">
    <cfRule type="containsText" dxfId="1595" priority="613" operator="containsText" text="△">
      <formula>NOT(ISERROR(SEARCH("△",AA37)))</formula>
    </cfRule>
    <cfRule type="containsText" dxfId="1594" priority="614" operator="containsText" text="▽">
      <formula>NOT(ISERROR(SEARCH("▽",AA37)))</formula>
    </cfRule>
    <cfRule type="containsText" dxfId="1593" priority="615" operator="containsText" text="△">
      <formula>NOT(ISERROR(SEARCH("△",AA37)))</formula>
    </cfRule>
    <cfRule type="containsText" dxfId="1592" priority="616" operator="containsText" text="▽">
      <formula>NOT(ISERROR(SEARCH("▽",AA37)))</formula>
    </cfRule>
  </conditionalFormatting>
  <conditionalFormatting sqref="AA38:AA71">
    <cfRule type="containsText" dxfId="1591" priority="637" operator="containsText" text="△">
      <formula>NOT(ISERROR(SEARCH("△",AA38)))</formula>
    </cfRule>
    <cfRule type="containsText" dxfId="1590" priority="638" operator="containsText" text="▽">
      <formula>NOT(ISERROR(SEARCH("▽",AA38)))</formula>
    </cfRule>
    <cfRule type="containsText" dxfId="1589" priority="639" operator="containsText" text="△">
      <formula>NOT(ISERROR(SEARCH("△",AA38)))</formula>
    </cfRule>
    <cfRule type="containsText" dxfId="1588" priority="640" operator="containsText" text="▽">
      <formula>NOT(ISERROR(SEARCH("▽",AA38)))</formula>
    </cfRule>
  </conditionalFormatting>
  <conditionalFormatting sqref="AA39">
    <cfRule type="containsText" dxfId="1587" priority="641" operator="containsText" text="△">
      <formula>NOT(ISERROR(SEARCH("△",AA39)))</formula>
    </cfRule>
    <cfRule type="containsText" dxfId="1586" priority="642" operator="containsText" text="▽">
      <formula>NOT(ISERROR(SEARCH("▽",AA39)))</formula>
    </cfRule>
    <cfRule type="containsText" dxfId="1585" priority="643" operator="containsText" text="△">
      <formula>NOT(ISERROR(SEARCH("△",AA39)))</formula>
    </cfRule>
    <cfRule type="containsText" dxfId="1584" priority="644" operator="containsText" text="▽">
      <formula>NOT(ISERROR(SEARCH("▽",AA39)))</formula>
    </cfRule>
  </conditionalFormatting>
  <conditionalFormatting sqref="AA40:AA71">
    <cfRule type="containsText" dxfId="1583" priority="609" operator="containsText" text="△">
      <formula>NOT(ISERROR(SEARCH("△",AA40)))</formula>
    </cfRule>
    <cfRule type="containsText" dxfId="1582" priority="610" operator="containsText" text="▽">
      <formula>NOT(ISERROR(SEARCH("▽",AA40)))</formula>
    </cfRule>
    <cfRule type="containsText" dxfId="1581" priority="611" operator="containsText" text="△">
      <formula>NOT(ISERROR(SEARCH("△",AA40)))</formula>
    </cfRule>
    <cfRule type="containsText" dxfId="1580" priority="612" operator="containsText" text="▽">
      <formula>NOT(ISERROR(SEARCH("▽",AA40)))</formula>
    </cfRule>
  </conditionalFormatting>
  <conditionalFormatting sqref="AA41">
    <cfRule type="containsText" dxfId="1579" priority="645" operator="containsText" text="△">
      <formula>NOT(ISERROR(SEARCH("△",AA41)))</formula>
    </cfRule>
    <cfRule type="containsText" dxfId="1578" priority="646" operator="containsText" text="▽">
      <formula>NOT(ISERROR(SEARCH("▽",AA41)))</formula>
    </cfRule>
  </conditionalFormatting>
  <conditionalFormatting sqref="AA41:AA42">
    <cfRule type="containsText" dxfId="1577" priority="647" operator="containsText" text="△">
      <formula>NOT(ISERROR(SEARCH("△",AA41)))</formula>
    </cfRule>
    <cfRule type="containsText" dxfId="1576" priority="648" operator="containsText" text="▽">
      <formula>NOT(ISERROR(SEARCH("▽",AA41)))</formula>
    </cfRule>
  </conditionalFormatting>
  <conditionalFormatting sqref="AA42">
    <cfRule type="containsText" dxfId="1575" priority="651" operator="containsText" text="△">
      <formula>NOT(ISERROR(SEARCH("△",AA42)))</formula>
    </cfRule>
    <cfRule type="containsText" dxfId="1574" priority="652" operator="containsText" text="▽">
      <formula>NOT(ISERROR(SEARCH("▽",AA42)))</formula>
    </cfRule>
  </conditionalFormatting>
  <conditionalFormatting sqref="AA43">
    <cfRule type="containsText" dxfId="1573" priority="601" operator="containsText" text="△">
      <formula>NOT(ISERROR(SEARCH("△",AA43)))</formula>
    </cfRule>
    <cfRule type="containsText" dxfId="1572" priority="602" operator="containsText" text="▽">
      <formula>NOT(ISERROR(SEARCH("▽",AA43)))</formula>
    </cfRule>
  </conditionalFormatting>
  <conditionalFormatting sqref="AA43:AA44">
    <cfRule type="containsText" dxfId="1571" priority="603" operator="containsText" text="△">
      <formula>NOT(ISERROR(SEARCH("△",AA43)))</formula>
    </cfRule>
    <cfRule type="containsText" dxfId="1570" priority="604" operator="containsText" text="▽">
      <formula>NOT(ISERROR(SEARCH("▽",AA43)))</formula>
    </cfRule>
  </conditionalFormatting>
  <conditionalFormatting sqref="AA44">
    <cfRule type="containsText" dxfId="1569" priority="607" operator="containsText" text="△">
      <formula>NOT(ISERROR(SEARCH("△",AA44)))</formula>
    </cfRule>
    <cfRule type="containsText" dxfId="1568" priority="608" operator="containsText" text="▽">
      <formula>NOT(ISERROR(SEARCH("▽",AA44)))</formula>
    </cfRule>
  </conditionalFormatting>
  <conditionalFormatting sqref="AA45:AA71">
    <cfRule type="containsText" dxfId="1567" priority="653" operator="containsText" text="△">
      <formula>NOT(ISERROR(SEARCH("△",AA45)))</formula>
    </cfRule>
    <cfRule type="containsText" dxfId="1566" priority="654" operator="containsText" text="▽">
      <formula>NOT(ISERROR(SEARCH("▽",AA45)))</formula>
    </cfRule>
    <cfRule type="containsText" dxfId="1565" priority="655" operator="containsText" text="△">
      <formula>NOT(ISERROR(SEARCH("△",AA45)))</formula>
    </cfRule>
    <cfRule type="containsText" dxfId="1564" priority="656" operator="containsText" text="▽">
      <formula>NOT(ISERROR(SEARCH("▽",AA45)))</formula>
    </cfRule>
  </conditionalFormatting>
  <conditionalFormatting sqref="AA46:AA71">
    <cfRule type="containsText" dxfId="1563" priority="589" operator="containsText" text="△">
      <formula>NOT(ISERROR(SEARCH("△",AA46)))</formula>
    </cfRule>
    <cfRule type="containsText" dxfId="1562" priority="590" operator="containsText" text="▽">
      <formula>NOT(ISERROR(SEARCH("▽",AA46)))</formula>
    </cfRule>
    <cfRule type="containsText" dxfId="1561" priority="591" operator="containsText" text="△">
      <formula>NOT(ISERROR(SEARCH("△",AA46)))</formula>
    </cfRule>
    <cfRule type="containsText" dxfId="1560" priority="592" operator="containsText" text="▽">
      <formula>NOT(ISERROR(SEARCH("▽",AA46)))</formula>
    </cfRule>
  </conditionalFormatting>
  <conditionalFormatting sqref="AA47:AA71">
    <cfRule type="containsText" dxfId="1559" priority="593" operator="containsText" text="△">
      <formula>NOT(ISERROR(SEARCH("△",AA47)))</formula>
    </cfRule>
    <cfRule type="containsText" dxfId="1558" priority="594" operator="containsText" text="▽">
      <formula>NOT(ISERROR(SEARCH("▽",AA47)))</formula>
    </cfRule>
    <cfRule type="containsText" dxfId="1557" priority="595" operator="containsText" text="△">
      <formula>NOT(ISERROR(SEARCH("△",AA47)))</formula>
    </cfRule>
    <cfRule type="containsText" dxfId="1556" priority="596" operator="containsText" text="▽">
      <formula>NOT(ISERROR(SEARCH("▽",AA47)))</formula>
    </cfRule>
  </conditionalFormatting>
  <conditionalFormatting sqref="AA48:AA71">
    <cfRule type="containsText" dxfId="1555" priority="573" operator="containsText" text="△">
      <formula>NOT(ISERROR(SEARCH("△",AA48)))</formula>
    </cfRule>
    <cfRule type="containsText" dxfId="1554" priority="574" operator="containsText" text="▽">
      <formula>NOT(ISERROR(SEARCH("▽",AA48)))</formula>
    </cfRule>
    <cfRule type="containsText" dxfId="1553" priority="575" operator="containsText" text="△">
      <formula>NOT(ISERROR(SEARCH("△",AA48)))</formula>
    </cfRule>
    <cfRule type="containsText" dxfId="1552" priority="576" operator="containsText" text="▽">
      <formula>NOT(ISERROR(SEARCH("▽",AA48)))</formula>
    </cfRule>
  </conditionalFormatting>
  <conditionalFormatting sqref="AA49:AA71">
    <cfRule type="containsText" dxfId="1551" priority="569" operator="containsText" text="△">
      <formula>NOT(ISERROR(SEARCH("△",AA49)))</formula>
    </cfRule>
    <cfRule type="containsText" dxfId="1550" priority="570" operator="containsText" text="▽">
      <formula>NOT(ISERROR(SEARCH("▽",AA49)))</formula>
    </cfRule>
    <cfRule type="containsText" dxfId="1549" priority="571" operator="containsText" text="△">
      <formula>NOT(ISERROR(SEARCH("△",AA49)))</formula>
    </cfRule>
    <cfRule type="containsText" dxfId="1548" priority="572" operator="containsText" text="▽">
      <formula>NOT(ISERROR(SEARCH("▽",AA49)))</formula>
    </cfRule>
  </conditionalFormatting>
  <conditionalFormatting sqref="AA50:AA71">
    <cfRule type="containsText" dxfId="1547" priority="597" operator="containsText" text="△">
      <formula>NOT(ISERROR(SEARCH("△",AA50)))</formula>
    </cfRule>
    <cfRule type="containsText" dxfId="1546" priority="598" operator="containsText" text="▽">
      <formula>NOT(ISERROR(SEARCH("▽",AA50)))</formula>
    </cfRule>
    <cfRule type="containsText" dxfId="1545" priority="599" operator="containsText" text="△">
      <formula>NOT(ISERROR(SEARCH("△",AA50)))</formula>
    </cfRule>
    <cfRule type="containsText" dxfId="1544" priority="600" operator="containsText" text="▽">
      <formula>NOT(ISERROR(SEARCH("▽",AA50)))</formula>
    </cfRule>
  </conditionalFormatting>
  <conditionalFormatting sqref="AA51:AA71">
    <cfRule type="containsText" dxfId="1543" priority="551" operator="containsText" text="△">
      <formula>NOT(ISERROR(SEARCH("△",AA51)))</formula>
    </cfRule>
    <cfRule type="containsText" dxfId="1542" priority="552" operator="containsText" text="▽">
      <formula>NOT(ISERROR(SEARCH("▽",AA51)))</formula>
    </cfRule>
    <cfRule type="containsText" dxfId="1541" priority="553" operator="containsText" text="△">
      <formula>NOT(ISERROR(SEARCH("△",AA51)))</formula>
    </cfRule>
    <cfRule type="containsText" dxfId="1540" priority="554" operator="containsText" text="▽">
      <formula>NOT(ISERROR(SEARCH("▽",AA51)))</formula>
    </cfRule>
  </conditionalFormatting>
  <conditionalFormatting sqref="AA52:AA71">
    <cfRule type="containsText" dxfId="1539" priority="577" operator="containsText" text="△">
      <formula>NOT(ISERROR(SEARCH("△",AA52)))</formula>
    </cfRule>
    <cfRule type="containsText" dxfId="1538" priority="578" operator="containsText" text="▽">
      <formula>NOT(ISERROR(SEARCH("▽",AA52)))</formula>
    </cfRule>
    <cfRule type="containsText" dxfId="1537" priority="579" operator="containsText" text="△">
      <formula>NOT(ISERROR(SEARCH("△",AA52)))</formula>
    </cfRule>
    <cfRule type="containsText" dxfId="1536" priority="580" operator="containsText" text="▽">
      <formula>NOT(ISERROR(SEARCH("▽",AA52)))</formula>
    </cfRule>
  </conditionalFormatting>
  <conditionalFormatting sqref="AA53">
    <cfRule type="containsText" dxfId="1535" priority="581" operator="containsText" text="△">
      <formula>NOT(ISERROR(SEARCH("△",AA53)))</formula>
    </cfRule>
    <cfRule type="containsText" dxfId="1534" priority="582" operator="containsText" text="▽">
      <formula>NOT(ISERROR(SEARCH("▽",AA53)))</formula>
    </cfRule>
    <cfRule type="containsText" dxfId="1533" priority="583" operator="containsText" text="△">
      <formula>NOT(ISERROR(SEARCH("△",AA53)))</formula>
    </cfRule>
    <cfRule type="containsText" dxfId="1532" priority="584" operator="containsText" text="▽">
      <formula>NOT(ISERROR(SEARCH("▽",AA53)))</formula>
    </cfRule>
  </conditionalFormatting>
  <conditionalFormatting sqref="AA54:AA71">
    <cfRule type="containsText" dxfId="1531" priority="565" operator="containsText" text="△">
      <formula>NOT(ISERROR(SEARCH("△",AA54)))</formula>
    </cfRule>
    <cfRule type="containsText" dxfId="1530" priority="566" operator="containsText" text="▽">
      <formula>NOT(ISERROR(SEARCH("▽",AA54)))</formula>
    </cfRule>
    <cfRule type="containsText" dxfId="1529" priority="567" operator="containsText" text="△">
      <formula>NOT(ISERROR(SEARCH("△",AA54)))</formula>
    </cfRule>
    <cfRule type="containsText" dxfId="1528" priority="568" operator="containsText" text="▽">
      <formula>NOT(ISERROR(SEARCH("▽",AA54)))</formula>
    </cfRule>
  </conditionalFormatting>
  <conditionalFormatting sqref="AA55:AA71">
    <cfRule type="containsText" dxfId="1527" priority="523" operator="containsText" text="△">
      <formula>NOT(ISERROR(SEARCH("△",AA55)))</formula>
    </cfRule>
    <cfRule type="containsText" dxfId="1526" priority="524" operator="containsText" text="▽">
      <formula>NOT(ISERROR(SEARCH("▽",AA55)))</formula>
    </cfRule>
    <cfRule type="containsText" dxfId="1525" priority="525" operator="containsText" text="△">
      <formula>NOT(ISERROR(SEARCH("△",AA55)))</formula>
    </cfRule>
    <cfRule type="containsText" dxfId="1524" priority="526" operator="containsText" text="▽">
      <formula>NOT(ISERROR(SEARCH("▽",AA55)))</formula>
    </cfRule>
  </conditionalFormatting>
  <conditionalFormatting sqref="AA56:AA71">
    <cfRule type="containsText" dxfId="1523" priority="531" operator="containsText" text="△">
      <formula>NOT(ISERROR(SEARCH("△",AA56)))</formula>
    </cfRule>
    <cfRule type="containsText" dxfId="1522" priority="532" operator="containsText" text="▽">
      <formula>NOT(ISERROR(SEARCH("▽",AA56)))</formula>
    </cfRule>
    <cfRule type="containsText" dxfId="1521" priority="533" operator="containsText" text="△">
      <formula>NOT(ISERROR(SEARCH("△",AA56)))</formula>
    </cfRule>
    <cfRule type="containsText" dxfId="1520" priority="534" operator="containsText" text="▽">
      <formula>NOT(ISERROR(SEARCH("▽",AA56)))</formula>
    </cfRule>
  </conditionalFormatting>
  <conditionalFormatting sqref="AA57:AA71">
    <cfRule type="containsText" dxfId="1519" priority="585" operator="containsText" text="△">
      <formula>NOT(ISERROR(SEARCH("△",AA57)))</formula>
    </cfRule>
    <cfRule type="containsText" dxfId="1518" priority="586" operator="containsText" text="▽">
      <formula>NOT(ISERROR(SEARCH("▽",AA57)))</formula>
    </cfRule>
    <cfRule type="containsText" dxfId="1517" priority="587" operator="containsText" text="△">
      <formula>NOT(ISERROR(SEARCH("△",AA57)))</formula>
    </cfRule>
    <cfRule type="containsText" dxfId="1516" priority="588" operator="containsText" text="▽">
      <formula>NOT(ISERROR(SEARCH("▽",AA57)))</formula>
    </cfRule>
  </conditionalFormatting>
  <conditionalFormatting sqref="AA58:AA71">
    <cfRule type="containsText" dxfId="1515" priority="519" operator="containsText" text="△">
      <formula>NOT(ISERROR(SEARCH("△",AA58)))</formula>
    </cfRule>
    <cfRule type="containsText" dxfId="1514" priority="520" operator="containsText" text="▽">
      <formula>NOT(ISERROR(SEARCH("▽",AA58)))</formula>
    </cfRule>
    <cfRule type="containsText" dxfId="1513" priority="521" operator="containsText" text="△">
      <formula>NOT(ISERROR(SEARCH("△",AA58)))</formula>
    </cfRule>
    <cfRule type="containsText" dxfId="1512" priority="522" operator="containsText" text="▽">
      <formula>NOT(ISERROR(SEARCH("▽",AA58)))</formula>
    </cfRule>
  </conditionalFormatting>
  <conditionalFormatting sqref="AA59:AA71">
    <cfRule type="containsText" dxfId="1511" priority="535" operator="containsText" text="△">
      <formula>NOT(ISERROR(SEARCH("△",AA59)))</formula>
    </cfRule>
    <cfRule type="containsText" dxfId="1510" priority="536" operator="containsText" text="▽">
      <formula>NOT(ISERROR(SEARCH("▽",AA59)))</formula>
    </cfRule>
    <cfRule type="containsText" dxfId="1509" priority="537" operator="containsText" text="△">
      <formula>NOT(ISERROR(SEARCH("△",AA59)))</formula>
    </cfRule>
    <cfRule type="containsText" dxfId="1508" priority="538" operator="containsText" text="▽">
      <formula>NOT(ISERROR(SEARCH("▽",AA59)))</formula>
    </cfRule>
  </conditionalFormatting>
  <conditionalFormatting sqref="AA60:AA71">
    <cfRule type="containsText" dxfId="1507" priority="559" operator="containsText" text="△">
      <formula>NOT(ISERROR(SEARCH("△",AA60)))</formula>
    </cfRule>
    <cfRule type="containsText" dxfId="1506" priority="560" operator="containsText" text="▽">
      <formula>NOT(ISERROR(SEARCH("▽",AA60)))</formula>
    </cfRule>
    <cfRule type="containsText" dxfId="1505" priority="561" operator="containsText" text="△">
      <formula>NOT(ISERROR(SEARCH("△",AA60)))</formula>
    </cfRule>
    <cfRule type="containsText" dxfId="1504" priority="562" operator="containsText" text="▽">
      <formula>NOT(ISERROR(SEARCH("▽",AA60)))</formula>
    </cfRule>
  </conditionalFormatting>
  <conditionalFormatting sqref="AA61:AA71">
    <cfRule type="containsText" dxfId="1503" priority="547" operator="containsText" text="△">
      <formula>NOT(ISERROR(SEARCH("△",AA61)))</formula>
    </cfRule>
    <cfRule type="containsText" dxfId="1502" priority="548" operator="containsText" text="▽">
      <formula>NOT(ISERROR(SEARCH("▽",AA61)))</formula>
    </cfRule>
    <cfRule type="containsText" dxfId="1501" priority="549" operator="containsText" text="△">
      <formula>NOT(ISERROR(SEARCH("△",AA61)))</formula>
    </cfRule>
    <cfRule type="containsText" dxfId="1500" priority="550" operator="containsText" text="▽">
      <formula>NOT(ISERROR(SEARCH("▽",AA61)))</formula>
    </cfRule>
  </conditionalFormatting>
  <conditionalFormatting sqref="AA62:AA71">
    <cfRule type="containsText" dxfId="1499" priority="495" operator="containsText" text="△">
      <formula>NOT(ISERROR(SEARCH("△",AA62)))</formula>
    </cfRule>
    <cfRule type="containsText" dxfId="1498" priority="496" operator="containsText" text="▽">
      <formula>NOT(ISERROR(SEARCH("▽",AA62)))</formula>
    </cfRule>
    <cfRule type="containsText" dxfId="1497" priority="497" operator="containsText" text="△">
      <formula>NOT(ISERROR(SEARCH("△",AA62)))</formula>
    </cfRule>
    <cfRule type="containsText" dxfId="1496" priority="498" operator="containsText" text="▽">
      <formula>NOT(ISERROR(SEARCH("▽",AA62)))</formula>
    </cfRule>
  </conditionalFormatting>
  <conditionalFormatting sqref="AA63:AA71">
    <cfRule type="containsText" dxfId="1495" priority="475" operator="containsText" text="△">
      <formula>NOT(ISERROR(SEARCH("△",AA63)))</formula>
    </cfRule>
    <cfRule type="containsText" dxfId="1494" priority="476" operator="containsText" text="▽">
      <formula>NOT(ISERROR(SEARCH("▽",AA63)))</formula>
    </cfRule>
    <cfRule type="containsText" dxfId="1493" priority="477" operator="containsText" text="△">
      <formula>NOT(ISERROR(SEARCH("△",AA63)))</formula>
    </cfRule>
    <cfRule type="containsText" dxfId="1492" priority="478" operator="containsText" text="▽">
      <formula>NOT(ISERROR(SEARCH("▽",AA63)))</formula>
    </cfRule>
  </conditionalFormatting>
  <conditionalFormatting sqref="AA64:AA71">
    <cfRule type="containsText" dxfId="1491" priority="515" operator="containsText" text="△">
      <formula>NOT(ISERROR(SEARCH("△",AA64)))</formula>
    </cfRule>
    <cfRule type="containsText" dxfId="1490" priority="516" operator="containsText" text="▽">
      <formula>NOT(ISERROR(SEARCH("▽",AA64)))</formula>
    </cfRule>
    <cfRule type="containsText" dxfId="1489" priority="517" operator="containsText" text="△">
      <formula>NOT(ISERROR(SEARCH("△",AA64)))</formula>
    </cfRule>
    <cfRule type="containsText" dxfId="1488" priority="518" operator="containsText" text="▽">
      <formula>NOT(ISERROR(SEARCH("▽",AA64)))</formula>
    </cfRule>
  </conditionalFormatting>
  <conditionalFormatting sqref="AA65:AA71">
    <cfRule type="containsText" dxfId="1487" priority="467" operator="containsText" text="△">
      <formula>NOT(ISERROR(SEARCH("△",AA65)))</formula>
    </cfRule>
    <cfRule type="containsText" dxfId="1486" priority="468" operator="containsText" text="▽">
      <formula>NOT(ISERROR(SEARCH("▽",AA65)))</formula>
    </cfRule>
    <cfRule type="containsText" dxfId="1485" priority="469" operator="containsText" text="△">
      <formula>NOT(ISERROR(SEARCH("△",AA65)))</formula>
    </cfRule>
    <cfRule type="containsText" dxfId="1484" priority="470" operator="containsText" text="▽">
      <formula>NOT(ISERROR(SEARCH("▽",AA65)))</formula>
    </cfRule>
  </conditionalFormatting>
  <conditionalFormatting sqref="AA66">
    <cfRule type="containsText" dxfId="1483" priority="457" operator="containsText" text="△">
      <formula>NOT(ISERROR(SEARCH("△",AA66)))</formula>
    </cfRule>
    <cfRule type="containsText" dxfId="1482" priority="458" operator="containsText" text="▽">
      <formula>NOT(ISERROR(SEARCH("▽",AA66)))</formula>
    </cfRule>
  </conditionalFormatting>
  <conditionalFormatting sqref="AA66:AA71">
    <cfRule type="containsText" dxfId="1481" priority="445" operator="containsText" text="△">
      <formula>NOT(ISERROR(SEARCH("△",AA66)))</formula>
    </cfRule>
    <cfRule type="containsText" dxfId="1480" priority="446" operator="containsText" text="▽">
      <formula>NOT(ISERROR(SEARCH("▽",AA66)))</formula>
    </cfRule>
  </conditionalFormatting>
  <conditionalFormatting sqref="AA67">
    <cfRule type="containsText" dxfId="1479" priority="443" operator="containsText" text="△">
      <formula>NOT(ISERROR(SEARCH("△",AA67)))</formula>
    </cfRule>
    <cfRule type="containsText" dxfId="1478" priority="444" operator="containsText" text="▽">
      <formula>NOT(ISERROR(SEARCH("▽",AA67)))</formula>
    </cfRule>
  </conditionalFormatting>
  <conditionalFormatting sqref="AA68:AA71">
    <cfRule type="containsText" dxfId="1477" priority="449" operator="containsText" text="△">
      <formula>NOT(ISERROR(SEARCH("△",AA68)))</formula>
    </cfRule>
    <cfRule type="containsText" dxfId="1476" priority="450" operator="containsText" text="▽">
      <formula>NOT(ISERROR(SEARCH("▽",AA68)))</formula>
    </cfRule>
  </conditionalFormatting>
  <conditionalFormatting sqref="AA69">
    <cfRule type="containsText" dxfId="1475" priority="441" operator="containsText" text="△">
      <formula>NOT(ISERROR(SEARCH("△",AA69)))</formula>
    </cfRule>
    <cfRule type="containsText" dxfId="1474" priority="442" operator="containsText" text="▽">
      <formula>NOT(ISERROR(SEARCH("▽",AA69)))</formula>
    </cfRule>
  </conditionalFormatting>
  <conditionalFormatting sqref="AA69:AA71">
    <cfRule type="containsText" dxfId="1473" priority="433" operator="containsText" text="△">
      <formula>NOT(ISERROR(SEARCH("△",AA69)))</formula>
    </cfRule>
    <cfRule type="containsText" dxfId="1472" priority="434" operator="containsText" text="▽">
      <formula>NOT(ISERROR(SEARCH("▽",AA69)))</formula>
    </cfRule>
  </conditionalFormatting>
  <conditionalFormatting sqref="AA70:AA71">
    <cfRule type="containsText" dxfId="1471" priority="431" operator="containsText" text="△">
      <formula>NOT(ISERROR(SEARCH("△",AA70)))</formula>
    </cfRule>
    <cfRule type="containsText" dxfId="1470" priority="432" operator="containsText" text="▽">
      <formula>NOT(ISERROR(SEARCH("▽",AA70)))</formula>
    </cfRule>
  </conditionalFormatting>
  <conditionalFormatting sqref="AA71">
    <cfRule type="containsText" dxfId="1469" priority="463" operator="containsText" text="△">
      <formula>NOT(ISERROR(SEARCH("△",AA71)))</formula>
    </cfRule>
    <cfRule type="containsText" dxfId="1468" priority="464" operator="containsText" text="▽">
      <formula>NOT(ISERROR(SEARCH("▽",AA71)))</formula>
    </cfRule>
    <cfRule type="containsText" dxfId="1467" priority="465" operator="containsText" text="△">
      <formula>NOT(ISERROR(SEARCH("△",AA71)))</formula>
    </cfRule>
    <cfRule type="containsText" dxfId="1466" priority="466" operator="containsText" text="▽">
      <formula>NOT(ISERROR(SEARCH("▽",AA71)))</formula>
    </cfRule>
  </conditionalFormatting>
  <conditionalFormatting sqref="AA77">
    <cfRule type="containsText" dxfId="1465" priority="555" operator="containsText" text="△">
      <formula>NOT(ISERROR(SEARCH("△",AA77)))</formula>
    </cfRule>
    <cfRule type="containsText" dxfId="1464" priority="556" operator="containsText" text="▽">
      <formula>NOT(ISERROR(SEARCH("▽",AA77)))</formula>
    </cfRule>
    <cfRule type="containsText" dxfId="1463" priority="557" operator="containsText" text="△">
      <formula>NOT(ISERROR(SEARCH("△",AA77)))</formula>
    </cfRule>
    <cfRule type="containsText" dxfId="1462" priority="558" operator="containsText" text="▽">
      <formula>NOT(ISERROR(SEARCH("▽",AA77)))</formula>
    </cfRule>
  </conditionalFormatting>
  <conditionalFormatting sqref="AA86">
    <cfRule type="containsText" dxfId="1461" priority="363" operator="containsText" text="△">
      <formula>NOT(ISERROR(SEARCH("△",AA86)))</formula>
    </cfRule>
    <cfRule type="containsText" dxfId="1460" priority="364" operator="containsText" text="▽">
      <formula>NOT(ISERROR(SEARCH("▽",AA86)))</formula>
    </cfRule>
    <cfRule type="containsText" dxfId="1459" priority="365" operator="containsText" text="△">
      <formula>NOT(ISERROR(SEARCH("△",AA86)))</formula>
    </cfRule>
    <cfRule type="containsText" dxfId="1458" priority="366" operator="containsText" text="▽">
      <formula>NOT(ISERROR(SEARCH("▽",AA86)))</formula>
    </cfRule>
  </conditionalFormatting>
  <conditionalFormatting sqref="AA91:AA92">
    <cfRule type="containsText" dxfId="1457" priority="487" operator="containsText" text="△">
      <formula>NOT(ISERROR(SEARCH("△",AA91)))</formula>
    </cfRule>
    <cfRule type="containsText" dxfId="1456" priority="488" operator="containsText" text="▽">
      <formula>NOT(ISERROR(SEARCH("▽",AA91)))</formula>
    </cfRule>
    <cfRule type="containsText" dxfId="1455" priority="489" operator="containsText" text="△">
      <formula>NOT(ISERROR(SEARCH("△",AA91)))</formula>
    </cfRule>
    <cfRule type="containsText" dxfId="1454" priority="490" operator="containsText" text="▽">
      <formula>NOT(ISERROR(SEARCH("▽",AA91)))</formula>
    </cfRule>
  </conditionalFormatting>
  <conditionalFormatting sqref="AA92">
    <cfRule type="containsText" dxfId="1453" priority="417" operator="containsText" text="△">
      <formula>NOT(ISERROR(SEARCH("△",AA92)))</formula>
    </cfRule>
    <cfRule type="containsText" dxfId="1452" priority="418" operator="containsText" text="▽">
      <formula>NOT(ISERROR(SEARCH("▽",AA92)))</formula>
    </cfRule>
  </conditionalFormatting>
  <conditionalFormatting sqref="AA92:AA93">
    <cfRule type="containsText" dxfId="1451" priority="279" operator="containsText" text="△">
      <formula>NOT(ISERROR(SEARCH("△",AA92)))</formula>
    </cfRule>
    <cfRule type="containsText" dxfId="1450" priority="280" operator="containsText" text="▽">
      <formula>NOT(ISERROR(SEARCH("▽",AA92)))</formula>
    </cfRule>
  </conditionalFormatting>
  <conditionalFormatting sqref="AA93:AA95">
    <cfRule type="containsText" dxfId="1449" priority="259" operator="containsText" text="△">
      <formula>NOT(ISERROR(SEARCH("△",AA93)))</formula>
    </cfRule>
    <cfRule type="containsText" dxfId="1448" priority="260" operator="containsText" text="▽">
      <formula>NOT(ISERROR(SEARCH("▽",AA93)))</formula>
    </cfRule>
  </conditionalFormatting>
  <conditionalFormatting sqref="AA94">
    <cfRule type="containsText" dxfId="1447" priority="257" operator="containsText" text="△">
      <formula>NOT(ISERROR(SEARCH("△",AA94)))</formula>
    </cfRule>
    <cfRule type="containsText" dxfId="1446" priority="258" operator="containsText" text="▽">
      <formula>NOT(ISERROR(SEARCH("▽",AA94)))</formula>
    </cfRule>
  </conditionalFormatting>
  <conditionalFormatting sqref="AA95">
    <cfRule type="containsText" dxfId="1445" priority="267" operator="containsText" text="△">
      <formula>NOT(ISERROR(SEARCH("△",AA95)))</formula>
    </cfRule>
    <cfRule type="containsText" dxfId="1444" priority="268" operator="containsText" text="▽">
      <formula>NOT(ISERROR(SEARCH("▽",AA95)))</formula>
    </cfRule>
  </conditionalFormatting>
  <conditionalFormatting sqref="AA97:AA99">
    <cfRule type="containsText" dxfId="1443" priority="125" operator="containsText" text="△">
      <formula>NOT(ISERROR(SEARCH("△",AA97)))</formula>
    </cfRule>
    <cfRule type="containsText" dxfId="1442" priority="126" operator="containsText" text="▽">
      <formula>NOT(ISERROR(SEARCH("▽",AA97)))</formula>
    </cfRule>
    <cfRule type="containsText" dxfId="1441" priority="127" operator="containsText" text="△">
      <formula>NOT(ISERROR(SEARCH("△",AA97)))</formula>
    </cfRule>
    <cfRule type="containsText" dxfId="1440" priority="128" operator="containsText" text="▽">
      <formula>NOT(ISERROR(SEARCH("▽",AA97)))</formula>
    </cfRule>
  </conditionalFormatting>
  <conditionalFormatting sqref="AA98:AA99">
    <cfRule type="containsText" dxfId="1439" priority="121" operator="containsText" text="△">
      <formula>NOT(ISERROR(SEARCH("△",AA98)))</formula>
    </cfRule>
    <cfRule type="containsText" dxfId="1438" priority="122" operator="containsText" text="▽">
      <formula>NOT(ISERROR(SEARCH("▽",AA98)))</formula>
    </cfRule>
    <cfRule type="containsText" dxfId="1437" priority="123" operator="containsText" text="△">
      <formula>NOT(ISERROR(SEARCH("△",AA98)))</formula>
    </cfRule>
    <cfRule type="containsText" dxfId="1436" priority="124" operator="containsText" text="▽">
      <formula>NOT(ISERROR(SEARCH("▽",AA98)))</formula>
    </cfRule>
  </conditionalFormatting>
  <conditionalFormatting sqref="AA99">
    <cfRule type="containsText" dxfId="1435" priority="119" operator="containsText" text="△">
      <formula>NOT(ISERROR(SEARCH("△",AA99)))</formula>
    </cfRule>
    <cfRule type="containsText" dxfId="1434" priority="120" operator="containsText" text="▽">
      <formula>NOT(ISERROR(SEARCH("▽",AA99)))</formula>
    </cfRule>
  </conditionalFormatting>
  <conditionalFormatting sqref="AA99:AA102">
    <cfRule type="containsText" dxfId="1433" priority="113" operator="containsText" text="△">
      <formula>NOT(ISERROR(SEARCH("△",AA99)))</formula>
    </cfRule>
    <cfRule type="containsText" dxfId="1432" priority="114" operator="containsText" text="▽">
      <formula>NOT(ISERROR(SEARCH("▽",AA99)))</formula>
    </cfRule>
  </conditionalFormatting>
  <conditionalFormatting sqref="AA100:AA102">
    <cfRule type="containsText" dxfId="1431" priority="87" operator="containsText" text="△">
      <formula>NOT(ISERROR(SEARCH("△",AA100)))</formula>
    </cfRule>
    <cfRule type="containsText" dxfId="1430" priority="88" operator="containsText" text="▽">
      <formula>NOT(ISERROR(SEARCH("▽",AA100)))</formula>
    </cfRule>
    <cfRule type="containsText" dxfId="1429" priority="89" operator="containsText" text="△">
      <formula>NOT(ISERROR(SEARCH("△",AA100)))</formula>
    </cfRule>
    <cfRule type="containsText" dxfId="1428" priority="90" operator="containsText" text="▽">
      <formula>NOT(ISERROR(SEARCH("▽",AA100)))</formula>
    </cfRule>
    <cfRule type="containsText" dxfId="1427" priority="91" operator="containsText" text="△">
      <formula>NOT(ISERROR(SEARCH("△",AA100)))</formula>
    </cfRule>
    <cfRule type="containsText" dxfId="1426" priority="92" operator="containsText" text="▽">
      <formula>NOT(ISERROR(SEARCH("▽",AA100)))</formula>
    </cfRule>
    <cfRule type="containsText" dxfId="1425" priority="97" operator="containsText" text="△">
      <formula>NOT(ISERROR(SEARCH("△",AA100)))</formula>
    </cfRule>
    <cfRule type="containsText" dxfId="1424" priority="98" operator="containsText" text="▽">
      <formula>NOT(ISERROR(SEARCH("▽",AA100)))</formula>
    </cfRule>
    <cfRule type="containsText" dxfId="1423" priority="99" operator="containsText" text="△">
      <formula>NOT(ISERROR(SEARCH("△",AA100)))</formula>
    </cfRule>
    <cfRule type="containsText" dxfId="1422" priority="100" operator="containsText" text="▽">
      <formula>NOT(ISERROR(SEARCH("▽",AA100)))</formula>
    </cfRule>
    <cfRule type="containsText" dxfId="1421" priority="101" operator="containsText" text="△">
      <formula>NOT(ISERROR(SEARCH("△",AA100)))</formula>
    </cfRule>
    <cfRule type="containsText" dxfId="1420" priority="102" operator="containsText" text="▽">
      <formula>NOT(ISERROR(SEARCH("▽",AA100)))</formula>
    </cfRule>
    <cfRule type="containsText" dxfId="1419" priority="103" operator="containsText" text="△">
      <formula>NOT(ISERROR(SEARCH("△",AA100)))</formula>
    </cfRule>
    <cfRule type="containsText" dxfId="1418" priority="104" operator="containsText" text="▽">
      <formula>NOT(ISERROR(SEARCH("▽",AA100)))</formula>
    </cfRule>
  </conditionalFormatting>
  <conditionalFormatting sqref="AA100:AA103">
    <cfRule type="containsText" dxfId="1417" priority="77" operator="containsText" text="△">
      <formula>NOT(ISERROR(SEARCH("△",AA100)))</formula>
    </cfRule>
    <cfRule type="containsText" dxfId="1416" priority="78" operator="containsText" text="▽">
      <formula>NOT(ISERROR(SEARCH("▽",AA100)))</formula>
    </cfRule>
  </conditionalFormatting>
  <conditionalFormatting sqref="AA102">
    <cfRule type="containsText" dxfId="1415" priority="93" operator="containsText" text="△">
      <formula>NOT(ISERROR(SEARCH("△",AA102)))</formula>
    </cfRule>
    <cfRule type="containsText" dxfId="1414" priority="94" operator="containsText" text="▽">
      <formula>NOT(ISERROR(SEARCH("▽",AA102)))</formula>
    </cfRule>
    <cfRule type="containsText" dxfId="1413" priority="95" operator="containsText" text="△">
      <formula>NOT(ISERROR(SEARCH("△",AA102)))</formula>
    </cfRule>
    <cfRule type="containsText" dxfId="1412" priority="96" operator="containsText" text="▽">
      <formula>NOT(ISERROR(SEARCH("▽",AA102)))</formula>
    </cfRule>
  </conditionalFormatting>
  <conditionalFormatting sqref="AA103">
    <cfRule type="containsText" dxfId="1411" priority="55" operator="containsText" text="△">
      <formula>NOT(ISERROR(SEARCH("△",AA103)))</formula>
    </cfRule>
    <cfRule type="containsText" dxfId="1410" priority="56" operator="containsText" text="▽">
      <formula>NOT(ISERROR(SEARCH("▽",AA103)))</formula>
    </cfRule>
    <cfRule type="containsText" dxfId="1409" priority="57" operator="containsText" text="△">
      <formula>NOT(ISERROR(SEARCH("△",AA103)))</formula>
    </cfRule>
    <cfRule type="containsText" dxfId="1408" priority="58" operator="containsText" text="▽">
      <formula>NOT(ISERROR(SEARCH("▽",AA103)))</formula>
    </cfRule>
    <cfRule type="containsText" dxfId="1407" priority="59" operator="containsText" text="△">
      <formula>NOT(ISERROR(SEARCH("△",AA103)))</formula>
    </cfRule>
    <cfRule type="containsText" dxfId="1406" priority="60" operator="containsText" text="▽">
      <formula>NOT(ISERROR(SEARCH("▽",AA103)))</formula>
    </cfRule>
    <cfRule type="containsText" dxfId="1405" priority="61" operator="containsText" text="△">
      <formula>NOT(ISERROR(SEARCH("△",AA103)))</formula>
    </cfRule>
    <cfRule type="containsText" dxfId="1404" priority="62" operator="containsText" text="▽">
      <formula>NOT(ISERROR(SEARCH("▽",AA103)))</formula>
    </cfRule>
    <cfRule type="containsText" dxfId="1403" priority="63" operator="containsText" text="△">
      <formula>NOT(ISERROR(SEARCH("△",AA103)))</formula>
    </cfRule>
    <cfRule type="containsText" dxfId="1402" priority="64" operator="containsText" text="▽">
      <formula>NOT(ISERROR(SEARCH("▽",AA103)))</formula>
    </cfRule>
    <cfRule type="containsText" dxfId="1401" priority="65" operator="containsText" text="△">
      <formula>NOT(ISERROR(SEARCH("△",AA103)))</formula>
    </cfRule>
    <cfRule type="containsText" dxfId="1400" priority="66" operator="containsText" text="▽">
      <formula>NOT(ISERROR(SEARCH("▽",AA103)))</formula>
    </cfRule>
    <cfRule type="containsText" dxfId="1399" priority="67" operator="containsText" text="△">
      <formula>NOT(ISERROR(SEARCH("△",AA103)))</formula>
    </cfRule>
    <cfRule type="containsText" dxfId="1398" priority="68" operator="containsText" text="▽">
      <formula>NOT(ISERROR(SEARCH("▽",AA103)))</formula>
    </cfRule>
    <cfRule type="containsText" dxfId="1397" priority="69" operator="containsText" text="△">
      <formula>NOT(ISERROR(SEARCH("△",AA103)))</formula>
    </cfRule>
    <cfRule type="containsText" dxfId="1396" priority="70" operator="containsText" text="▽">
      <formula>NOT(ISERROR(SEARCH("▽",AA103)))</formula>
    </cfRule>
    <cfRule type="containsText" dxfId="1395" priority="71" operator="containsText" text="△">
      <formula>NOT(ISERROR(SEARCH("△",AA103)))</formula>
    </cfRule>
    <cfRule type="containsText" dxfId="1394" priority="72" operator="containsText" text="▽">
      <formula>NOT(ISERROR(SEARCH("▽",AA103)))</formula>
    </cfRule>
    <cfRule type="containsText" dxfId="1393" priority="73" operator="containsText" text="△">
      <formula>NOT(ISERROR(SEARCH("△",AA103)))</formula>
    </cfRule>
    <cfRule type="containsText" dxfId="1392" priority="74" operator="containsText" text="▽">
      <formula>NOT(ISERROR(SEARCH("▽",AA103)))</formula>
    </cfRule>
    <cfRule type="containsText" dxfId="1391" priority="75" operator="containsText" text="△">
      <formula>NOT(ISERROR(SEARCH("△",AA103)))</formula>
    </cfRule>
    <cfRule type="containsText" dxfId="1390" priority="76" operator="containsText" text="▽">
      <formula>NOT(ISERROR(SEARCH("▽",AA103)))</formula>
    </cfRule>
  </conditionalFormatting>
  <conditionalFormatting sqref="AA104">
    <cfRule type="containsText" dxfId="1389" priority="45" operator="containsText" text="△">
      <formula>NOT(ISERROR(SEARCH("△",AA104)))</formula>
    </cfRule>
    <cfRule type="containsText" dxfId="1388" priority="46" operator="containsText" text="▽">
      <formula>NOT(ISERROR(SEARCH("▽",AA104)))</formula>
    </cfRule>
  </conditionalFormatting>
  <conditionalFormatting sqref="AA104:AA106">
    <cfRule type="containsText" dxfId="1387" priority="31" operator="containsText" text="△">
      <formula>NOT(ISERROR(SEARCH("△",AA104)))</formula>
    </cfRule>
    <cfRule type="containsText" dxfId="1386" priority="32" operator="containsText" text="▽">
      <formula>NOT(ISERROR(SEARCH("▽",AA104)))</formula>
    </cfRule>
  </conditionalFormatting>
  <conditionalFormatting sqref="AA105">
    <cfRule type="containsText" dxfId="1385" priority="29" operator="containsText" text="△">
      <formula>NOT(ISERROR(SEARCH("△",AA105)))</formula>
    </cfRule>
    <cfRule type="containsText" dxfId="1384" priority="30" operator="containsText" text="▽">
      <formula>NOT(ISERROR(SEARCH("▽",AA105)))</formula>
    </cfRule>
  </conditionalFormatting>
  <conditionalFormatting sqref="AA106">
    <cfRule type="containsText" dxfId="1383" priority="37" operator="containsText" text="△">
      <formula>NOT(ISERROR(SEARCH("△",AA106)))</formula>
    </cfRule>
    <cfRule type="containsText" dxfId="1382" priority="38" operator="containsText" text="▽">
      <formula>NOT(ISERROR(SEARCH("▽",AA106)))</formula>
    </cfRule>
  </conditionalFormatting>
  <conditionalFormatting sqref="AA107">
    <cfRule type="containsText" dxfId="1381" priority="21" operator="containsText" text="△">
      <formula>NOT(ISERROR(SEARCH("△",AA107)))</formula>
    </cfRule>
    <cfRule type="containsText" dxfId="1380" priority="22" operator="containsText" text="▽">
      <formula>NOT(ISERROR(SEARCH("▽",AA107)))</formula>
    </cfRule>
  </conditionalFormatting>
  <conditionalFormatting sqref="AA107:AA108">
    <cfRule type="containsText" dxfId="1379" priority="11" operator="containsText" text="△">
      <formula>NOT(ISERROR(SEARCH("△",AA107)))</formula>
    </cfRule>
    <cfRule type="containsText" dxfId="1378" priority="12" operator="containsText" text="▽">
      <formula>NOT(ISERROR(SEARCH("▽",AA107)))</formula>
    </cfRule>
  </conditionalFormatting>
  <conditionalFormatting sqref="AA108">
    <cfRule type="containsText" dxfId="1377" priority="9" operator="containsText" text="△">
      <formula>NOT(ISERROR(SEARCH("△",AA108)))</formula>
    </cfRule>
    <cfRule type="containsText" dxfId="1376" priority="10" operator="containsText" text="▽">
      <formula>NOT(ISERROR(SEARCH("▽",AA108)))</formula>
    </cfRule>
  </conditionalFormatting>
  <conditionalFormatting sqref="AA120:AA125">
    <cfRule type="containsText" dxfId="1375" priority="245" operator="containsText" text="△">
      <formula>NOT(ISERROR(SEARCH("△",AA120)))</formula>
    </cfRule>
    <cfRule type="containsText" dxfId="1374" priority="246" operator="containsText" text="▽">
      <formula>NOT(ISERROR(SEARCH("▽",AA120)))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6B42-3C3B-4B71-BD32-DDB7EC3D5C5C}">
  <sheetPr codeName="Sheet13">
    <tabColor rgb="FF92D050"/>
    <outlinePr summaryBelow="0" summaryRight="0"/>
  </sheetPr>
  <dimension ref="A1:AC45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2" sqref="A2:Z20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2.375" style="37" bestFit="1" customWidth="1"/>
    <col min="5" max="5" width="7.125" style="9" customWidth="1"/>
    <col min="6" max="6" width="9.125" style="9" customWidth="1"/>
    <col min="7" max="7" width="12.625" style="9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2.125" style="28" bestFit="1" customWidth="1"/>
    <col min="29" max="29" width="74.5" style="28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99">
        <v>44004</v>
      </c>
      <c r="B2" s="11" t="s">
        <v>19</v>
      </c>
      <c r="C2" s="11">
        <v>1319</v>
      </c>
      <c r="D2" s="11" t="s">
        <v>113</v>
      </c>
      <c r="E2" s="11">
        <v>1000</v>
      </c>
      <c r="F2" s="11">
        <v>39.75</v>
      </c>
      <c r="G2" s="212">
        <f t="shared" ref="G2:G20" si="0">E2*F2</f>
        <v>39750</v>
      </c>
      <c r="H2" s="11">
        <v>56</v>
      </c>
      <c r="I2" s="104">
        <v>44040</v>
      </c>
      <c r="J2" s="16">
        <v>34.200000000000003</v>
      </c>
      <c r="K2" s="11">
        <f t="shared" ref="K2:K20" si="1">E2*J2</f>
        <v>34200</v>
      </c>
      <c r="L2" s="17"/>
      <c r="M2" s="11"/>
      <c r="N2" s="11">
        <v>0</v>
      </c>
      <c r="O2" s="13">
        <f t="shared" ref="O2:O20" si="2">IF(I2="",E2*Y2,0)</f>
        <v>0</v>
      </c>
      <c r="P2" s="14">
        <f t="shared" ref="P2:P20" si="3">IF(I2="",R2-H2,(K2-H2-SUM(L2:N2)+R2-S2-T2)-G2)+(ROUND(R2*V2,0)-ROUND(R2*(1+V2),0)*W2)</f>
        <v>-3924</v>
      </c>
      <c r="Q2" s="14">
        <f t="shared" ref="Q2:Q20" si="4">IF(I2="",(O2-G2-(O2*0.1425%*0.65)-(O2*0.3%)-S2-T2),0)</f>
        <v>0</v>
      </c>
      <c r="R2" s="14">
        <v>1800</v>
      </c>
      <c r="S2" s="14">
        <v>10</v>
      </c>
      <c r="T2" s="14">
        <f t="shared" ref="T2:T20" si="5">IF(ROUND(R2*(1+V2),0)&gt;20000,ROUND(ROUND(R2*(1+V2),0)*2%,0),0)</f>
        <v>0</v>
      </c>
      <c r="U2" s="69">
        <f t="shared" ref="U2:U20" si="6">(V2*50%)/(1+50%*V2)</f>
        <v>0</v>
      </c>
      <c r="V2" s="69"/>
      <c r="W2" s="70">
        <v>0.06</v>
      </c>
      <c r="X2" s="15">
        <f t="shared" ref="X2:X20" si="7">(P2+Q2)/G2</f>
        <v>-9.8716981132075471E-2</v>
      </c>
      <c r="Y2" s="16">
        <f>VLOOKUP(C2,台股行情!A:D,4,FALSE)</f>
        <v>83.3</v>
      </c>
      <c r="Z2" s="38">
        <f>VLOOKUP(C2,台股行情!A:E,5,FALSE)</f>
        <v>0.7</v>
      </c>
      <c r="AA2" s="90">
        <f t="shared" ref="AA2:AA20" ca="1" si="8">IF(I2="",((TODAY()-A2)*G2)/365.24,((I2-A2)*G2)/365.24)</f>
        <v>3917.9717446062864</v>
      </c>
      <c r="AB2" s="142" t="s">
        <v>169</v>
      </c>
      <c r="AC2" s="135" t="s">
        <v>130</v>
      </c>
    </row>
    <row r="3" spans="1:29" outlineLevel="1">
      <c r="A3" s="99">
        <v>44005</v>
      </c>
      <c r="B3" s="11" t="s">
        <v>19</v>
      </c>
      <c r="C3" s="11">
        <v>2357</v>
      </c>
      <c r="D3" s="11" t="s">
        <v>115</v>
      </c>
      <c r="E3" s="11">
        <v>1000</v>
      </c>
      <c r="F3" s="11">
        <v>246.5</v>
      </c>
      <c r="G3" s="212">
        <f t="shared" si="0"/>
        <v>246500</v>
      </c>
      <c r="H3" s="11">
        <v>351</v>
      </c>
      <c r="I3" s="104">
        <v>44069</v>
      </c>
      <c r="J3" s="16">
        <v>253</v>
      </c>
      <c r="K3" s="11">
        <f t="shared" si="1"/>
        <v>253000</v>
      </c>
      <c r="L3" s="17">
        <v>360</v>
      </c>
      <c r="M3" s="11">
        <v>759</v>
      </c>
      <c r="N3" s="11">
        <v>0</v>
      </c>
      <c r="O3" s="13">
        <f t="shared" si="2"/>
        <v>0</v>
      </c>
      <c r="P3" s="14">
        <f t="shared" si="3"/>
        <v>18180</v>
      </c>
      <c r="Q3" s="14">
        <f t="shared" si="4"/>
        <v>0</v>
      </c>
      <c r="R3" s="14">
        <v>14000</v>
      </c>
      <c r="S3" s="14">
        <v>10</v>
      </c>
      <c r="T3" s="14">
        <f t="shared" si="5"/>
        <v>0</v>
      </c>
      <c r="U3" s="69">
        <f t="shared" si="6"/>
        <v>0</v>
      </c>
      <c r="V3" s="69"/>
      <c r="W3" s="70">
        <v>0.06</v>
      </c>
      <c r="X3" s="15">
        <f t="shared" si="7"/>
        <v>7.37525354969574E-2</v>
      </c>
      <c r="Y3" s="16">
        <f>VLOOKUP(C3,台股行情!A:D,4,FALSE)</f>
        <v>975</v>
      </c>
      <c r="Z3" s="38">
        <f>VLOOKUP(C3,台股行情!A:E,5,FALSE)</f>
        <v>-15</v>
      </c>
      <c r="AA3" s="90">
        <f t="shared" ca="1" si="8"/>
        <v>43193.516591830026</v>
      </c>
      <c r="AB3" s="103" t="s">
        <v>169</v>
      </c>
      <c r="AC3" s="135" t="s">
        <v>129</v>
      </c>
    </row>
    <row r="4" spans="1:29" outlineLevel="1">
      <c r="A4" s="99">
        <v>44015</v>
      </c>
      <c r="B4" s="11" t="s">
        <v>19</v>
      </c>
      <c r="C4" s="11">
        <v>3038</v>
      </c>
      <c r="D4" s="11" t="s">
        <v>253</v>
      </c>
      <c r="E4" s="11">
        <v>1000</v>
      </c>
      <c r="F4" s="11">
        <v>24.55</v>
      </c>
      <c r="G4" s="212">
        <f t="shared" si="0"/>
        <v>24550</v>
      </c>
      <c r="H4" s="11">
        <v>34</v>
      </c>
      <c r="I4" s="104">
        <v>44025</v>
      </c>
      <c r="J4" s="16">
        <v>19.649999999999999</v>
      </c>
      <c r="K4" s="11">
        <f t="shared" si="1"/>
        <v>19650</v>
      </c>
      <c r="L4" s="17">
        <v>28</v>
      </c>
      <c r="M4" s="11">
        <v>59</v>
      </c>
      <c r="N4" s="11">
        <v>0</v>
      </c>
      <c r="O4" s="13">
        <f t="shared" si="2"/>
        <v>0</v>
      </c>
      <c r="P4" s="14">
        <f t="shared" si="3"/>
        <v>-4081</v>
      </c>
      <c r="Q4" s="14">
        <f t="shared" si="4"/>
        <v>0</v>
      </c>
      <c r="R4" s="14">
        <v>1000</v>
      </c>
      <c r="S4" s="14"/>
      <c r="T4" s="14">
        <f t="shared" si="5"/>
        <v>0</v>
      </c>
      <c r="U4" s="69">
        <f t="shared" si="6"/>
        <v>0</v>
      </c>
      <c r="V4" s="69"/>
      <c r="W4" s="70">
        <v>0.06</v>
      </c>
      <c r="X4" s="15">
        <f t="shared" si="7"/>
        <v>-0.16623217922606925</v>
      </c>
      <c r="Y4" s="16">
        <f>VLOOKUP(C4,台股行情!A:D,4,FALSE)</f>
        <v>20.3</v>
      </c>
      <c r="Z4" s="38">
        <f>VLOOKUP(C4,台股行情!A:E,5,FALSE)</f>
        <v>-0.1</v>
      </c>
      <c r="AA4" s="90">
        <f t="shared" ca="1" si="8"/>
        <v>672.16077099989047</v>
      </c>
      <c r="AB4" s="103" t="s">
        <v>209</v>
      </c>
      <c r="AC4" s="135" t="s">
        <v>161</v>
      </c>
    </row>
    <row r="5" spans="1:29" outlineLevel="1">
      <c r="A5" s="99">
        <v>44015</v>
      </c>
      <c r="B5" s="11" t="s">
        <v>19</v>
      </c>
      <c r="C5" s="11">
        <v>3038</v>
      </c>
      <c r="D5" s="11" t="s">
        <v>253</v>
      </c>
      <c r="E5" s="11">
        <v>1000</v>
      </c>
      <c r="F5" s="11">
        <v>24.5</v>
      </c>
      <c r="G5" s="212">
        <f t="shared" si="0"/>
        <v>24500</v>
      </c>
      <c r="H5" s="11">
        <v>34</v>
      </c>
      <c r="I5" s="104">
        <v>44025</v>
      </c>
      <c r="J5" s="16">
        <v>19.649999999999999</v>
      </c>
      <c r="K5" s="11">
        <f t="shared" si="1"/>
        <v>19650</v>
      </c>
      <c r="L5" s="17">
        <v>28</v>
      </c>
      <c r="M5" s="11">
        <v>58</v>
      </c>
      <c r="N5" s="11">
        <v>0</v>
      </c>
      <c r="O5" s="13">
        <f t="shared" si="2"/>
        <v>0</v>
      </c>
      <c r="P5" s="14">
        <f t="shared" si="3"/>
        <v>-4030</v>
      </c>
      <c r="Q5" s="14">
        <f t="shared" si="4"/>
        <v>0</v>
      </c>
      <c r="R5" s="14">
        <v>1000</v>
      </c>
      <c r="S5" s="14"/>
      <c r="T5" s="14">
        <f t="shared" si="5"/>
        <v>0</v>
      </c>
      <c r="U5" s="69">
        <f t="shared" si="6"/>
        <v>0</v>
      </c>
      <c r="V5" s="69"/>
      <c r="W5" s="70">
        <v>0.06</v>
      </c>
      <c r="X5" s="15">
        <f t="shared" si="7"/>
        <v>-0.16448979591836735</v>
      </c>
      <c r="Y5" s="16">
        <f>VLOOKUP(C5,台股行情!A:D,4,FALSE)</f>
        <v>20.3</v>
      </c>
      <c r="Z5" s="38">
        <f>VLOOKUP(C5,台股行情!A:E,5,FALSE)</f>
        <v>-0.1</v>
      </c>
      <c r="AA5" s="90">
        <f t="shared" ca="1" si="8"/>
        <v>670.79180812616357</v>
      </c>
      <c r="AB5" s="103" t="s">
        <v>209</v>
      </c>
      <c r="AC5" s="135" t="s">
        <v>161</v>
      </c>
    </row>
    <row r="6" spans="1:29" outlineLevel="1">
      <c r="A6" s="99">
        <v>44070</v>
      </c>
      <c r="B6" s="11" t="s">
        <v>19</v>
      </c>
      <c r="C6" s="11">
        <v>6109</v>
      </c>
      <c r="D6" s="11" t="s">
        <v>265</v>
      </c>
      <c r="E6" s="11">
        <v>1000</v>
      </c>
      <c r="F6" s="11">
        <v>17.399999999999999</v>
      </c>
      <c r="G6" s="212">
        <f t="shared" si="0"/>
        <v>17400</v>
      </c>
      <c r="H6" s="11">
        <v>24</v>
      </c>
      <c r="I6" s="104">
        <v>44076</v>
      </c>
      <c r="J6" s="16">
        <v>16.350000000000001</v>
      </c>
      <c r="K6" s="11">
        <f t="shared" si="1"/>
        <v>16350.000000000002</v>
      </c>
      <c r="L6" s="17">
        <v>23</v>
      </c>
      <c r="M6" s="11">
        <v>49</v>
      </c>
      <c r="N6" s="11">
        <v>0</v>
      </c>
      <c r="O6" s="13">
        <f t="shared" si="2"/>
        <v>0</v>
      </c>
      <c r="P6" s="14">
        <f t="shared" si="3"/>
        <v>-1155.9999999999982</v>
      </c>
      <c r="Q6" s="14">
        <f t="shared" si="4"/>
        <v>0</v>
      </c>
      <c r="R6" s="14"/>
      <c r="S6" s="14">
        <v>10</v>
      </c>
      <c r="T6" s="14">
        <f t="shared" si="5"/>
        <v>0</v>
      </c>
      <c r="U6" s="69">
        <f t="shared" si="6"/>
        <v>0</v>
      </c>
      <c r="V6" s="69"/>
      <c r="W6" s="70">
        <v>0.06</v>
      </c>
      <c r="X6" s="15">
        <f t="shared" si="7"/>
        <v>-6.6436781609195292E-2</v>
      </c>
      <c r="Y6" s="16">
        <f>VLOOKUP(C6,台股行情!A:D,4,FALSE)</f>
        <v>10.1</v>
      </c>
      <c r="Z6" s="38">
        <f>VLOOKUP(C6,台股行情!A:E,5,FALSE)</f>
        <v>-0.15</v>
      </c>
      <c r="AA6" s="90">
        <f t="shared" ca="1" si="8"/>
        <v>285.83944803416932</v>
      </c>
      <c r="AB6" s="103" t="s">
        <v>219</v>
      </c>
      <c r="AC6" s="135" t="s">
        <v>156</v>
      </c>
    </row>
    <row r="7" spans="1:29" outlineLevel="1">
      <c r="A7" s="99">
        <v>44077</v>
      </c>
      <c r="B7" s="11" t="s">
        <v>19</v>
      </c>
      <c r="C7" s="11">
        <v>3015</v>
      </c>
      <c r="D7" s="11" t="s">
        <v>203</v>
      </c>
      <c r="E7" s="11">
        <v>1000</v>
      </c>
      <c r="F7" s="11">
        <v>36.5</v>
      </c>
      <c r="G7" s="212">
        <f t="shared" si="0"/>
        <v>36500</v>
      </c>
      <c r="H7" s="11">
        <v>52</v>
      </c>
      <c r="I7" s="104">
        <v>44081</v>
      </c>
      <c r="J7" s="16">
        <v>34.549999999999997</v>
      </c>
      <c r="K7" s="11">
        <f t="shared" si="1"/>
        <v>34550</v>
      </c>
      <c r="L7" s="17">
        <v>49</v>
      </c>
      <c r="M7" s="11">
        <v>103</v>
      </c>
      <c r="N7" s="11">
        <v>0</v>
      </c>
      <c r="O7" s="13">
        <f t="shared" si="2"/>
        <v>0</v>
      </c>
      <c r="P7" s="14">
        <f t="shared" si="3"/>
        <v>-2164</v>
      </c>
      <c r="Q7" s="14">
        <f t="shared" si="4"/>
        <v>0</v>
      </c>
      <c r="R7" s="14"/>
      <c r="S7" s="14">
        <v>10</v>
      </c>
      <c r="T7" s="14">
        <f t="shared" si="5"/>
        <v>0</v>
      </c>
      <c r="U7" s="69">
        <f t="shared" si="6"/>
        <v>0</v>
      </c>
      <c r="V7" s="69"/>
      <c r="W7" s="70">
        <v>0.06</v>
      </c>
      <c r="X7" s="15">
        <f t="shared" si="7"/>
        <v>-5.9287671232876711E-2</v>
      </c>
      <c r="Y7" s="16">
        <f>VLOOKUP(C7,台股行情!A:D,4,FALSE)</f>
        <v>51.3</v>
      </c>
      <c r="Z7" s="38">
        <f>VLOOKUP(C7,台股行情!A:E,5,FALSE)</f>
        <v>-1.2</v>
      </c>
      <c r="AA7" s="90">
        <f t="shared" ca="1" si="8"/>
        <v>399.73715912824446</v>
      </c>
      <c r="AB7" s="103" t="s">
        <v>219</v>
      </c>
      <c r="AC7" s="135" t="s">
        <v>156</v>
      </c>
    </row>
    <row r="8" spans="1:29" outlineLevel="1">
      <c r="A8" s="99">
        <v>44070</v>
      </c>
      <c r="B8" s="11" t="s">
        <v>19</v>
      </c>
      <c r="C8" s="11">
        <v>3501</v>
      </c>
      <c r="D8" s="11" t="s">
        <v>256</v>
      </c>
      <c r="E8" s="11">
        <v>1000</v>
      </c>
      <c r="F8" s="11">
        <v>47.45</v>
      </c>
      <c r="G8" s="212">
        <f t="shared" si="0"/>
        <v>47450</v>
      </c>
      <c r="H8" s="11">
        <v>67</v>
      </c>
      <c r="I8" s="104">
        <v>44085</v>
      </c>
      <c r="J8" s="16">
        <v>46.55</v>
      </c>
      <c r="K8" s="11">
        <f t="shared" si="1"/>
        <v>46550</v>
      </c>
      <c r="L8" s="17">
        <v>66</v>
      </c>
      <c r="M8" s="11">
        <v>139</v>
      </c>
      <c r="N8" s="11">
        <v>0</v>
      </c>
      <c r="O8" s="13">
        <f t="shared" si="2"/>
        <v>0</v>
      </c>
      <c r="P8" s="14">
        <f t="shared" si="3"/>
        <v>-1182</v>
      </c>
      <c r="Q8" s="14">
        <f t="shared" si="4"/>
        <v>0</v>
      </c>
      <c r="R8" s="14"/>
      <c r="S8" s="14">
        <v>10</v>
      </c>
      <c r="T8" s="14">
        <f t="shared" si="5"/>
        <v>0</v>
      </c>
      <c r="U8" s="69">
        <f t="shared" si="6"/>
        <v>0</v>
      </c>
      <c r="V8" s="69"/>
      <c r="W8" s="70">
        <v>0.06</v>
      </c>
      <c r="X8" s="15">
        <f t="shared" si="7"/>
        <v>-2.4910432033719704E-2</v>
      </c>
      <c r="Y8" s="16">
        <f>VLOOKUP(C8,台股行情!A:D,4,FALSE)</f>
        <v>38.5</v>
      </c>
      <c r="Z8" s="38">
        <f>VLOOKUP(C8,台股行情!A:E,5,FALSE)</f>
        <v>-0.25</v>
      </c>
      <c r="AA8" s="90">
        <f t="shared" ca="1" si="8"/>
        <v>1948.7186507501915</v>
      </c>
      <c r="AB8" s="103" t="s">
        <v>219</v>
      </c>
      <c r="AC8" s="135" t="s">
        <v>157</v>
      </c>
    </row>
    <row r="9" spans="1:29" outlineLevel="1">
      <c r="A9" s="99">
        <v>44069</v>
      </c>
      <c r="B9" s="11" t="s">
        <v>19</v>
      </c>
      <c r="C9" s="11">
        <v>3713</v>
      </c>
      <c r="D9" s="11" t="s">
        <v>386</v>
      </c>
      <c r="E9" s="11">
        <v>1000</v>
      </c>
      <c r="F9" s="11">
        <v>68.7</v>
      </c>
      <c r="G9" s="212">
        <f t="shared" si="0"/>
        <v>68700</v>
      </c>
      <c r="H9" s="11">
        <v>97</v>
      </c>
      <c r="I9" s="104">
        <v>44089</v>
      </c>
      <c r="J9" s="16">
        <v>69.3</v>
      </c>
      <c r="K9" s="11">
        <f t="shared" si="1"/>
        <v>69300</v>
      </c>
      <c r="L9" s="17">
        <v>98</v>
      </c>
      <c r="M9" s="11">
        <v>207</v>
      </c>
      <c r="N9" s="11">
        <v>0</v>
      </c>
      <c r="O9" s="13">
        <f t="shared" si="2"/>
        <v>0</v>
      </c>
      <c r="P9" s="14">
        <f t="shared" si="3"/>
        <v>188</v>
      </c>
      <c r="Q9" s="14">
        <f t="shared" si="4"/>
        <v>0</v>
      </c>
      <c r="R9" s="14"/>
      <c r="S9" s="14">
        <v>10</v>
      </c>
      <c r="T9" s="14">
        <f t="shared" si="5"/>
        <v>0</v>
      </c>
      <c r="U9" s="69">
        <f t="shared" si="6"/>
        <v>0</v>
      </c>
      <c r="V9" s="69"/>
      <c r="W9" s="70">
        <v>0.06</v>
      </c>
      <c r="X9" s="15">
        <f t="shared" si="7"/>
        <v>2.7365356622998543E-3</v>
      </c>
      <c r="Y9" s="16">
        <f>VLOOKUP(C9,台股行情!A:D,4,FALSE)</f>
        <v>14.5</v>
      </c>
      <c r="Z9" s="38">
        <f>VLOOKUP(C9,台股行情!A:E,5,FALSE)</f>
        <v>-0.6</v>
      </c>
      <c r="AA9" s="90">
        <f t="shared" ca="1" si="8"/>
        <v>3761.9099770014236</v>
      </c>
      <c r="AB9" s="103" t="s">
        <v>219</v>
      </c>
      <c r="AC9" s="135" t="s">
        <v>160</v>
      </c>
    </row>
    <row r="10" spans="1:29" outlineLevel="1">
      <c r="A10" s="99">
        <v>44061</v>
      </c>
      <c r="B10" s="11" t="s">
        <v>19</v>
      </c>
      <c r="C10" s="11">
        <v>3034</v>
      </c>
      <c r="D10" s="11" t="s">
        <v>199</v>
      </c>
      <c r="E10" s="11">
        <v>1000</v>
      </c>
      <c r="F10" s="11">
        <v>265.5</v>
      </c>
      <c r="G10" s="212">
        <f t="shared" si="0"/>
        <v>265500</v>
      </c>
      <c r="H10" s="11">
        <v>378</v>
      </c>
      <c r="I10" s="104">
        <v>44144</v>
      </c>
      <c r="J10" s="16">
        <v>297</v>
      </c>
      <c r="K10" s="11">
        <f t="shared" si="1"/>
        <v>297000</v>
      </c>
      <c r="L10" s="17">
        <v>423</v>
      </c>
      <c r="M10" s="11">
        <v>891</v>
      </c>
      <c r="N10" s="11">
        <v>0</v>
      </c>
      <c r="O10" s="13">
        <f t="shared" si="2"/>
        <v>0</v>
      </c>
      <c r="P10" s="14">
        <f t="shared" si="3"/>
        <v>29798</v>
      </c>
      <c r="Q10" s="14">
        <f t="shared" si="4"/>
        <v>0</v>
      </c>
      <c r="R10" s="14"/>
      <c r="S10" s="14">
        <v>10</v>
      </c>
      <c r="T10" s="14">
        <f t="shared" si="5"/>
        <v>0</v>
      </c>
      <c r="U10" s="69">
        <f t="shared" si="6"/>
        <v>0</v>
      </c>
      <c r="V10" s="69"/>
      <c r="W10" s="70">
        <v>0.06</v>
      </c>
      <c r="X10" s="15">
        <f t="shared" si="7"/>
        <v>0.11223352165725047</v>
      </c>
      <c r="Y10" s="16">
        <f>VLOOKUP(C10,台股行情!A:D,4,FALSE)</f>
        <v>565</v>
      </c>
      <c r="Z10" s="38">
        <f>VLOOKUP(C10,台股行情!A:E,5,FALSE)</f>
        <v>5</v>
      </c>
      <c r="AA10" s="90">
        <f t="shared" ca="1" si="8"/>
        <v>60334.300733764096</v>
      </c>
      <c r="AB10" s="103" t="s">
        <v>209</v>
      </c>
      <c r="AC10" s="135" t="s">
        <v>161</v>
      </c>
    </row>
    <row r="11" spans="1:29" outlineLevel="1">
      <c r="A11" s="99">
        <v>44133</v>
      </c>
      <c r="B11" s="11" t="s">
        <v>19</v>
      </c>
      <c r="C11" s="11">
        <v>8171</v>
      </c>
      <c r="D11" s="11" t="s">
        <v>312</v>
      </c>
      <c r="E11" s="11">
        <v>1000</v>
      </c>
      <c r="F11" s="11">
        <v>39</v>
      </c>
      <c r="G11" s="212">
        <f t="shared" si="0"/>
        <v>39000</v>
      </c>
      <c r="H11" s="11">
        <v>55</v>
      </c>
      <c r="I11" s="104">
        <v>44152</v>
      </c>
      <c r="J11" s="16">
        <v>38.85</v>
      </c>
      <c r="K11" s="11">
        <f t="shared" si="1"/>
        <v>38850</v>
      </c>
      <c r="L11" s="17">
        <v>55</v>
      </c>
      <c r="M11" s="11">
        <v>116</v>
      </c>
      <c r="N11" s="11">
        <v>0</v>
      </c>
      <c r="O11" s="13">
        <f t="shared" si="2"/>
        <v>0</v>
      </c>
      <c r="P11" s="14">
        <f t="shared" si="3"/>
        <v>-386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9">
        <f t="shared" si="6"/>
        <v>0</v>
      </c>
      <c r="V11" s="69"/>
      <c r="W11" s="70">
        <v>0.06</v>
      </c>
      <c r="X11" s="15">
        <f t="shared" si="7"/>
        <v>-9.8974358974358977E-3</v>
      </c>
      <c r="Y11" s="16">
        <f>VLOOKUP(C11,台股行情!A:D,4,FALSE)</f>
        <v>21.3</v>
      </c>
      <c r="Z11" s="38">
        <f>VLOOKUP(C11,台股行情!A:E,5,FALSE)</f>
        <v>-0.5</v>
      </c>
      <c r="AA11" s="90">
        <f t="shared" ca="1" si="8"/>
        <v>2028.8029788632132</v>
      </c>
      <c r="AB11" s="103" t="s">
        <v>219</v>
      </c>
      <c r="AC11" s="135" t="s">
        <v>160</v>
      </c>
    </row>
    <row r="12" spans="1:29" outlineLevel="1">
      <c r="A12" s="99">
        <v>44159</v>
      </c>
      <c r="B12" s="11" t="s">
        <v>19</v>
      </c>
      <c r="C12" s="11">
        <v>3406</v>
      </c>
      <c r="D12" s="11" t="s">
        <v>254</v>
      </c>
      <c r="E12" s="11">
        <v>1000</v>
      </c>
      <c r="F12" s="11">
        <v>604</v>
      </c>
      <c r="G12" s="212">
        <f t="shared" si="0"/>
        <v>604000</v>
      </c>
      <c r="H12" s="11">
        <v>860</v>
      </c>
      <c r="I12" s="104">
        <v>44166</v>
      </c>
      <c r="J12" s="16">
        <v>637</v>
      </c>
      <c r="K12" s="11">
        <f t="shared" si="1"/>
        <v>637000</v>
      </c>
      <c r="L12" s="17">
        <v>907</v>
      </c>
      <c r="M12" s="11">
        <v>1911</v>
      </c>
      <c r="N12" s="11">
        <v>0</v>
      </c>
      <c r="O12" s="13">
        <f t="shared" si="2"/>
        <v>0</v>
      </c>
      <c r="P12" s="14">
        <f t="shared" si="3"/>
        <v>29312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9">
        <f t="shared" si="6"/>
        <v>0</v>
      </c>
      <c r="V12" s="69"/>
      <c r="W12" s="70">
        <v>0.06</v>
      </c>
      <c r="X12" s="15">
        <f t="shared" si="7"/>
        <v>4.8529801324503311E-2</v>
      </c>
      <c r="Y12" s="16">
        <f>VLOOKUP(C12,台股行情!A:D,4,FALSE)</f>
        <v>1115</v>
      </c>
      <c r="Z12" s="38">
        <f>VLOOKUP(C12,台股行情!A:E,5,FALSE)</f>
        <v>50</v>
      </c>
      <c r="AA12" s="90">
        <f t="shared" ca="1" si="8"/>
        <v>11575.950060234367</v>
      </c>
      <c r="AB12" s="103" t="s">
        <v>209</v>
      </c>
      <c r="AC12" s="103"/>
    </row>
    <row r="13" spans="1:29" outlineLevel="1">
      <c r="A13" s="99">
        <v>44158</v>
      </c>
      <c r="B13" s="11" t="s">
        <v>19</v>
      </c>
      <c r="C13" s="11">
        <v>2610</v>
      </c>
      <c r="D13" s="11" t="s">
        <v>247</v>
      </c>
      <c r="E13" s="11">
        <v>1000</v>
      </c>
      <c r="F13" s="11">
        <v>9.14</v>
      </c>
      <c r="G13" s="212">
        <f t="shared" si="0"/>
        <v>9140</v>
      </c>
      <c r="H13" s="11">
        <v>20</v>
      </c>
      <c r="I13" s="104">
        <v>44173</v>
      </c>
      <c r="J13" s="16">
        <v>10.55</v>
      </c>
      <c r="K13" s="11">
        <f t="shared" si="1"/>
        <v>10550</v>
      </c>
      <c r="L13" s="17">
        <v>20</v>
      </c>
      <c r="M13" s="11">
        <v>31</v>
      </c>
      <c r="N13" s="11">
        <v>0</v>
      </c>
      <c r="O13" s="13">
        <f t="shared" si="2"/>
        <v>0</v>
      </c>
      <c r="P13" s="14">
        <f t="shared" si="3"/>
        <v>1329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9">
        <f t="shared" si="6"/>
        <v>0</v>
      </c>
      <c r="V13" s="69"/>
      <c r="W13" s="70">
        <v>0.06</v>
      </c>
      <c r="X13" s="15">
        <f t="shared" si="7"/>
        <v>0.14540481400437638</v>
      </c>
      <c r="Y13" s="16">
        <f>VLOOKUP(C13,台股行情!A:D,4,FALSE)</f>
        <v>20.55</v>
      </c>
      <c r="Z13" s="38">
        <f>VLOOKUP(C13,台股行情!A:E,5,FALSE)</f>
        <v>-0.1</v>
      </c>
      <c r="AA13" s="90">
        <f t="shared" ca="1" si="8"/>
        <v>375.36961997590623</v>
      </c>
      <c r="AB13" s="103" t="s">
        <v>209</v>
      </c>
      <c r="AC13" s="103"/>
    </row>
    <row r="14" spans="1:29" outlineLevel="1">
      <c r="A14" s="99">
        <v>44161</v>
      </c>
      <c r="B14" s="11" t="s">
        <v>19</v>
      </c>
      <c r="C14" s="11">
        <v>5213</v>
      </c>
      <c r="D14" s="11" t="s">
        <v>263</v>
      </c>
      <c r="E14" s="11">
        <v>2000</v>
      </c>
      <c r="F14" s="11">
        <v>18.2</v>
      </c>
      <c r="G14" s="212">
        <f t="shared" si="0"/>
        <v>36400</v>
      </c>
      <c r="H14" s="11">
        <v>51</v>
      </c>
      <c r="I14" s="104">
        <v>44173</v>
      </c>
      <c r="J14" s="16">
        <v>17</v>
      </c>
      <c r="K14" s="11">
        <f t="shared" si="1"/>
        <v>34000</v>
      </c>
      <c r="L14" s="17">
        <v>48</v>
      </c>
      <c r="M14" s="11">
        <v>102</v>
      </c>
      <c r="N14" s="11">
        <v>0</v>
      </c>
      <c r="O14" s="13">
        <f t="shared" si="2"/>
        <v>0</v>
      </c>
      <c r="P14" s="14">
        <f t="shared" si="3"/>
        <v>-2611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9">
        <f t="shared" si="6"/>
        <v>0</v>
      </c>
      <c r="V14" s="69"/>
      <c r="W14" s="70">
        <v>0.06</v>
      </c>
      <c r="X14" s="15">
        <f t="shared" si="7"/>
        <v>-7.1730769230769237E-2</v>
      </c>
      <c r="Y14" s="16">
        <f>VLOOKUP(C14,台股行情!A:D,4,FALSE)</f>
        <v>19.95</v>
      </c>
      <c r="Z14" s="38">
        <f>VLOOKUP(C14,台股行情!A:E,5,FALSE)</f>
        <v>-0.15</v>
      </c>
      <c r="AA14" s="90">
        <f t="shared" ca="1" si="8"/>
        <v>1195.9259664877889</v>
      </c>
      <c r="AB14" s="103" t="s">
        <v>219</v>
      </c>
      <c r="AC14" s="135" t="s">
        <v>160</v>
      </c>
    </row>
    <row r="15" spans="1:29" outlineLevel="1">
      <c r="A15" s="99">
        <v>44158</v>
      </c>
      <c r="B15" s="11" t="s">
        <v>19</v>
      </c>
      <c r="C15" s="11">
        <v>2303</v>
      </c>
      <c r="D15" s="11" t="s">
        <v>244</v>
      </c>
      <c r="E15" s="11">
        <v>1000</v>
      </c>
      <c r="F15" s="11">
        <v>35.35</v>
      </c>
      <c r="G15" s="212">
        <f t="shared" si="0"/>
        <v>35350</v>
      </c>
      <c r="H15" s="11">
        <v>50</v>
      </c>
      <c r="I15" s="104">
        <v>44173</v>
      </c>
      <c r="J15" s="16">
        <v>50.8</v>
      </c>
      <c r="K15" s="11">
        <f t="shared" si="1"/>
        <v>50800</v>
      </c>
      <c r="L15" s="17">
        <v>72</v>
      </c>
      <c r="M15" s="11">
        <v>152</v>
      </c>
      <c r="N15" s="11">
        <v>0</v>
      </c>
      <c r="O15" s="13">
        <f t="shared" si="2"/>
        <v>0</v>
      </c>
      <c r="P15" s="14">
        <f t="shared" si="3"/>
        <v>15166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9">
        <f t="shared" si="6"/>
        <v>0</v>
      </c>
      <c r="V15" s="69"/>
      <c r="W15" s="70">
        <v>0.06</v>
      </c>
      <c r="X15" s="15">
        <f t="shared" si="7"/>
        <v>0.42902404526166904</v>
      </c>
      <c r="Y15" s="16">
        <f>VLOOKUP(C15,台股行情!A:D,4,FALSE)</f>
        <v>133.5</v>
      </c>
      <c r="Z15" s="38">
        <f>VLOOKUP(C15,台股行情!A:E,5,FALSE)</f>
        <v>-8.5</v>
      </c>
      <c r="AA15" s="90">
        <f t="shared" ca="1" si="8"/>
        <v>1451.7851275873397</v>
      </c>
      <c r="AB15" s="103" t="s">
        <v>209</v>
      </c>
      <c r="AC15" s="103"/>
    </row>
    <row r="16" spans="1:29" outlineLevel="1">
      <c r="A16" s="99">
        <v>44158</v>
      </c>
      <c r="B16" s="11" t="s">
        <v>19</v>
      </c>
      <c r="C16" s="11">
        <v>5347</v>
      </c>
      <c r="D16" s="11" t="s">
        <v>264</v>
      </c>
      <c r="E16" s="11">
        <v>1000</v>
      </c>
      <c r="F16" s="11">
        <v>110</v>
      </c>
      <c r="G16" s="212">
        <f t="shared" si="0"/>
        <v>110000</v>
      </c>
      <c r="H16" s="11">
        <v>156</v>
      </c>
      <c r="I16" s="104">
        <v>44174</v>
      </c>
      <c r="J16" s="16">
        <v>126</v>
      </c>
      <c r="K16" s="11">
        <f t="shared" si="1"/>
        <v>126000</v>
      </c>
      <c r="L16" s="17">
        <v>179</v>
      </c>
      <c r="M16" s="11">
        <v>378</v>
      </c>
      <c r="N16" s="11">
        <v>0</v>
      </c>
      <c r="O16" s="13">
        <f t="shared" si="2"/>
        <v>0</v>
      </c>
      <c r="P16" s="14">
        <f t="shared" si="3"/>
        <v>15277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9">
        <f t="shared" si="6"/>
        <v>0</v>
      </c>
      <c r="V16" s="69"/>
      <c r="W16" s="70">
        <v>0.06</v>
      </c>
      <c r="X16" s="15">
        <f t="shared" si="7"/>
        <v>0.13888181818181819</v>
      </c>
      <c r="Y16" s="16">
        <f>VLOOKUP(C16,台股行情!A:D,4,FALSE)</f>
        <v>161.5</v>
      </c>
      <c r="Z16" s="38">
        <f>VLOOKUP(C16,台股行情!A:E,5,FALSE)</f>
        <v>-14.5</v>
      </c>
      <c r="AA16" s="90">
        <f t="shared" ca="1" si="8"/>
        <v>4818.749315518563</v>
      </c>
      <c r="AB16" s="103" t="s">
        <v>209</v>
      </c>
      <c r="AC16" s="103"/>
    </row>
    <row r="17" spans="1:29" outlineLevel="1">
      <c r="A17" s="99">
        <v>44172</v>
      </c>
      <c r="B17" s="11" t="s">
        <v>19</v>
      </c>
      <c r="C17" s="11">
        <v>5907</v>
      </c>
      <c r="D17" s="11" t="s">
        <v>258</v>
      </c>
      <c r="E17" s="11">
        <v>2000</v>
      </c>
      <c r="F17" s="11">
        <v>23.1</v>
      </c>
      <c r="G17" s="212">
        <f t="shared" si="0"/>
        <v>46200</v>
      </c>
      <c r="H17" s="11">
        <v>65</v>
      </c>
      <c r="I17" s="104">
        <v>44176</v>
      </c>
      <c r="J17" s="16">
        <v>21.1</v>
      </c>
      <c r="K17" s="11">
        <f t="shared" si="1"/>
        <v>42200</v>
      </c>
      <c r="L17" s="17">
        <v>60</v>
      </c>
      <c r="M17" s="11">
        <v>126</v>
      </c>
      <c r="N17" s="11">
        <v>0</v>
      </c>
      <c r="O17" s="13">
        <f t="shared" si="2"/>
        <v>0</v>
      </c>
      <c r="P17" s="14">
        <f t="shared" si="3"/>
        <v>-4261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9">
        <f t="shared" si="6"/>
        <v>0</v>
      </c>
      <c r="V17" s="69"/>
      <c r="W17" s="70">
        <v>0.06</v>
      </c>
      <c r="X17" s="15">
        <f t="shared" si="7"/>
        <v>-9.2229437229437231E-2</v>
      </c>
      <c r="Y17" s="16">
        <f>VLOOKUP(C17,台股行情!A:D,4,FALSE)</f>
        <v>4.59</v>
      </c>
      <c r="Z17" s="38">
        <f>VLOOKUP(C17,台股行情!A:E,5,FALSE)</f>
        <v>0</v>
      </c>
      <c r="AA17" s="90">
        <f t="shared" ca="1" si="8"/>
        <v>505.96867812944913</v>
      </c>
      <c r="AB17" s="103" t="s">
        <v>219</v>
      </c>
      <c r="AC17" s="135" t="s">
        <v>160</v>
      </c>
    </row>
    <row r="18" spans="1:29" outlineLevel="1">
      <c r="A18" s="99">
        <v>44173</v>
      </c>
      <c r="B18" s="11" t="s">
        <v>19</v>
      </c>
      <c r="C18" s="11">
        <v>3706</v>
      </c>
      <c r="D18" s="11" t="s">
        <v>257</v>
      </c>
      <c r="E18" s="11">
        <v>1000</v>
      </c>
      <c r="F18" s="11">
        <v>32.549999999999997</v>
      </c>
      <c r="G18" s="212">
        <f t="shared" si="0"/>
        <v>32549.999999999996</v>
      </c>
      <c r="H18" s="11">
        <v>46</v>
      </c>
      <c r="I18" s="104">
        <v>44176</v>
      </c>
      <c r="J18" s="16">
        <v>29.65</v>
      </c>
      <c r="K18" s="11">
        <f t="shared" si="1"/>
        <v>29650</v>
      </c>
      <c r="L18" s="17">
        <v>42</v>
      </c>
      <c r="M18" s="11">
        <v>88</v>
      </c>
      <c r="N18" s="11">
        <v>0</v>
      </c>
      <c r="O18" s="13">
        <f t="shared" si="2"/>
        <v>0</v>
      </c>
      <c r="P18" s="14">
        <f t="shared" si="3"/>
        <v>-3085.9999999999964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9">
        <f t="shared" si="6"/>
        <v>0</v>
      </c>
      <c r="V18" s="69"/>
      <c r="W18" s="70">
        <v>0.06</v>
      </c>
      <c r="X18" s="15">
        <f t="shared" si="7"/>
        <v>-9.4807987711213418E-2</v>
      </c>
      <c r="Y18" s="16">
        <f>VLOOKUP(C18,台股行情!A:D,4,FALSE)</f>
        <v>81.5</v>
      </c>
      <c r="Z18" s="38">
        <f>VLOOKUP(C18,台股行情!A:E,5,FALSE)</f>
        <v>-2.7</v>
      </c>
      <c r="AA18" s="90">
        <f t="shared" ca="1" si="8"/>
        <v>267.35844923885662</v>
      </c>
      <c r="AB18" s="103" t="s">
        <v>219</v>
      </c>
      <c r="AC18" s="135" t="s">
        <v>160</v>
      </c>
    </row>
    <row r="19" spans="1:29" outlineLevel="1">
      <c r="A19" s="99">
        <v>44172</v>
      </c>
      <c r="B19" s="11" t="s">
        <v>19</v>
      </c>
      <c r="C19" s="11">
        <v>8163</v>
      </c>
      <c r="D19" s="11" t="s">
        <v>259</v>
      </c>
      <c r="E19" s="11">
        <v>1000</v>
      </c>
      <c r="F19" s="11">
        <v>45.75</v>
      </c>
      <c r="G19" s="212">
        <f t="shared" si="0"/>
        <v>45750</v>
      </c>
      <c r="H19" s="11">
        <v>65</v>
      </c>
      <c r="I19" s="104">
        <v>44182</v>
      </c>
      <c r="J19" s="16">
        <v>43.35</v>
      </c>
      <c r="K19" s="11">
        <f t="shared" si="1"/>
        <v>43350</v>
      </c>
      <c r="L19" s="17">
        <v>61</v>
      </c>
      <c r="M19" s="11">
        <v>130</v>
      </c>
      <c r="N19" s="11">
        <v>0</v>
      </c>
      <c r="O19" s="13">
        <f t="shared" si="2"/>
        <v>0</v>
      </c>
      <c r="P19" s="14">
        <f t="shared" si="3"/>
        <v>-2666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9">
        <f t="shared" si="6"/>
        <v>0</v>
      </c>
      <c r="V19" s="69"/>
      <c r="W19" s="70">
        <v>0.06</v>
      </c>
      <c r="X19" s="15">
        <f t="shared" si="7"/>
        <v>-5.8273224043715849E-2</v>
      </c>
      <c r="Y19" s="16">
        <f>VLOOKUP(C19,台股行情!A:D,4,FALSE)</f>
        <v>28.9</v>
      </c>
      <c r="Z19" s="38">
        <f>VLOOKUP(C19,台股行情!A:E,5,FALSE)</f>
        <v>-0.65</v>
      </c>
      <c r="AA19" s="90">
        <f t="shared" ca="1" si="8"/>
        <v>1252.601029460081</v>
      </c>
      <c r="AB19" s="103" t="s">
        <v>219</v>
      </c>
      <c r="AC19" s="135" t="s">
        <v>160</v>
      </c>
    </row>
    <row r="20" spans="1:29" outlineLevel="1">
      <c r="A20" s="99">
        <v>44173</v>
      </c>
      <c r="B20" s="11" t="s">
        <v>19</v>
      </c>
      <c r="C20" s="11">
        <v>3707</v>
      </c>
      <c r="D20" s="11" t="s">
        <v>262</v>
      </c>
      <c r="E20" s="11">
        <v>1000</v>
      </c>
      <c r="F20" s="11">
        <v>41.3</v>
      </c>
      <c r="G20" s="212">
        <f t="shared" si="0"/>
        <v>41300</v>
      </c>
      <c r="H20" s="11">
        <v>58</v>
      </c>
      <c r="I20" s="104">
        <v>44182</v>
      </c>
      <c r="J20" s="16">
        <v>38.1</v>
      </c>
      <c r="K20" s="11">
        <f t="shared" si="1"/>
        <v>38100</v>
      </c>
      <c r="L20" s="17">
        <v>54</v>
      </c>
      <c r="M20" s="11">
        <v>114</v>
      </c>
      <c r="N20" s="11">
        <v>0</v>
      </c>
      <c r="O20" s="13">
        <f t="shared" si="2"/>
        <v>0</v>
      </c>
      <c r="P20" s="14">
        <f t="shared" si="3"/>
        <v>-3436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0.06</v>
      </c>
      <c r="X20" s="15">
        <f t="shared" si="7"/>
        <v>-8.3196125907990318E-2</v>
      </c>
      <c r="Y20" s="16">
        <f>VLOOKUP(C20,台股行情!A:D,4,FALSE)</f>
        <v>77</v>
      </c>
      <c r="Z20" s="38">
        <f>VLOOKUP(C20,台股行情!A:E,5,FALSE)</f>
        <v>-4.7</v>
      </c>
      <c r="AA20" s="90">
        <f t="shared" ca="1" si="8"/>
        <v>1017.6870003285511</v>
      </c>
      <c r="AB20" s="103" t="s">
        <v>219</v>
      </c>
      <c r="AC20" s="135" t="s">
        <v>156</v>
      </c>
    </row>
    <row r="21" spans="1:29">
      <c r="A21" s="58"/>
      <c r="B21" s="11"/>
      <c r="C21" s="11"/>
      <c r="D21" s="11"/>
      <c r="E21" s="11"/>
      <c r="F21" s="11"/>
      <c r="G21" s="213"/>
      <c r="H21" s="64"/>
      <c r="I21" s="12"/>
      <c r="J21" s="11"/>
      <c r="K21" s="64"/>
      <c r="L21" s="64"/>
      <c r="M21" s="64"/>
      <c r="N21" s="64"/>
      <c r="O21" s="64"/>
      <c r="P21" s="64"/>
      <c r="Q21" s="14"/>
      <c r="R21" s="64"/>
      <c r="S21" s="11"/>
      <c r="T21" s="14"/>
      <c r="U21" s="69"/>
      <c r="V21" s="57"/>
      <c r="W21" s="75"/>
      <c r="X21" s="57"/>
      <c r="Y21" s="11"/>
      <c r="Z21" s="38"/>
      <c r="AA21" s="90"/>
    </row>
    <row r="22" spans="1:29">
      <c r="A22" s="39"/>
      <c r="B22" s="40"/>
      <c r="C22" s="40"/>
      <c r="D22" s="40"/>
      <c r="E22" s="40"/>
      <c r="F22" s="40"/>
      <c r="G22" s="40"/>
      <c r="H22" s="40"/>
      <c r="I22" s="41"/>
      <c r="J22" s="42"/>
      <c r="K22" s="40"/>
      <c r="L22" s="43"/>
      <c r="M22" s="40"/>
      <c r="N22" s="40"/>
      <c r="O22" s="44"/>
      <c r="P22" s="45"/>
      <c r="Q22" s="45"/>
      <c r="R22" s="45"/>
      <c r="S22" s="45"/>
      <c r="T22" s="45"/>
      <c r="U22" s="73"/>
      <c r="V22" s="73"/>
      <c r="W22" s="76"/>
      <c r="X22" s="46"/>
      <c r="Y22" s="42"/>
      <c r="Z22" s="47"/>
      <c r="AA22" s="90"/>
    </row>
    <row r="23" spans="1:29">
      <c r="A23" s="10"/>
      <c r="B23" s="11"/>
      <c r="C23" s="11"/>
      <c r="D23" s="11"/>
      <c r="E23" s="11"/>
      <c r="F23" s="11"/>
      <c r="G23" s="11"/>
      <c r="H23" s="11"/>
      <c r="I23" s="12"/>
      <c r="J23" s="11"/>
      <c r="K23" s="11"/>
      <c r="L23" s="11"/>
      <c r="M23" s="11"/>
      <c r="N23" s="11"/>
      <c r="O23" s="13"/>
      <c r="P23" s="14"/>
      <c r="Q23" s="14"/>
      <c r="R23" s="14"/>
      <c r="S23" s="14"/>
      <c r="T23" s="14"/>
      <c r="U23" s="14"/>
      <c r="V23" s="69"/>
      <c r="W23" s="70"/>
      <c r="X23" s="15"/>
      <c r="Y23" s="16"/>
      <c r="Z23" s="38"/>
      <c r="AA23" s="90"/>
    </row>
    <row r="24" spans="1:29">
      <c r="A24" s="18">
        <f>MIN(A25:A26)</f>
        <v>0</v>
      </c>
      <c r="B24" s="19"/>
      <c r="C24" s="20"/>
      <c r="D24" s="19"/>
      <c r="E24" s="19"/>
      <c r="F24" s="19"/>
      <c r="G24" s="19"/>
      <c r="H24" s="19"/>
      <c r="I24" s="21"/>
      <c r="J24" s="22"/>
      <c r="K24" s="19"/>
      <c r="L24" s="23"/>
      <c r="M24" s="19"/>
      <c r="N24" s="19"/>
      <c r="O24" s="24"/>
      <c r="P24" s="25"/>
      <c r="Q24" s="25"/>
      <c r="R24" s="25"/>
      <c r="S24" s="25"/>
      <c r="T24" s="25"/>
      <c r="U24" s="25"/>
      <c r="V24" s="74"/>
      <c r="W24" s="77"/>
      <c r="X24" s="26"/>
      <c r="Y24" s="22"/>
      <c r="Z24" s="27"/>
      <c r="AA24" s="90"/>
    </row>
    <row r="25" spans="1:29">
      <c r="A25" s="99"/>
      <c r="B25" s="11"/>
      <c r="C25" s="11"/>
      <c r="D25" s="11"/>
      <c r="E25" s="11"/>
      <c r="F25" s="11"/>
      <c r="G25" s="11"/>
      <c r="H25" s="11"/>
      <c r="I25" s="104"/>
      <c r="J25" s="16"/>
      <c r="K25" s="11"/>
      <c r="L25" s="17"/>
      <c r="M25" s="11"/>
      <c r="N25" s="11"/>
      <c r="O25" s="13"/>
      <c r="P25" s="14"/>
      <c r="Q25" s="14"/>
      <c r="R25" s="14"/>
      <c r="S25" s="14"/>
      <c r="T25" s="14"/>
      <c r="U25" s="69"/>
      <c r="V25" s="69"/>
      <c r="W25" s="70"/>
      <c r="X25" s="15"/>
      <c r="Y25" s="16"/>
      <c r="Z25" s="38"/>
      <c r="AA25" s="90"/>
      <c r="AB25" s="103"/>
      <c r="AC25" s="103"/>
    </row>
    <row r="26" spans="1:29" ht="17.25" thickBot="1">
      <c r="A26" s="48"/>
      <c r="B26" s="49"/>
      <c r="C26" s="49"/>
      <c r="D26" s="49"/>
      <c r="E26" s="49"/>
      <c r="F26" s="49"/>
      <c r="G26" s="49"/>
      <c r="H26" s="49"/>
      <c r="I26" s="50"/>
      <c r="J26" s="51"/>
      <c r="K26" s="49"/>
      <c r="L26" s="52"/>
      <c r="M26" s="49"/>
      <c r="N26" s="49"/>
      <c r="O26" s="53"/>
      <c r="P26" s="54"/>
      <c r="Q26" s="54"/>
      <c r="R26" s="54"/>
      <c r="S26" s="54"/>
      <c r="T26" s="60"/>
      <c r="U26" s="54"/>
      <c r="V26" s="54"/>
      <c r="W26" s="78"/>
      <c r="X26" s="55"/>
      <c r="Y26" s="51"/>
      <c r="Z26" s="56"/>
      <c r="AA26" s="90"/>
    </row>
    <row r="27" spans="1:29" ht="17.25" thickBot="1">
      <c r="A27" s="29"/>
      <c r="D27" s="9"/>
      <c r="I27" s="30"/>
      <c r="J27" s="31"/>
      <c r="L27" s="32"/>
      <c r="O27" s="33"/>
      <c r="P27" s="34"/>
      <c r="Q27" s="34"/>
      <c r="R27" s="34"/>
      <c r="S27" s="34"/>
      <c r="T27" s="34"/>
      <c r="U27" s="34"/>
      <c r="V27" s="34"/>
      <c r="W27" s="34"/>
      <c r="X27" s="35"/>
      <c r="Y27" s="31"/>
      <c r="Z27" s="31"/>
      <c r="AA27" s="90"/>
    </row>
    <row r="28" spans="1:29" ht="17.25" thickBot="1">
      <c r="A28" s="427" t="s">
        <v>2659</v>
      </c>
      <c r="B28" s="404"/>
      <c r="C28" s="429"/>
      <c r="D28" s="61" t="s">
        <v>21</v>
      </c>
      <c r="E28" s="447"/>
      <c r="F28" s="426"/>
      <c r="G28" s="62">
        <f>SUM(G24:G26)</f>
        <v>0</v>
      </c>
      <c r="H28" s="62">
        <f>SUM(H24:H26)</f>
        <v>0</v>
      </c>
      <c r="I28" s="447"/>
      <c r="J28" s="426"/>
      <c r="K28" s="436"/>
      <c r="L28" s="437"/>
      <c r="M28" s="437"/>
      <c r="N28" s="438"/>
      <c r="O28" s="62">
        <f>SUM(O24:O26)</f>
        <v>0</v>
      </c>
      <c r="P28" s="101">
        <f>SUM(P24:P26)</f>
        <v>0</v>
      </c>
      <c r="Q28" s="101">
        <f>SUM(Q24:Q26)</f>
        <v>0</v>
      </c>
      <c r="R28" s="62">
        <f>SUM(R24:R26)</f>
        <v>0</v>
      </c>
      <c r="S28" s="71"/>
      <c r="T28" s="71"/>
      <c r="U28" s="71"/>
      <c r="V28" s="71"/>
      <c r="W28" s="71"/>
      <c r="X28" s="67" t="e">
        <f>(P28+Q28)/G28</f>
        <v>#DIV/0!</v>
      </c>
      <c r="Y28" s="445" t="s">
        <v>23</v>
      </c>
      <c r="Z28" s="84">
        <f>IF(AA28=0,0,(P28+Q28)/(AA28))</f>
        <v>0</v>
      </c>
      <c r="AA28" s="90">
        <f>SUM(AA24:AA26)</f>
        <v>0</v>
      </c>
    </row>
    <row r="29" spans="1:29" s="36" customFormat="1" ht="17.25" thickBot="1">
      <c r="A29" s="409"/>
      <c r="B29" s="407"/>
      <c r="C29" s="430"/>
      <c r="D29" s="61" t="s">
        <v>112</v>
      </c>
      <c r="E29" s="425"/>
      <c r="F29" s="426"/>
      <c r="G29" s="63">
        <f>SUM(G2:G26)</f>
        <v>1770540</v>
      </c>
      <c r="H29" s="63">
        <f>SUM(H2:H26)</f>
        <v>2519</v>
      </c>
      <c r="I29" s="425"/>
      <c r="J29" s="426"/>
      <c r="K29" s="63">
        <f t="shared" ref="K29:R29" si="9">SUM(K2:K26)</f>
        <v>1840750</v>
      </c>
      <c r="L29" s="63">
        <f t="shared" si="9"/>
        <v>2573</v>
      </c>
      <c r="M29" s="63">
        <f t="shared" si="9"/>
        <v>5413</v>
      </c>
      <c r="N29" s="63">
        <f t="shared" si="9"/>
        <v>0</v>
      </c>
      <c r="O29" s="63">
        <f t="shared" si="9"/>
        <v>0</v>
      </c>
      <c r="P29" s="102">
        <f>SUM(P2:P26)</f>
        <v>76267</v>
      </c>
      <c r="Q29" s="101">
        <f t="shared" si="9"/>
        <v>0</v>
      </c>
      <c r="R29" s="63">
        <f t="shared" si="9"/>
        <v>17800</v>
      </c>
      <c r="S29" s="72"/>
      <c r="T29" s="72"/>
      <c r="U29" s="72"/>
      <c r="V29" s="72"/>
      <c r="W29" s="72"/>
      <c r="X29" s="67">
        <f>(P29+Q29)/G29</f>
        <v>4.3075558869045599E-2</v>
      </c>
      <c r="Y29" s="417"/>
      <c r="Z29" s="84">
        <f ca="1">IF(AA29=0,0,(P29+Q29)/(AA29))</f>
        <v>0.54603129239566062</v>
      </c>
      <c r="AA29" s="90">
        <f ca="1">SUM(AA2:AA26)</f>
        <v>139675.14511006459</v>
      </c>
      <c r="AB29" s="87"/>
      <c r="AC29" s="88"/>
    </row>
    <row r="30" spans="1:29" s="36" customFormat="1" ht="17.25" thickBot="1">
      <c r="A30" s="410"/>
      <c r="B30" s="411"/>
      <c r="C30" s="431"/>
      <c r="D30" s="61" t="s">
        <v>20</v>
      </c>
      <c r="E30" s="425"/>
      <c r="F30" s="426"/>
      <c r="G30" s="63">
        <f>SUM(G2:G26)</f>
        <v>1770540</v>
      </c>
      <c r="H30" s="63">
        <f>SUM(H2:H26)</f>
        <v>2519</v>
      </c>
      <c r="I30" s="425"/>
      <c r="J30" s="426"/>
      <c r="K30" s="63">
        <f t="shared" ref="K30:R30" si="10">SUM(K2:K26)</f>
        <v>1840750</v>
      </c>
      <c r="L30" s="63">
        <f t="shared" si="10"/>
        <v>2573</v>
      </c>
      <c r="M30" s="63">
        <f t="shared" si="10"/>
        <v>5413</v>
      </c>
      <c r="N30" s="63">
        <f t="shared" si="10"/>
        <v>0</v>
      </c>
      <c r="O30" s="63">
        <f t="shared" si="10"/>
        <v>0</v>
      </c>
      <c r="P30" s="102">
        <f t="shared" si="10"/>
        <v>76267</v>
      </c>
      <c r="Q30" s="101">
        <f t="shared" si="10"/>
        <v>0</v>
      </c>
      <c r="R30" s="63">
        <f t="shared" si="10"/>
        <v>17800</v>
      </c>
      <c r="S30" s="72"/>
      <c r="T30" s="72"/>
      <c r="U30" s="72"/>
      <c r="V30" s="72"/>
      <c r="W30" s="72"/>
      <c r="X30" s="67">
        <f>(P30+Q30)/G30</f>
        <v>4.3075558869045599E-2</v>
      </c>
      <c r="Y30" s="418"/>
      <c r="Z30" s="84">
        <f ca="1">IF(AA30=0,0,(P30+Q30)/(AA30))</f>
        <v>0.54603129239566062</v>
      </c>
      <c r="AA30" s="90">
        <f ca="1">AA29</f>
        <v>139675.14511006459</v>
      </c>
      <c r="AB30" s="87"/>
      <c r="AC30" s="87"/>
    </row>
    <row r="31" spans="1:29" ht="17.25" thickBot="1">
      <c r="A31" s="66"/>
      <c r="C31" s="65"/>
      <c r="D31" s="9"/>
      <c r="P31" s="128"/>
    </row>
    <row r="32" spans="1:29" ht="17.25" thickBot="1">
      <c r="A32" s="421" t="s">
        <v>2660</v>
      </c>
      <c r="B32" s="439"/>
      <c r="C32" s="439"/>
      <c r="D32" s="251" t="s">
        <v>2658</v>
      </c>
      <c r="E32" s="421"/>
      <c r="F32" s="439"/>
      <c r="G32" s="251" t="s">
        <v>2652</v>
      </c>
      <c r="H32" s="251" t="s">
        <v>25</v>
      </c>
      <c r="I32" s="421"/>
      <c r="J32" s="246"/>
      <c r="K32" s="246"/>
      <c r="L32" s="246"/>
      <c r="M32" s="246"/>
      <c r="N32" s="246"/>
      <c r="O32" s="251" t="s">
        <v>2653</v>
      </c>
      <c r="P32" s="251" t="s">
        <v>2654</v>
      </c>
      <c r="Q32" s="251" t="s">
        <v>2655</v>
      </c>
      <c r="R32" s="251" t="s">
        <v>2656</v>
      </c>
      <c r="S32" s="246" t="s">
        <v>25</v>
      </c>
      <c r="T32" s="246" t="s">
        <v>26</v>
      </c>
      <c r="U32" s="421"/>
      <c r="V32" s="246" t="s">
        <v>28</v>
      </c>
      <c r="W32" s="246" t="s">
        <v>27</v>
      </c>
      <c r="X32" s="251" t="s">
        <v>2657</v>
      </c>
      <c r="Y32" s="251" t="s">
        <v>23</v>
      </c>
      <c r="Z32" s="251" t="s">
        <v>168</v>
      </c>
      <c r="AA32" s="89"/>
    </row>
    <row r="33" spans="1:27">
      <c r="A33" s="441"/>
      <c r="B33" s="441"/>
      <c r="C33" s="441"/>
      <c r="D33" s="264" t="s">
        <v>219</v>
      </c>
      <c r="E33" s="441"/>
      <c r="F33" s="441"/>
      <c r="G33" s="265">
        <f>SUMIF(AB$2:AB$22,D33,G$2:G$22)</f>
        <v>411250</v>
      </c>
      <c r="H33" s="265">
        <f>SUMIF(AB$2:AB$22,D33,H$2:H$22)</f>
        <v>580</v>
      </c>
      <c r="I33" s="441"/>
      <c r="J33" s="249"/>
      <c r="K33" s="257"/>
      <c r="L33" s="257"/>
      <c r="M33" s="257"/>
      <c r="N33" s="257"/>
      <c r="O33" s="265">
        <f>SUMIF(AB$2:AB$22,D33,O$2:O$22)</f>
        <v>0</v>
      </c>
      <c r="P33" s="266">
        <f>SUMIF(AB$2:AB$22,D33,P$2:P$22)</f>
        <v>-20759.999999999993</v>
      </c>
      <c r="Q33" s="266">
        <f>SUMIF(AB$2:AB$22,"*"&amp;D33&amp;"*",Q$2:Q$22)</f>
        <v>0</v>
      </c>
      <c r="R33" s="265">
        <f>SUMIF(AB$2:AB$22,D33,R$2:R$22)</f>
        <v>0</v>
      </c>
      <c r="S33" s="257"/>
      <c r="T33" s="257"/>
      <c r="U33" s="423"/>
      <c r="V33" s="257"/>
      <c r="W33" s="257"/>
      <c r="X33" s="267">
        <f>(SUMIF(AB$2:AB$27,D33,P$2:P$27)+SUMIF(AB$2:AB$27,D33,Q$2:Q$27))/SUMIF(AB$2:AB$27,D33,G$2:G$27)</f>
        <v>-5.0480243161094208E-2</v>
      </c>
      <c r="Y33" s="267">
        <f ca="1">(P33+Q33)/(AA33)</f>
        <v>-1.6392213766862671</v>
      </c>
      <c r="Z33" s="268">
        <f>COUNTIFS(X$2:X$27,"&gt;0",AB$2:AB$27,D33)/COUNTIF(AB$2:AB$27,D33)</f>
        <v>0.1</v>
      </c>
      <c r="AA33" s="9">
        <f ca="1">SUMIF(AB$2:AB$22,D33,AA$2:AA$22)</f>
        <v>12664.54933742197</v>
      </c>
    </row>
    <row r="34" spans="1:27">
      <c r="A34" s="441"/>
      <c r="B34" s="441"/>
      <c r="C34" s="441"/>
      <c r="D34" s="247" t="s">
        <v>169</v>
      </c>
      <c r="E34" s="441"/>
      <c r="F34" s="441"/>
      <c r="G34" s="256">
        <f>SUMIF(AB$2:AB$22,D34,G$2:G$22)</f>
        <v>286250</v>
      </c>
      <c r="H34" s="256">
        <f>SUMIF(AB$2:AB$22,D34,H$2:H$22)</f>
        <v>407</v>
      </c>
      <c r="I34" s="441"/>
      <c r="J34" s="249"/>
      <c r="K34" s="257"/>
      <c r="L34" s="257"/>
      <c r="M34" s="257"/>
      <c r="N34" s="257"/>
      <c r="O34" s="256">
        <f>SUMIF(AB$2:AB$22,D34,O$2:O$22)</f>
        <v>0</v>
      </c>
      <c r="P34" s="258">
        <f>SUMIF(AB$2:AB$22,D34,P$2:P$22)</f>
        <v>14256</v>
      </c>
      <c r="Q34" s="258">
        <f>SUMIF(AB$2:AB$22,"*"&amp;D34&amp;"*",Q$2:Q$22)</f>
        <v>0</v>
      </c>
      <c r="R34" s="256">
        <f>SUMIF(AB$2:AB$22,D34,R$2:R$22)</f>
        <v>15800</v>
      </c>
      <c r="S34" s="257"/>
      <c r="T34" s="257"/>
      <c r="U34" s="423"/>
      <c r="V34" s="257"/>
      <c r="W34" s="257"/>
      <c r="X34" s="267">
        <f>(SUMIF(AB$2:AB$27,D34,P$2:P$27)+SUMIF(AB$2:AB$27,D34,Q$2:Q$27))/SUMIF(AB$2:AB$27,D34,G$2:G$27)</f>
        <v>4.9802620087336241E-2</v>
      </c>
      <c r="Y34" s="259">
        <f t="shared" ref="Y34" ca="1" si="11">(P34+Q34)/(AA34)</f>
        <v>0.3026013506131226</v>
      </c>
      <c r="Z34" s="268">
        <f>COUNTIFS(X$2:X$27,"&gt;0",AB$2:AB$27,D34)/COUNTIF(AB$2:AB$27,D34)</f>
        <v>0.5</v>
      </c>
      <c r="AA34" s="9">
        <f ca="1">SUMIF(AB$2:AB$22,D34,AA$2:AA$22)</f>
        <v>47111.488336436312</v>
      </c>
    </row>
    <row r="35" spans="1:27" ht="17.25" thickBot="1">
      <c r="A35" s="443"/>
      <c r="B35" s="443"/>
      <c r="C35" s="443"/>
      <c r="D35" s="248" t="s">
        <v>209</v>
      </c>
      <c r="E35" s="443"/>
      <c r="F35" s="443"/>
      <c r="G35" s="260">
        <f>SUMIF(AB$2:AB$22,D35,G$2:G$22)</f>
        <v>1073040</v>
      </c>
      <c r="H35" s="260">
        <f>SUMIF(AB$2:AB$22,D35,H$2:H$22)</f>
        <v>1532</v>
      </c>
      <c r="I35" s="443"/>
      <c r="J35" s="250"/>
      <c r="K35" s="261"/>
      <c r="L35" s="261"/>
      <c r="M35" s="261"/>
      <c r="N35" s="261"/>
      <c r="O35" s="260">
        <f>SUMIF(AB$2:AB$22,D35,O$2:O$22)</f>
        <v>0</v>
      </c>
      <c r="P35" s="262">
        <f>SUMIF(AB$2:AB$22,D35,P$2:P$22)</f>
        <v>82771</v>
      </c>
      <c r="Q35" s="262">
        <f>SUMIF(AB$2:AB$22,"*"&amp;D35&amp;"*",Q$2:Q$22)</f>
        <v>0</v>
      </c>
      <c r="R35" s="260">
        <f>SUMIF(AB$2:AB$22,D35,R$2:R$22)</f>
        <v>2000</v>
      </c>
      <c r="S35" s="261"/>
      <c r="T35" s="261"/>
      <c r="U35" s="424"/>
      <c r="V35" s="261"/>
      <c r="W35" s="261"/>
      <c r="X35" s="254">
        <f>(SUMIF(AB$2:AB$27,D35,P$2:P$27)+SUMIF(AB$2:AB$27,D35,Q$2:Q$27))/SUMIF(AB$2:AB$27,D35,G$2:G$27)</f>
        <v>7.7136919406545892E-2</v>
      </c>
      <c r="Y35" s="263">
        <f t="shared" ref="Y35" ca="1" si="12">(P35+Q35)/(AA35)</f>
        <v>1.0359439880612769</v>
      </c>
      <c r="Z35" s="255">
        <f>COUNTIFS(X$2:X$27,"&gt;0",AB$2:AB$27,D35)/COUNTIF(AB$2:AB$27,D35)</f>
        <v>0.7142857142857143</v>
      </c>
      <c r="AA35" s="9">
        <f ca="1">SUMIF(AB$2:AB$22,D35,AA$2:AA$22)</f>
        <v>79899.107436206323</v>
      </c>
    </row>
    <row r="36" spans="1:27">
      <c r="B36" s="37"/>
      <c r="C36" s="37"/>
      <c r="D36" s="9"/>
    </row>
    <row r="37" spans="1:27">
      <c r="B37" s="37"/>
      <c r="C37" s="37"/>
      <c r="D37" s="9"/>
    </row>
    <row r="38" spans="1:27">
      <c r="A38" s="37"/>
      <c r="B38" s="37"/>
      <c r="C38" s="37"/>
      <c r="D38" s="9"/>
    </row>
    <row r="39" spans="1:27">
      <c r="A39" s="37"/>
      <c r="B39" s="37"/>
      <c r="C39" s="37"/>
      <c r="D39" s="9"/>
    </row>
    <row r="40" spans="1:27">
      <c r="A40" s="37"/>
      <c r="B40" s="37"/>
      <c r="C40" s="37"/>
      <c r="D40" s="9"/>
    </row>
    <row r="41" spans="1:27">
      <c r="A41" s="37"/>
      <c r="B41" s="37"/>
      <c r="C41" s="37"/>
      <c r="D41" s="9"/>
    </row>
    <row r="42" spans="1:27">
      <c r="A42" s="37"/>
      <c r="B42" s="37"/>
      <c r="C42" s="37"/>
      <c r="D42" s="9"/>
    </row>
    <row r="43" spans="1:27">
      <c r="A43" s="37"/>
      <c r="B43" s="37"/>
      <c r="C43" s="37"/>
      <c r="D43" s="9"/>
    </row>
    <row r="44" spans="1:27">
      <c r="A44" s="37"/>
      <c r="B44" s="37"/>
      <c r="C44" s="37"/>
      <c r="D44" s="9"/>
    </row>
    <row r="45" spans="1:27">
      <c r="A45" s="37"/>
      <c r="B45" s="37"/>
      <c r="C45" s="37"/>
      <c r="D45" s="9"/>
    </row>
  </sheetData>
  <autoFilter ref="A1:AA47" xr:uid="{00000000-0009-0000-0000-000001000000}"/>
  <mergeCells count="9">
    <mergeCell ref="Y28:Y30"/>
    <mergeCell ref="A32:C35"/>
    <mergeCell ref="E32:F35"/>
    <mergeCell ref="I32:I35"/>
    <mergeCell ref="U32:U35"/>
    <mergeCell ref="A28:C30"/>
    <mergeCell ref="E28:F30"/>
    <mergeCell ref="I28:J30"/>
    <mergeCell ref="K28:N28"/>
  </mergeCells>
  <phoneticPr fontId="74" type="noConversion"/>
  <conditionalFormatting sqref="I21:I24 I26:I27">
    <cfRule type="expression" dxfId="1373" priority="219">
      <formula>$I21&gt;(TODAY()-7)</formula>
    </cfRule>
    <cfRule type="expression" dxfId="1372" priority="220">
      <formula>$I21&gt;(TODAY()-30)</formula>
    </cfRule>
  </conditionalFormatting>
  <conditionalFormatting sqref="Z2:Z20">
    <cfRule type="cellIs" dxfId="1371" priority="5" operator="lessThan">
      <formula>0</formula>
    </cfRule>
    <cfRule type="cellIs" dxfId="1370" priority="6" operator="greaterThan">
      <formula>0</formula>
    </cfRule>
    <cfRule type="containsText" dxfId="1369" priority="7" operator="containsText" text="▲">
      <formula>NOT(ISERROR(SEARCH("▲",Z2)))</formula>
    </cfRule>
    <cfRule type="containsText" dxfId="1368" priority="8" operator="containsText" text="▼">
      <formula>NOT(ISERROR(SEARCH("▼",Z2)))</formula>
    </cfRule>
  </conditionalFormatting>
  <conditionalFormatting sqref="Z1:AA1 AA2:AA3 AA11:AA20 Z21:AA31 Z36:AA1048576">
    <cfRule type="containsText" dxfId="1367" priority="222" operator="containsText" text="▽">
      <formula>NOT(ISERROR(SEARCH("▽",Z1)))</formula>
    </cfRule>
  </conditionalFormatting>
  <conditionalFormatting sqref="Z25:AA25">
    <cfRule type="containsText" dxfId="1366" priority="149" operator="containsText" text="△">
      <formula>NOT(ISERROR(SEARCH("△",Z25)))</formula>
    </cfRule>
    <cfRule type="containsText" dxfId="1365" priority="150" operator="containsText" text="▽">
      <formula>NOT(ISERROR(SEARCH("▽",Z25)))</formula>
    </cfRule>
  </conditionalFormatting>
  <conditionalFormatting sqref="AA2:AA3 AA11:AA20 Z21:AA31 Z1:AA1 Z36:AA1048576">
    <cfRule type="containsText" dxfId="1364" priority="221" operator="containsText" text="△">
      <formula>NOT(ISERROR(SEARCH("△",Z1)))</formula>
    </cfRule>
  </conditionalFormatting>
  <conditionalFormatting sqref="AA2:AA3">
    <cfRule type="containsText" dxfId="1363" priority="173" operator="containsText" text="△">
      <formula>NOT(ISERROR(SEARCH("△",AA2)))</formula>
    </cfRule>
    <cfRule type="containsText" dxfId="1362" priority="174" operator="containsText" text="▽">
      <formula>NOT(ISERROR(SEARCH("▽",AA2)))</formula>
    </cfRule>
  </conditionalFormatting>
  <conditionalFormatting sqref="AA2:AA20">
    <cfRule type="containsText" dxfId="1361" priority="161" operator="containsText" text="△">
      <formula>NOT(ISERROR(SEARCH("△",AA2)))</formula>
    </cfRule>
    <cfRule type="containsText" dxfId="1360" priority="162" operator="containsText" text="▽">
      <formula>NOT(ISERROR(SEARCH("▽",AA2)))</formula>
    </cfRule>
    <cfRule type="containsText" dxfId="1359" priority="165" operator="containsText" text="△">
      <formula>NOT(ISERROR(SEARCH("△",AA2)))</formula>
    </cfRule>
    <cfRule type="containsText" dxfId="1358" priority="166" operator="containsText" text="▽">
      <formula>NOT(ISERROR(SEARCH("▽",AA2)))</formula>
    </cfRule>
    <cfRule type="containsText" dxfId="1357" priority="167" operator="containsText" text="△">
      <formula>NOT(ISERROR(SEARCH("△",AA2)))</formula>
    </cfRule>
    <cfRule type="containsText" dxfId="1356" priority="168" operator="containsText" text="▽">
      <formula>NOT(ISERROR(SEARCH("▽",AA2)))</formula>
    </cfRule>
  </conditionalFormatting>
  <conditionalFormatting sqref="AA3">
    <cfRule type="containsText" dxfId="1355" priority="171" operator="containsText" text="△">
      <formula>NOT(ISERROR(SEARCH("△",AA3)))</formula>
    </cfRule>
    <cfRule type="containsText" dxfId="1354" priority="172" operator="containsText" text="▽">
      <formula>NOT(ISERROR(SEARCH("▽",AA3)))</formula>
    </cfRule>
  </conditionalFormatting>
  <conditionalFormatting sqref="AA7:AA20">
    <cfRule type="containsText" dxfId="1353" priority="159" operator="containsText" text="△">
      <formula>NOT(ISERROR(SEARCH("△",AA7)))</formula>
    </cfRule>
    <cfRule type="containsText" dxfId="1352" priority="160" operator="containsText" text="▽">
      <formula>NOT(ISERROR(SEARCH("▽",AA7)))</formula>
    </cfRule>
  </conditionalFormatting>
  <conditionalFormatting sqref="AA8:AA20">
    <cfRule type="containsText" dxfId="1351" priority="163" operator="containsText" text="△">
      <formula>NOT(ISERROR(SEARCH("△",AA8)))</formula>
    </cfRule>
    <cfRule type="containsText" dxfId="1350" priority="164" operator="containsText" text="▽">
      <formula>NOT(ISERROR(SEARCH("▽",AA8)))</formula>
    </cfRule>
  </conditionalFormatting>
  <conditionalFormatting sqref="AA9:AA20">
    <cfRule type="containsText" dxfId="1349" priority="169" operator="containsText" text="△">
      <formula>NOT(ISERROR(SEARCH("△",AA9)))</formula>
    </cfRule>
    <cfRule type="containsText" dxfId="1348" priority="170" operator="containsText" text="▽">
      <formula>NOT(ISERROR(SEARCH("▽",AA9)))</formula>
    </cfRule>
  </conditionalFormatting>
  <conditionalFormatting sqref="AA10:AA20">
    <cfRule type="containsText" dxfId="1347" priority="155" operator="containsText" text="△">
      <formula>NOT(ISERROR(SEARCH("△",AA10)))</formula>
    </cfRule>
    <cfRule type="containsText" dxfId="1346" priority="156" operator="containsText" text="▽">
      <formula>NOT(ISERROR(SEARCH("▽",AA10)))</formula>
    </cfRule>
  </conditionalFormatting>
  <conditionalFormatting sqref="AA11:AA20">
    <cfRule type="containsText" dxfId="1345" priority="141" operator="containsText" text="△">
      <formula>NOT(ISERROR(SEARCH("△",AA11)))</formula>
    </cfRule>
    <cfRule type="containsText" dxfId="1344" priority="142" operator="containsText" text="▽">
      <formula>NOT(ISERROR(SEARCH("▽",AA11)))</formula>
    </cfRule>
  </conditionalFormatting>
  <conditionalFormatting sqref="AA12:AA20">
    <cfRule type="containsText" dxfId="1343" priority="131" operator="containsText" text="△">
      <formula>NOT(ISERROR(SEARCH("△",AA12)))</formula>
    </cfRule>
    <cfRule type="containsText" dxfId="1342" priority="132" operator="containsText" text="▽">
      <formula>NOT(ISERROR(SEARCH("▽",AA12)))</formula>
    </cfRule>
  </conditionalFormatting>
  <conditionalFormatting sqref="AA14:AA20">
    <cfRule type="containsText" dxfId="1341" priority="151" operator="containsText" text="△">
      <formula>NOT(ISERROR(SEARCH("△",AA14)))</formula>
    </cfRule>
    <cfRule type="containsText" dxfId="1340" priority="152" operator="containsText" text="▽">
      <formula>NOT(ISERROR(SEARCH("▽",AA14)))</formula>
    </cfRule>
  </conditionalFormatting>
  <conditionalFormatting sqref="AA15:AA20">
    <cfRule type="containsText" dxfId="1339" priority="143" operator="containsText" text="△">
      <formula>NOT(ISERROR(SEARCH("△",AA15)))</formula>
    </cfRule>
    <cfRule type="containsText" dxfId="1338" priority="144" operator="containsText" text="▽">
      <formula>NOT(ISERROR(SEARCH("▽",AA15)))</formula>
    </cfRule>
  </conditionalFormatting>
  <conditionalFormatting sqref="AA16:AA20">
    <cfRule type="containsText" dxfId="1337" priority="127" operator="containsText" text="△">
      <formula>NOT(ISERROR(SEARCH("△",AA16)))</formula>
    </cfRule>
    <cfRule type="containsText" dxfId="1336" priority="128" operator="containsText" text="▽">
      <formula>NOT(ISERROR(SEARCH("▽",AA16)))</formula>
    </cfRule>
  </conditionalFormatting>
  <conditionalFormatting sqref="AA17:AA20">
    <cfRule type="containsText" dxfId="1335" priority="99" operator="containsText" text="△">
      <formula>NOT(ISERROR(SEARCH("△",AA17)))</formula>
    </cfRule>
    <cfRule type="containsText" dxfId="1334" priority="100" operator="containsText" text="▽">
      <formula>NOT(ISERROR(SEARCH("▽",AA17)))</formula>
    </cfRule>
    <cfRule type="containsText" dxfId="1333" priority="101" operator="containsText" text="△">
      <formula>NOT(ISERROR(SEARCH("△",AA17)))</formula>
    </cfRule>
    <cfRule type="containsText" dxfId="1332" priority="102" operator="containsText" text="▽">
      <formula>NOT(ISERROR(SEARCH("▽",AA17)))</formula>
    </cfRule>
  </conditionalFormatting>
  <conditionalFormatting sqref="AA18:AA20">
    <cfRule type="containsText" dxfId="1331" priority="107" operator="containsText" text="△">
      <formula>NOT(ISERROR(SEARCH("△",AA18)))</formula>
    </cfRule>
    <cfRule type="containsText" dxfId="1330" priority="108" operator="containsText" text="▽">
      <formula>NOT(ISERROR(SEARCH("▽",AA18)))</formula>
    </cfRule>
    <cfRule type="containsText" dxfId="1329" priority="109" operator="containsText" text="△">
      <formula>NOT(ISERROR(SEARCH("△",AA18)))</formula>
    </cfRule>
    <cfRule type="containsText" dxfId="1328" priority="110" operator="containsText" text="▽">
      <formula>NOT(ISERROR(SEARCH("▽",AA18)))</formula>
    </cfRule>
  </conditionalFormatting>
  <conditionalFormatting sqref="AA19:AA20">
    <cfRule type="containsText" dxfId="1327" priority="103" operator="containsText" text="△">
      <formula>NOT(ISERROR(SEARCH("△",AA19)))</formula>
    </cfRule>
    <cfRule type="containsText" dxfId="1326" priority="104" operator="containsText" text="▽">
      <formula>NOT(ISERROR(SEARCH("▽",AA19)))</formula>
    </cfRule>
    <cfRule type="containsText" dxfId="1325" priority="105" operator="containsText" text="△">
      <formula>NOT(ISERROR(SEARCH("△",AA19)))</formula>
    </cfRule>
    <cfRule type="containsText" dxfId="1324" priority="106" operator="containsText" text="▽">
      <formula>NOT(ISERROR(SEARCH("▽",AA19)))</formula>
    </cfRule>
  </conditionalFormatting>
  <conditionalFormatting sqref="AA20">
    <cfRule type="containsText" dxfId="1323" priority="75" operator="containsText" text="△">
      <formula>NOT(ISERROR(SEARCH("△",AA20)))</formula>
    </cfRule>
    <cfRule type="containsText" dxfId="1322" priority="76" operator="containsText" text="▽">
      <formula>NOT(ISERROR(SEARCH("▽",AA20)))</formula>
    </cfRule>
    <cfRule type="containsText" dxfId="1321" priority="77" operator="containsText" text="△">
      <formula>NOT(ISERROR(SEARCH("△",AA20)))</formula>
    </cfRule>
    <cfRule type="containsText" dxfId="1320" priority="78" operator="containsText" text="▽">
      <formula>NOT(ISERROR(SEARCH("▽",AA20)))</formula>
    </cfRule>
  </conditionalFormatting>
  <conditionalFormatting sqref="AA32:AA35">
    <cfRule type="containsText" dxfId="1319" priority="1" operator="containsText" text="△">
      <formula>NOT(ISERROR(SEARCH("△",AA32)))</formula>
    </cfRule>
    <cfRule type="containsText" dxfId="1318" priority="2" operator="containsText" text="▽">
      <formula>NOT(ISERROR(SEARCH("▽",AA32)))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99B-4E39-4303-858E-F41F1D2EAA91}">
  <sheetPr codeName="Sheet12">
    <tabColor rgb="FF92D050"/>
    <outlinePr summaryBelow="0" summaryRight="0"/>
  </sheetPr>
  <dimension ref="A1:AC74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2" sqref="A2:Z21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1.37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125" style="9" bestFit="1" customWidth="1"/>
    <col min="26" max="26" width="12.875" style="9" bestFit="1" customWidth="1"/>
    <col min="27" max="27" width="12.875" style="9" customWidth="1"/>
    <col min="28" max="28" width="30.625" style="28" bestFit="1" customWidth="1"/>
    <col min="29" max="29" width="74.5" style="28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99">
        <v>43509</v>
      </c>
      <c r="B2" s="11" t="s">
        <v>19</v>
      </c>
      <c r="C2" s="11">
        <v>1902</v>
      </c>
      <c r="D2" s="133" t="s">
        <v>136</v>
      </c>
      <c r="E2" s="11">
        <v>1000</v>
      </c>
      <c r="F2" s="11">
        <v>20.25</v>
      </c>
      <c r="G2" s="11">
        <f t="shared" ref="G2:G7" si="0">E2*F2</f>
        <v>20250</v>
      </c>
      <c r="H2" s="11">
        <v>28</v>
      </c>
      <c r="I2" s="104">
        <v>43515</v>
      </c>
      <c r="J2" s="16">
        <v>20</v>
      </c>
      <c r="K2" s="11">
        <f t="shared" ref="K2:K11" si="1">E2*J2</f>
        <v>20000</v>
      </c>
      <c r="L2" s="17">
        <v>28</v>
      </c>
      <c r="M2" s="11">
        <v>60</v>
      </c>
      <c r="N2" s="11">
        <v>0</v>
      </c>
      <c r="O2" s="13">
        <f>IF(I2="",E2*Y2,0)</f>
        <v>0</v>
      </c>
      <c r="P2" s="14">
        <f t="shared" ref="P2:P7" si="2">IF(I2="",R2-H2,(K2-H2-SUM(L2:N2)+R2-S2-T2)-G2)+(ROUND(R2*V2,0)-ROUND(R2*(1+V2),0)*W2)</f>
        <v>-366</v>
      </c>
      <c r="Q2" s="14">
        <f t="shared" ref="Q2:Q7" si="3">IF(I2="",(O2-G2-(O2*0.1425%*0.65)-(O2*0.3%)-S2-T2),0)</f>
        <v>0</v>
      </c>
      <c r="R2" s="14"/>
      <c r="S2" s="14"/>
      <c r="T2" s="14">
        <f t="shared" ref="T2:T12" si="4">IF(ROUND(R2*(1+V2),0)&gt;20000,ROUND(ROUND(R2*(1+V2),0)*2%,0),0)</f>
        <v>0</v>
      </c>
      <c r="U2" s="69">
        <f t="shared" ref="U2:U7" si="5">(V2*50%)/(1+50%*V2)</f>
        <v>0</v>
      </c>
      <c r="V2" s="69"/>
      <c r="W2" s="70">
        <v>0.11</v>
      </c>
      <c r="X2" s="15">
        <f t="shared" ref="X2:X7" si="6">(P2+Q2)/G2</f>
        <v>-1.8074074074074076E-2</v>
      </c>
      <c r="Y2" s="16" t="e">
        <f>VLOOKUP(C2,台股行情!A:D,4,FALSE)</f>
        <v>#N/A</v>
      </c>
      <c r="Z2" s="38" t="e">
        <f>VLOOKUP(C2,台股行情!A:E,5,FALSE)</f>
        <v>#N/A</v>
      </c>
      <c r="AA2" s="90">
        <f t="shared" ref="AA2:AA7" ca="1" si="7">IF(I2="",((TODAY()-A2)*G2)/365.24,((I2-A2)*G2)/365.24)</f>
        <v>332.6579783156281</v>
      </c>
      <c r="AB2" s="271" t="s">
        <v>34</v>
      </c>
      <c r="AC2" s="103" t="s">
        <v>47</v>
      </c>
    </row>
    <row r="3" spans="1:29" outlineLevel="1">
      <c r="A3" s="99">
        <v>43509</v>
      </c>
      <c r="B3" s="11" t="s">
        <v>19</v>
      </c>
      <c r="C3" s="11">
        <v>2355</v>
      </c>
      <c r="D3" s="272" t="s">
        <v>2718</v>
      </c>
      <c r="E3" s="11">
        <v>1000</v>
      </c>
      <c r="F3" s="11">
        <v>42</v>
      </c>
      <c r="G3" s="11">
        <f t="shared" si="0"/>
        <v>42000</v>
      </c>
      <c r="H3" s="11">
        <v>59</v>
      </c>
      <c r="I3" s="104">
        <v>43517</v>
      </c>
      <c r="J3" s="16">
        <v>42.2</v>
      </c>
      <c r="K3" s="11">
        <f t="shared" si="1"/>
        <v>42200</v>
      </c>
      <c r="L3" s="17">
        <v>60</v>
      </c>
      <c r="M3" s="11">
        <v>126</v>
      </c>
      <c r="N3" s="11">
        <v>0</v>
      </c>
      <c r="O3" s="13">
        <f t="shared" ref="O3:O12" si="8">IF(I3="",E3*Y3,0)</f>
        <v>0</v>
      </c>
      <c r="P3" s="14">
        <f t="shared" si="2"/>
        <v>-45</v>
      </c>
      <c r="Q3" s="14">
        <f t="shared" si="3"/>
        <v>0</v>
      </c>
      <c r="R3" s="14"/>
      <c r="S3" s="14"/>
      <c r="T3" s="14">
        <f t="shared" si="4"/>
        <v>0</v>
      </c>
      <c r="U3" s="69">
        <f t="shared" si="5"/>
        <v>0</v>
      </c>
      <c r="V3" s="69"/>
      <c r="W3" s="70">
        <v>0.11</v>
      </c>
      <c r="X3" s="15">
        <f t="shared" si="6"/>
        <v>-1.0714285714285715E-3</v>
      </c>
      <c r="Y3" s="16">
        <f>VLOOKUP(C3,台股行情!A:D,4,FALSE)</f>
        <v>53.6</v>
      </c>
      <c r="Z3" s="38">
        <f>VLOOKUP(C3,台股行情!A:E,5,FALSE)</f>
        <v>1.7</v>
      </c>
      <c r="AA3" s="90">
        <f t="shared" ca="1" si="7"/>
        <v>919.94305114445297</v>
      </c>
      <c r="AB3" s="100" t="s">
        <v>34</v>
      </c>
      <c r="AC3" s="271" t="s">
        <v>59</v>
      </c>
    </row>
    <row r="4" spans="1:29" outlineLevel="1">
      <c r="A4" s="99">
        <v>43509</v>
      </c>
      <c r="B4" s="11" t="s">
        <v>19</v>
      </c>
      <c r="C4" s="11">
        <v>4947</v>
      </c>
      <c r="D4" s="133" t="s">
        <v>137</v>
      </c>
      <c r="E4" s="11">
        <v>1000</v>
      </c>
      <c r="F4" s="11">
        <v>188</v>
      </c>
      <c r="G4" s="11">
        <f t="shared" si="0"/>
        <v>188000</v>
      </c>
      <c r="H4" s="11">
        <v>267</v>
      </c>
      <c r="I4" s="104">
        <v>43518</v>
      </c>
      <c r="J4" s="16">
        <v>191</v>
      </c>
      <c r="K4" s="11">
        <f t="shared" si="1"/>
        <v>191000</v>
      </c>
      <c r="L4" s="17">
        <v>272</v>
      </c>
      <c r="M4" s="11">
        <v>573</v>
      </c>
      <c r="N4" s="11">
        <v>0</v>
      </c>
      <c r="O4" s="13">
        <f t="shared" si="8"/>
        <v>0</v>
      </c>
      <c r="P4" s="14">
        <f t="shared" si="2"/>
        <v>1888</v>
      </c>
      <c r="Q4" s="14">
        <f t="shared" si="3"/>
        <v>0</v>
      </c>
      <c r="R4" s="14"/>
      <c r="S4" s="14"/>
      <c r="T4" s="14">
        <f t="shared" si="4"/>
        <v>0</v>
      </c>
      <c r="U4" s="69">
        <f t="shared" si="5"/>
        <v>0</v>
      </c>
      <c r="V4" s="69"/>
      <c r="W4" s="70">
        <v>0.11</v>
      </c>
      <c r="X4" s="15">
        <f t="shared" si="6"/>
        <v>1.0042553191489362E-2</v>
      </c>
      <c r="Y4" s="16" t="e">
        <f>VLOOKUP(C4,台股行情!A:D,4,FALSE)</f>
        <v>#N/A</v>
      </c>
      <c r="Z4" s="38" t="e">
        <f>VLOOKUP(C4,台股行情!A:E,5,FALSE)</f>
        <v>#N/A</v>
      </c>
      <c r="AA4" s="90">
        <f t="shared" ca="1" si="7"/>
        <v>4632.5703646917091</v>
      </c>
      <c r="AB4" s="100" t="s">
        <v>34</v>
      </c>
      <c r="AC4" s="103" t="s">
        <v>47</v>
      </c>
    </row>
    <row r="5" spans="1:29" outlineLevel="1">
      <c r="A5" s="99">
        <v>43509</v>
      </c>
      <c r="B5" s="11" t="s">
        <v>19</v>
      </c>
      <c r="C5" s="11">
        <v>3376</v>
      </c>
      <c r="D5" s="11" t="s">
        <v>64</v>
      </c>
      <c r="E5" s="11">
        <v>1000</v>
      </c>
      <c r="F5" s="11">
        <v>95.5</v>
      </c>
      <c r="G5" s="11">
        <f t="shared" si="0"/>
        <v>95500</v>
      </c>
      <c r="H5" s="11">
        <v>136</v>
      </c>
      <c r="I5" s="104">
        <v>43530</v>
      </c>
      <c r="J5" s="16">
        <v>102.5</v>
      </c>
      <c r="K5" s="11">
        <f t="shared" si="1"/>
        <v>102500</v>
      </c>
      <c r="L5" s="17">
        <v>146</v>
      </c>
      <c r="M5" s="11">
        <v>307</v>
      </c>
      <c r="N5" s="11">
        <v>0</v>
      </c>
      <c r="O5" s="13">
        <f t="shared" si="8"/>
        <v>0</v>
      </c>
      <c r="P5" s="14">
        <f t="shared" si="2"/>
        <v>6411</v>
      </c>
      <c r="Q5" s="14">
        <f t="shared" si="3"/>
        <v>0</v>
      </c>
      <c r="R5" s="14"/>
      <c r="S5" s="14"/>
      <c r="T5" s="14">
        <f t="shared" si="4"/>
        <v>0</v>
      </c>
      <c r="U5" s="69">
        <f t="shared" si="5"/>
        <v>0</v>
      </c>
      <c r="V5" s="69"/>
      <c r="W5" s="70">
        <v>0.11</v>
      </c>
      <c r="X5" s="15">
        <f t="shared" si="6"/>
        <v>6.7130890052356021E-2</v>
      </c>
      <c r="Y5" s="16">
        <f>VLOOKUP(C5,台股行情!A:D,4,FALSE)</f>
        <v>176.5</v>
      </c>
      <c r="Z5" s="38">
        <f>VLOOKUP(C5,台股行情!A:E,5,FALSE)</f>
        <v>-2.5</v>
      </c>
      <c r="AA5" s="90">
        <f t="shared" ca="1" si="7"/>
        <v>5490.9100865184537</v>
      </c>
      <c r="AB5" s="100" t="s">
        <v>34</v>
      </c>
      <c r="AC5" s="103" t="s">
        <v>60</v>
      </c>
    </row>
    <row r="6" spans="1:29" outlineLevel="1">
      <c r="A6" s="99">
        <v>43558</v>
      </c>
      <c r="B6" s="11" t="s">
        <v>19</v>
      </c>
      <c r="C6" s="11">
        <v>6108</v>
      </c>
      <c r="D6" s="11" t="s">
        <v>65</v>
      </c>
      <c r="E6" s="11">
        <v>1000</v>
      </c>
      <c r="F6" s="11">
        <v>30.55</v>
      </c>
      <c r="G6" s="11">
        <f t="shared" si="0"/>
        <v>30550</v>
      </c>
      <c r="H6" s="11">
        <v>43</v>
      </c>
      <c r="I6" s="104">
        <v>43564</v>
      </c>
      <c r="J6" s="16">
        <v>29.5</v>
      </c>
      <c r="K6" s="11">
        <f t="shared" si="1"/>
        <v>29500</v>
      </c>
      <c r="L6" s="17">
        <v>42</v>
      </c>
      <c r="M6" s="11">
        <v>88</v>
      </c>
      <c r="N6" s="11">
        <v>0</v>
      </c>
      <c r="O6" s="13">
        <f t="shared" si="8"/>
        <v>0</v>
      </c>
      <c r="P6" s="14">
        <f t="shared" si="2"/>
        <v>-1223</v>
      </c>
      <c r="Q6" s="14">
        <f t="shared" si="3"/>
        <v>0</v>
      </c>
      <c r="R6" s="14"/>
      <c r="S6" s="14"/>
      <c r="T6" s="14">
        <f t="shared" si="4"/>
        <v>0</v>
      </c>
      <c r="U6" s="69">
        <f t="shared" si="5"/>
        <v>0</v>
      </c>
      <c r="V6" s="69"/>
      <c r="W6" s="70">
        <v>0.11</v>
      </c>
      <c r="X6" s="15">
        <f t="shared" si="6"/>
        <v>-4.0032733224222586E-2</v>
      </c>
      <c r="Y6" s="16">
        <f>VLOOKUP(C6,台股行情!A:D,4,FALSE)</f>
        <v>29.2</v>
      </c>
      <c r="Z6" s="38">
        <f>VLOOKUP(C6,台股行情!A:E,5,FALSE)</f>
        <v>0.35</v>
      </c>
      <c r="AA6" s="90">
        <f t="shared" ca="1" si="7"/>
        <v>501.86178950826854</v>
      </c>
      <c r="AB6" s="100" t="s">
        <v>34</v>
      </c>
      <c r="AC6" s="119" t="s">
        <v>61</v>
      </c>
    </row>
    <row r="7" spans="1:29" outlineLevel="1">
      <c r="A7" s="99">
        <v>43553</v>
      </c>
      <c r="B7" s="11" t="s">
        <v>19</v>
      </c>
      <c r="C7" s="11">
        <v>2451</v>
      </c>
      <c r="D7" s="11" t="s">
        <v>66</v>
      </c>
      <c r="E7" s="11">
        <v>1000</v>
      </c>
      <c r="F7" s="11">
        <v>69.900000000000006</v>
      </c>
      <c r="G7" s="11">
        <f t="shared" si="0"/>
        <v>69900</v>
      </c>
      <c r="H7" s="11">
        <v>99</v>
      </c>
      <c r="I7" s="104">
        <v>43570</v>
      </c>
      <c r="J7" s="16">
        <v>69.599999999999994</v>
      </c>
      <c r="K7" s="11">
        <f t="shared" si="1"/>
        <v>69600</v>
      </c>
      <c r="L7" s="17">
        <v>99</v>
      </c>
      <c r="M7" s="11">
        <v>208</v>
      </c>
      <c r="N7" s="11">
        <v>0</v>
      </c>
      <c r="O7" s="13">
        <f t="shared" si="8"/>
        <v>0</v>
      </c>
      <c r="P7" s="14">
        <f t="shared" si="2"/>
        <v>-706</v>
      </c>
      <c r="Q7" s="14">
        <f t="shared" si="3"/>
        <v>0</v>
      </c>
      <c r="R7" s="14"/>
      <c r="S7" s="14"/>
      <c r="T7" s="14">
        <f t="shared" si="4"/>
        <v>0</v>
      </c>
      <c r="U7" s="69">
        <f t="shared" si="5"/>
        <v>0</v>
      </c>
      <c r="V7" s="69"/>
      <c r="W7" s="70">
        <v>0.11</v>
      </c>
      <c r="X7" s="15">
        <f t="shared" si="6"/>
        <v>-1.0100143061516452E-2</v>
      </c>
      <c r="Y7" s="16">
        <f>VLOOKUP(C7,台股行情!A:D,4,FALSE)</f>
        <v>269</v>
      </c>
      <c r="Z7" s="38">
        <f>VLOOKUP(C7,台股行情!A:E,5,FALSE)</f>
        <v>-9.5</v>
      </c>
      <c r="AA7" s="90">
        <f t="shared" ca="1" si="7"/>
        <v>3253.4771656992662</v>
      </c>
      <c r="AB7" s="100" t="s">
        <v>34</v>
      </c>
      <c r="AC7" s="103" t="s">
        <v>67</v>
      </c>
    </row>
    <row r="8" spans="1:29" outlineLevel="1">
      <c r="A8" s="99">
        <v>43553</v>
      </c>
      <c r="B8" s="11" t="s">
        <v>19</v>
      </c>
      <c r="C8" s="11">
        <v>3213</v>
      </c>
      <c r="D8" s="11" t="s">
        <v>70</v>
      </c>
      <c r="E8" s="11">
        <v>1000</v>
      </c>
      <c r="F8" s="11">
        <v>43.85</v>
      </c>
      <c r="G8" s="11">
        <f t="shared" ref="G8:G16" si="9">E8*F8</f>
        <v>43850</v>
      </c>
      <c r="H8" s="11">
        <v>62</v>
      </c>
      <c r="I8" s="104">
        <v>43577</v>
      </c>
      <c r="J8" s="16">
        <v>44.65</v>
      </c>
      <c r="K8" s="11">
        <f t="shared" si="1"/>
        <v>44650</v>
      </c>
      <c r="L8" s="17">
        <v>63</v>
      </c>
      <c r="M8" s="11">
        <v>133</v>
      </c>
      <c r="N8" s="11">
        <v>0</v>
      </c>
      <c r="O8" s="13">
        <f t="shared" si="8"/>
        <v>0</v>
      </c>
      <c r="P8" s="14">
        <f t="shared" ref="P8:P16" si="10">IF(I8="",R8-H8,(K8-H8-SUM(L8:N8)+R8-S8-T8)-G8)+(ROUND(R8*V8,0)-ROUND(R8*(1+V8),0)*W8)</f>
        <v>542</v>
      </c>
      <c r="Q8" s="14">
        <f t="shared" ref="Q8:Q16" si="11">IF(I8="",(O8-G8-(O8*0.1425%*0.65)-(O8*0.3%)-S8-T8),0)</f>
        <v>0</v>
      </c>
      <c r="R8" s="14"/>
      <c r="S8" s="14"/>
      <c r="T8" s="14">
        <f t="shared" si="4"/>
        <v>0</v>
      </c>
      <c r="U8" s="69">
        <f t="shared" ref="U8:U16" si="12">(V8*50%)/(1+50%*V8)</f>
        <v>0</v>
      </c>
      <c r="V8" s="69"/>
      <c r="W8" s="70">
        <v>0.11</v>
      </c>
      <c r="X8" s="15">
        <f t="shared" ref="X8:X16" si="13">(P8+Q8)/G8</f>
        <v>1.2360319270239452E-2</v>
      </c>
      <c r="Y8" s="16">
        <f>VLOOKUP(C8,台股行情!A:D,4,FALSE)</f>
        <v>122</v>
      </c>
      <c r="Z8" s="38">
        <f>VLOOKUP(C8,台股行情!A:E,5,FALSE)</f>
        <v>-2.5</v>
      </c>
      <c r="AA8" s="90">
        <f t="shared" ref="AA8:AA16" ca="1" si="14">IF(I8="",((TODAY()-A8)*G8)/365.24,((I8-A8)*G8)/365.24)</f>
        <v>2881.3930566203044</v>
      </c>
      <c r="AB8" s="100" t="s">
        <v>34</v>
      </c>
      <c r="AC8" s="120" t="s">
        <v>68</v>
      </c>
    </row>
    <row r="9" spans="1:29" outlineLevel="1">
      <c r="A9" s="99">
        <v>43553</v>
      </c>
      <c r="B9" s="11" t="s">
        <v>19</v>
      </c>
      <c r="C9" s="11">
        <v>5340</v>
      </c>
      <c r="D9" s="11" t="s">
        <v>71</v>
      </c>
      <c r="E9" s="11">
        <v>1000</v>
      </c>
      <c r="F9" s="11">
        <v>27.25</v>
      </c>
      <c r="G9" s="11">
        <f t="shared" si="9"/>
        <v>27250</v>
      </c>
      <c r="H9" s="11">
        <v>38</v>
      </c>
      <c r="I9" s="104">
        <v>43578</v>
      </c>
      <c r="J9" s="16">
        <v>45.8</v>
      </c>
      <c r="K9" s="11">
        <f t="shared" si="1"/>
        <v>45800</v>
      </c>
      <c r="L9" s="17">
        <v>65</v>
      </c>
      <c r="M9" s="11">
        <v>137</v>
      </c>
      <c r="N9" s="11">
        <v>0</v>
      </c>
      <c r="O9" s="13">
        <f t="shared" si="8"/>
        <v>0</v>
      </c>
      <c r="P9" s="14">
        <f t="shared" si="10"/>
        <v>18310</v>
      </c>
      <c r="Q9" s="14">
        <f t="shared" si="11"/>
        <v>0</v>
      </c>
      <c r="R9" s="14"/>
      <c r="S9" s="14"/>
      <c r="T9" s="14">
        <f t="shared" si="4"/>
        <v>0</v>
      </c>
      <c r="U9" s="69">
        <f t="shared" si="12"/>
        <v>0</v>
      </c>
      <c r="V9" s="69"/>
      <c r="W9" s="70">
        <v>0.11</v>
      </c>
      <c r="X9" s="15">
        <f t="shared" si="13"/>
        <v>0.67192660550458716</v>
      </c>
      <c r="Y9" s="16">
        <f>VLOOKUP(C9,台股行情!A:D,4,FALSE)</f>
        <v>90.7</v>
      </c>
      <c r="Z9" s="38">
        <f>VLOOKUP(C9,台股行情!A:E,5,FALSE)</f>
        <v>-5.3</v>
      </c>
      <c r="AA9" s="90">
        <f t="shared" ca="1" si="14"/>
        <v>1865.211915452853</v>
      </c>
      <c r="AB9" s="100" t="s">
        <v>34</v>
      </c>
      <c r="AC9" s="103" t="s">
        <v>73</v>
      </c>
    </row>
    <row r="10" spans="1:29" outlineLevel="1">
      <c r="A10" s="99">
        <v>43637</v>
      </c>
      <c r="B10" s="11" t="s">
        <v>19</v>
      </c>
      <c r="C10" s="11">
        <v>6180</v>
      </c>
      <c r="D10" s="11" t="s">
        <v>86</v>
      </c>
      <c r="E10" s="11">
        <v>1000</v>
      </c>
      <c r="F10" s="11">
        <v>74</v>
      </c>
      <c r="G10" s="11">
        <f t="shared" si="9"/>
        <v>74000</v>
      </c>
      <c r="H10" s="11">
        <v>105</v>
      </c>
      <c r="I10" s="104">
        <v>43644</v>
      </c>
      <c r="J10" s="16">
        <v>66.3</v>
      </c>
      <c r="K10" s="11">
        <f t="shared" si="1"/>
        <v>66300</v>
      </c>
      <c r="L10" s="17">
        <v>94</v>
      </c>
      <c r="M10" s="11">
        <v>198</v>
      </c>
      <c r="N10" s="11">
        <v>0</v>
      </c>
      <c r="O10" s="13">
        <f t="shared" si="8"/>
        <v>0</v>
      </c>
      <c r="P10" s="14">
        <f t="shared" si="10"/>
        <v>-2119.9700000000003</v>
      </c>
      <c r="Q10" s="14">
        <f t="shared" si="11"/>
        <v>0</v>
      </c>
      <c r="R10" s="14">
        <v>6200</v>
      </c>
      <c r="S10" s="14">
        <v>10</v>
      </c>
      <c r="T10" s="14">
        <f>IF(ROUND(R10*(1+V10),0)&gt;20000,ROUND(ROUND(R10*(1+V10),0)*2%,0),0)</f>
        <v>0</v>
      </c>
      <c r="U10" s="69">
        <f t="shared" si="12"/>
        <v>4.0767386091127102E-2</v>
      </c>
      <c r="V10" s="69">
        <v>8.5000000000000006E-2</v>
      </c>
      <c r="W10" s="70">
        <v>0.11</v>
      </c>
      <c r="X10" s="15">
        <f t="shared" si="13"/>
        <v>-2.8648243243243245E-2</v>
      </c>
      <c r="Y10" s="16">
        <f>VLOOKUP(C10,台股行情!A:D,4,FALSE)</f>
        <v>40.25</v>
      </c>
      <c r="Z10" s="38">
        <f>VLOOKUP(C10,台股行情!A:E,5,FALSE)</f>
        <v>0.3</v>
      </c>
      <c r="AA10" s="90">
        <f t="shared" ca="1" si="14"/>
        <v>1418.2455371810315</v>
      </c>
      <c r="AB10" s="125" t="s">
        <v>74</v>
      </c>
      <c r="AC10" s="103" t="s">
        <v>103</v>
      </c>
    </row>
    <row r="11" spans="1:29" outlineLevel="1">
      <c r="A11" s="99">
        <v>43637</v>
      </c>
      <c r="B11" s="11" t="s">
        <v>19</v>
      </c>
      <c r="C11" s="11">
        <v>6613</v>
      </c>
      <c r="D11" s="11" t="s">
        <v>87</v>
      </c>
      <c r="E11" s="11">
        <v>1000</v>
      </c>
      <c r="F11" s="11">
        <v>175</v>
      </c>
      <c r="G11" s="11">
        <f t="shared" si="9"/>
        <v>175000</v>
      </c>
      <c r="H11" s="11">
        <v>249</v>
      </c>
      <c r="I11" s="104">
        <v>43644</v>
      </c>
      <c r="J11" s="16">
        <v>159.5</v>
      </c>
      <c r="K11" s="11">
        <f t="shared" si="1"/>
        <v>159500</v>
      </c>
      <c r="L11" s="17">
        <v>227</v>
      </c>
      <c r="M11" s="11">
        <v>478</v>
      </c>
      <c r="N11" s="11">
        <v>0</v>
      </c>
      <c r="O11" s="13">
        <f t="shared" si="8"/>
        <v>0</v>
      </c>
      <c r="P11" s="14">
        <f t="shared" si="10"/>
        <v>-1979.25</v>
      </c>
      <c r="Q11" s="14">
        <f t="shared" si="11"/>
        <v>0</v>
      </c>
      <c r="R11" s="14">
        <v>15000</v>
      </c>
      <c r="S11" s="14">
        <v>10</v>
      </c>
      <c r="T11" s="14">
        <f t="shared" si="4"/>
        <v>0</v>
      </c>
      <c r="U11" s="69">
        <f t="shared" si="12"/>
        <v>4.0767386091127102E-2</v>
      </c>
      <c r="V11" s="69">
        <v>8.5000000000000006E-2</v>
      </c>
      <c r="W11" s="70">
        <v>0.11</v>
      </c>
      <c r="X11" s="15">
        <f t="shared" si="13"/>
        <v>-1.1310000000000001E-2</v>
      </c>
      <c r="Y11" s="16">
        <f>VLOOKUP(C11,台股行情!A:D,4,FALSE)</f>
        <v>270.5</v>
      </c>
      <c r="Z11" s="38">
        <f>VLOOKUP(C11,台股行情!A:E,5,FALSE)</f>
        <v>-5.5</v>
      </c>
      <c r="AA11" s="90">
        <f t="shared" ca="1" si="14"/>
        <v>3353.959040630818</v>
      </c>
      <c r="AB11" s="125" t="s">
        <v>74</v>
      </c>
      <c r="AC11" s="103" t="s">
        <v>103</v>
      </c>
    </row>
    <row r="12" spans="1:29" outlineLevel="1">
      <c r="A12" s="99">
        <v>43637</v>
      </c>
      <c r="B12" s="11" t="s">
        <v>19</v>
      </c>
      <c r="C12" s="11">
        <v>4153</v>
      </c>
      <c r="D12" s="11" t="s">
        <v>88</v>
      </c>
      <c r="E12" s="11">
        <v>2000</v>
      </c>
      <c r="F12" s="11">
        <v>36.450000000000003</v>
      </c>
      <c r="G12" s="11">
        <f t="shared" si="9"/>
        <v>72900</v>
      </c>
      <c r="H12" s="11">
        <v>103</v>
      </c>
      <c r="I12" s="104">
        <v>43647</v>
      </c>
      <c r="J12" s="16">
        <v>35.9</v>
      </c>
      <c r="K12" s="11">
        <f t="shared" ref="K12:K17" si="15">E12*J12</f>
        <v>71800</v>
      </c>
      <c r="L12" s="17">
        <v>102</v>
      </c>
      <c r="M12" s="11">
        <v>215</v>
      </c>
      <c r="N12" s="11">
        <v>0</v>
      </c>
      <c r="O12" s="13">
        <f t="shared" si="8"/>
        <v>0</v>
      </c>
      <c r="P12" s="14">
        <f t="shared" si="10"/>
        <v>1328.68</v>
      </c>
      <c r="Q12" s="14">
        <f t="shared" si="11"/>
        <v>0</v>
      </c>
      <c r="R12" s="14">
        <v>2960</v>
      </c>
      <c r="S12" s="14">
        <v>10</v>
      </c>
      <c r="T12" s="14">
        <f t="shared" si="4"/>
        <v>0</v>
      </c>
      <c r="U12" s="69">
        <f t="shared" si="12"/>
        <v>4.0767386091127102E-2</v>
      </c>
      <c r="V12" s="69">
        <v>8.5000000000000006E-2</v>
      </c>
      <c r="W12" s="70">
        <v>0.11</v>
      </c>
      <c r="X12" s="15">
        <f t="shared" si="13"/>
        <v>1.8226063100137174E-2</v>
      </c>
      <c r="Y12" s="16">
        <f>VLOOKUP(C12,台股行情!A:D,4,FALSE)</f>
        <v>30.55</v>
      </c>
      <c r="Z12" s="38">
        <f>VLOOKUP(C12,台股行情!A:E,5,FALSE)</f>
        <v>-0.35</v>
      </c>
      <c r="AA12" s="90">
        <f t="shared" ca="1" si="14"/>
        <v>1995.9478698937685</v>
      </c>
      <c r="AB12" s="100"/>
      <c r="AC12" s="103" t="s">
        <v>79</v>
      </c>
    </row>
    <row r="13" spans="1:29" outlineLevel="1">
      <c r="A13" s="99">
        <v>43637</v>
      </c>
      <c r="B13" s="11" t="s">
        <v>19</v>
      </c>
      <c r="C13" s="11">
        <v>2385</v>
      </c>
      <c r="D13" s="11" t="s">
        <v>92</v>
      </c>
      <c r="E13" s="11">
        <v>1000</v>
      </c>
      <c r="F13" s="11">
        <v>78.5</v>
      </c>
      <c r="G13" s="11">
        <f t="shared" si="9"/>
        <v>78500</v>
      </c>
      <c r="H13" s="11">
        <v>111</v>
      </c>
      <c r="I13" s="104">
        <v>43649</v>
      </c>
      <c r="J13" s="16">
        <v>76.900000000000006</v>
      </c>
      <c r="K13" s="11">
        <f t="shared" si="15"/>
        <v>76900</v>
      </c>
      <c r="L13" s="17">
        <v>109</v>
      </c>
      <c r="M13" s="11">
        <v>230</v>
      </c>
      <c r="N13" s="11">
        <v>0</v>
      </c>
      <c r="O13" s="13">
        <f t="shared" ref="O13:O18" si="16">IF(I13="",E13*Y13,0)</f>
        <v>0</v>
      </c>
      <c r="P13" s="14">
        <f t="shared" si="10"/>
        <v>1322</v>
      </c>
      <c r="Q13" s="14">
        <f t="shared" si="11"/>
        <v>0</v>
      </c>
      <c r="R13" s="14">
        <v>3800</v>
      </c>
      <c r="S13" s="14">
        <v>10</v>
      </c>
      <c r="T13" s="14">
        <f t="shared" ref="T13:T19" si="17">IF(ROUND(R13*(1+V13),0)&gt;20000,ROUND(ROUND(R13*(1+V13),0)*2%,0),0)</f>
        <v>0</v>
      </c>
      <c r="U13" s="69">
        <f t="shared" si="12"/>
        <v>0</v>
      </c>
      <c r="V13" s="69"/>
      <c r="W13" s="70">
        <v>0.11</v>
      </c>
      <c r="X13" s="15">
        <f t="shared" si="13"/>
        <v>1.6840764331210192E-2</v>
      </c>
      <c r="Y13" s="16">
        <f>VLOOKUP(C13,台股行情!A:D,4,FALSE)</f>
        <v>105.5</v>
      </c>
      <c r="Z13" s="38">
        <f>VLOOKUP(C13,台股行情!A:E,5,FALSE)</f>
        <v>0</v>
      </c>
      <c r="AA13" s="90">
        <f t="shared" ca="1" si="14"/>
        <v>2579.1260541014126</v>
      </c>
      <c r="AB13" s="126" t="s">
        <v>78</v>
      </c>
      <c r="AC13" s="103" t="s">
        <v>91</v>
      </c>
    </row>
    <row r="14" spans="1:29" outlineLevel="1">
      <c r="A14" s="99">
        <v>43641</v>
      </c>
      <c r="B14" s="11" t="s">
        <v>19</v>
      </c>
      <c r="C14" s="11">
        <v>8916</v>
      </c>
      <c r="D14" s="11" t="s">
        <v>83</v>
      </c>
      <c r="E14" s="11">
        <v>1000</v>
      </c>
      <c r="F14" s="11">
        <v>49.15</v>
      </c>
      <c r="G14" s="11">
        <f t="shared" si="9"/>
        <v>49150</v>
      </c>
      <c r="H14" s="11">
        <v>70</v>
      </c>
      <c r="I14" s="104">
        <v>43647</v>
      </c>
      <c r="J14" s="16">
        <v>47.2</v>
      </c>
      <c r="K14" s="11">
        <f t="shared" si="15"/>
        <v>47200</v>
      </c>
      <c r="L14" s="17">
        <v>67</v>
      </c>
      <c r="M14" s="11">
        <v>141</v>
      </c>
      <c r="N14" s="11">
        <v>0</v>
      </c>
      <c r="O14" s="13">
        <f t="shared" si="16"/>
        <v>0</v>
      </c>
      <c r="P14" s="14">
        <f t="shared" si="10"/>
        <v>762.19</v>
      </c>
      <c r="Q14" s="14">
        <f t="shared" si="11"/>
        <v>0</v>
      </c>
      <c r="R14" s="14">
        <v>3371</v>
      </c>
      <c r="S14" s="14">
        <v>10</v>
      </c>
      <c r="T14" s="14">
        <f t="shared" si="17"/>
        <v>0</v>
      </c>
      <c r="U14" s="69">
        <f t="shared" si="12"/>
        <v>0</v>
      </c>
      <c r="V14" s="69"/>
      <c r="W14" s="70">
        <v>0.11</v>
      </c>
      <c r="X14" s="15">
        <f t="shared" si="13"/>
        <v>1.5507426246185148E-2</v>
      </c>
      <c r="Y14" s="16">
        <f>VLOOKUP(C14,台股行情!A:D,4,FALSE)</f>
        <v>40.1</v>
      </c>
      <c r="Z14" s="38">
        <f>VLOOKUP(C14,台股行情!A:E,5,FALSE)</f>
        <v>-0.35</v>
      </c>
      <c r="AA14" s="90">
        <f t="shared" ca="1" si="14"/>
        <v>807.41430292410473</v>
      </c>
      <c r="AB14" s="125" t="s">
        <v>74</v>
      </c>
      <c r="AC14" s="103" t="s">
        <v>90</v>
      </c>
    </row>
    <row r="15" spans="1:29" outlineLevel="1">
      <c r="A15" s="99">
        <v>43644</v>
      </c>
      <c r="B15" s="11" t="s">
        <v>19</v>
      </c>
      <c r="C15" s="11">
        <v>4974</v>
      </c>
      <c r="D15" s="11" t="s">
        <v>93</v>
      </c>
      <c r="E15" s="11">
        <v>1000</v>
      </c>
      <c r="F15" s="11">
        <v>45.35</v>
      </c>
      <c r="G15" s="11">
        <f t="shared" si="9"/>
        <v>45350</v>
      </c>
      <c r="H15" s="11">
        <v>64</v>
      </c>
      <c r="I15" s="104">
        <v>43650</v>
      </c>
      <c r="J15" s="16">
        <v>42.8</v>
      </c>
      <c r="K15" s="11">
        <f t="shared" si="15"/>
        <v>42800</v>
      </c>
      <c r="L15" s="17">
        <v>60</v>
      </c>
      <c r="M15" s="11">
        <v>128</v>
      </c>
      <c r="N15" s="11">
        <v>0</v>
      </c>
      <c r="O15" s="13">
        <f t="shared" si="16"/>
        <v>0</v>
      </c>
      <c r="P15" s="14">
        <f t="shared" si="10"/>
        <v>-53</v>
      </c>
      <c r="Q15" s="14">
        <f t="shared" si="11"/>
        <v>0</v>
      </c>
      <c r="R15" s="14">
        <v>3100</v>
      </c>
      <c r="S15" s="14">
        <v>10</v>
      </c>
      <c r="T15" s="14">
        <f t="shared" si="17"/>
        <v>0</v>
      </c>
      <c r="U15" s="69">
        <f t="shared" si="12"/>
        <v>0</v>
      </c>
      <c r="V15" s="69"/>
      <c r="W15" s="70">
        <v>0.11</v>
      </c>
      <c r="X15" s="15">
        <f t="shared" si="13"/>
        <v>-1.1686879823594267E-3</v>
      </c>
      <c r="Y15" s="16">
        <f>VLOOKUP(C15,台股行情!A:D,4,FALSE)</f>
        <v>68.5</v>
      </c>
      <c r="Z15" s="38">
        <f>VLOOKUP(C15,台股行情!A:E,5,FALSE)</f>
        <v>-1.1000000000000001</v>
      </c>
      <c r="AA15" s="90">
        <f t="shared" ca="1" si="14"/>
        <v>744.98959588215962</v>
      </c>
      <c r="AB15" s="126" t="s">
        <v>76</v>
      </c>
      <c r="AC15" s="103" t="s">
        <v>104</v>
      </c>
    </row>
    <row r="16" spans="1:29" outlineLevel="1">
      <c r="A16" s="99">
        <v>43644</v>
      </c>
      <c r="B16" s="11" t="s">
        <v>19</v>
      </c>
      <c r="C16" s="11">
        <v>8435</v>
      </c>
      <c r="D16" s="11" t="s">
        <v>94</v>
      </c>
      <c r="E16" s="11">
        <v>1000</v>
      </c>
      <c r="F16" s="11">
        <v>51.3</v>
      </c>
      <c r="G16" s="11">
        <f t="shared" si="9"/>
        <v>51300</v>
      </c>
      <c r="H16" s="11">
        <v>73</v>
      </c>
      <c r="I16" s="104">
        <v>43651</v>
      </c>
      <c r="J16" s="16">
        <v>49.35</v>
      </c>
      <c r="K16" s="11">
        <f t="shared" si="15"/>
        <v>49350</v>
      </c>
      <c r="L16" s="17">
        <v>70</v>
      </c>
      <c r="M16" s="11">
        <v>148</v>
      </c>
      <c r="N16" s="11">
        <v>0</v>
      </c>
      <c r="O16" s="13">
        <f t="shared" si="16"/>
        <v>0</v>
      </c>
      <c r="P16" s="14">
        <f t="shared" si="10"/>
        <v>597</v>
      </c>
      <c r="Q16" s="14">
        <f t="shared" si="11"/>
        <v>0</v>
      </c>
      <c r="R16" s="14">
        <v>3200</v>
      </c>
      <c r="S16" s="14">
        <v>10</v>
      </c>
      <c r="T16" s="14">
        <f t="shared" si="17"/>
        <v>0</v>
      </c>
      <c r="U16" s="69">
        <f t="shared" si="12"/>
        <v>0</v>
      </c>
      <c r="V16" s="69"/>
      <c r="W16" s="70">
        <v>0.11</v>
      </c>
      <c r="X16" s="15">
        <f t="shared" si="13"/>
        <v>1.1637426900584795E-2</v>
      </c>
      <c r="Y16" s="16">
        <f>VLOOKUP(C16,台股行情!A:D,4,FALSE)</f>
        <v>53</v>
      </c>
      <c r="Z16" s="38">
        <f>VLOOKUP(C16,台股行情!A:E,5,FALSE)</f>
        <v>-0.1</v>
      </c>
      <c r="AA16" s="90">
        <f t="shared" ca="1" si="14"/>
        <v>983.18913591063404</v>
      </c>
      <c r="AB16" s="126" t="s">
        <v>76</v>
      </c>
      <c r="AC16" s="103" t="s">
        <v>89</v>
      </c>
    </row>
    <row r="17" spans="1:29" outlineLevel="1">
      <c r="A17" s="99">
        <v>43649</v>
      </c>
      <c r="B17" s="11" t="s">
        <v>19</v>
      </c>
      <c r="C17" s="11">
        <v>2408</v>
      </c>
      <c r="D17" s="11" t="s">
        <v>98</v>
      </c>
      <c r="E17" s="11">
        <v>1000</v>
      </c>
      <c r="F17" s="11">
        <v>65.3</v>
      </c>
      <c r="G17" s="11">
        <f>E17*F17</f>
        <v>65300</v>
      </c>
      <c r="H17" s="11">
        <v>93</v>
      </c>
      <c r="I17" s="104">
        <v>43654</v>
      </c>
      <c r="J17" s="16">
        <v>60.4</v>
      </c>
      <c r="K17" s="11">
        <f t="shared" si="15"/>
        <v>60400</v>
      </c>
      <c r="L17" s="17">
        <v>86</v>
      </c>
      <c r="M17" s="11">
        <v>181</v>
      </c>
      <c r="N17" s="11">
        <v>0</v>
      </c>
      <c r="O17" s="13">
        <f t="shared" si="16"/>
        <v>0</v>
      </c>
      <c r="P17" s="14">
        <f>IF(I17="",R17-H17,(K17-H17-SUM(L17:N17)+R17-S17-T17)-G17)+(ROUND(R17*V17,0)-ROUND(R17*(1+V17),0)*W17)</f>
        <v>1057.9000000000001</v>
      </c>
      <c r="Q17" s="14">
        <f>IF(I17="",(O17-G17-(O17*0.1425%*0.65)-(O17*0.3%)-S17-T17),0)</f>
        <v>0</v>
      </c>
      <c r="R17" s="14">
        <v>7110</v>
      </c>
      <c r="S17" s="14">
        <v>10</v>
      </c>
      <c r="T17" s="14">
        <f t="shared" si="17"/>
        <v>0</v>
      </c>
      <c r="U17" s="69">
        <f>(V17*50%)/(1+50%*V17)</f>
        <v>0</v>
      </c>
      <c r="V17" s="69"/>
      <c r="W17" s="70">
        <v>0.11</v>
      </c>
      <c r="X17" s="15">
        <f>(P17+Q17)/G17</f>
        <v>1.620061255742726E-2</v>
      </c>
      <c r="Y17" s="16">
        <f>VLOOKUP(C17,台股行情!A:D,4,FALSE)</f>
        <v>439.5</v>
      </c>
      <c r="Z17" s="38">
        <f>VLOOKUP(C17,台股行情!A:E,5,FALSE)</f>
        <v>-41</v>
      </c>
      <c r="AA17" s="90">
        <f ca="1">IF(I17="",((TODAY()-A17)*G17)/365.24,((I17-A17)*G17)/365.24)</f>
        <v>893.93275654364254</v>
      </c>
      <c r="AB17" s="127" t="s">
        <v>81</v>
      </c>
      <c r="AC17" s="103" t="s">
        <v>95</v>
      </c>
    </row>
    <row r="18" spans="1:29" outlineLevel="1">
      <c r="A18" s="99">
        <v>43644</v>
      </c>
      <c r="B18" s="11" t="s">
        <v>19</v>
      </c>
      <c r="C18" s="11">
        <v>2425</v>
      </c>
      <c r="D18" s="11" t="s">
        <v>96</v>
      </c>
      <c r="E18" s="11">
        <v>1000</v>
      </c>
      <c r="F18" s="11">
        <v>31.3</v>
      </c>
      <c r="G18" s="11">
        <f>E18*F18</f>
        <v>31300</v>
      </c>
      <c r="H18" s="11">
        <v>44</v>
      </c>
      <c r="I18" s="104">
        <v>43654</v>
      </c>
      <c r="J18" s="16">
        <v>32</v>
      </c>
      <c r="K18" s="11">
        <f>E18*J18</f>
        <v>32000</v>
      </c>
      <c r="L18" s="17">
        <v>45</v>
      </c>
      <c r="M18" s="11">
        <v>96</v>
      </c>
      <c r="N18" s="11">
        <v>0</v>
      </c>
      <c r="O18" s="13">
        <f t="shared" si="16"/>
        <v>0</v>
      </c>
      <c r="P18" s="14">
        <f>IF(I18="",R18-H18,(K18-H18-SUM(L18:N18)+R18-S18-T18)-G18)+(ROUND(R18*V18,0)-ROUND(R18*(1+V18),0)*W18)</f>
        <v>1840</v>
      </c>
      <c r="Q18" s="14">
        <f>IF(I18="",(O18-G18-(O18*0.1425%*0.65)-(O18*0.3%)-S18-T18),0)</f>
        <v>0</v>
      </c>
      <c r="R18" s="14">
        <v>1500</v>
      </c>
      <c r="S18" s="14">
        <v>10</v>
      </c>
      <c r="T18" s="14">
        <f t="shared" si="17"/>
        <v>0</v>
      </c>
      <c r="U18" s="69">
        <f>(V18*50%)/(1+50%*V18)</f>
        <v>0</v>
      </c>
      <c r="V18" s="69"/>
      <c r="W18" s="70">
        <v>0.11</v>
      </c>
      <c r="X18" s="15">
        <f>(P18+Q18)/G18</f>
        <v>5.8785942492012778E-2</v>
      </c>
      <c r="Y18" s="16">
        <f>VLOOKUP(C18,台股行情!A:D,4,FALSE)</f>
        <v>34.799999999999997</v>
      </c>
      <c r="Z18" s="38">
        <f>VLOOKUP(C18,台股行情!A:E,5,FALSE)</f>
        <v>0.05</v>
      </c>
      <c r="AA18" s="90">
        <f ca="1">IF(I18="",((TODAY()-A18)*G18)/365.24,((I18-A18)*G18)/365.24)</f>
        <v>856.97075895301714</v>
      </c>
      <c r="AB18" s="127" t="s">
        <v>75</v>
      </c>
      <c r="AC18" s="103" t="s">
        <v>97</v>
      </c>
    </row>
    <row r="19" spans="1:29" outlineLevel="1">
      <c r="A19" s="99">
        <v>43644</v>
      </c>
      <c r="B19" s="11" t="s">
        <v>19</v>
      </c>
      <c r="C19" s="11">
        <v>6176</v>
      </c>
      <c r="D19" s="11" t="s">
        <v>100</v>
      </c>
      <c r="E19" s="11">
        <v>1000</v>
      </c>
      <c r="F19" s="11">
        <v>104</v>
      </c>
      <c r="G19" s="11">
        <f>E19*F19</f>
        <v>104000</v>
      </c>
      <c r="H19" s="11">
        <v>148</v>
      </c>
      <c r="I19" s="104">
        <v>43656</v>
      </c>
      <c r="J19" s="16">
        <v>104.5</v>
      </c>
      <c r="K19" s="11">
        <f>E19*J19</f>
        <v>104500</v>
      </c>
      <c r="L19" s="17">
        <v>148</v>
      </c>
      <c r="M19" s="11">
        <v>313</v>
      </c>
      <c r="N19" s="11">
        <v>0</v>
      </c>
      <c r="O19" s="13">
        <f>IF(I19="",E19*Y19,0)</f>
        <v>0</v>
      </c>
      <c r="P19" s="14">
        <f>IF(I19="",R19-H19,(K19-H19-SUM(L19:N19)+R19-S19-T19)-G19)+(ROUND(R19*V19,0)-ROUND(R19*(1+V19),0)*W19)</f>
        <v>6111</v>
      </c>
      <c r="Q19" s="14">
        <f>IF(I19="",(O19-G19-(O19*0.1425%*0.65)-(O19*0.3%)-S19-T19),0)</f>
        <v>0</v>
      </c>
      <c r="R19" s="14">
        <v>7000</v>
      </c>
      <c r="S19" s="14">
        <v>10</v>
      </c>
      <c r="T19" s="14">
        <f t="shared" si="17"/>
        <v>0</v>
      </c>
      <c r="U19" s="69">
        <f>(V19*50%)/(1+50%*V19)</f>
        <v>0</v>
      </c>
      <c r="V19" s="69"/>
      <c r="W19" s="70">
        <v>0.11</v>
      </c>
      <c r="X19" s="15">
        <f>(P19+Q19)/G19</f>
        <v>5.8759615384615382E-2</v>
      </c>
      <c r="Y19" s="16">
        <f>VLOOKUP(C19,台股行情!A:D,4,FALSE)</f>
        <v>91</v>
      </c>
      <c r="Z19" s="38">
        <f>VLOOKUP(C19,台股行情!A:E,5,FALSE)</f>
        <v>-0.7</v>
      </c>
      <c r="AA19" s="90">
        <f ca="1">IF(I19="",((TODAY()-A19)*G19)/365.24,((I19-A19)*G19)/365.24)</f>
        <v>3416.9313328222538</v>
      </c>
      <c r="AB19" s="126" t="s">
        <v>77</v>
      </c>
      <c r="AC19" s="103" t="s">
        <v>99</v>
      </c>
    </row>
    <row r="20" spans="1:29" outlineLevel="1">
      <c r="A20" s="99">
        <v>43650</v>
      </c>
      <c r="B20" s="11" t="s">
        <v>19</v>
      </c>
      <c r="C20" s="11">
        <v>8255</v>
      </c>
      <c r="D20" s="11" t="s">
        <v>106</v>
      </c>
      <c r="E20" s="11">
        <v>1000</v>
      </c>
      <c r="F20" s="11">
        <v>99.8</v>
      </c>
      <c r="G20" s="11">
        <f>E20*F20</f>
        <v>99800</v>
      </c>
      <c r="H20" s="11">
        <v>142</v>
      </c>
      <c r="I20" s="104">
        <v>43658</v>
      </c>
      <c r="J20" s="16">
        <v>95.1</v>
      </c>
      <c r="K20" s="11">
        <f>E20*J20</f>
        <v>95100</v>
      </c>
      <c r="L20" s="17">
        <v>135</v>
      </c>
      <c r="M20" s="11">
        <v>285</v>
      </c>
      <c r="N20" s="11">
        <v>0</v>
      </c>
      <c r="O20" s="13">
        <f>IF(I20="",E20*Y20,0)</f>
        <v>0</v>
      </c>
      <c r="P20" s="14">
        <f>IF(I20="",R20-H20,(K20-H20-SUM(L20:N20)+R20-S20-T20)-G20)+(ROUND(R20*V20,0)-ROUND(R20*(1+V20),0)*W20)</f>
        <v>-822</v>
      </c>
      <c r="Q20" s="14">
        <f>IF(I20="",(O20-G20-(O20*0.1425%*0.65)-(O20*0.3%)-S20-T20),0)</f>
        <v>0</v>
      </c>
      <c r="R20" s="14">
        <v>5000</v>
      </c>
      <c r="S20" s="14">
        <v>10</v>
      </c>
      <c r="T20" s="14">
        <f>IF(ROUND(R20*(1+V20),0)&gt;20000,ROUND(ROUND(R20*(1+V20),0)*2%,0),0)</f>
        <v>0</v>
      </c>
      <c r="U20" s="69">
        <f>(V20*50%)/(1+50%*V20)</f>
        <v>0</v>
      </c>
      <c r="V20" s="69"/>
      <c r="W20" s="70">
        <v>0.11</v>
      </c>
      <c r="X20" s="15">
        <f>(P20+Q20)/G20</f>
        <v>-8.2364729458917832E-3</v>
      </c>
      <c r="Y20" s="16">
        <f>VLOOKUP(C20,台股行情!A:D,4,FALSE)</f>
        <v>140</v>
      </c>
      <c r="Z20" s="38">
        <f>VLOOKUP(C20,台股行情!A:E,5,FALSE)</f>
        <v>-4</v>
      </c>
      <c r="AA20" s="90">
        <f ca="1">IF(I20="",((TODAY()-A20)*G20)/365.24,((I20-A20)*G20)/365.24)</f>
        <v>2185.9599167670572</v>
      </c>
      <c r="AB20" s="127" t="s">
        <v>82</v>
      </c>
      <c r="AC20" s="103" t="s">
        <v>102</v>
      </c>
    </row>
    <row r="21" spans="1:29" outlineLevel="1">
      <c r="A21" s="99">
        <v>43649</v>
      </c>
      <c r="B21" s="11" t="s">
        <v>19</v>
      </c>
      <c r="C21" s="11">
        <v>2456</v>
      </c>
      <c r="D21" s="11" t="s">
        <v>107</v>
      </c>
      <c r="E21" s="11">
        <v>1000</v>
      </c>
      <c r="F21" s="11">
        <v>93.7</v>
      </c>
      <c r="G21" s="11">
        <f>E21*F21</f>
        <v>93700</v>
      </c>
      <c r="H21" s="11">
        <v>133</v>
      </c>
      <c r="I21" s="104">
        <v>43661</v>
      </c>
      <c r="J21" s="16">
        <v>87.6</v>
      </c>
      <c r="K21" s="11">
        <f>E21*J21</f>
        <v>87600</v>
      </c>
      <c r="L21" s="17">
        <v>124</v>
      </c>
      <c r="M21" s="11">
        <v>262</v>
      </c>
      <c r="N21" s="11">
        <v>0</v>
      </c>
      <c r="O21" s="13">
        <f>IF(I21="",E21*Y21,0)</f>
        <v>0</v>
      </c>
      <c r="P21" s="14">
        <f>IF(I21="",R21-H21,(K21-H21-SUM(L21:N21)+R21-S21-T21)-G21)+(ROUND(R21*V21,0)-ROUND(R21*(1+V21),0)*W21)</f>
        <v>482.1</v>
      </c>
      <c r="Q21" s="14">
        <f>IF(I21="",(O21-G21-(O21*0.1425%*0.65)-(O21*0.3%)-S21-T21),0)</f>
        <v>0</v>
      </c>
      <c r="R21" s="14">
        <v>7990</v>
      </c>
      <c r="S21" s="14">
        <v>10</v>
      </c>
      <c r="T21" s="14">
        <f>IF(ROUND(R21*(1+V21),0)&gt;20000,ROUND(ROUND(R21*(1+V21),0)*2%,0),0)</f>
        <v>0</v>
      </c>
      <c r="U21" s="69">
        <f>(V21*50%)/(1+50%*V21)</f>
        <v>0</v>
      </c>
      <c r="V21" s="69"/>
      <c r="W21" s="70">
        <v>0.11</v>
      </c>
      <c r="X21" s="15">
        <f>(P21+Q21)/G21</f>
        <v>5.1451440768409823E-3</v>
      </c>
      <c r="Y21" s="16" t="e">
        <f>VLOOKUP(C21,台股行情!A:D,4,FALSE)</f>
        <v>#N/A</v>
      </c>
      <c r="Z21" s="38" t="e">
        <f>VLOOKUP(C21,台股行情!A:E,5,FALSE)</f>
        <v>#N/A</v>
      </c>
      <c r="AA21" s="90">
        <f ca="1">IF(I21="",((TODAY()-A21)*G21)/365.24,((I21-A21)*G21)/365.24)</f>
        <v>3078.523710436973</v>
      </c>
      <c r="AB21" s="127" t="s">
        <v>80</v>
      </c>
      <c r="AC21" s="103" t="s">
        <v>105</v>
      </c>
    </row>
    <row r="22" spans="1:29">
      <c r="A22" s="58"/>
      <c r="B22" s="11"/>
      <c r="C22" s="11"/>
      <c r="D22" s="11"/>
      <c r="E22" s="11"/>
      <c r="F22" s="11"/>
      <c r="G22" s="64"/>
      <c r="H22" s="64"/>
      <c r="I22" s="12"/>
      <c r="J22" s="11"/>
      <c r="K22" s="64"/>
      <c r="L22" s="64"/>
      <c r="M22" s="64"/>
      <c r="N22" s="64"/>
      <c r="O22" s="64"/>
      <c r="P22" s="64"/>
      <c r="Q22" s="14"/>
      <c r="R22" s="64"/>
      <c r="S22" s="11"/>
      <c r="T22" s="14"/>
      <c r="U22" s="69"/>
      <c r="V22" s="57"/>
      <c r="W22" s="75"/>
      <c r="X22" s="57"/>
      <c r="Y22" s="11"/>
      <c r="Z22" s="38"/>
      <c r="AA22" s="90"/>
    </row>
    <row r="23" spans="1:29">
      <c r="A23" s="39"/>
      <c r="B23" s="40"/>
      <c r="C23" s="40"/>
      <c r="D23" s="40"/>
      <c r="E23" s="40"/>
      <c r="F23" s="40"/>
      <c r="G23" s="40"/>
      <c r="H23" s="40"/>
      <c r="I23" s="41"/>
      <c r="J23" s="42"/>
      <c r="K23" s="40"/>
      <c r="L23" s="43"/>
      <c r="M23" s="40"/>
      <c r="N23" s="40"/>
      <c r="O23" s="44"/>
      <c r="P23" s="45"/>
      <c r="Q23" s="45"/>
      <c r="R23" s="45"/>
      <c r="S23" s="45"/>
      <c r="T23" s="45"/>
      <c r="U23" s="73"/>
      <c r="V23" s="73"/>
      <c r="W23" s="76"/>
      <c r="X23" s="46"/>
      <c r="Y23" s="42"/>
      <c r="Z23" s="47"/>
      <c r="AA23" s="90"/>
    </row>
    <row r="24" spans="1:29">
      <c r="A24" s="10"/>
      <c r="B24" s="11"/>
      <c r="C24" s="11"/>
      <c r="D24" s="11"/>
      <c r="E24" s="11"/>
      <c r="F24" s="11"/>
      <c r="G24" s="11"/>
      <c r="H24" s="11"/>
      <c r="I24" s="12"/>
      <c r="J24" s="11"/>
      <c r="K24" s="11"/>
      <c r="L24" s="11"/>
      <c r="M24" s="11"/>
      <c r="N24" s="11"/>
      <c r="O24" s="13"/>
      <c r="P24" s="14"/>
      <c r="Q24" s="14"/>
      <c r="R24" s="14"/>
      <c r="S24" s="14"/>
      <c r="T24" s="14"/>
      <c r="U24" s="14"/>
      <c r="V24" s="69"/>
      <c r="W24" s="70"/>
      <c r="X24" s="15"/>
      <c r="Y24" s="16"/>
      <c r="Z24" s="38"/>
      <c r="AA24" s="90"/>
    </row>
    <row r="25" spans="1:29">
      <c r="A25" s="18">
        <f>MIN(A26:A27)</f>
        <v>0</v>
      </c>
      <c r="B25" s="19"/>
      <c r="C25" s="20"/>
      <c r="D25" s="19"/>
      <c r="E25" s="19"/>
      <c r="F25" s="19"/>
      <c r="G25" s="19"/>
      <c r="H25" s="19"/>
      <c r="I25" s="21"/>
      <c r="J25" s="22"/>
      <c r="K25" s="19"/>
      <c r="L25" s="23"/>
      <c r="M25" s="19"/>
      <c r="N25" s="19"/>
      <c r="O25" s="24"/>
      <c r="P25" s="25"/>
      <c r="Q25" s="25"/>
      <c r="R25" s="25"/>
      <c r="S25" s="25"/>
      <c r="T25" s="25"/>
      <c r="U25" s="25"/>
      <c r="V25" s="74"/>
      <c r="W25" s="77"/>
      <c r="X25" s="26"/>
      <c r="Y25" s="22"/>
      <c r="Z25" s="27"/>
      <c r="AA25" s="90"/>
    </row>
    <row r="26" spans="1:29" hidden="1">
      <c r="A26" s="18"/>
      <c r="B26" s="19"/>
      <c r="C26" s="20"/>
      <c r="D26" s="19"/>
      <c r="E26" s="19"/>
      <c r="F26" s="19"/>
      <c r="G26" s="19"/>
      <c r="H26" s="19"/>
      <c r="I26" s="21"/>
      <c r="J26" s="22"/>
      <c r="K26" s="19"/>
      <c r="L26" s="23"/>
      <c r="M26" s="19"/>
      <c r="N26" s="19"/>
      <c r="O26" s="24"/>
      <c r="P26" s="25"/>
      <c r="Q26" s="25"/>
      <c r="R26" s="25"/>
      <c r="S26" s="25"/>
      <c r="T26" s="25"/>
      <c r="U26" s="25"/>
      <c r="V26" s="74"/>
      <c r="W26" s="77"/>
      <c r="X26" s="26"/>
      <c r="Y26" s="22"/>
      <c r="Z26" s="27"/>
      <c r="AA26" s="90">
        <f>((I26-A26)*G26)/365.24</f>
        <v>0</v>
      </c>
    </row>
    <row r="27" spans="1:29" ht="17.25" thickBot="1">
      <c r="A27" s="48"/>
      <c r="B27" s="49"/>
      <c r="C27" s="49"/>
      <c r="D27" s="49"/>
      <c r="E27" s="49"/>
      <c r="F27" s="49"/>
      <c r="G27" s="49"/>
      <c r="H27" s="49"/>
      <c r="I27" s="50"/>
      <c r="J27" s="51"/>
      <c r="K27" s="49"/>
      <c r="L27" s="52"/>
      <c r="M27" s="49"/>
      <c r="N27" s="49"/>
      <c r="O27" s="53"/>
      <c r="P27" s="54"/>
      <c r="Q27" s="54"/>
      <c r="R27" s="54"/>
      <c r="S27" s="54"/>
      <c r="T27" s="60"/>
      <c r="U27" s="54"/>
      <c r="V27" s="54"/>
      <c r="W27" s="78"/>
      <c r="X27" s="55"/>
      <c r="Y27" s="51"/>
      <c r="Z27" s="56"/>
      <c r="AA27" s="90"/>
    </row>
    <row r="28" spans="1:29" ht="17.25" thickBot="1">
      <c r="A28" s="29"/>
      <c r="D28" s="9"/>
      <c r="I28" s="30"/>
      <c r="J28" s="31"/>
      <c r="L28" s="32"/>
      <c r="O28" s="33"/>
      <c r="P28" s="34"/>
      <c r="Q28" s="34"/>
      <c r="R28" s="34"/>
      <c r="S28" s="34"/>
      <c r="T28" s="34"/>
      <c r="U28" s="34"/>
      <c r="V28" s="34"/>
      <c r="W28" s="34"/>
      <c r="X28" s="35"/>
      <c r="Y28" s="31"/>
      <c r="Z28" s="31"/>
      <c r="AA28" s="90"/>
    </row>
    <row r="29" spans="1:29" ht="17.25" thickBot="1">
      <c r="A29" s="427"/>
      <c r="B29" s="404"/>
      <c r="C29" s="429"/>
      <c r="D29" s="61" t="s">
        <v>21</v>
      </c>
      <c r="E29" s="447"/>
      <c r="F29" s="426"/>
      <c r="G29" s="62">
        <f>SUM(G25:G27)</f>
        <v>0</v>
      </c>
      <c r="H29" s="62">
        <f>SUM(H25:H27)</f>
        <v>0</v>
      </c>
      <c r="I29" s="447"/>
      <c r="J29" s="426"/>
      <c r="K29" s="436"/>
      <c r="L29" s="437"/>
      <c r="M29" s="437"/>
      <c r="N29" s="438"/>
      <c r="O29" s="62">
        <f>SUM(O25:O27)</f>
        <v>0</v>
      </c>
      <c r="P29" s="101">
        <f>SUM(P25:P27)</f>
        <v>0</v>
      </c>
      <c r="Q29" s="62">
        <f>SUM(Q25:Q27)</f>
        <v>0</v>
      </c>
      <c r="R29" s="62">
        <f>SUM(R25:R27)</f>
        <v>0</v>
      </c>
      <c r="S29" s="71"/>
      <c r="T29" s="71"/>
      <c r="U29" s="71"/>
      <c r="V29" s="71"/>
      <c r="W29" s="71"/>
      <c r="X29" s="67" t="e">
        <f>(P29+Q29)/G29</f>
        <v>#DIV/0!</v>
      </c>
      <c r="Y29" s="445" t="s">
        <v>23</v>
      </c>
      <c r="Z29" s="84">
        <f>IF(AA29=0,0,(P29+Q29)/(AA29))</f>
        <v>0</v>
      </c>
      <c r="AA29" s="90">
        <f>SUM(AA25:AA27)</f>
        <v>0</v>
      </c>
    </row>
    <row r="30" spans="1:29" s="36" customFormat="1" ht="17.25" thickBot="1">
      <c r="A30" s="409"/>
      <c r="B30" s="407"/>
      <c r="C30" s="430"/>
      <c r="D30" s="61" t="s">
        <v>42</v>
      </c>
      <c r="E30" s="425"/>
      <c r="F30" s="426"/>
      <c r="G30" s="63">
        <f>SUM(G2:G27)</f>
        <v>1457600</v>
      </c>
      <c r="H30" s="63">
        <f>SUM(H2:H27)</f>
        <v>2067</v>
      </c>
      <c r="I30" s="425"/>
      <c r="J30" s="426"/>
      <c r="K30" s="63">
        <f t="shared" ref="K30:R30" si="18">SUM(K2:K27)</f>
        <v>1438700</v>
      </c>
      <c r="L30" s="63">
        <f t="shared" si="18"/>
        <v>2042</v>
      </c>
      <c r="M30" s="63">
        <f t="shared" si="18"/>
        <v>4307</v>
      </c>
      <c r="N30" s="63">
        <f t="shared" si="18"/>
        <v>0</v>
      </c>
      <c r="O30" s="63">
        <f t="shared" si="18"/>
        <v>0</v>
      </c>
      <c r="P30" s="102">
        <f t="shared" si="18"/>
        <v>33337.65</v>
      </c>
      <c r="Q30" s="63">
        <f t="shared" si="18"/>
        <v>0</v>
      </c>
      <c r="R30" s="63">
        <f t="shared" si="18"/>
        <v>66231</v>
      </c>
      <c r="S30" s="72"/>
      <c r="T30" s="72"/>
      <c r="U30" s="72"/>
      <c r="V30" s="72"/>
      <c r="W30" s="72"/>
      <c r="X30" s="67">
        <f>(P30+Q30)/G30</f>
        <v>2.2871604006586169E-2</v>
      </c>
      <c r="Y30" s="417"/>
      <c r="Z30" s="84">
        <f ca="1">IF(AA30=0,0,(P30+Q30)/(AA30))</f>
        <v>0.79011873516042463</v>
      </c>
      <c r="AA30" s="90">
        <f ca="1">SUM(AA2:AA27)</f>
        <v>42193.215419997818</v>
      </c>
      <c r="AB30" s="87"/>
      <c r="AC30" s="88"/>
    </row>
    <row r="31" spans="1:29" s="36" customFormat="1" ht="17.25" thickBot="1">
      <c r="A31" s="410"/>
      <c r="B31" s="411"/>
      <c r="C31" s="431"/>
      <c r="D31" s="61" t="s">
        <v>20</v>
      </c>
      <c r="E31" s="425"/>
      <c r="F31" s="426"/>
      <c r="G31" s="63">
        <f>SUM(G2:G27)</f>
        <v>1457600</v>
      </c>
      <c r="H31" s="63">
        <f>SUM(H2:H27)</f>
        <v>2067</v>
      </c>
      <c r="I31" s="425"/>
      <c r="J31" s="426"/>
      <c r="K31" s="63">
        <f>SUM(K2:K27)</f>
        <v>1438700</v>
      </c>
      <c r="L31" s="63">
        <f>SUM(L2:L27)</f>
        <v>2042</v>
      </c>
      <c r="M31" s="63">
        <f>SUM(M2:M27)</f>
        <v>4307</v>
      </c>
      <c r="N31" s="63">
        <f>SUM(N2:N27)</f>
        <v>0</v>
      </c>
      <c r="O31" s="63">
        <f>SUM(O2:O27)</f>
        <v>0</v>
      </c>
      <c r="P31" s="102">
        <f>SUM(P2:P27)+H67</f>
        <v>33817.65</v>
      </c>
      <c r="Q31" s="63">
        <f>SUM(Q2:Q27)</f>
        <v>0</v>
      </c>
      <c r="R31" s="63">
        <f>SUM(R2:R27)</f>
        <v>66231</v>
      </c>
      <c r="S31" s="72"/>
      <c r="T31" s="72"/>
      <c r="U31" s="72"/>
      <c r="V31" s="72"/>
      <c r="W31" s="72"/>
      <c r="X31" s="67">
        <f>(P31+Q31)/G31</f>
        <v>2.3200912458836445E-2</v>
      </c>
      <c r="Y31" s="418"/>
      <c r="Z31" s="84">
        <f ca="1">IF(AA31=0,0,(P31+Q31)/(AA31))</f>
        <v>0.80149497172409978</v>
      </c>
      <c r="AA31" s="90">
        <f ca="1">AA30</f>
        <v>42193.215419997818</v>
      </c>
      <c r="AB31" s="87"/>
      <c r="AC31" s="87"/>
    </row>
    <row r="32" spans="1:29" ht="17.25" thickBot="1">
      <c r="A32" s="66"/>
      <c r="C32" s="65"/>
      <c r="D32" s="9"/>
      <c r="Y32" s="136" t="s">
        <v>159</v>
      </c>
      <c r="Z32" s="137">
        <f>COUNTIFS(X3:X28,"&gt;0",AB3:AB28,"阿水一式")/COUNTIF(AB:AB,"阿水一式")</f>
        <v>0.5</v>
      </c>
    </row>
    <row r="33" spans="1:26" ht="17.25" thickBot="1">
      <c r="A33" s="66"/>
      <c r="C33" s="65"/>
      <c r="D33" s="9"/>
      <c r="P33" s="128"/>
      <c r="Y33" s="136" t="s">
        <v>158</v>
      </c>
      <c r="Z33" s="137">
        <f>COUNTIF(X10:X21,"&gt;0")/COUNT(X10:X21)</f>
        <v>0.66666666666666663</v>
      </c>
    </row>
    <row r="34" spans="1:26">
      <c r="B34" s="37"/>
      <c r="C34" s="37"/>
      <c r="D34" s="9"/>
    </row>
    <row r="35" spans="1:26">
      <c r="B35" s="37"/>
      <c r="C35" s="37"/>
      <c r="D35" s="9"/>
    </row>
    <row r="36" spans="1:26">
      <c r="B36" s="37"/>
      <c r="C36" s="37"/>
      <c r="D36" s="9"/>
    </row>
    <row r="37" spans="1:26">
      <c r="A37" s="37"/>
      <c r="B37" s="37"/>
      <c r="C37" s="37"/>
      <c r="D37" s="9"/>
    </row>
    <row r="38" spans="1:26">
      <c r="A38" s="37"/>
      <c r="B38" s="37"/>
      <c r="C38" s="37"/>
      <c r="D38" s="9"/>
    </row>
    <row r="39" spans="1:26">
      <c r="A39" s="37"/>
      <c r="B39" s="37"/>
      <c r="C39" s="37"/>
      <c r="D39" s="9"/>
    </row>
    <row r="40" spans="1:26" ht="17.25" thickBot="1">
      <c r="A40" s="37"/>
      <c r="B40" s="37"/>
      <c r="C40" s="37"/>
      <c r="D40" s="9"/>
    </row>
    <row r="41" spans="1:26" collapsed="1">
      <c r="A41" s="105" t="s">
        <v>57</v>
      </c>
      <c r="B41" s="2"/>
      <c r="C41" s="106"/>
      <c r="D41" s="2"/>
      <c r="E41" s="2"/>
      <c r="F41" s="2"/>
      <c r="G41" s="2"/>
      <c r="H41" s="107"/>
    </row>
    <row r="42" spans="1:26" hidden="1" outlineLevel="1">
      <c r="A42" s="108">
        <v>43481</v>
      </c>
      <c r="B42" s="11"/>
      <c r="C42" s="109"/>
      <c r="D42" s="110" t="s">
        <v>49</v>
      </c>
      <c r="E42" s="11"/>
      <c r="F42" s="11"/>
      <c r="G42" s="11"/>
      <c r="H42" s="85">
        <v>20</v>
      </c>
    </row>
    <row r="43" spans="1:26" hidden="1" outlineLevel="1">
      <c r="A43" s="108">
        <v>43483</v>
      </c>
      <c r="B43" s="11"/>
      <c r="C43" s="109"/>
      <c r="D43" s="110" t="s">
        <v>50</v>
      </c>
      <c r="E43" s="11"/>
      <c r="F43" s="11"/>
      <c r="G43" s="11"/>
      <c r="H43" s="85">
        <v>20</v>
      </c>
    </row>
    <row r="44" spans="1:26" hidden="1" outlineLevel="1">
      <c r="A44" s="108">
        <v>43490</v>
      </c>
      <c r="B44" s="11"/>
      <c r="C44" s="109"/>
      <c r="D44" s="110" t="s">
        <v>51</v>
      </c>
      <c r="E44" s="11"/>
      <c r="F44" s="11"/>
      <c r="G44" s="11"/>
      <c r="H44" s="85">
        <v>20</v>
      </c>
    </row>
    <row r="45" spans="1:26" hidden="1" outlineLevel="1">
      <c r="A45" s="108">
        <v>43537</v>
      </c>
      <c r="B45" s="11"/>
      <c r="C45" s="109"/>
      <c r="D45" s="110" t="s">
        <v>52</v>
      </c>
      <c r="E45" s="11"/>
      <c r="F45" s="11"/>
      <c r="G45" s="11"/>
      <c r="H45" s="85">
        <v>20</v>
      </c>
    </row>
    <row r="46" spans="1:26" hidden="1" outlineLevel="1">
      <c r="A46" s="108">
        <v>43538</v>
      </c>
      <c r="B46" s="111"/>
      <c r="C46" s="112"/>
      <c r="D46" s="110" t="s">
        <v>53</v>
      </c>
      <c r="E46" s="11"/>
      <c r="F46" s="11"/>
      <c r="G46" s="11"/>
      <c r="H46" s="85">
        <v>20</v>
      </c>
    </row>
    <row r="47" spans="1:26" hidden="1" outlineLevel="1">
      <c r="A47" s="108">
        <v>43543</v>
      </c>
      <c r="B47" s="111"/>
      <c r="C47" s="112"/>
      <c r="D47" s="110" t="s">
        <v>54</v>
      </c>
      <c r="E47" s="11"/>
      <c r="F47" s="11"/>
      <c r="G47" s="11"/>
      <c r="H47" s="85">
        <v>20</v>
      </c>
    </row>
    <row r="48" spans="1:26" hidden="1" outlineLevel="1">
      <c r="A48" s="108">
        <v>43543</v>
      </c>
      <c r="B48" s="111"/>
      <c r="C48" s="112"/>
      <c r="D48" s="110" t="s">
        <v>55</v>
      </c>
      <c r="E48" s="11"/>
      <c r="F48" s="11"/>
      <c r="G48" s="11"/>
      <c r="H48" s="85">
        <v>20</v>
      </c>
    </row>
    <row r="49" spans="1:8" hidden="1" outlineLevel="1">
      <c r="A49" s="108">
        <v>43544</v>
      </c>
      <c r="B49" s="111"/>
      <c r="C49" s="112"/>
      <c r="D49" s="110" t="s">
        <v>56</v>
      </c>
      <c r="E49" s="11"/>
      <c r="F49" s="11"/>
      <c r="G49" s="11"/>
      <c r="H49" s="85">
        <v>20</v>
      </c>
    </row>
    <row r="50" spans="1:8" hidden="1" outlineLevel="1">
      <c r="A50" s="108">
        <v>43566</v>
      </c>
      <c r="B50" s="111"/>
      <c r="C50" s="112"/>
      <c r="D50" s="121" t="s">
        <v>69</v>
      </c>
      <c r="E50" s="11"/>
      <c r="F50" s="11"/>
      <c r="G50" s="11"/>
      <c r="H50" s="85">
        <v>20</v>
      </c>
    </row>
    <row r="51" spans="1:8" hidden="1" outlineLevel="1">
      <c r="A51" s="108">
        <v>43587</v>
      </c>
      <c r="B51" s="111"/>
      <c r="C51" s="112"/>
      <c r="D51" s="133" t="s">
        <v>85</v>
      </c>
      <c r="E51" s="11"/>
      <c r="F51" s="11"/>
      <c r="G51" s="11"/>
      <c r="H51" s="85">
        <v>20</v>
      </c>
    </row>
    <row r="52" spans="1:8" hidden="1" outlineLevel="1">
      <c r="A52" s="108">
        <v>43740</v>
      </c>
      <c r="B52" s="11"/>
      <c r="C52" s="109"/>
      <c r="D52" s="110" t="s">
        <v>127</v>
      </c>
      <c r="E52" s="11"/>
      <c r="F52" s="11"/>
      <c r="G52" s="11"/>
      <c r="H52" s="85">
        <v>20</v>
      </c>
    </row>
    <row r="53" spans="1:8" hidden="1" outlineLevel="1">
      <c r="A53" s="108">
        <v>43745</v>
      </c>
      <c r="B53" s="11"/>
      <c r="C53" s="109"/>
      <c r="D53" s="110" t="s">
        <v>128</v>
      </c>
      <c r="E53" s="11"/>
      <c r="F53" s="11"/>
      <c r="G53" s="11"/>
      <c r="H53" s="85">
        <v>20</v>
      </c>
    </row>
    <row r="54" spans="1:8" hidden="1" outlineLevel="1">
      <c r="A54" s="108">
        <v>43753</v>
      </c>
      <c r="B54" s="11"/>
      <c r="C54" s="109"/>
      <c r="D54" s="110" t="s">
        <v>117</v>
      </c>
      <c r="E54" s="11"/>
      <c r="F54" s="11"/>
      <c r="G54" s="11"/>
      <c r="H54" s="85">
        <v>20</v>
      </c>
    </row>
    <row r="55" spans="1:8" hidden="1" outlineLevel="1">
      <c r="A55" s="108">
        <v>43755</v>
      </c>
      <c r="B55" s="11"/>
      <c r="C55" s="109"/>
      <c r="D55" s="110" t="s">
        <v>116</v>
      </c>
      <c r="E55" s="11"/>
      <c r="F55" s="11"/>
      <c r="G55" s="11"/>
      <c r="H55" s="85">
        <v>20</v>
      </c>
    </row>
    <row r="56" spans="1:8" hidden="1" outlineLevel="1">
      <c r="A56" s="108">
        <v>43808</v>
      </c>
      <c r="B56" s="111"/>
      <c r="C56" s="112"/>
      <c r="D56" s="110" t="s">
        <v>114</v>
      </c>
      <c r="E56" s="11"/>
      <c r="F56" s="11"/>
      <c r="G56" s="11"/>
      <c r="H56" s="85">
        <v>20</v>
      </c>
    </row>
    <row r="57" spans="1:8" hidden="1" outlineLevel="1">
      <c r="A57" s="108">
        <v>43808</v>
      </c>
      <c r="B57" s="111"/>
      <c r="C57" s="112"/>
      <c r="D57" s="110" t="s">
        <v>119</v>
      </c>
      <c r="E57" s="11"/>
      <c r="F57" s="11"/>
      <c r="G57" s="11"/>
      <c r="H57" s="85">
        <v>20</v>
      </c>
    </row>
    <row r="58" spans="1:8" hidden="1" outlineLevel="1">
      <c r="A58" s="108">
        <v>43809</v>
      </c>
      <c r="B58" s="111"/>
      <c r="C58" s="112"/>
      <c r="D58" s="110" t="s">
        <v>125</v>
      </c>
      <c r="E58" s="11"/>
      <c r="F58" s="11"/>
      <c r="G58" s="11"/>
      <c r="H58" s="85">
        <v>20</v>
      </c>
    </row>
    <row r="59" spans="1:8" hidden="1" outlineLevel="1">
      <c r="A59" s="108">
        <v>43811</v>
      </c>
      <c r="B59" s="111"/>
      <c r="C59" s="112"/>
      <c r="D59" s="110" t="s">
        <v>145</v>
      </c>
      <c r="E59" s="11"/>
      <c r="F59" s="11"/>
      <c r="G59" s="11"/>
      <c r="H59" s="85">
        <v>20</v>
      </c>
    </row>
    <row r="60" spans="1:8" hidden="1" outlineLevel="1">
      <c r="A60" s="108">
        <v>43811</v>
      </c>
      <c r="B60" s="111"/>
      <c r="C60" s="112"/>
      <c r="D60" s="121" t="s">
        <v>126</v>
      </c>
      <c r="E60" s="11"/>
      <c r="F60" s="11"/>
      <c r="G60" s="11"/>
      <c r="H60" s="85">
        <v>20</v>
      </c>
    </row>
    <row r="61" spans="1:8" hidden="1" outlineLevel="1">
      <c r="A61" s="108">
        <v>43818</v>
      </c>
      <c r="B61" s="111"/>
      <c r="C61" s="112"/>
      <c r="D61" s="133" t="s">
        <v>148</v>
      </c>
      <c r="E61" s="11"/>
      <c r="F61" s="11"/>
      <c r="G61" s="11"/>
      <c r="H61" s="85">
        <v>20</v>
      </c>
    </row>
    <row r="62" spans="1:8" hidden="1" outlineLevel="1">
      <c r="A62" s="108">
        <v>43819</v>
      </c>
      <c r="B62" s="11"/>
      <c r="C62" s="109"/>
      <c r="D62" s="110" t="s">
        <v>123</v>
      </c>
      <c r="E62" s="11"/>
      <c r="F62" s="11"/>
      <c r="G62" s="11"/>
      <c r="H62" s="85">
        <v>20</v>
      </c>
    </row>
    <row r="63" spans="1:8" hidden="1" outlineLevel="1">
      <c r="A63" s="108">
        <v>43820</v>
      </c>
      <c r="B63" s="11"/>
      <c r="C63" s="109"/>
      <c r="D63" s="110" t="s">
        <v>133</v>
      </c>
      <c r="E63" s="11"/>
      <c r="F63" s="11"/>
      <c r="G63" s="11"/>
      <c r="H63" s="85">
        <v>20</v>
      </c>
    </row>
    <row r="64" spans="1:8" hidden="1" outlineLevel="1">
      <c r="A64" s="108">
        <v>43826</v>
      </c>
      <c r="B64" s="11"/>
      <c r="C64" s="109"/>
      <c r="D64" s="110" t="s">
        <v>122</v>
      </c>
      <c r="E64" s="11"/>
      <c r="F64" s="11"/>
      <c r="G64" s="11"/>
      <c r="H64" s="85">
        <v>20</v>
      </c>
    </row>
    <row r="65" spans="1:8" hidden="1" outlineLevel="1">
      <c r="A65" s="108">
        <v>43826</v>
      </c>
      <c r="B65" s="11"/>
      <c r="C65" s="109"/>
      <c r="D65" s="110" t="s">
        <v>152</v>
      </c>
      <c r="E65" s="11"/>
      <c r="F65" s="11"/>
      <c r="G65" s="11"/>
      <c r="H65" s="85">
        <v>20</v>
      </c>
    </row>
    <row r="66" spans="1:8" hidden="1" outlineLevel="1">
      <c r="A66" s="113"/>
      <c r="B66" s="111"/>
      <c r="C66" s="112"/>
      <c r="D66" s="110"/>
      <c r="E66" s="11"/>
      <c r="F66" s="11"/>
      <c r="G66" s="11"/>
      <c r="H66" s="85"/>
    </row>
    <row r="67" spans="1:8" ht="17.25" thickBot="1">
      <c r="A67" s="114"/>
      <c r="B67" s="115"/>
      <c r="C67" s="116"/>
      <c r="D67" s="117" t="s">
        <v>58</v>
      </c>
      <c r="E67" s="59"/>
      <c r="F67" s="59"/>
      <c r="G67" s="59"/>
      <c r="H67" s="118">
        <f>SUM(H41:H66)</f>
        <v>480</v>
      </c>
    </row>
    <row r="68" spans="1:8">
      <c r="B68" s="37"/>
      <c r="C68" s="37"/>
      <c r="D68" s="9"/>
    </row>
    <row r="69" spans="1:8">
      <c r="B69" s="37"/>
      <c r="C69" s="37"/>
      <c r="D69" s="9"/>
    </row>
    <row r="70" spans="1:8">
      <c r="B70" s="37"/>
      <c r="C70" s="37"/>
      <c r="D70" s="9"/>
    </row>
    <row r="71" spans="1:8">
      <c r="A71" s="37"/>
      <c r="B71" s="37"/>
      <c r="C71" s="37"/>
      <c r="D71" s="9"/>
    </row>
    <row r="72" spans="1:8">
      <c r="A72" s="37"/>
      <c r="B72" s="37"/>
      <c r="C72" s="37"/>
      <c r="D72" s="9"/>
    </row>
    <row r="73" spans="1:8">
      <c r="A73" s="37"/>
      <c r="B73" s="37"/>
      <c r="C73" s="37"/>
      <c r="D73" s="9"/>
    </row>
    <row r="74" spans="1:8">
      <c r="A74" s="37"/>
      <c r="B74" s="37"/>
      <c r="C74" s="37"/>
      <c r="D74" s="9"/>
    </row>
  </sheetData>
  <autoFilter ref="A1:AA76" xr:uid="{00000000-0009-0000-0000-000001000000}"/>
  <mergeCells count="5">
    <mergeCell ref="Y29:Y31"/>
    <mergeCell ref="A29:C31"/>
    <mergeCell ref="E29:F31"/>
    <mergeCell ref="I29:J31"/>
    <mergeCell ref="K29:N29"/>
  </mergeCells>
  <phoneticPr fontId="74" type="noConversion"/>
  <conditionalFormatting sqref="I22:I28">
    <cfRule type="expression" dxfId="1317" priority="73">
      <formula>$I22&gt;(TODAY()-7)</formula>
    </cfRule>
    <cfRule type="expression" dxfId="1316" priority="74">
      <formula>$I22&gt;(TODAY()-30)</formula>
    </cfRule>
  </conditionalFormatting>
  <conditionalFormatting sqref="Z2:Z21">
    <cfRule type="cellIs" dxfId="1315" priority="1" operator="lessThan">
      <formula>0</formula>
    </cfRule>
    <cfRule type="cellIs" dxfId="1314" priority="2" operator="greaterThan">
      <formula>0</formula>
    </cfRule>
    <cfRule type="containsText" dxfId="1313" priority="3" operator="containsText" text="▲">
      <formula>NOT(ISERROR(SEARCH("▲",Z2)))</formula>
    </cfRule>
    <cfRule type="containsText" dxfId="1312" priority="4" operator="containsText" text="▼">
      <formula>NOT(ISERROR(SEARCH("▼",Z2)))</formula>
    </cfRule>
  </conditionalFormatting>
  <conditionalFormatting sqref="Z1:AA1 Z22:AA31 AA32:AA70 Z34:Z70 Z71:AA1048576">
    <cfRule type="containsText" dxfId="1311" priority="75" operator="containsText" text="△">
      <formula>NOT(ISERROR(SEARCH("△",Z1)))</formula>
    </cfRule>
    <cfRule type="containsText" dxfId="1310" priority="76" operator="containsText" text="▽">
      <formula>NOT(ISERROR(SEARCH("▽",Z1)))</formula>
    </cfRule>
  </conditionalFormatting>
  <conditionalFormatting sqref="AA2:AA8">
    <cfRule type="containsText" dxfId="1309" priority="49" operator="containsText" text="△">
      <formula>NOT(ISERROR(SEARCH("△",AA2)))</formula>
    </cfRule>
    <cfRule type="containsText" dxfId="1308" priority="50" operator="containsText" text="▽">
      <formula>NOT(ISERROR(SEARCH("▽",AA2)))</formula>
    </cfRule>
  </conditionalFormatting>
  <conditionalFormatting sqref="AA3:AA4">
    <cfRule type="containsText" dxfId="1307" priority="61" operator="containsText" text="△">
      <formula>NOT(ISERROR(SEARCH("△",AA3)))</formula>
    </cfRule>
    <cfRule type="containsText" dxfId="1306" priority="62" operator="containsText" text="▽">
      <formula>NOT(ISERROR(SEARCH("▽",AA3)))</formula>
    </cfRule>
  </conditionalFormatting>
  <conditionalFormatting sqref="AA4">
    <cfRule type="containsText" dxfId="1305" priority="63" operator="containsText" text="△">
      <formula>NOT(ISERROR(SEARCH("△",AA4)))</formula>
    </cfRule>
    <cfRule type="containsText" dxfId="1304" priority="64" operator="containsText" text="▽">
      <formula>NOT(ISERROR(SEARCH("▽",AA4)))</formula>
    </cfRule>
  </conditionalFormatting>
  <conditionalFormatting sqref="AA6:AA21">
    <cfRule type="containsText" dxfId="1303" priority="43" operator="containsText" text="△">
      <formula>NOT(ISERROR(SEARCH("△",AA6)))</formula>
    </cfRule>
    <cfRule type="containsText" dxfId="1302" priority="44" operator="containsText" text="▽">
      <formula>NOT(ISERROR(SEARCH("▽",AA6)))</formula>
    </cfRule>
  </conditionalFormatting>
  <conditionalFormatting sqref="AA7:AA8">
    <cfRule type="containsText" dxfId="1301" priority="57" operator="containsText" text="△">
      <formula>NOT(ISERROR(SEARCH("△",AA7)))</formula>
    </cfRule>
    <cfRule type="containsText" dxfId="1300" priority="58" operator="containsText" text="▽">
      <formula>NOT(ISERROR(SEARCH("▽",AA7)))</formula>
    </cfRule>
  </conditionalFormatting>
  <conditionalFormatting sqref="AA8">
    <cfRule type="containsText" dxfId="1299" priority="53" operator="containsText" text="△">
      <formula>NOT(ISERROR(SEARCH("△",AA8)))</formula>
    </cfRule>
    <cfRule type="containsText" dxfId="1298" priority="54" operator="containsText" text="▽">
      <formula>NOT(ISERROR(SEARCH("▽",AA8)))</formula>
    </cfRule>
  </conditionalFormatting>
  <conditionalFormatting sqref="AA10">
    <cfRule type="containsText" dxfId="1297" priority="41" operator="containsText" text="△">
      <formula>NOT(ISERROR(SEARCH("△",AA10)))</formula>
    </cfRule>
    <cfRule type="containsText" dxfId="1296" priority="42" operator="containsText" text="▽">
      <formula>NOT(ISERROR(SEARCH("▽",AA10)))</formula>
    </cfRule>
  </conditionalFormatting>
  <conditionalFormatting sqref="AA11:AA21">
    <cfRule type="containsText" dxfId="1295" priority="51" operator="containsText" text="△">
      <formula>NOT(ISERROR(SEARCH("△",AA11)))</formula>
    </cfRule>
    <cfRule type="containsText" dxfId="1294" priority="52" operator="containsText" text="▽">
      <formula>NOT(ISERROR(SEARCH("▽",AA11)))</formula>
    </cfRule>
  </conditionalFormatting>
  <conditionalFormatting sqref="AA12:AA21">
    <cfRule type="containsText" dxfId="1293" priority="39" operator="containsText" text="△">
      <formula>NOT(ISERROR(SEARCH("△",AA12)))</formula>
    </cfRule>
    <cfRule type="containsText" dxfId="1292" priority="40" operator="containsText" text="▽">
      <formula>NOT(ISERROR(SEARCH("▽",AA12)))</formula>
    </cfRule>
  </conditionalFormatting>
  <conditionalFormatting sqref="AA13:AA21">
    <cfRule type="containsText" dxfId="1291" priority="35" operator="containsText" text="△">
      <formula>NOT(ISERROR(SEARCH("△",AA13)))</formula>
    </cfRule>
    <cfRule type="containsText" dxfId="1290" priority="36" operator="containsText" text="▽">
      <formula>NOT(ISERROR(SEARCH("▽",AA13)))</formula>
    </cfRule>
  </conditionalFormatting>
  <conditionalFormatting sqref="AA15:AA21">
    <cfRule type="containsText" dxfId="1289" priority="27" operator="containsText" text="△">
      <formula>NOT(ISERROR(SEARCH("△",AA15)))</formula>
    </cfRule>
    <cfRule type="containsText" dxfId="1288" priority="28" operator="containsText" text="▽">
      <formula>NOT(ISERROR(SEARCH("▽",AA15)))</formula>
    </cfRule>
  </conditionalFormatting>
  <conditionalFormatting sqref="AA16:AA21">
    <cfRule type="containsText" dxfId="1287" priority="33" operator="containsText" text="△">
      <formula>NOT(ISERROR(SEARCH("△",AA16)))</formula>
    </cfRule>
    <cfRule type="containsText" dxfId="1286" priority="34" operator="containsText" text="▽">
      <formula>NOT(ISERROR(SEARCH("▽",AA16)))</formula>
    </cfRule>
  </conditionalFormatting>
  <conditionalFormatting sqref="AA17:AA21">
    <cfRule type="containsText" dxfId="1285" priority="25" operator="containsText" text="△">
      <formula>NOT(ISERROR(SEARCH("△",AA17)))</formula>
    </cfRule>
    <cfRule type="containsText" dxfId="1284" priority="26" operator="containsText" text="▽">
      <formula>NOT(ISERROR(SEARCH("▽",AA17)))</formula>
    </cfRule>
  </conditionalFormatting>
  <conditionalFormatting sqref="AA18:AA21">
    <cfRule type="containsText" dxfId="1283" priority="31" operator="containsText" text="△">
      <formula>NOT(ISERROR(SEARCH("△",AA18)))</formula>
    </cfRule>
    <cfRule type="containsText" dxfId="1282" priority="32" operator="containsText" text="▽">
      <formula>NOT(ISERROR(SEARCH("▽",AA18)))</formula>
    </cfRule>
  </conditionalFormatting>
  <conditionalFormatting sqref="AA19:AA21">
    <cfRule type="containsText" dxfId="1281" priority="29" operator="containsText" text="△">
      <formula>NOT(ISERROR(SEARCH("△",AA19)))</formula>
    </cfRule>
    <cfRule type="containsText" dxfId="1280" priority="30" operator="containsText" text="▽">
      <formula>NOT(ISERROR(SEARCH("▽",AA19)))</formula>
    </cfRule>
  </conditionalFormatting>
  <conditionalFormatting sqref="AA20:AA21">
    <cfRule type="containsText" dxfId="1279" priority="19" operator="containsText" text="△">
      <formula>NOT(ISERROR(SEARCH("△",AA20)))</formula>
    </cfRule>
    <cfRule type="containsText" dxfId="1278" priority="20" operator="containsText" text="▽">
      <formula>NOT(ISERROR(SEARCH("▽",AA20)))</formula>
    </cfRule>
  </conditionalFormatting>
  <conditionalFormatting sqref="AA21">
    <cfRule type="containsText" dxfId="1277" priority="23" operator="containsText" text="△">
      <formula>NOT(ISERROR(SEARCH("△",AA21)))</formula>
    </cfRule>
    <cfRule type="containsText" dxfId="1276" priority="24" operator="containsText" text="▽">
      <formula>NOT(ISERROR(SEARCH("▽",AA21)))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3C58-8105-453B-980E-22DCE37E72B9}">
  <sheetPr codeName="Sheet14">
    <tabColor rgb="FF92D050"/>
    <outlinePr summaryBelow="0" summaryRight="0"/>
  </sheetPr>
  <dimension ref="A1:AC364"/>
  <sheetViews>
    <sheetView zoomScale="85" zoomScaleNormal="85" workbookViewId="0">
      <pane xSplit="4" ySplit="1" topLeftCell="E332" activePane="bottomRight" state="frozen"/>
      <selection activeCell="F42" sqref="F42"/>
      <selection pane="topRight" activeCell="F42" sqref="F42"/>
      <selection pane="bottomLeft" activeCell="F42" sqref="F42"/>
      <selection pane="bottomRight" activeCell="G350" sqref="G350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37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125" style="9" bestFit="1" customWidth="1"/>
    <col min="26" max="26" width="12.875" style="9" bestFit="1" customWidth="1"/>
    <col min="27" max="28" width="12.875" style="9" customWidth="1"/>
    <col min="29" max="16384" width="9" style="9"/>
  </cols>
  <sheetData>
    <row r="1" spans="1:28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276" t="s">
        <v>2728</v>
      </c>
    </row>
    <row r="2" spans="1:28" outlineLevel="1">
      <c r="A2" s="99">
        <v>43509</v>
      </c>
      <c r="B2" s="11" t="s">
        <v>19</v>
      </c>
      <c r="C2" s="11">
        <v>1902</v>
      </c>
      <c r="D2" s="133" t="s">
        <v>62</v>
      </c>
      <c r="E2" s="11">
        <v>1000</v>
      </c>
      <c r="F2" s="11">
        <v>20.25</v>
      </c>
      <c r="G2" s="11">
        <v>20250</v>
      </c>
      <c r="H2" s="11">
        <v>28</v>
      </c>
      <c r="I2" s="104">
        <v>43515</v>
      </c>
      <c r="J2" s="16">
        <v>20</v>
      </c>
      <c r="K2" s="11">
        <v>20000</v>
      </c>
      <c r="L2" s="17">
        <v>28</v>
      </c>
      <c r="M2" s="11">
        <v>60</v>
      </c>
      <c r="N2" s="11">
        <v>0</v>
      </c>
      <c r="O2" s="13">
        <v>0</v>
      </c>
      <c r="P2" s="14">
        <v>-366</v>
      </c>
      <c r="Q2" s="14">
        <v>0</v>
      </c>
      <c r="R2" s="14"/>
      <c r="S2" s="14"/>
      <c r="T2" s="14">
        <v>0</v>
      </c>
      <c r="U2" s="69">
        <v>0</v>
      </c>
      <c r="V2" s="69"/>
      <c r="W2" s="70">
        <v>0.11</v>
      </c>
      <c r="X2" s="15">
        <v>-1.8074074074074076E-2</v>
      </c>
      <c r="Y2" s="16" t="e">
        <v>#N/A</v>
      </c>
      <c r="Z2" s="38" t="e">
        <v>#N/A</v>
      </c>
      <c r="AA2" s="90">
        <f t="shared" ref="AA2:AA16" ca="1" si="0">IF(I2="",((TODAY()-A2)*G2)/365.24,((I2-A2)*G2)/365.24)</f>
        <v>332.6579783156281</v>
      </c>
      <c r="AB2" s="103" t="s">
        <v>2729</v>
      </c>
    </row>
    <row r="3" spans="1:28" outlineLevel="1">
      <c r="A3" s="99">
        <v>43509</v>
      </c>
      <c r="B3" s="11" t="s">
        <v>19</v>
      </c>
      <c r="C3" s="11">
        <v>2355</v>
      </c>
      <c r="D3" s="272" t="s">
        <v>63</v>
      </c>
      <c r="E3" s="11">
        <v>1000</v>
      </c>
      <c r="F3" s="11">
        <v>42</v>
      </c>
      <c r="G3" s="11">
        <v>42000</v>
      </c>
      <c r="H3" s="11">
        <v>59</v>
      </c>
      <c r="I3" s="104">
        <v>43517</v>
      </c>
      <c r="J3" s="16">
        <v>42.2</v>
      </c>
      <c r="K3" s="11">
        <v>42200</v>
      </c>
      <c r="L3" s="17">
        <v>60</v>
      </c>
      <c r="M3" s="11">
        <v>126</v>
      </c>
      <c r="N3" s="11">
        <v>0</v>
      </c>
      <c r="O3" s="13">
        <v>0</v>
      </c>
      <c r="P3" s="14">
        <v>-45</v>
      </c>
      <c r="Q3" s="14">
        <v>0</v>
      </c>
      <c r="R3" s="14"/>
      <c r="S3" s="14"/>
      <c r="T3" s="14">
        <v>0</v>
      </c>
      <c r="U3" s="69">
        <v>0</v>
      </c>
      <c r="V3" s="69"/>
      <c r="W3" s="70">
        <v>0.11</v>
      </c>
      <c r="X3" s="15">
        <v>-1.0714285714285715E-3</v>
      </c>
      <c r="Y3" s="16">
        <v>53.1</v>
      </c>
      <c r="Z3" s="38">
        <v>2.1</v>
      </c>
      <c r="AA3" s="90">
        <f t="shared" ca="1" si="0"/>
        <v>919.94305114445297</v>
      </c>
      <c r="AB3" s="103" t="s">
        <v>2729</v>
      </c>
    </row>
    <row r="4" spans="1:28" outlineLevel="1">
      <c r="A4" s="99">
        <v>43509</v>
      </c>
      <c r="B4" s="11" t="s">
        <v>19</v>
      </c>
      <c r="C4" s="11">
        <v>4947</v>
      </c>
      <c r="D4" s="133" t="s">
        <v>3126</v>
      </c>
      <c r="E4" s="11">
        <v>1000</v>
      </c>
      <c r="F4" s="11">
        <v>188</v>
      </c>
      <c r="G4" s="11">
        <v>188000</v>
      </c>
      <c r="H4" s="11">
        <v>267</v>
      </c>
      <c r="I4" s="104">
        <v>43518</v>
      </c>
      <c r="J4" s="16">
        <v>191</v>
      </c>
      <c r="K4" s="11">
        <v>191000</v>
      </c>
      <c r="L4" s="17">
        <v>272</v>
      </c>
      <c r="M4" s="11">
        <v>573</v>
      </c>
      <c r="N4" s="11">
        <v>0</v>
      </c>
      <c r="O4" s="13">
        <v>0</v>
      </c>
      <c r="P4" s="14">
        <v>1888</v>
      </c>
      <c r="Q4" s="14">
        <v>0</v>
      </c>
      <c r="R4" s="14"/>
      <c r="S4" s="14"/>
      <c r="T4" s="14">
        <v>0</v>
      </c>
      <c r="U4" s="69">
        <v>0</v>
      </c>
      <c r="V4" s="69"/>
      <c r="W4" s="70">
        <v>0.11</v>
      </c>
      <c r="X4" s="15">
        <v>1.0042553191489362E-2</v>
      </c>
      <c r="Y4" s="16" t="e">
        <v>#N/A</v>
      </c>
      <c r="Z4" s="38" t="e">
        <v>#N/A</v>
      </c>
      <c r="AA4" s="90">
        <f t="shared" ca="1" si="0"/>
        <v>4632.5703646917091</v>
      </c>
      <c r="AB4" s="103" t="s">
        <v>2729</v>
      </c>
    </row>
    <row r="5" spans="1:28" outlineLevel="1">
      <c r="A5" s="99">
        <v>43509</v>
      </c>
      <c r="B5" s="11" t="s">
        <v>19</v>
      </c>
      <c r="C5" s="11">
        <v>3376</v>
      </c>
      <c r="D5" s="11" t="s">
        <v>64</v>
      </c>
      <c r="E5" s="11">
        <v>1000</v>
      </c>
      <c r="F5" s="11">
        <v>95.5</v>
      </c>
      <c r="G5" s="11">
        <v>95500</v>
      </c>
      <c r="H5" s="11">
        <v>136</v>
      </c>
      <c r="I5" s="104">
        <v>43530</v>
      </c>
      <c r="J5" s="16">
        <v>102.5</v>
      </c>
      <c r="K5" s="11">
        <v>102500</v>
      </c>
      <c r="L5" s="17">
        <v>146</v>
      </c>
      <c r="M5" s="11">
        <v>307</v>
      </c>
      <c r="N5" s="11">
        <v>0</v>
      </c>
      <c r="O5" s="13">
        <v>0</v>
      </c>
      <c r="P5" s="14">
        <v>6411</v>
      </c>
      <c r="Q5" s="14">
        <v>0</v>
      </c>
      <c r="R5" s="14"/>
      <c r="S5" s="14"/>
      <c r="T5" s="14">
        <v>0</v>
      </c>
      <c r="U5" s="69">
        <v>0</v>
      </c>
      <c r="V5" s="69"/>
      <c r="W5" s="70">
        <v>0.11</v>
      </c>
      <c r="X5" s="15">
        <v>6.7130890052356021E-2</v>
      </c>
      <c r="Y5" s="16">
        <v>224</v>
      </c>
      <c r="Z5" s="38">
        <v>20</v>
      </c>
      <c r="AA5" s="90">
        <f t="shared" ca="1" si="0"/>
        <v>5490.9100865184537</v>
      </c>
      <c r="AB5" s="103" t="s">
        <v>2729</v>
      </c>
    </row>
    <row r="6" spans="1:28" outlineLevel="1">
      <c r="A6" s="99">
        <v>43558</v>
      </c>
      <c r="B6" s="11" t="s">
        <v>19</v>
      </c>
      <c r="C6" s="11">
        <v>6108</v>
      </c>
      <c r="D6" s="11" t="s">
        <v>65</v>
      </c>
      <c r="E6" s="11">
        <v>1000</v>
      </c>
      <c r="F6" s="11">
        <v>30.55</v>
      </c>
      <c r="G6" s="11">
        <v>30550</v>
      </c>
      <c r="H6" s="11">
        <v>43</v>
      </c>
      <c r="I6" s="104">
        <v>43564</v>
      </c>
      <c r="J6" s="16">
        <v>29.5</v>
      </c>
      <c r="K6" s="11">
        <v>29500</v>
      </c>
      <c r="L6" s="17">
        <v>42</v>
      </c>
      <c r="M6" s="11">
        <v>88</v>
      </c>
      <c r="N6" s="11">
        <v>0</v>
      </c>
      <c r="O6" s="13">
        <v>0</v>
      </c>
      <c r="P6" s="14">
        <v>-1223</v>
      </c>
      <c r="Q6" s="14">
        <v>0</v>
      </c>
      <c r="R6" s="14"/>
      <c r="S6" s="14"/>
      <c r="T6" s="14">
        <v>0</v>
      </c>
      <c r="U6" s="69">
        <v>0</v>
      </c>
      <c r="V6" s="69"/>
      <c r="W6" s="70">
        <v>0.11</v>
      </c>
      <c r="X6" s="15">
        <v>-4.0032733224222586E-2</v>
      </c>
      <c r="Y6" s="16">
        <v>18.3</v>
      </c>
      <c r="Z6" s="38">
        <v>-0.1</v>
      </c>
      <c r="AA6" s="90">
        <f t="shared" ca="1" si="0"/>
        <v>501.86178950826854</v>
      </c>
      <c r="AB6" s="103" t="s">
        <v>2729</v>
      </c>
    </row>
    <row r="7" spans="1:28" outlineLevel="1">
      <c r="A7" s="99">
        <v>43553</v>
      </c>
      <c r="B7" s="11" t="s">
        <v>19</v>
      </c>
      <c r="C7" s="11">
        <v>2451</v>
      </c>
      <c r="D7" s="11" t="s">
        <v>66</v>
      </c>
      <c r="E7" s="11">
        <v>1000</v>
      </c>
      <c r="F7" s="11">
        <v>69.900000000000006</v>
      </c>
      <c r="G7" s="11">
        <v>69900</v>
      </c>
      <c r="H7" s="11">
        <v>99</v>
      </c>
      <c r="I7" s="104">
        <v>43570</v>
      </c>
      <c r="J7" s="16">
        <v>69.599999999999994</v>
      </c>
      <c r="K7" s="11">
        <v>69600</v>
      </c>
      <c r="L7" s="17">
        <v>99</v>
      </c>
      <c r="M7" s="11">
        <v>208</v>
      </c>
      <c r="N7" s="11">
        <v>0</v>
      </c>
      <c r="O7" s="13">
        <v>0</v>
      </c>
      <c r="P7" s="14">
        <v>-706</v>
      </c>
      <c r="Q7" s="14">
        <v>0</v>
      </c>
      <c r="R7" s="14"/>
      <c r="S7" s="14"/>
      <c r="T7" s="14">
        <v>0</v>
      </c>
      <c r="U7" s="69">
        <v>0</v>
      </c>
      <c r="V7" s="69"/>
      <c r="W7" s="70">
        <v>0.11</v>
      </c>
      <c r="X7" s="15">
        <v>-1.0100143061516452E-2</v>
      </c>
      <c r="Y7" s="16">
        <v>265.5</v>
      </c>
      <c r="Z7" s="38">
        <v>15</v>
      </c>
      <c r="AA7" s="90">
        <f t="shared" ca="1" si="0"/>
        <v>3253.4771656992662</v>
      </c>
      <c r="AB7" s="103" t="s">
        <v>2729</v>
      </c>
    </row>
    <row r="8" spans="1:28" outlineLevel="1">
      <c r="A8" s="99">
        <v>43553</v>
      </c>
      <c r="B8" s="11" t="s">
        <v>19</v>
      </c>
      <c r="C8" s="11">
        <v>3213</v>
      </c>
      <c r="D8" s="11" t="s">
        <v>70</v>
      </c>
      <c r="E8" s="11">
        <v>1000</v>
      </c>
      <c r="F8" s="11">
        <v>43.85</v>
      </c>
      <c r="G8" s="11">
        <v>43850</v>
      </c>
      <c r="H8" s="11">
        <v>62</v>
      </c>
      <c r="I8" s="104">
        <v>43577</v>
      </c>
      <c r="J8" s="16">
        <v>44.65</v>
      </c>
      <c r="K8" s="11">
        <v>44650</v>
      </c>
      <c r="L8" s="17">
        <v>63</v>
      </c>
      <c r="M8" s="11">
        <v>133</v>
      </c>
      <c r="N8" s="11">
        <v>0</v>
      </c>
      <c r="O8" s="13">
        <v>0</v>
      </c>
      <c r="P8" s="14">
        <v>542</v>
      </c>
      <c r="Q8" s="14">
        <v>0</v>
      </c>
      <c r="R8" s="14"/>
      <c r="S8" s="14"/>
      <c r="T8" s="14">
        <v>0</v>
      </c>
      <c r="U8" s="69">
        <v>0</v>
      </c>
      <c r="V8" s="69"/>
      <c r="W8" s="70">
        <v>0.11</v>
      </c>
      <c r="X8" s="15">
        <v>1.2360319270239452E-2</v>
      </c>
      <c r="Y8" s="16">
        <v>107</v>
      </c>
      <c r="Z8" s="38">
        <v>-0.5</v>
      </c>
      <c r="AA8" s="90">
        <f t="shared" ca="1" si="0"/>
        <v>2881.3930566203044</v>
      </c>
      <c r="AB8" s="103" t="s">
        <v>2729</v>
      </c>
    </row>
    <row r="9" spans="1:28" outlineLevel="1">
      <c r="A9" s="99">
        <v>43553</v>
      </c>
      <c r="B9" s="11" t="s">
        <v>19</v>
      </c>
      <c r="C9" s="11">
        <v>5340</v>
      </c>
      <c r="D9" s="11" t="s">
        <v>71</v>
      </c>
      <c r="E9" s="11">
        <v>1000</v>
      </c>
      <c r="F9" s="11">
        <v>27.25</v>
      </c>
      <c r="G9" s="11">
        <v>27250</v>
      </c>
      <c r="H9" s="11">
        <v>38</v>
      </c>
      <c r="I9" s="104">
        <v>43578</v>
      </c>
      <c r="J9" s="16">
        <v>45.8</v>
      </c>
      <c r="K9" s="11">
        <v>45800</v>
      </c>
      <c r="L9" s="17">
        <v>65</v>
      </c>
      <c r="M9" s="11">
        <v>137</v>
      </c>
      <c r="N9" s="11">
        <v>0</v>
      </c>
      <c r="O9" s="13">
        <v>0</v>
      </c>
      <c r="P9" s="14">
        <v>18310</v>
      </c>
      <c r="Q9" s="14">
        <v>0</v>
      </c>
      <c r="R9" s="14"/>
      <c r="S9" s="14"/>
      <c r="T9" s="14">
        <v>0</v>
      </c>
      <c r="U9" s="69">
        <v>0</v>
      </c>
      <c r="V9" s="69"/>
      <c r="W9" s="70">
        <v>0.11</v>
      </c>
      <c r="X9" s="15">
        <v>0.67192660550458716</v>
      </c>
      <c r="Y9" s="16">
        <v>117</v>
      </c>
      <c r="Z9" s="38">
        <v>-8.5</v>
      </c>
      <c r="AA9" s="90">
        <f t="shared" ca="1" si="0"/>
        <v>1865.211915452853</v>
      </c>
      <c r="AB9" s="103" t="s">
        <v>2729</v>
      </c>
    </row>
    <row r="10" spans="1:28" outlineLevel="1">
      <c r="A10" s="99">
        <v>43637</v>
      </c>
      <c r="B10" s="11" t="s">
        <v>19</v>
      </c>
      <c r="C10" s="11">
        <v>6180</v>
      </c>
      <c r="D10" s="11" t="s">
        <v>86</v>
      </c>
      <c r="E10" s="11">
        <v>1000</v>
      </c>
      <c r="F10" s="11">
        <v>74</v>
      </c>
      <c r="G10" s="11">
        <v>74000</v>
      </c>
      <c r="H10" s="11">
        <v>105</v>
      </c>
      <c r="I10" s="104">
        <v>43644</v>
      </c>
      <c r="J10" s="16">
        <v>66.3</v>
      </c>
      <c r="K10" s="11">
        <v>66300</v>
      </c>
      <c r="L10" s="17">
        <v>94</v>
      </c>
      <c r="M10" s="11">
        <v>198</v>
      </c>
      <c r="N10" s="11">
        <v>0</v>
      </c>
      <c r="O10" s="13">
        <v>0</v>
      </c>
      <c r="P10" s="14">
        <v>-2119.9700000000003</v>
      </c>
      <c r="Q10" s="14">
        <v>0</v>
      </c>
      <c r="R10" s="14">
        <v>6200</v>
      </c>
      <c r="S10" s="14">
        <v>10</v>
      </c>
      <c r="T10" s="14">
        <v>0</v>
      </c>
      <c r="U10" s="69">
        <v>4.0767386091127102E-2</v>
      </c>
      <c r="V10" s="69">
        <v>8.5000000000000006E-2</v>
      </c>
      <c r="W10" s="70">
        <v>0.11</v>
      </c>
      <c r="X10" s="15">
        <v>-2.8648243243243245E-2</v>
      </c>
      <c r="Y10" s="16">
        <v>41.8</v>
      </c>
      <c r="Z10" s="38">
        <v>-0.4</v>
      </c>
      <c r="AA10" s="90">
        <f t="shared" ca="1" si="0"/>
        <v>1418.2455371810315</v>
      </c>
      <c r="AB10" s="103" t="s">
        <v>2729</v>
      </c>
    </row>
    <row r="11" spans="1:28" outlineLevel="1">
      <c r="A11" s="99">
        <v>43637</v>
      </c>
      <c r="B11" s="11" t="s">
        <v>19</v>
      </c>
      <c r="C11" s="11">
        <v>6613</v>
      </c>
      <c r="D11" s="11" t="s">
        <v>87</v>
      </c>
      <c r="E11" s="11">
        <v>1000</v>
      </c>
      <c r="F11" s="11">
        <v>175</v>
      </c>
      <c r="G11" s="11">
        <v>175000</v>
      </c>
      <c r="H11" s="11">
        <v>249</v>
      </c>
      <c r="I11" s="104">
        <v>43644</v>
      </c>
      <c r="J11" s="16">
        <v>159.5</v>
      </c>
      <c r="K11" s="11">
        <v>159500</v>
      </c>
      <c r="L11" s="17">
        <v>227</v>
      </c>
      <c r="M11" s="11">
        <v>478</v>
      </c>
      <c r="N11" s="11">
        <v>0</v>
      </c>
      <c r="O11" s="13">
        <v>0</v>
      </c>
      <c r="P11" s="14">
        <v>-1979.25</v>
      </c>
      <c r="Q11" s="14">
        <v>0</v>
      </c>
      <c r="R11" s="14">
        <v>15000</v>
      </c>
      <c r="S11" s="14">
        <v>10</v>
      </c>
      <c r="T11" s="14">
        <v>0</v>
      </c>
      <c r="U11" s="69">
        <v>4.0767386091127102E-2</v>
      </c>
      <c r="V11" s="69">
        <v>8.5000000000000006E-2</v>
      </c>
      <c r="W11" s="70">
        <v>0.11</v>
      </c>
      <c r="X11" s="15">
        <v>-1.1310000000000001E-2</v>
      </c>
      <c r="Y11" s="16">
        <v>249.5</v>
      </c>
      <c r="Z11" s="38">
        <v>7.5</v>
      </c>
      <c r="AA11" s="90">
        <f t="shared" ca="1" si="0"/>
        <v>3353.959040630818</v>
      </c>
      <c r="AB11" s="103" t="s">
        <v>2729</v>
      </c>
    </row>
    <row r="12" spans="1:28" outlineLevel="1">
      <c r="A12" s="99">
        <v>43637</v>
      </c>
      <c r="B12" s="11" t="s">
        <v>19</v>
      </c>
      <c r="C12" s="11">
        <v>4153</v>
      </c>
      <c r="D12" s="11" t="s">
        <v>88</v>
      </c>
      <c r="E12" s="11">
        <v>2000</v>
      </c>
      <c r="F12" s="11">
        <v>36.450000000000003</v>
      </c>
      <c r="G12" s="11">
        <v>72900</v>
      </c>
      <c r="H12" s="11">
        <v>103</v>
      </c>
      <c r="I12" s="104">
        <v>43647</v>
      </c>
      <c r="J12" s="16">
        <v>35.9</v>
      </c>
      <c r="K12" s="11">
        <v>71800</v>
      </c>
      <c r="L12" s="17">
        <v>102</v>
      </c>
      <c r="M12" s="11">
        <v>215</v>
      </c>
      <c r="N12" s="11">
        <v>0</v>
      </c>
      <c r="O12" s="13">
        <v>0</v>
      </c>
      <c r="P12" s="14">
        <v>1328.68</v>
      </c>
      <c r="Q12" s="14">
        <v>0</v>
      </c>
      <c r="R12" s="14">
        <v>2960</v>
      </c>
      <c r="S12" s="14">
        <v>10</v>
      </c>
      <c r="T12" s="14">
        <v>0</v>
      </c>
      <c r="U12" s="69">
        <v>4.0767386091127102E-2</v>
      </c>
      <c r="V12" s="69">
        <v>8.5000000000000006E-2</v>
      </c>
      <c r="W12" s="70">
        <v>0.11</v>
      </c>
      <c r="X12" s="15">
        <v>1.8226063100137174E-2</v>
      </c>
      <c r="Y12" s="16">
        <v>32.15</v>
      </c>
      <c r="Z12" s="38">
        <v>0.1</v>
      </c>
      <c r="AA12" s="90">
        <f t="shared" ca="1" si="0"/>
        <v>1995.9478698937685</v>
      </c>
      <c r="AB12" s="103" t="s">
        <v>2729</v>
      </c>
    </row>
    <row r="13" spans="1:28" outlineLevel="1">
      <c r="A13" s="99">
        <v>43637</v>
      </c>
      <c r="B13" s="11" t="s">
        <v>19</v>
      </c>
      <c r="C13" s="11">
        <v>2385</v>
      </c>
      <c r="D13" s="11" t="s">
        <v>92</v>
      </c>
      <c r="E13" s="11">
        <v>1000</v>
      </c>
      <c r="F13" s="11">
        <v>78.5</v>
      </c>
      <c r="G13" s="11">
        <v>78500</v>
      </c>
      <c r="H13" s="11">
        <v>111</v>
      </c>
      <c r="I13" s="104">
        <v>43649</v>
      </c>
      <c r="J13" s="16">
        <v>76.900000000000006</v>
      </c>
      <c r="K13" s="11">
        <v>76900</v>
      </c>
      <c r="L13" s="17">
        <v>109</v>
      </c>
      <c r="M13" s="11">
        <v>230</v>
      </c>
      <c r="N13" s="11">
        <v>0</v>
      </c>
      <c r="O13" s="13">
        <v>0</v>
      </c>
      <c r="P13" s="14">
        <v>1322</v>
      </c>
      <c r="Q13" s="14">
        <v>0</v>
      </c>
      <c r="R13" s="14">
        <v>3800</v>
      </c>
      <c r="S13" s="14">
        <v>10</v>
      </c>
      <c r="T13" s="14">
        <v>0</v>
      </c>
      <c r="U13" s="69">
        <v>0</v>
      </c>
      <c r="V13" s="69"/>
      <c r="W13" s="70">
        <v>0.11</v>
      </c>
      <c r="X13" s="15">
        <v>1.6840764331210192E-2</v>
      </c>
      <c r="Y13" s="16">
        <v>125</v>
      </c>
      <c r="Z13" s="38">
        <v>3</v>
      </c>
      <c r="AA13" s="90">
        <f t="shared" ca="1" si="0"/>
        <v>2579.1260541014126</v>
      </c>
      <c r="AB13" s="103" t="s">
        <v>2729</v>
      </c>
    </row>
    <row r="14" spans="1:28" outlineLevel="1">
      <c r="A14" s="99">
        <v>43641</v>
      </c>
      <c r="B14" s="11" t="s">
        <v>19</v>
      </c>
      <c r="C14" s="11">
        <v>8916</v>
      </c>
      <c r="D14" s="11" t="s">
        <v>83</v>
      </c>
      <c r="E14" s="11">
        <v>1000</v>
      </c>
      <c r="F14" s="11">
        <v>49.15</v>
      </c>
      <c r="G14" s="11">
        <v>49150</v>
      </c>
      <c r="H14" s="11">
        <v>70</v>
      </c>
      <c r="I14" s="104">
        <v>43647</v>
      </c>
      <c r="J14" s="16">
        <v>47.2</v>
      </c>
      <c r="K14" s="11">
        <v>47200</v>
      </c>
      <c r="L14" s="17">
        <v>67</v>
      </c>
      <c r="M14" s="11">
        <v>141</v>
      </c>
      <c r="N14" s="11">
        <v>0</v>
      </c>
      <c r="O14" s="13">
        <v>0</v>
      </c>
      <c r="P14" s="14">
        <v>762.19</v>
      </c>
      <c r="Q14" s="14">
        <v>0</v>
      </c>
      <c r="R14" s="14">
        <v>3371</v>
      </c>
      <c r="S14" s="14">
        <v>10</v>
      </c>
      <c r="T14" s="14">
        <v>0</v>
      </c>
      <c r="U14" s="69">
        <v>0</v>
      </c>
      <c r="V14" s="69"/>
      <c r="W14" s="70">
        <v>0.11</v>
      </c>
      <c r="X14" s="15">
        <v>1.5507426246185148E-2</v>
      </c>
      <c r="Y14" s="16">
        <v>48.3</v>
      </c>
      <c r="Z14" s="38">
        <v>0.65</v>
      </c>
      <c r="AA14" s="90">
        <f t="shared" ca="1" si="0"/>
        <v>807.41430292410473</v>
      </c>
      <c r="AB14" s="103" t="s">
        <v>2729</v>
      </c>
    </row>
    <row r="15" spans="1:28" outlineLevel="1">
      <c r="A15" s="99">
        <v>43644</v>
      </c>
      <c r="B15" s="11" t="s">
        <v>19</v>
      </c>
      <c r="C15" s="11">
        <v>4974</v>
      </c>
      <c r="D15" s="11" t="s">
        <v>93</v>
      </c>
      <c r="E15" s="11">
        <v>1000</v>
      </c>
      <c r="F15" s="11">
        <v>45.35</v>
      </c>
      <c r="G15" s="11">
        <v>45350</v>
      </c>
      <c r="H15" s="11">
        <v>64</v>
      </c>
      <c r="I15" s="104">
        <v>43650</v>
      </c>
      <c r="J15" s="16">
        <v>42.8</v>
      </c>
      <c r="K15" s="11">
        <v>42800</v>
      </c>
      <c r="L15" s="17">
        <v>60</v>
      </c>
      <c r="M15" s="11">
        <v>128</v>
      </c>
      <c r="N15" s="11">
        <v>0</v>
      </c>
      <c r="O15" s="13">
        <v>0</v>
      </c>
      <c r="P15" s="14">
        <v>-53</v>
      </c>
      <c r="Q15" s="14">
        <v>0</v>
      </c>
      <c r="R15" s="14">
        <v>3100</v>
      </c>
      <c r="S15" s="14">
        <v>10</v>
      </c>
      <c r="T15" s="14">
        <v>0</v>
      </c>
      <c r="U15" s="69">
        <v>0</v>
      </c>
      <c r="V15" s="69"/>
      <c r="W15" s="70">
        <v>0.11</v>
      </c>
      <c r="X15" s="15">
        <v>-1.1686879823594267E-3</v>
      </c>
      <c r="Y15" s="16">
        <v>71.2</v>
      </c>
      <c r="Z15" s="38">
        <v>-0.7</v>
      </c>
      <c r="AA15" s="90">
        <f t="shared" ca="1" si="0"/>
        <v>744.98959588215962</v>
      </c>
      <c r="AB15" s="103" t="s">
        <v>2729</v>
      </c>
    </row>
    <row r="16" spans="1:28" outlineLevel="1">
      <c r="A16" s="99">
        <v>43644</v>
      </c>
      <c r="B16" s="11" t="s">
        <v>19</v>
      </c>
      <c r="C16" s="11">
        <v>8435</v>
      </c>
      <c r="D16" s="11" t="s">
        <v>94</v>
      </c>
      <c r="E16" s="11">
        <v>1000</v>
      </c>
      <c r="F16" s="11">
        <v>51.3</v>
      </c>
      <c r="G16" s="11">
        <v>51300</v>
      </c>
      <c r="H16" s="11">
        <v>73</v>
      </c>
      <c r="I16" s="104">
        <v>43651</v>
      </c>
      <c r="J16" s="16">
        <v>49.35</v>
      </c>
      <c r="K16" s="11">
        <v>49350</v>
      </c>
      <c r="L16" s="17">
        <v>70</v>
      </c>
      <c r="M16" s="11">
        <v>148</v>
      </c>
      <c r="N16" s="11">
        <v>0</v>
      </c>
      <c r="O16" s="13">
        <v>0</v>
      </c>
      <c r="P16" s="14">
        <v>597</v>
      </c>
      <c r="Q16" s="14">
        <v>0</v>
      </c>
      <c r="R16" s="14">
        <v>3200</v>
      </c>
      <c r="S16" s="14">
        <v>10</v>
      </c>
      <c r="T16" s="14">
        <v>0</v>
      </c>
      <c r="U16" s="69">
        <v>0</v>
      </c>
      <c r="V16" s="69"/>
      <c r="W16" s="70">
        <v>0.11</v>
      </c>
      <c r="X16" s="15">
        <v>1.1637426900584795E-2</v>
      </c>
      <c r="Y16" s="16">
        <v>56.8</v>
      </c>
      <c r="Z16" s="38">
        <v>-0.1</v>
      </c>
      <c r="AA16" s="90">
        <f t="shared" ca="1" si="0"/>
        <v>983.18913591063404</v>
      </c>
      <c r="AB16" s="103" t="s">
        <v>2729</v>
      </c>
    </row>
    <row r="17" spans="1:28" outlineLevel="1">
      <c r="A17" s="99">
        <v>43649</v>
      </c>
      <c r="B17" s="11" t="s">
        <v>19</v>
      </c>
      <c r="C17" s="11">
        <v>2408</v>
      </c>
      <c r="D17" s="11" t="s">
        <v>98</v>
      </c>
      <c r="E17" s="11">
        <v>1000</v>
      </c>
      <c r="F17" s="11">
        <v>65.3</v>
      </c>
      <c r="G17" s="11">
        <v>65300</v>
      </c>
      <c r="H17" s="11">
        <v>93</v>
      </c>
      <c r="I17" s="104">
        <v>43654</v>
      </c>
      <c r="J17" s="16">
        <v>60.4</v>
      </c>
      <c r="K17" s="11">
        <v>60400</v>
      </c>
      <c r="L17" s="17">
        <v>86</v>
      </c>
      <c r="M17" s="11">
        <v>181</v>
      </c>
      <c r="N17" s="11">
        <v>0</v>
      </c>
      <c r="O17" s="13">
        <v>0</v>
      </c>
      <c r="P17" s="14">
        <v>1057.9000000000001</v>
      </c>
      <c r="Q17" s="14">
        <v>0</v>
      </c>
      <c r="R17" s="14">
        <v>7110</v>
      </c>
      <c r="S17" s="14">
        <v>10</v>
      </c>
      <c r="T17" s="14">
        <v>0</v>
      </c>
      <c r="U17" s="69">
        <v>0</v>
      </c>
      <c r="V17" s="69"/>
      <c r="W17" s="70">
        <v>0.11</v>
      </c>
      <c r="X17" s="15">
        <v>1.620061255742726E-2</v>
      </c>
      <c r="Y17" s="16">
        <v>220</v>
      </c>
      <c r="Z17" s="38">
        <v>13</v>
      </c>
      <c r="AA17" s="90">
        <f ca="1">IF(I17="",((TODAY()-A17)*G17)/365.24,((I17-A17)*G17)/365.24)</f>
        <v>893.93275654364254</v>
      </c>
      <c r="AB17" s="103" t="s">
        <v>2729</v>
      </c>
    </row>
    <row r="18" spans="1:28" outlineLevel="1">
      <c r="A18" s="99">
        <v>43644</v>
      </c>
      <c r="B18" s="11" t="s">
        <v>19</v>
      </c>
      <c r="C18" s="11">
        <v>2425</v>
      </c>
      <c r="D18" s="11" t="s">
        <v>96</v>
      </c>
      <c r="E18" s="11">
        <v>1000</v>
      </c>
      <c r="F18" s="11">
        <v>31.3</v>
      </c>
      <c r="G18" s="11">
        <v>31300</v>
      </c>
      <c r="H18" s="11">
        <v>44</v>
      </c>
      <c r="I18" s="104">
        <v>43654</v>
      </c>
      <c r="J18" s="16">
        <v>32</v>
      </c>
      <c r="K18" s="11">
        <v>32000</v>
      </c>
      <c r="L18" s="17">
        <v>45</v>
      </c>
      <c r="M18" s="11">
        <v>96</v>
      </c>
      <c r="N18" s="11">
        <v>0</v>
      </c>
      <c r="O18" s="13">
        <v>0</v>
      </c>
      <c r="P18" s="14">
        <v>1840</v>
      </c>
      <c r="Q18" s="14">
        <v>0</v>
      </c>
      <c r="R18" s="14">
        <v>1500</v>
      </c>
      <c r="S18" s="14">
        <v>10</v>
      </c>
      <c r="T18" s="14">
        <v>0</v>
      </c>
      <c r="U18" s="69">
        <v>0</v>
      </c>
      <c r="V18" s="69"/>
      <c r="W18" s="70">
        <v>0.11</v>
      </c>
      <c r="X18" s="15">
        <v>5.8785942492012778E-2</v>
      </c>
      <c r="Y18" s="16">
        <v>31.2</v>
      </c>
      <c r="Z18" s="38">
        <v>1.2</v>
      </c>
      <c r="AA18" s="90">
        <f ca="1">IF(I18="",((TODAY()-A18)*G18)/365.24,((I18-A18)*G18)/365.24)</f>
        <v>856.97075895301714</v>
      </c>
      <c r="AB18" s="103" t="s">
        <v>2729</v>
      </c>
    </row>
    <row r="19" spans="1:28" outlineLevel="1">
      <c r="A19" s="99">
        <v>43644</v>
      </c>
      <c r="B19" s="11" t="s">
        <v>19</v>
      </c>
      <c r="C19" s="11">
        <v>6176</v>
      </c>
      <c r="D19" s="11" t="s">
        <v>100</v>
      </c>
      <c r="E19" s="11">
        <v>1000</v>
      </c>
      <c r="F19" s="11">
        <v>104</v>
      </c>
      <c r="G19" s="11">
        <v>104000</v>
      </c>
      <c r="H19" s="11">
        <v>148</v>
      </c>
      <c r="I19" s="104">
        <v>43656</v>
      </c>
      <c r="J19" s="16">
        <v>104.5</v>
      </c>
      <c r="K19" s="11">
        <v>104500</v>
      </c>
      <c r="L19" s="17">
        <v>148</v>
      </c>
      <c r="M19" s="11">
        <v>313</v>
      </c>
      <c r="N19" s="11">
        <v>0</v>
      </c>
      <c r="O19" s="13">
        <v>0</v>
      </c>
      <c r="P19" s="14">
        <v>6111</v>
      </c>
      <c r="Q19" s="14">
        <v>0</v>
      </c>
      <c r="R19" s="14">
        <v>7000</v>
      </c>
      <c r="S19" s="14">
        <v>10</v>
      </c>
      <c r="T19" s="14">
        <v>0</v>
      </c>
      <c r="U19" s="69">
        <v>0</v>
      </c>
      <c r="V19" s="69"/>
      <c r="W19" s="70">
        <v>0.11</v>
      </c>
      <c r="X19" s="15">
        <v>5.8759615384615382E-2</v>
      </c>
      <c r="Y19" s="16">
        <v>90.6</v>
      </c>
      <c r="Z19" s="38">
        <v>-0.7</v>
      </c>
      <c r="AA19" s="90">
        <f ca="1">IF(I19="",((TODAY()-A19)*G19)/365.24,((I19-A19)*G19)/365.24)</f>
        <v>3416.9313328222538</v>
      </c>
      <c r="AB19" s="103" t="s">
        <v>2729</v>
      </c>
    </row>
    <row r="20" spans="1:28" outlineLevel="1">
      <c r="A20" s="99">
        <v>43650</v>
      </c>
      <c r="B20" s="11" t="s">
        <v>19</v>
      </c>
      <c r="C20" s="11">
        <v>8255</v>
      </c>
      <c r="D20" s="11" t="s">
        <v>106</v>
      </c>
      <c r="E20" s="11">
        <v>1000</v>
      </c>
      <c r="F20" s="11">
        <v>99.8</v>
      </c>
      <c r="G20" s="11">
        <v>99800</v>
      </c>
      <c r="H20" s="11">
        <v>142</v>
      </c>
      <c r="I20" s="104">
        <v>43658</v>
      </c>
      <c r="J20" s="16">
        <v>95.1</v>
      </c>
      <c r="K20" s="11">
        <v>95100</v>
      </c>
      <c r="L20" s="17">
        <v>135</v>
      </c>
      <c r="M20" s="11">
        <v>285</v>
      </c>
      <c r="N20" s="11">
        <v>0</v>
      </c>
      <c r="O20" s="13">
        <v>0</v>
      </c>
      <c r="P20" s="14">
        <v>-822</v>
      </c>
      <c r="Q20" s="14">
        <v>0</v>
      </c>
      <c r="R20" s="14">
        <v>5000</v>
      </c>
      <c r="S20" s="14">
        <v>10</v>
      </c>
      <c r="T20" s="14">
        <v>0</v>
      </c>
      <c r="U20" s="69">
        <v>0</v>
      </c>
      <c r="V20" s="69"/>
      <c r="W20" s="70">
        <v>0.11</v>
      </c>
      <c r="X20" s="15">
        <v>-8.2364729458917832E-3</v>
      </c>
      <c r="Y20" s="16">
        <v>134</v>
      </c>
      <c r="Z20" s="38">
        <v>1.5</v>
      </c>
      <c r="AA20" s="90">
        <f ca="1">IF(I20="",((TODAY()-A20)*G20)/365.24,((I20-A20)*G20)/365.24)</f>
        <v>2185.9599167670572</v>
      </c>
      <c r="AB20" s="103" t="s">
        <v>2729</v>
      </c>
    </row>
    <row r="21" spans="1:28" outlineLevel="1">
      <c r="A21" s="99">
        <v>43649</v>
      </c>
      <c r="B21" s="11" t="s">
        <v>19</v>
      </c>
      <c r="C21" s="11">
        <v>2456</v>
      </c>
      <c r="D21" s="11" t="s">
        <v>107</v>
      </c>
      <c r="E21" s="11">
        <v>1000</v>
      </c>
      <c r="F21" s="11">
        <v>93.7</v>
      </c>
      <c r="G21" s="11">
        <v>93700</v>
      </c>
      <c r="H21" s="11">
        <v>133</v>
      </c>
      <c r="I21" s="104">
        <v>43661</v>
      </c>
      <c r="J21" s="16">
        <v>87.6</v>
      </c>
      <c r="K21" s="11">
        <v>87600</v>
      </c>
      <c r="L21" s="17">
        <v>124</v>
      </c>
      <c r="M21" s="11">
        <v>262</v>
      </c>
      <c r="N21" s="11">
        <v>0</v>
      </c>
      <c r="O21" s="13">
        <v>0</v>
      </c>
      <c r="P21" s="14">
        <v>482.1</v>
      </c>
      <c r="Q21" s="14">
        <v>0</v>
      </c>
      <c r="R21" s="14">
        <v>7990</v>
      </c>
      <c r="S21" s="14">
        <v>10</v>
      </c>
      <c r="T21" s="14">
        <v>0</v>
      </c>
      <c r="U21" s="69">
        <v>0</v>
      </c>
      <c r="V21" s="69"/>
      <c r="W21" s="70">
        <v>0.11</v>
      </c>
      <c r="X21" s="15">
        <v>5.1451440768409823E-3</v>
      </c>
      <c r="Y21" s="16" t="e">
        <v>#N/A</v>
      </c>
      <c r="Z21" s="38" t="e">
        <v>#N/A</v>
      </c>
      <c r="AA21" s="90">
        <f ca="1">IF(I21="",((TODAY()-A21)*G21)/365.24,((I21-A21)*G21)/365.24)</f>
        <v>3078.523710436973</v>
      </c>
      <c r="AB21" s="103" t="s">
        <v>2729</v>
      </c>
    </row>
    <row r="22" spans="1:28">
      <c r="A22" s="99">
        <v>44004</v>
      </c>
      <c r="B22" s="11" t="s">
        <v>19</v>
      </c>
      <c r="C22" s="11">
        <v>1319</v>
      </c>
      <c r="D22" s="11" t="s">
        <v>113</v>
      </c>
      <c r="E22" s="11">
        <v>1000</v>
      </c>
      <c r="F22" s="11">
        <v>39.75</v>
      </c>
      <c r="G22" s="212">
        <v>39750</v>
      </c>
      <c r="H22" s="11">
        <v>56</v>
      </c>
      <c r="I22" s="104">
        <v>44040</v>
      </c>
      <c r="J22" s="16">
        <v>34.200000000000003</v>
      </c>
      <c r="K22" s="11">
        <v>34200</v>
      </c>
      <c r="L22" s="17"/>
      <c r="M22" s="11"/>
      <c r="N22" s="11">
        <v>0</v>
      </c>
      <c r="O22" s="13">
        <v>0</v>
      </c>
      <c r="P22" s="14">
        <v>-3924</v>
      </c>
      <c r="Q22" s="14">
        <v>0</v>
      </c>
      <c r="R22" s="14">
        <v>1800</v>
      </c>
      <c r="S22" s="14">
        <v>10</v>
      </c>
      <c r="T22" s="14">
        <v>0</v>
      </c>
      <c r="U22" s="69">
        <v>0</v>
      </c>
      <c r="V22" s="69"/>
      <c r="W22" s="70">
        <v>0.06</v>
      </c>
      <c r="X22" s="15">
        <v>-9.8716981132075471E-2</v>
      </c>
      <c r="Y22" s="16">
        <v>79</v>
      </c>
      <c r="Z22" s="38">
        <v>1</v>
      </c>
      <c r="AA22" s="90">
        <f t="shared" ref="AA22:AA85" ca="1" si="1">IF(I22="",((TODAY()-A22)*G22)/365.24,((I22-A22)*G22)/365.24)</f>
        <v>3917.9717446062864</v>
      </c>
      <c r="AB22" s="103" t="s">
        <v>2729</v>
      </c>
    </row>
    <row r="23" spans="1:28" outlineLevel="1">
      <c r="A23" s="99">
        <v>44005</v>
      </c>
      <c r="B23" s="11" t="s">
        <v>19</v>
      </c>
      <c r="C23" s="11">
        <v>2357</v>
      </c>
      <c r="D23" s="11" t="s">
        <v>115</v>
      </c>
      <c r="E23" s="11">
        <v>1000</v>
      </c>
      <c r="F23" s="11">
        <v>246.5</v>
      </c>
      <c r="G23" s="212">
        <v>246500</v>
      </c>
      <c r="H23" s="11">
        <v>351</v>
      </c>
      <c r="I23" s="104">
        <v>44069</v>
      </c>
      <c r="J23" s="16">
        <v>253</v>
      </c>
      <c r="K23" s="11">
        <v>253000</v>
      </c>
      <c r="L23" s="17">
        <v>360</v>
      </c>
      <c r="M23" s="11">
        <v>759</v>
      </c>
      <c r="N23" s="11">
        <v>0</v>
      </c>
      <c r="O23" s="13">
        <v>0</v>
      </c>
      <c r="P23" s="14">
        <v>18180</v>
      </c>
      <c r="Q23" s="14">
        <v>0</v>
      </c>
      <c r="R23" s="14">
        <v>14000</v>
      </c>
      <c r="S23" s="14">
        <v>10</v>
      </c>
      <c r="T23" s="14">
        <v>0</v>
      </c>
      <c r="U23" s="69">
        <v>0</v>
      </c>
      <c r="V23" s="69"/>
      <c r="W23" s="70">
        <v>0.06</v>
      </c>
      <c r="X23" s="15">
        <v>7.37525354969574E-2</v>
      </c>
      <c r="Y23" s="16">
        <v>599</v>
      </c>
      <c r="Z23" s="38">
        <v>-6</v>
      </c>
      <c r="AA23" s="90">
        <f t="shared" ca="1" si="1"/>
        <v>43193.516591830026</v>
      </c>
      <c r="AB23" s="103" t="s">
        <v>2729</v>
      </c>
    </row>
    <row r="24" spans="1:28" outlineLevel="1">
      <c r="A24" s="99">
        <v>44015</v>
      </c>
      <c r="B24" s="11" t="s">
        <v>19</v>
      </c>
      <c r="C24" s="11">
        <v>3038</v>
      </c>
      <c r="D24" s="11" t="s">
        <v>253</v>
      </c>
      <c r="E24" s="11">
        <v>1000</v>
      </c>
      <c r="F24" s="11">
        <v>24.55</v>
      </c>
      <c r="G24" s="212">
        <v>24550</v>
      </c>
      <c r="H24" s="11">
        <v>34</v>
      </c>
      <c r="I24" s="104">
        <v>44025</v>
      </c>
      <c r="J24" s="16">
        <v>19.649999999999999</v>
      </c>
      <c r="K24" s="11">
        <v>19650</v>
      </c>
      <c r="L24" s="17">
        <v>28</v>
      </c>
      <c r="M24" s="11">
        <v>59</v>
      </c>
      <c r="N24" s="11">
        <v>0</v>
      </c>
      <c r="O24" s="13">
        <v>0</v>
      </c>
      <c r="P24" s="14">
        <v>-4081</v>
      </c>
      <c r="Q24" s="14">
        <v>0</v>
      </c>
      <c r="R24" s="14">
        <v>1000</v>
      </c>
      <c r="S24" s="14"/>
      <c r="T24" s="14">
        <v>0</v>
      </c>
      <c r="U24" s="69">
        <v>0</v>
      </c>
      <c r="V24" s="69"/>
      <c r="W24" s="70">
        <v>0.06</v>
      </c>
      <c r="X24" s="15">
        <v>-0.16623217922606925</v>
      </c>
      <c r="Y24" s="16">
        <v>23.2</v>
      </c>
      <c r="Z24" s="38">
        <v>-0.35</v>
      </c>
      <c r="AA24" s="90">
        <f t="shared" ca="1" si="1"/>
        <v>672.16077099989047</v>
      </c>
      <c r="AB24" s="103" t="s">
        <v>2729</v>
      </c>
    </row>
    <row r="25" spans="1:28" outlineLevel="1">
      <c r="A25" s="99">
        <v>44015</v>
      </c>
      <c r="B25" s="11" t="s">
        <v>19</v>
      </c>
      <c r="C25" s="11">
        <v>3038</v>
      </c>
      <c r="D25" s="11" t="s">
        <v>253</v>
      </c>
      <c r="E25" s="11">
        <v>1000</v>
      </c>
      <c r="F25" s="11">
        <v>24.5</v>
      </c>
      <c r="G25" s="212">
        <v>24500</v>
      </c>
      <c r="H25" s="11">
        <v>34</v>
      </c>
      <c r="I25" s="104">
        <v>44025</v>
      </c>
      <c r="J25" s="16">
        <v>19.649999999999999</v>
      </c>
      <c r="K25" s="11">
        <v>19650</v>
      </c>
      <c r="L25" s="17">
        <v>28</v>
      </c>
      <c r="M25" s="11">
        <v>58</v>
      </c>
      <c r="N25" s="11">
        <v>0</v>
      </c>
      <c r="O25" s="13">
        <v>0</v>
      </c>
      <c r="P25" s="14">
        <v>-4030</v>
      </c>
      <c r="Q25" s="14">
        <v>0</v>
      </c>
      <c r="R25" s="14">
        <v>1000</v>
      </c>
      <c r="S25" s="14"/>
      <c r="T25" s="14">
        <v>0</v>
      </c>
      <c r="U25" s="69">
        <v>0</v>
      </c>
      <c r="V25" s="69"/>
      <c r="W25" s="70">
        <v>0.06</v>
      </c>
      <c r="X25" s="15">
        <v>-0.16448979591836735</v>
      </c>
      <c r="Y25" s="16">
        <v>23.2</v>
      </c>
      <c r="Z25" s="38">
        <v>-0.35</v>
      </c>
      <c r="AA25" s="90">
        <f t="shared" ca="1" si="1"/>
        <v>670.79180812616357</v>
      </c>
      <c r="AB25" s="103" t="s">
        <v>2729</v>
      </c>
    </row>
    <row r="26" spans="1:28" outlineLevel="1">
      <c r="A26" s="99">
        <v>44070</v>
      </c>
      <c r="B26" s="11" t="s">
        <v>19</v>
      </c>
      <c r="C26" s="11">
        <v>6109</v>
      </c>
      <c r="D26" s="11" t="s">
        <v>265</v>
      </c>
      <c r="E26" s="11">
        <v>1000</v>
      </c>
      <c r="F26" s="11">
        <v>17.399999999999999</v>
      </c>
      <c r="G26" s="212">
        <v>17400</v>
      </c>
      <c r="H26" s="11">
        <v>24</v>
      </c>
      <c r="I26" s="104">
        <v>44076</v>
      </c>
      <c r="J26" s="16">
        <v>16.350000000000001</v>
      </c>
      <c r="K26" s="11">
        <v>16350.000000000002</v>
      </c>
      <c r="L26" s="17">
        <v>23</v>
      </c>
      <c r="M26" s="11">
        <v>49</v>
      </c>
      <c r="N26" s="11">
        <v>0</v>
      </c>
      <c r="O26" s="13">
        <v>0</v>
      </c>
      <c r="P26" s="14">
        <v>-1155.9999999999982</v>
      </c>
      <c r="Q26" s="14">
        <v>0</v>
      </c>
      <c r="R26" s="14"/>
      <c r="S26" s="14">
        <v>10</v>
      </c>
      <c r="T26" s="14">
        <v>0</v>
      </c>
      <c r="U26" s="69">
        <v>0</v>
      </c>
      <c r="V26" s="69"/>
      <c r="W26" s="70">
        <v>0.06</v>
      </c>
      <c r="X26" s="15">
        <v>-6.6436781609195292E-2</v>
      </c>
      <c r="Y26" s="16">
        <v>11.8</v>
      </c>
      <c r="Z26" s="38">
        <v>-0.1</v>
      </c>
      <c r="AA26" s="90">
        <f t="shared" ca="1" si="1"/>
        <v>285.83944803416932</v>
      </c>
      <c r="AB26" s="103" t="s">
        <v>2729</v>
      </c>
    </row>
    <row r="27" spans="1:28" outlineLevel="1">
      <c r="A27" s="99">
        <v>44077</v>
      </c>
      <c r="B27" s="11" t="s">
        <v>19</v>
      </c>
      <c r="C27" s="11">
        <v>3015</v>
      </c>
      <c r="D27" s="11" t="s">
        <v>203</v>
      </c>
      <c r="E27" s="11">
        <v>1000</v>
      </c>
      <c r="F27" s="11">
        <v>36.5</v>
      </c>
      <c r="G27" s="212">
        <v>36500</v>
      </c>
      <c r="H27" s="11">
        <v>52</v>
      </c>
      <c r="I27" s="104">
        <v>44081</v>
      </c>
      <c r="J27" s="16">
        <v>34.549999999999997</v>
      </c>
      <c r="K27" s="11">
        <v>34550</v>
      </c>
      <c r="L27" s="17">
        <v>49</v>
      </c>
      <c r="M27" s="11">
        <v>103</v>
      </c>
      <c r="N27" s="11">
        <v>0</v>
      </c>
      <c r="O27" s="13">
        <v>0</v>
      </c>
      <c r="P27" s="14">
        <v>-2164</v>
      </c>
      <c r="Q27" s="14">
        <v>0</v>
      </c>
      <c r="R27" s="14"/>
      <c r="S27" s="14">
        <v>10</v>
      </c>
      <c r="T27" s="14">
        <v>0</v>
      </c>
      <c r="U27" s="69">
        <v>0</v>
      </c>
      <c r="V27" s="69"/>
      <c r="W27" s="70">
        <v>0.06</v>
      </c>
      <c r="X27" s="15">
        <v>-5.9287671232876711E-2</v>
      </c>
      <c r="Y27" s="16">
        <v>50.9</v>
      </c>
      <c r="Z27" s="38">
        <v>-0.1</v>
      </c>
      <c r="AA27" s="90">
        <f t="shared" ca="1" si="1"/>
        <v>399.73715912824446</v>
      </c>
      <c r="AB27" s="103" t="s">
        <v>2729</v>
      </c>
    </row>
    <row r="28" spans="1:28" outlineLevel="1">
      <c r="A28" s="99">
        <v>44070</v>
      </c>
      <c r="B28" s="11" t="s">
        <v>19</v>
      </c>
      <c r="C28" s="11">
        <v>3501</v>
      </c>
      <c r="D28" s="11" t="s">
        <v>256</v>
      </c>
      <c r="E28" s="11">
        <v>1000</v>
      </c>
      <c r="F28" s="11">
        <v>47.45</v>
      </c>
      <c r="G28" s="212">
        <v>47450</v>
      </c>
      <c r="H28" s="11">
        <v>67</v>
      </c>
      <c r="I28" s="104">
        <v>44085</v>
      </c>
      <c r="J28" s="16">
        <v>46.55</v>
      </c>
      <c r="K28" s="11">
        <v>46550</v>
      </c>
      <c r="L28" s="17">
        <v>66</v>
      </c>
      <c r="M28" s="11">
        <v>139</v>
      </c>
      <c r="N28" s="11">
        <v>0</v>
      </c>
      <c r="O28" s="13">
        <v>0</v>
      </c>
      <c r="P28" s="14">
        <v>-1182</v>
      </c>
      <c r="Q28" s="14">
        <v>0</v>
      </c>
      <c r="R28" s="14"/>
      <c r="S28" s="14">
        <v>10</v>
      </c>
      <c r="T28" s="14">
        <v>0</v>
      </c>
      <c r="U28" s="69">
        <v>0</v>
      </c>
      <c r="V28" s="69"/>
      <c r="W28" s="70">
        <v>0.06</v>
      </c>
      <c r="X28" s="15">
        <v>-2.4910432033719704E-2</v>
      </c>
      <c r="Y28" s="16">
        <v>48.25</v>
      </c>
      <c r="Z28" s="38">
        <v>-0.15</v>
      </c>
      <c r="AA28" s="90">
        <f t="shared" ca="1" si="1"/>
        <v>1948.7186507501915</v>
      </c>
      <c r="AB28" s="103" t="s">
        <v>2729</v>
      </c>
    </row>
    <row r="29" spans="1:28" outlineLevel="1">
      <c r="A29" s="99">
        <v>44069</v>
      </c>
      <c r="B29" s="11" t="s">
        <v>19</v>
      </c>
      <c r="C29" s="11">
        <v>3713</v>
      </c>
      <c r="D29" s="11" t="s">
        <v>386</v>
      </c>
      <c r="E29" s="11">
        <v>1000</v>
      </c>
      <c r="F29" s="11">
        <v>68.7</v>
      </c>
      <c r="G29" s="212">
        <v>68700</v>
      </c>
      <c r="H29" s="11">
        <v>97</v>
      </c>
      <c r="I29" s="104">
        <v>44089</v>
      </c>
      <c r="J29" s="16">
        <v>69.3</v>
      </c>
      <c r="K29" s="11">
        <v>69300</v>
      </c>
      <c r="L29" s="17">
        <v>98</v>
      </c>
      <c r="M29" s="11">
        <v>207</v>
      </c>
      <c r="N29" s="11">
        <v>0</v>
      </c>
      <c r="O29" s="13">
        <v>0</v>
      </c>
      <c r="P29" s="14">
        <v>188</v>
      </c>
      <c r="Q29" s="14">
        <v>0</v>
      </c>
      <c r="R29" s="14"/>
      <c r="S29" s="14">
        <v>10</v>
      </c>
      <c r="T29" s="14">
        <v>0</v>
      </c>
      <c r="U29" s="69">
        <v>0</v>
      </c>
      <c r="V29" s="69"/>
      <c r="W29" s="70">
        <v>0.06</v>
      </c>
      <c r="X29" s="15">
        <v>2.7365356622998543E-3</v>
      </c>
      <c r="Y29" s="16">
        <v>15.5</v>
      </c>
      <c r="Z29" s="38">
        <v>-0.45</v>
      </c>
      <c r="AA29" s="90">
        <f t="shared" ca="1" si="1"/>
        <v>3761.9099770014236</v>
      </c>
      <c r="AB29" s="103" t="s">
        <v>2729</v>
      </c>
    </row>
    <row r="30" spans="1:28" outlineLevel="1">
      <c r="A30" s="99">
        <v>44061</v>
      </c>
      <c r="B30" s="11" t="s">
        <v>19</v>
      </c>
      <c r="C30" s="11">
        <v>3034</v>
      </c>
      <c r="D30" s="11" t="s">
        <v>199</v>
      </c>
      <c r="E30" s="11">
        <v>1000</v>
      </c>
      <c r="F30" s="11">
        <v>265.5</v>
      </c>
      <c r="G30" s="212">
        <v>265500</v>
      </c>
      <c r="H30" s="11">
        <v>378</v>
      </c>
      <c r="I30" s="104">
        <v>44144</v>
      </c>
      <c r="J30" s="16">
        <v>297</v>
      </c>
      <c r="K30" s="11">
        <v>297000</v>
      </c>
      <c r="L30" s="17">
        <v>423</v>
      </c>
      <c r="M30" s="11">
        <v>891</v>
      </c>
      <c r="N30" s="11">
        <v>0</v>
      </c>
      <c r="O30" s="13">
        <v>0</v>
      </c>
      <c r="P30" s="14">
        <v>29798</v>
      </c>
      <c r="Q30" s="14">
        <v>0</v>
      </c>
      <c r="R30" s="14"/>
      <c r="S30" s="14">
        <v>10</v>
      </c>
      <c r="T30" s="14">
        <v>0</v>
      </c>
      <c r="U30" s="69">
        <v>0</v>
      </c>
      <c r="V30" s="69"/>
      <c r="W30" s="70">
        <v>0.06</v>
      </c>
      <c r="X30" s="15">
        <v>0.11223352165725047</v>
      </c>
      <c r="Y30" s="16">
        <v>415.5</v>
      </c>
      <c r="Z30" s="38">
        <v>0.5</v>
      </c>
      <c r="AA30" s="90">
        <f t="shared" ca="1" si="1"/>
        <v>60334.300733764096</v>
      </c>
      <c r="AB30" s="103" t="s">
        <v>2729</v>
      </c>
    </row>
    <row r="31" spans="1:28" outlineLevel="1">
      <c r="A31" s="99">
        <v>44133</v>
      </c>
      <c r="B31" s="11" t="s">
        <v>19</v>
      </c>
      <c r="C31" s="11">
        <v>8171</v>
      </c>
      <c r="D31" s="11" t="s">
        <v>312</v>
      </c>
      <c r="E31" s="11">
        <v>1000</v>
      </c>
      <c r="F31" s="11">
        <v>39</v>
      </c>
      <c r="G31" s="212">
        <v>39000</v>
      </c>
      <c r="H31" s="11">
        <v>55</v>
      </c>
      <c r="I31" s="104">
        <v>44152</v>
      </c>
      <c r="J31" s="16">
        <v>38.85</v>
      </c>
      <c r="K31" s="11">
        <v>38850</v>
      </c>
      <c r="L31" s="17">
        <v>55</v>
      </c>
      <c r="M31" s="11">
        <v>116</v>
      </c>
      <c r="N31" s="11">
        <v>0</v>
      </c>
      <c r="O31" s="13">
        <v>0</v>
      </c>
      <c r="P31" s="14">
        <v>-386</v>
      </c>
      <c r="Q31" s="14">
        <v>0</v>
      </c>
      <c r="R31" s="14"/>
      <c r="S31" s="14">
        <v>10</v>
      </c>
      <c r="T31" s="14">
        <v>0</v>
      </c>
      <c r="U31" s="69">
        <v>0</v>
      </c>
      <c r="V31" s="69"/>
      <c r="W31" s="70">
        <v>0.06</v>
      </c>
      <c r="X31" s="15">
        <v>-9.8974358974358977E-3</v>
      </c>
      <c r="Y31" s="16">
        <v>24.35</v>
      </c>
      <c r="Z31" s="38">
        <v>0.45</v>
      </c>
      <c r="AA31" s="90">
        <f t="shared" ca="1" si="1"/>
        <v>2028.8029788632132</v>
      </c>
      <c r="AB31" s="103" t="s">
        <v>2729</v>
      </c>
    </row>
    <row r="32" spans="1:28" outlineLevel="1">
      <c r="A32" s="99">
        <v>44159</v>
      </c>
      <c r="B32" s="11" t="s">
        <v>19</v>
      </c>
      <c r="C32" s="11">
        <v>3406</v>
      </c>
      <c r="D32" s="11" t="s">
        <v>254</v>
      </c>
      <c r="E32" s="11">
        <v>1000</v>
      </c>
      <c r="F32" s="11">
        <v>604</v>
      </c>
      <c r="G32" s="212">
        <v>604000</v>
      </c>
      <c r="H32" s="11">
        <v>860</v>
      </c>
      <c r="I32" s="104">
        <v>44166</v>
      </c>
      <c r="J32" s="16">
        <v>637</v>
      </c>
      <c r="K32" s="11">
        <v>637000</v>
      </c>
      <c r="L32" s="17">
        <v>907</v>
      </c>
      <c r="M32" s="11">
        <v>1911</v>
      </c>
      <c r="N32" s="11">
        <v>0</v>
      </c>
      <c r="O32" s="13">
        <v>0</v>
      </c>
      <c r="P32" s="14">
        <v>29312</v>
      </c>
      <c r="Q32" s="14">
        <v>0</v>
      </c>
      <c r="R32" s="14"/>
      <c r="S32" s="14">
        <v>10</v>
      </c>
      <c r="T32" s="14">
        <v>0</v>
      </c>
      <c r="U32" s="69">
        <v>0</v>
      </c>
      <c r="V32" s="69"/>
      <c r="W32" s="70">
        <v>0.06</v>
      </c>
      <c r="X32" s="15">
        <v>4.8529801324503311E-2</v>
      </c>
      <c r="Y32" s="16">
        <v>529</v>
      </c>
      <c r="Z32" s="38">
        <v>-15</v>
      </c>
      <c r="AA32" s="90">
        <f t="shared" ca="1" si="1"/>
        <v>11575.950060234367</v>
      </c>
      <c r="AB32" s="103" t="s">
        <v>2729</v>
      </c>
    </row>
    <row r="33" spans="1:28" outlineLevel="1">
      <c r="A33" s="99">
        <v>44158</v>
      </c>
      <c r="B33" s="11" t="s">
        <v>19</v>
      </c>
      <c r="C33" s="11">
        <v>2610</v>
      </c>
      <c r="D33" s="11" t="s">
        <v>247</v>
      </c>
      <c r="E33" s="11">
        <v>1000</v>
      </c>
      <c r="F33" s="11">
        <v>9.14</v>
      </c>
      <c r="G33" s="212">
        <v>9140</v>
      </c>
      <c r="H33" s="11">
        <v>20</v>
      </c>
      <c r="I33" s="104">
        <v>44173</v>
      </c>
      <c r="J33" s="16">
        <v>10.55</v>
      </c>
      <c r="K33" s="11">
        <v>10550</v>
      </c>
      <c r="L33" s="17">
        <v>20</v>
      </c>
      <c r="M33" s="11">
        <v>31</v>
      </c>
      <c r="N33" s="11">
        <v>0</v>
      </c>
      <c r="O33" s="13">
        <v>0</v>
      </c>
      <c r="P33" s="14">
        <v>1329</v>
      </c>
      <c r="Q33" s="14">
        <v>0</v>
      </c>
      <c r="R33" s="14"/>
      <c r="S33" s="14">
        <v>10</v>
      </c>
      <c r="T33" s="14">
        <v>0</v>
      </c>
      <c r="U33" s="69">
        <v>0</v>
      </c>
      <c r="V33" s="69"/>
      <c r="W33" s="70">
        <v>0.06</v>
      </c>
      <c r="X33" s="15">
        <v>0.14540481400437638</v>
      </c>
      <c r="Y33" s="16">
        <v>18.2</v>
      </c>
      <c r="Z33" s="38">
        <v>0.1</v>
      </c>
      <c r="AA33" s="90">
        <f t="shared" ca="1" si="1"/>
        <v>375.36961997590623</v>
      </c>
      <c r="AB33" s="103" t="s">
        <v>2729</v>
      </c>
    </row>
    <row r="34" spans="1:28" outlineLevel="1">
      <c r="A34" s="99">
        <v>44161</v>
      </c>
      <c r="B34" s="11" t="s">
        <v>19</v>
      </c>
      <c r="C34" s="11">
        <v>5213</v>
      </c>
      <c r="D34" s="11" t="s">
        <v>263</v>
      </c>
      <c r="E34" s="11">
        <v>2000</v>
      </c>
      <c r="F34" s="11">
        <v>18.2</v>
      </c>
      <c r="G34" s="212">
        <v>36400</v>
      </c>
      <c r="H34" s="11">
        <v>51</v>
      </c>
      <c r="I34" s="104">
        <v>44173</v>
      </c>
      <c r="J34" s="16">
        <v>17</v>
      </c>
      <c r="K34" s="11">
        <v>34000</v>
      </c>
      <c r="L34" s="17">
        <v>48</v>
      </c>
      <c r="M34" s="11">
        <v>102</v>
      </c>
      <c r="N34" s="11">
        <v>0</v>
      </c>
      <c r="O34" s="13">
        <v>0</v>
      </c>
      <c r="P34" s="14">
        <v>-2611</v>
      </c>
      <c r="Q34" s="14">
        <v>0</v>
      </c>
      <c r="R34" s="14"/>
      <c r="S34" s="14">
        <v>10</v>
      </c>
      <c r="T34" s="14">
        <v>0</v>
      </c>
      <c r="U34" s="69">
        <v>0</v>
      </c>
      <c r="V34" s="69"/>
      <c r="W34" s="70">
        <v>0.06</v>
      </c>
      <c r="X34" s="15">
        <v>-7.1730769230769237E-2</v>
      </c>
      <c r="Y34" s="16">
        <v>26.3</v>
      </c>
      <c r="Z34" s="38">
        <v>-0.25</v>
      </c>
      <c r="AA34" s="90">
        <f t="shared" ca="1" si="1"/>
        <v>1195.9259664877889</v>
      </c>
      <c r="AB34" s="103" t="s">
        <v>2729</v>
      </c>
    </row>
    <row r="35" spans="1:28" outlineLevel="1">
      <c r="A35" s="99">
        <v>44158</v>
      </c>
      <c r="B35" s="11" t="s">
        <v>19</v>
      </c>
      <c r="C35" s="11">
        <v>2303</v>
      </c>
      <c r="D35" s="11" t="s">
        <v>244</v>
      </c>
      <c r="E35" s="11">
        <v>1000</v>
      </c>
      <c r="F35" s="11">
        <v>35.35</v>
      </c>
      <c r="G35" s="212">
        <v>35350</v>
      </c>
      <c r="H35" s="11">
        <v>50</v>
      </c>
      <c r="I35" s="104">
        <v>44173</v>
      </c>
      <c r="J35" s="16">
        <v>50.8</v>
      </c>
      <c r="K35" s="11">
        <v>50800</v>
      </c>
      <c r="L35" s="17">
        <v>72</v>
      </c>
      <c r="M35" s="11">
        <v>152</v>
      </c>
      <c r="N35" s="11">
        <v>0</v>
      </c>
      <c r="O35" s="13">
        <v>0</v>
      </c>
      <c r="P35" s="14">
        <v>15166</v>
      </c>
      <c r="Q35" s="14">
        <v>0</v>
      </c>
      <c r="R35" s="14"/>
      <c r="S35" s="14">
        <v>10</v>
      </c>
      <c r="T35" s="14">
        <v>0</v>
      </c>
      <c r="U35" s="69">
        <v>0</v>
      </c>
      <c r="V35" s="69"/>
      <c r="W35" s="70">
        <v>0.06</v>
      </c>
      <c r="X35" s="15">
        <v>0.42902404526166904</v>
      </c>
      <c r="Y35" s="16">
        <v>76.2</v>
      </c>
      <c r="Z35" s="38">
        <v>-0.7</v>
      </c>
      <c r="AA35" s="90">
        <f t="shared" ca="1" si="1"/>
        <v>1451.7851275873397</v>
      </c>
      <c r="AB35" s="103" t="s">
        <v>2729</v>
      </c>
    </row>
    <row r="36" spans="1:28" outlineLevel="1">
      <c r="A36" s="99">
        <v>44158</v>
      </c>
      <c r="B36" s="11" t="s">
        <v>19</v>
      </c>
      <c r="C36" s="11">
        <v>5347</v>
      </c>
      <c r="D36" s="11" t="s">
        <v>264</v>
      </c>
      <c r="E36" s="11">
        <v>1000</v>
      </c>
      <c r="F36" s="11">
        <v>110</v>
      </c>
      <c r="G36" s="212">
        <v>110000</v>
      </c>
      <c r="H36" s="11">
        <v>156</v>
      </c>
      <c r="I36" s="104">
        <v>44174</v>
      </c>
      <c r="J36" s="16">
        <v>126</v>
      </c>
      <c r="K36" s="11">
        <v>126000</v>
      </c>
      <c r="L36" s="17">
        <v>179</v>
      </c>
      <c r="M36" s="11">
        <v>378</v>
      </c>
      <c r="N36" s="11">
        <v>0</v>
      </c>
      <c r="O36" s="13">
        <v>0</v>
      </c>
      <c r="P36" s="14">
        <v>15277</v>
      </c>
      <c r="Q36" s="14">
        <v>0</v>
      </c>
      <c r="R36" s="14"/>
      <c r="S36" s="14">
        <v>10</v>
      </c>
      <c r="T36" s="14">
        <v>0</v>
      </c>
      <c r="U36" s="69">
        <v>0</v>
      </c>
      <c r="V36" s="69"/>
      <c r="W36" s="70">
        <v>0.06</v>
      </c>
      <c r="X36" s="15">
        <v>0.13888181818181819</v>
      </c>
      <c r="Y36" s="16">
        <v>138.5</v>
      </c>
      <c r="Z36" s="38">
        <v>-0.5</v>
      </c>
      <c r="AA36" s="90">
        <f t="shared" ca="1" si="1"/>
        <v>4818.749315518563</v>
      </c>
      <c r="AB36" s="103" t="s">
        <v>2729</v>
      </c>
    </row>
    <row r="37" spans="1:28" outlineLevel="1">
      <c r="A37" s="99">
        <v>44172</v>
      </c>
      <c r="B37" s="11" t="s">
        <v>19</v>
      </c>
      <c r="C37" s="11">
        <v>5907</v>
      </c>
      <c r="D37" s="11" t="s">
        <v>258</v>
      </c>
      <c r="E37" s="11">
        <v>2000</v>
      </c>
      <c r="F37" s="11">
        <v>23.1</v>
      </c>
      <c r="G37" s="212">
        <v>46200</v>
      </c>
      <c r="H37" s="11">
        <v>65</v>
      </c>
      <c r="I37" s="104">
        <v>44176</v>
      </c>
      <c r="J37" s="16">
        <v>21.1</v>
      </c>
      <c r="K37" s="11">
        <v>42200</v>
      </c>
      <c r="L37" s="17">
        <v>60</v>
      </c>
      <c r="M37" s="11">
        <v>126</v>
      </c>
      <c r="N37" s="11">
        <v>0</v>
      </c>
      <c r="O37" s="13">
        <v>0</v>
      </c>
      <c r="P37" s="14">
        <v>-4261</v>
      </c>
      <c r="Q37" s="14">
        <v>0</v>
      </c>
      <c r="R37" s="14"/>
      <c r="S37" s="14">
        <v>10</v>
      </c>
      <c r="T37" s="14">
        <v>0</v>
      </c>
      <c r="U37" s="69">
        <v>0</v>
      </c>
      <c r="V37" s="69"/>
      <c r="W37" s="70">
        <v>0.06</v>
      </c>
      <c r="X37" s="15">
        <v>-9.2229437229437231E-2</v>
      </c>
      <c r="Y37" s="16">
        <v>5.67</v>
      </c>
      <c r="Z37" s="38">
        <v>-0.01</v>
      </c>
      <c r="AA37" s="90">
        <f t="shared" ca="1" si="1"/>
        <v>505.96867812944913</v>
      </c>
      <c r="AB37" s="103" t="s">
        <v>2729</v>
      </c>
    </row>
    <row r="38" spans="1:28" outlineLevel="1">
      <c r="A38" s="99">
        <v>44173</v>
      </c>
      <c r="B38" s="11" t="s">
        <v>19</v>
      </c>
      <c r="C38" s="11">
        <v>3706</v>
      </c>
      <c r="D38" s="11" t="s">
        <v>257</v>
      </c>
      <c r="E38" s="11">
        <v>1000</v>
      </c>
      <c r="F38" s="11">
        <v>32.549999999999997</v>
      </c>
      <c r="G38" s="212">
        <v>32549.999999999996</v>
      </c>
      <c r="H38" s="11">
        <v>46</v>
      </c>
      <c r="I38" s="104">
        <v>44176</v>
      </c>
      <c r="J38" s="16">
        <v>29.65</v>
      </c>
      <c r="K38" s="11">
        <v>29650</v>
      </c>
      <c r="L38" s="17">
        <v>42</v>
      </c>
      <c r="M38" s="11">
        <v>88</v>
      </c>
      <c r="N38" s="11">
        <v>0</v>
      </c>
      <c r="O38" s="13">
        <v>0</v>
      </c>
      <c r="P38" s="14">
        <v>-3085.9999999999964</v>
      </c>
      <c r="Q38" s="14">
        <v>0</v>
      </c>
      <c r="R38" s="14"/>
      <c r="S38" s="14">
        <v>10</v>
      </c>
      <c r="T38" s="14">
        <v>0</v>
      </c>
      <c r="U38" s="69">
        <v>0</v>
      </c>
      <c r="V38" s="69"/>
      <c r="W38" s="70">
        <v>0.06</v>
      </c>
      <c r="X38" s="15">
        <v>-9.4807987711213418E-2</v>
      </c>
      <c r="Y38" s="16">
        <v>85</v>
      </c>
      <c r="Z38" s="38">
        <v>0.9</v>
      </c>
      <c r="AA38" s="90">
        <f t="shared" ca="1" si="1"/>
        <v>267.35844923885662</v>
      </c>
      <c r="AB38" s="103" t="s">
        <v>2729</v>
      </c>
    </row>
    <row r="39" spans="1:28" outlineLevel="1">
      <c r="A39" s="99">
        <v>44172</v>
      </c>
      <c r="B39" s="11" t="s">
        <v>19</v>
      </c>
      <c r="C39" s="11">
        <v>8163</v>
      </c>
      <c r="D39" s="11" t="s">
        <v>259</v>
      </c>
      <c r="E39" s="11">
        <v>1000</v>
      </c>
      <c r="F39" s="11">
        <v>45.75</v>
      </c>
      <c r="G39" s="212">
        <v>45750</v>
      </c>
      <c r="H39" s="11">
        <v>65</v>
      </c>
      <c r="I39" s="104">
        <v>44182</v>
      </c>
      <c r="J39" s="16">
        <v>43.35</v>
      </c>
      <c r="K39" s="11">
        <v>43350</v>
      </c>
      <c r="L39" s="17">
        <v>61</v>
      </c>
      <c r="M39" s="11">
        <v>130</v>
      </c>
      <c r="N39" s="11">
        <v>0</v>
      </c>
      <c r="O39" s="13">
        <v>0</v>
      </c>
      <c r="P39" s="14">
        <v>-2666</v>
      </c>
      <c r="Q39" s="14">
        <v>0</v>
      </c>
      <c r="R39" s="14"/>
      <c r="S39" s="14">
        <v>10</v>
      </c>
      <c r="T39" s="14">
        <v>0</v>
      </c>
      <c r="U39" s="69">
        <v>0</v>
      </c>
      <c r="V39" s="69"/>
      <c r="W39" s="70">
        <v>0.06</v>
      </c>
      <c r="X39" s="15">
        <v>-5.8273224043715849E-2</v>
      </c>
      <c r="Y39" s="16">
        <v>28.6</v>
      </c>
      <c r="Z39" s="38">
        <v>0.1</v>
      </c>
      <c r="AA39" s="90">
        <f t="shared" ca="1" si="1"/>
        <v>1252.601029460081</v>
      </c>
      <c r="AB39" s="103" t="s">
        <v>2729</v>
      </c>
    </row>
    <row r="40" spans="1:28" outlineLevel="1">
      <c r="A40" s="99">
        <v>44173</v>
      </c>
      <c r="B40" s="11" t="s">
        <v>19</v>
      </c>
      <c r="C40" s="11">
        <v>3707</v>
      </c>
      <c r="D40" s="11" t="s">
        <v>262</v>
      </c>
      <c r="E40" s="11">
        <v>1000</v>
      </c>
      <c r="F40" s="11">
        <v>41.3</v>
      </c>
      <c r="G40" s="212">
        <v>41300</v>
      </c>
      <c r="H40" s="11">
        <v>58</v>
      </c>
      <c r="I40" s="104">
        <v>44182</v>
      </c>
      <c r="J40" s="16">
        <v>38.1</v>
      </c>
      <c r="K40" s="11">
        <v>38100</v>
      </c>
      <c r="L40" s="17">
        <v>54</v>
      </c>
      <c r="M40" s="11">
        <v>114</v>
      </c>
      <c r="N40" s="11">
        <v>0</v>
      </c>
      <c r="O40" s="13">
        <v>0</v>
      </c>
      <c r="P40" s="14">
        <v>-3436</v>
      </c>
      <c r="Q40" s="14">
        <v>0</v>
      </c>
      <c r="R40" s="14"/>
      <c r="S40" s="14">
        <v>10</v>
      </c>
      <c r="T40" s="14">
        <v>0</v>
      </c>
      <c r="U40" s="69">
        <v>0</v>
      </c>
      <c r="V40" s="69"/>
      <c r="W40" s="70">
        <v>0.06</v>
      </c>
      <c r="X40" s="15">
        <v>-8.3196125907990318E-2</v>
      </c>
      <c r="Y40" s="16">
        <v>59.1</v>
      </c>
      <c r="Z40" s="38">
        <v>1.2</v>
      </c>
      <c r="AA40" s="90">
        <f t="shared" ca="1" si="1"/>
        <v>1017.6870003285511</v>
      </c>
      <c r="AB40" s="103" t="s">
        <v>2729</v>
      </c>
    </row>
    <row r="41" spans="1:28">
      <c r="A41" s="275">
        <v>44158</v>
      </c>
      <c r="B41" s="11" t="s">
        <v>19</v>
      </c>
      <c r="C41" s="11">
        <v>2615</v>
      </c>
      <c r="D41" s="11" t="s">
        <v>248</v>
      </c>
      <c r="E41" s="11">
        <v>1000</v>
      </c>
      <c r="F41" s="11">
        <v>38.15</v>
      </c>
      <c r="G41" s="212">
        <f t="shared" ref="G41:G104" si="2">E41*F41</f>
        <v>38150</v>
      </c>
      <c r="H41" s="11">
        <v>54</v>
      </c>
      <c r="I41" s="104">
        <v>44202</v>
      </c>
      <c r="J41" s="16">
        <v>53.3</v>
      </c>
      <c r="K41" s="11">
        <f t="shared" ref="K41:K104" si="3">E41*J41</f>
        <v>53300</v>
      </c>
      <c r="L41" s="17">
        <v>75</v>
      </c>
      <c r="M41" s="11">
        <v>159</v>
      </c>
      <c r="N41" s="11">
        <v>0</v>
      </c>
      <c r="O41" s="13">
        <f t="shared" ref="O41:O104" si="4">IF(I41="",E41*Y41,0)</f>
        <v>0</v>
      </c>
      <c r="P41" s="14">
        <f t="shared" ref="P41:P72" si="5">IF(I41="",R41-H41,(K41-H41-SUM(L41:N41)+R41-S41-T41)-G41)+(ROUND(R41*V41,0)-ROUND(R41*(1+V41),0)*W41)</f>
        <v>14852</v>
      </c>
      <c r="Q41" s="14">
        <f t="shared" ref="Q41:Q104" si="6">IF(I41="",(O41-G41-(O41*0.1425%*0.65)-(O41*0.3%)-S41-T41),0)</f>
        <v>0</v>
      </c>
      <c r="R41" s="14"/>
      <c r="S41" s="14">
        <v>10</v>
      </c>
      <c r="T41" s="14">
        <f t="shared" ref="T41:T104" si="7">IF(ROUND(R41*(1+V41),0)&gt;20000,ROUND(ROUND(R41*(1+V41),0)*2%,0),0)</f>
        <v>0</v>
      </c>
      <c r="U41" s="69">
        <f t="shared" ref="U41:U104" si="8">(V41*50%)/(1+50%*V41)</f>
        <v>0</v>
      </c>
      <c r="V41" s="69"/>
      <c r="W41" s="70">
        <v>0.06</v>
      </c>
      <c r="X41" s="15">
        <f t="shared" ref="X41:X104" si="9">(P41+Q41)/G41</f>
        <v>0.389305373525557</v>
      </c>
      <c r="Y41" s="16">
        <f>VLOOKUP(C41,台股行情!A:D,4,FALSE)</f>
        <v>119</v>
      </c>
      <c r="Z41" s="38">
        <f>VLOOKUP(C41,台股行情!A:E,5,FALSE)</f>
        <v>-6</v>
      </c>
      <c r="AA41" s="90">
        <f t="shared" ca="1" si="1"/>
        <v>4595.8821596758298</v>
      </c>
      <c r="AB41" s="103" t="s">
        <v>2729</v>
      </c>
    </row>
    <row r="42" spans="1:28" outlineLevel="1">
      <c r="A42" s="275">
        <v>44158</v>
      </c>
      <c r="B42" s="11" t="s">
        <v>19</v>
      </c>
      <c r="C42" s="11">
        <v>2634</v>
      </c>
      <c r="D42" s="11" t="s">
        <v>249</v>
      </c>
      <c r="E42" s="11">
        <v>1000</v>
      </c>
      <c r="F42" s="11">
        <v>29.1</v>
      </c>
      <c r="G42" s="212">
        <f t="shared" si="2"/>
        <v>29100</v>
      </c>
      <c r="H42" s="11">
        <v>41</v>
      </c>
      <c r="I42" s="104">
        <v>44202</v>
      </c>
      <c r="J42" s="16">
        <v>29.15</v>
      </c>
      <c r="K42" s="11">
        <f t="shared" si="3"/>
        <v>29150</v>
      </c>
      <c r="L42" s="17">
        <v>41</v>
      </c>
      <c r="M42" s="11">
        <v>87</v>
      </c>
      <c r="N42" s="11">
        <v>0</v>
      </c>
      <c r="O42" s="13">
        <f t="shared" si="4"/>
        <v>0</v>
      </c>
      <c r="P42" s="14">
        <f t="shared" si="5"/>
        <v>-129</v>
      </c>
      <c r="Q42" s="14">
        <f t="shared" si="6"/>
        <v>0</v>
      </c>
      <c r="R42" s="14"/>
      <c r="S42" s="14">
        <v>10</v>
      </c>
      <c r="T42" s="14">
        <f t="shared" si="7"/>
        <v>0</v>
      </c>
      <c r="U42" s="69">
        <f t="shared" si="8"/>
        <v>0</v>
      </c>
      <c r="V42" s="69"/>
      <c r="W42" s="70">
        <v>0.06</v>
      </c>
      <c r="X42" s="15">
        <f t="shared" si="9"/>
        <v>-4.4329896907216492E-3</v>
      </c>
      <c r="Y42" s="16">
        <f>VLOOKUP(C42,台股行情!A:D,4,FALSE)</f>
        <v>60.7</v>
      </c>
      <c r="Z42" s="38">
        <f>VLOOKUP(C42,台股行情!A:E,5,FALSE)</f>
        <v>-1.4</v>
      </c>
      <c r="AA42" s="90">
        <f t="shared" ca="1" si="1"/>
        <v>3505.6401270397546</v>
      </c>
      <c r="AB42" s="103" t="s">
        <v>2729</v>
      </c>
    </row>
    <row r="43" spans="1:28" outlineLevel="1">
      <c r="A43" s="275">
        <v>44183</v>
      </c>
      <c r="B43" s="11" t="s">
        <v>19</v>
      </c>
      <c r="C43" s="11">
        <v>3663</v>
      </c>
      <c r="D43" s="11" t="s">
        <v>261</v>
      </c>
      <c r="E43" s="11">
        <v>2000</v>
      </c>
      <c r="F43" s="11">
        <v>21.85</v>
      </c>
      <c r="G43" s="212">
        <f t="shared" si="2"/>
        <v>43700</v>
      </c>
      <c r="H43" s="11">
        <v>62</v>
      </c>
      <c r="I43" s="104">
        <v>44202</v>
      </c>
      <c r="J43" s="16">
        <v>22.8</v>
      </c>
      <c r="K43" s="11">
        <f t="shared" si="3"/>
        <v>45600</v>
      </c>
      <c r="L43" s="17">
        <v>64</v>
      </c>
      <c r="M43" s="11">
        <v>136</v>
      </c>
      <c r="N43" s="11">
        <v>0</v>
      </c>
      <c r="O43" s="13">
        <f t="shared" si="4"/>
        <v>0</v>
      </c>
      <c r="P43" s="14">
        <f t="shared" si="5"/>
        <v>1628</v>
      </c>
      <c r="Q43" s="14">
        <f t="shared" si="6"/>
        <v>0</v>
      </c>
      <c r="R43" s="14"/>
      <c r="S43" s="14">
        <v>10</v>
      </c>
      <c r="T43" s="14">
        <f t="shared" si="7"/>
        <v>0</v>
      </c>
      <c r="U43" s="69">
        <f t="shared" si="8"/>
        <v>0</v>
      </c>
      <c r="V43" s="69"/>
      <c r="W43" s="70">
        <v>0.06</v>
      </c>
      <c r="X43" s="15">
        <f t="shared" si="9"/>
        <v>3.725400457665904E-2</v>
      </c>
      <c r="Y43" s="16">
        <f>VLOOKUP(C43,台股行情!A:D,4,FALSE)</f>
        <v>68.5</v>
      </c>
      <c r="Z43" s="38">
        <f>VLOOKUP(C43,台股行情!A:E,5,FALSE)</f>
        <v>1.9</v>
      </c>
      <c r="AA43" s="90">
        <f t="shared" ca="1" si="1"/>
        <v>2273.2997481108314</v>
      </c>
      <c r="AB43" s="103" t="s">
        <v>2729</v>
      </c>
    </row>
    <row r="44" spans="1:28" outlineLevel="1">
      <c r="A44" s="275">
        <v>44158</v>
      </c>
      <c r="B44" s="11" t="s">
        <v>19</v>
      </c>
      <c r="C44" s="11">
        <v>2882</v>
      </c>
      <c r="D44" s="11" t="s">
        <v>250</v>
      </c>
      <c r="E44" s="11">
        <v>1000</v>
      </c>
      <c r="F44" s="11">
        <v>41.65</v>
      </c>
      <c r="G44" s="212">
        <f t="shared" si="2"/>
        <v>41650</v>
      </c>
      <c r="H44" s="11">
        <v>59</v>
      </c>
      <c r="I44" s="104">
        <v>44207</v>
      </c>
      <c r="J44" s="16">
        <v>42.25</v>
      </c>
      <c r="K44" s="11">
        <f t="shared" si="3"/>
        <v>42250</v>
      </c>
      <c r="L44" s="17">
        <v>60</v>
      </c>
      <c r="M44" s="11">
        <v>126</v>
      </c>
      <c r="N44" s="11">
        <v>0</v>
      </c>
      <c r="O44" s="13">
        <f t="shared" si="4"/>
        <v>0</v>
      </c>
      <c r="P44" s="14">
        <f t="shared" si="5"/>
        <v>345</v>
      </c>
      <c r="Q44" s="14">
        <f t="shared" si="6"/>
        <v>0</v>
      </c>
      <c r="R44" s="14"/>
      <c r="S44" s="14">
        <v>10</v>
      </c>
      <c r="T44" s="14">
        <f t="shared" si="7"/>
        <v>0</v>
      </c>
      <c r="U44" s="69">
        <f t="shared" si="8"/>
        <v>0</v>
      </c>
      <c r="V44" s="69"/>
      <c r="W44" s="70">
        <v>0.06</v>
      </c>
      <c r="X44" s="15">
        <f t="shared" si="9"/>
        <v>8.2833133253301314E-3</v>
      </c>
      <c r="Y44" s="16">
        <f>VLOOKUP(C44,台股行情!A:D,4,FALSE)</f>
        <v>113.5</v>
      </c>
      <c r="Z44" s="38">
        <f>VLOOKUP(C44,台股行情!A:E,5,FALSE)</f>
        <v>-0.5</v>
      </c>
      <c r="AA44" s="90">
        <f t="shared" ca="1" si="1"/>
        <v>5587.6957616909431</v>
      </c>
      <c r="AB44" s="103" t="s">
        <v>2729</v>
      </c>
    </row>
    <row r="45" spans="1:28" outlineLevel="1">
      <c r="A45" s="275">
        <v>44159</v>
      </c>
      <c r="B45" s="11" t="s">
        <v>19</v>
      </c>
      <c r="C45" s="11">
        <v>1304</v>
      </c>
      <c r="D45" s="11" t="s">
        <v>242</v>
      </c>
      <c r="E45" s="11">
        <v>2000</v>
      </c>
      <c r="F45" s="11">
        <v>20.399999999999999</v>
      </c>
      <c r="G45" s="212">
        <f t="shared" si="2"/>
        <v>40800</v>
      </c>
      <c r="H45" s="11">
        <v>58</v>
      </c>
      <c r="I45" s="104">
        <v>44210</v>
      </c>
      <c r="J45" s="16">
        <v>21.6</v>
      </c>
      <c r="K45" s="11">
        <f t="shared" si="3"/>
        <v>43200</v>
      </c>
      <c r="L45" s="17">
        <v>61</v>
      </c>
      <c r="M45" s="11">
        <v>129</v>
      </c>
      <c r="N45" s="11">
        <v>0</v>
      </c>
      <c r="O45" s="13">
        <f t="shared" si="4"/>
        <v>0</v>
      </c>
      <c r="P45" s="14">
        <f t="shared" si="5"/>
        <v>2142</v>
      </c>
      <c r="Q45" s="14">
        <f t="shared" si="6"/>
        <v>0</v>
      </c>
      <c r="R45" s="14"/>
      <c r="S45" s="14">
        <v>10</v>
      </c>
      <c r="T45" s="14">
        <f t="shared" si="7"/>
        <v>0</v>
      </c>
      <c r="U45" s="69">
        <f t="shared" si="8"/>
        <v>0</v>
      </c>
      <c r="V45" s="69"/>
      <c r="W45" s="70">
        <v>0.06</v>
      </c>
      <c r="X45" s="15">
        <f t="shared" si="9"/>
        <v>5.2499999999999998E-2</v>
      </c>
      <c r="Y45" s="16">
        <f>VLOOKUP(C45,台股行情!A:D,4,FALSE)</f>
        <v>13.2</v>
      </c>
      <c r="Z45" s="38">
        <f>VLOOKUP(C45,台股行情!A:E,5,FALSE)</f>
        <v>-0.8</v>
      </c>
      <c r="AA45" s="90">
        <f t="shared" ca="1" si="1"/>
        <v>5697.0758953017194</v>
      </c>
      <c r="AB45" s="103" t="s">
        <v>2729</v>
      </c>
    </row>
    <row r="46" spans="1:28" outlineLevel="1">
      <c r="A46" s="275">
        <v>44173</v>
      </c>
      <c r="B46" s="11" t="s">
        <v>19</v>
      </c>
      <c r="C46" s="11">
        <v>2603</v>
      </c>
      <c r="D46" s="11" t="s">
        <v>241</v>
      </c>
      <c r="E46" s="11">
        <v>1000</v>
      </c>
      <c r="F46" s="11">
        <v>29.15</v>
      </c>
      <c r="G46" s="212">
        <f t="shared" si="2"/>
        <v>29150</v>
      </c>
      <c r="H46" s="11">
        <v>41</v>
      </c>
      <c r="I46" s="104">
        <v>44210</v>
      </c>
      <c r="J46" s="16">
        <v>37.950000000000003</v>
      </c>
      <c r="K46" s="11">
        <f t="shared" si="3"/>
        <v>37950</v>
      </c>
      <c r="L46" s="17">
        <v>54</v>
      </c>
      <c r="M46" s="11">
        <v>113</v>
      </c>
      <c r="N46" s="11">
        <v>0</v>
      </c>
      <c r="O46" s="13">
        <f t="shared" si="4"/>
        <v>0</v>
      </c>
      <c r="P46" s="14">
        <f t="shared" si="5"/>
        <v>8582</v>
      </c>
      <c r="Q46" s="14">
        <f t="shared" si="6"/>
        <v>0</v>
      </c>
      <c r="R46" s="14"/>
      <c r="S46" s="14">
        <v>10</v>
      </c>
      <c r="T46" s="14">
        <f t="shared" si="7"/>
        <v>0</v>
      </c>
      <c r="U46" s="69">
        <f t="shared" si="8"/>
        <v>0</v>
      </c>
      <c r="V46" s="69"/>
      <c r="W46" s="70">
        <v>0.06</v>
      </c>
      <c r="X46" s="15">
        <f t="shared" si="9"/>
        <v>0.29440823327615778</v>
      </c>
      <c r="Y46" s="16">
        <f>VLOOKUP(C46,台股行情!A:D,4,FALSE)</f>
        <v>257</v>
      </c>
      <c r="Z46" s="38">
        <f>VLOOKUP(C46,台股行情!A:E,5,FALSE)</f>
        <v>-6</v>
      </c>
      <c r="AA46" s="90">
        <f t="shared" ca="1" si="1"/>
        <v>2952.9898149162195</v>
      </c>
      <c r="AB46" s="103" t="s">
        <v>2729</v>
      </c>
    </row>
    <row r="47" spans="1:28" outlineLevel="1">
      <c r="A47" s="275">
        <v>44180</v>
      </c>
      <c r="B47" s="11" t="s">
        <v>19</v>
      </c>
      <c r="C47" s="11">
        <v>6204</v>
      </c>
      <c r="D47" s="11" t="s">
        <v>266</v>
      </c>
      <c r="E47" s="11">
        <v>1000</v>
      </c>
      <c r="F47" s="11">
        <v>134.5</v>
      </c>
      <c r="G47" s="212">
        <f t="shared" si="2"/>
        <v>134500</v>
      </c>
      <c r="H47" s="11">
        <v>191</v>
      </c>
      <c r="I47" s="104">
        <v>44210</v>
      </c>
      <c r="J47" s="16">
        <v>119</v>
      </c>
      <c r="K47" s="11">
        <f t="shared" si="3"/>
        <v>119000</v>
      </c>
      <c r="L47" s="17">
        <v>169</v>
      </c>
      <c r="M47" s="11">
        <v>357</v>
      </c>
      <c r="N47" s="11">
        <v>0</v>
      </c>
      <c r="O47" s="13">
        <f t="shared" si="4"/>
        <v>0</v>
      </c>
      <c r="P47" s="14">
        <f t="shared" si="5"/>
        <v>-16227</v>
      </c>
      <c r="Q47" s="14">
        <f t="shared" si="6"/>
        <v>0</v>
      </c>
      <c r="R47" s="14"/>
      <c r="S47" s="14">
        <v>10</v>
      </c>
      <c r="T47" s="14">
        <f t="shared" si="7"/>
        <v>0</v>
      </c>
      <c r="U47" s="69">
        <f t="shared" si="8"/>
        <v>0</v>
      </c>
      <c r="V47" s="69"/>
      <c r="W47" s="70">
        <v>0.06</v>
      </c>
      <c r="X47" s="15">
        <f t="shared" si="9"/>
        <v>-0.12064684014869888</v>
      </c>
      <c r="Y47" s="16">
        <f>VLOOKUP(C47,台股行情!A:D,4,FALSE)</f>
        <v>234.9</v>
      </c>
      <c r="Z47" s="38">
        <f>VLOOKUP(C47,台股行情!A:E,5,FALSE)</f>
        <v>-10.3</v>
      </c>
      <c r="AA47" s="90">
        <f t="shared" ca="1" si="1"/>
        <v>11047.530390975797</v>
      </c>
      <c r="AB47" s="103" t="s">
        <v>2729</v>
      </c>
    </row>
    <row r="48" spans="1:28" outlineLevel="1">
      <c r="A48" s="275">
        <v>44180</v>
      </c>
      <c r="B48" s="11" t="s">
        <v>19</v>
      </c>
      <c r="C48" s="11">
        <v>2002</v>
      </c>
      <c r="D48" s="11" t="s">
        <v>240</v>
      </c>
      <c r="E48" s="11">
        <v>1000</v>
      </c>
      <c r="F48" s="11">
        <v>24.9</v>
      </c>
      <c r="G48" s="212">
        <f t="shared" si="2"/>
        <v>24900</v>
      </c>
      <c r="H48" s="11">
        <v>35</v>
      </c>
      <c r="I48" s="104">
        <v>44210</v>
      </c>
      <c r="J48" s="16">
        <v>25.4</v>
      </c>
      <c r="K48" s="11">
        <f t="shared" si="3"/>
        <v>25400</v>
      </c>
      <c r="L48" s="17">
        <v>36</v>
      </c>
      <c r="M48" s="11">
        <v>76</v>
      </c>
      <c r="N48" s="11">
        <v>0</v>
      </c>
      <c r="O48" s="13">
        <f t="shared" si="4"/>
        <v>0</v>
      </c>
      <c r="P48" s="14">
        <f t="shared" si="5"/>
        <v>343</v>
      </c>
      <c r="Q48" s="14">
        <f t="shared" si="6"/>
        <v>0</v>
      </c>
      <c r="R48" s="14"/>
      <c r="S48" s="14">
        <v>10</v>
      </c>
      <c r="T48" s="14">
        <f t="shared" si="7"/>
        <v>0</v>
      </c>
      <c r="U48" s="69">
        <f t="shared" si="8"/>
        <v>0</v>
      </c>
      <c r="V48" s="69"/>
      <c r="W48" s="70">
        <v>0.06</v>
      </c>
      <c r="X48" s="15">
        <f t="shared" si="9"/>
        <v>1.3775100401606425E-2</v>
      </c>
      <c r="Y48" s="16">
        <f>VLOOKUP(C48,台股行情!A:D,4,FALSE)</f>
        <v>19.25</v>
      </c>
      <c r="Z48" s="38">
        <f>VLOOKUP(C48,台股行情!A:E,5,FALSE)</f>
        <v>-0.25</v>
      </c>
      <c r="AA48" s="90">
        <f t="shared" ca="1" si="1"/>
        <v>2045.2305333479355</v>
      </c>
      <c r="AB48" s="103" t="s">
        <v>2729</v>
      </c>
    </row>
    <row r="49" spans="1:28" outlineLevel="1">
      <c r="A49" s="275">
        <v>44165</v>
      </c>
      <c r="B49" s="11" t="s">
        <v>19</v>
      </c>
      <c r="C49" s="11">
        <v>2006</v>
      </c>
      <c r="D49" s="11" t="s">
        <v>243</v>
      </c>
      <c r="E49" s="11">
        <v>1000</v>
      </c>
      <c r="F49" s="11">
        <v>35</v>
      </c>
      <c r="G49" s="212">
        <f t="shared" si="2"/>
        <v>35000</v>
      </c>
      <c r="H49" s="11">
        <v>49</v>
      </c>
      <c r="I49" s="104">
        <v>44228</v>
      </c>
      <c r="J49" s="16">
        <v>31.35</v>
      </c>
      <c r="K49" s="11">
        <f t="shared" si="3"/>
        <v>31350</v>
      </c>
      <c r="L49" s="17">
        <v>44</v>
      </c>
      <c r="M49" s="11">
        <v>94</v>
      </c>
      <c r="N49" s="11">
        <v>0</v>
      </c>
      <c r="O49" s="13">
        <f t="shared" si="4"/>
        <v>0</v>
      </c>
      <c r="P49" s="14">
        <f t="shared" si="5"/>
        <v>-3847</v>
      </c>
      <c r="Q49" s="14">
        <f t="shared" si="6"/>
        <v>0</v>
      </c>
      <c r="R49" s="14"/>
      <c r="S49" s="14">
        <v>10</v>
      </c>
      <c r="T49" s="14">
        <f t="shared" si="7"/>
        <v>0</v>
      </c>
      <c r="U49" s="69">
        <f t="shared" si="8"/>
        <v>0</v>
      </c>
      <c r="V49" s="69"/>
      <c r="W49" s="70">
        <v>0.06</v>
      </c>
      <c r="X49" s="15">
        <f t="shared" si="9"/>
        <v>-0.10991428571428571</v>
      </c>
      <c r="Y49" s="16">
        <f>VLOOKUP(C49,台股行情!A:D,4,FALSE)</f>
        <v>90.1</v>
      </c>
      <c r="Z49" s="38">
        <f>VLOOKUP(C49,台股行情!A:E,5,FALSE)</f>
        <v>0.6</v>
      </c>
      <c r="AA49" s="90">
        <f t="shared" ca="1" si="1"/>
        <v>6037.1262731354727</v>
      </c>
      <c r="AB49" s="103" t="s">
        <v>2729</v>
      </c>
    </row>
    <row r="50" spans="1:28" outlineLevel="1">
      <c r="A50" s="275">
        <v>44168</v>
      </c>
      <c r="B50" s="11" t="s">
        <v>19</v>
      </c>
      <c r="C50" s="11">
        <v>3026</v>
      </c>
      <c r="D50" s="11" t="s">
        <v>251</v>
      </c>
      <c r="E50" s="11">
        <v>1000</v>
      </c>
      <c r="F50" s="11">
        <v>117</v>
      </c>
      <c r="G50" s="212">
        <f t="shared" si="2"/>
        <v>117000</v>
      </c>
      <c r="H50" s="11">
        <v>166</v>
      </c>
      <c r="I50" s="104">
        <v>44228</v>
      </c>
      <c r="J50" s="16">
        <v>106</v>
      </c>
      <c r="K50" s="11">
        <f t="shared" si="3"/>
        <v>106000</v>
      </c>
      <c r="L50" s="17">
        <v>151</v>
      </c>
      <c r="M50" s="11">
        <v>318</v>
      </c>
      <c r="N50" s="11">
        <v>0</v>
      </c>
      <c r="O50" s="13">
        <f t="shared" si="4"/>
        <v>0</v>
      </c>
      <c r="P50" s="14">
        <f t="shared" si="5"/>
        <v>-11645</v>
      </c>
      <c r="Q50" s="14">
        <f t="shared" si="6"/>
        <v>0</v>
      </c>
      <c r="R50" s="14"/>
      <c r="S50" s="14">
        <v>10</v>
      </c>
      <c r="T50" s="14">
        <f t="shared" si="7"/>
        <v>0</v>
      </c>
      <c r="U50" s="69">
        <f t="shared" si="8"/>
        <v>0</v>
      </c>
      <c r="V50" s="69"/>
      <c r="W50" s="70">
        <v>0.06</v>
      </c>
      <c r="X50" s="15">
        <f t="shared" si="9"/>
        <v>-9.9529914529914526E-2</v>
      </c>
      <c r="Y50" s="16">
        <f>VLOOKUP(C50,台股行情!A:D,4,FALSE)</f>
        <v>811</v>
      </c>
      <c r="Z50" s="38">
        <f>VLOOKUP(C50,台股行情!A:E,5,FALSE)</f>
        <v>-43</v>
      </c>
      <c r="AA50" s="90">
        <f t="shared" ca="1" si="1"/>
        <v>19220.238747125179</v>
      </c>
      <c r="AB50" s="103" t="s">
        <v>2729</v>
      </c>
    </row>
    <row r="51" spans="1:28" outlineLevel="1">
      <c r="A51" s="275">
        <v>44158</v>
      </c>
      <c r="B51" s="11" t="s">
        <v>19</v>
      </c>
      <c r="C51" s="11">
        <v>2454</v>
      </c>
      <c r="D51" s="11" t="s">
        <v>246</v>
      </c>
      <c r="E51" s="11">
        <v>100</v>
      </c>
      <c r="F51" s="11">
        <v>752</v>
      </c>
      <c r="G51" s="212">
        <f t="shared" si="2"/>
        <v>75200</v>
      </c>
      <c r="H51" s="11">
        <v>107</v>
      </c>
      <c r="I51" s="104">
        <v>44230</v>
      </c>
      <c r="J51" s="16">
        <v>946</v>
      </c>
      <c r="K51" s="11">
        <f t="shared" si="3"/>
        <v>94600</v>
      </c>
      <c r="L51" s="17">
        <v>134</v>
      </c>
      <c r="M51" s="11">
        <v>283</v>
      </c>
      <c r="N51" s="11">
        <v>0</v>
      </c>
      <c r="O51" s="13">
        <f t="shared" si="4"/>
        <v>0</v>
      </c>
      <c r="P51" s="14">
        <f t="shared" si="5"/>
        <v>18866</v>
      </c>
      <c r="Q51" s="14">
        <f t="shared" si="6"/>
        <v>0</v>
      </c>
      <c r="R51" s="14"/>
      <c r="S51" s="14">
        <v>10</v>
      </c>
      <c r="T51" s="14">
        <f t="shared" si="7"/>
        <v>0</v>
      </c>
      <c r="U51" s="69">
        <f t="shared" si="8"/>
        <v>0</v>
      </c>
      <c r="V51" s="69"/>
      <c r="W51" s="70">
        <v>0.06</v>
      </c>
      <c r="X51" s="15">
        <f t="shared" si="9"/>
        <v>0.25087765957446806</v>
      </c>
      <c r="Y51" s="16">
        <f>VLOOKUP(C51,台股行情!A:D,4,FALSE)</f>
        <v>4165</v>
      </c>
      <c r="Z51" s="38">
        <f>VLOOKUP(C51,台股行情!A:E,5,FALSE)</f>
        <v>-310</v>
      </c>
      <c r="AA51" s="90">
        <f t="shared" ca="1" si="1"/>
        <v>14824.22516701347</v>
      </c>
      <c r="AB51" s="103" t="s">
        <v>2729</v>
      </c>
    </row>
    <row r="52" spans="1:28" outlineLevel="1">
      <c r="A52" s="275">
        <v>44162</v>
      </c>
      <c r="B52" s="11" t="s">
        <v>19</v>
      </c>
      <c r="C52" s="11">
        <v>2454</v>
      </c>
      <c r="D52" s="11" t="s">
        <v>246</v>
      </c>
      <c r="E52" s="11">
        <v>100</v>
      </c>
      <c r="F52" s="11">
        <v>726</v>
      </c>
      <c r="G52" s="212">
        <f t="shared" si="2"/>
        <v>72600</v>
      </c>
      <c r="H52" s="11">
        <v>103</v>
      </c>
      <c r="I52" s="104">
        <v>44230</v>
      </c>
      <c r="J52" s="16">
        <v>946</v>
      </c>
      <c r="K52" s="11">
        <f t="shared" si="3"/>
        <v>94600</v>
      </c>
      <c r="L52" s="17">
        <v>134</v>
      </c>
      <c r="M52" s="11">
        <v>283</v>
      </c>
      <c r="N52" s="11">
        <v>0</v>
      </c>
      <c r="O52" s="13">
        <f t="shared" si="4"/>
        <v>0</v>
      </c>
      <c r="P52" s="14">
        <f t="shared" si="5"/>
        <v>21470</v>
      </c>
      <c r="Q52" s="14">
        <f t="shared" si="6"/>
        <v>0</v>
      </c>
      <c r="R52" s="14"/>
      <c r="S52" s="14">
        <v>10</v>
      </c>
      <c r="T52" s="14">
        <f t="shared" si="7"/>
        <v>0</v>
      </c>
      <c r="U52" s="69">
        <f t="shared" si="8"/>
        <v>0</v>
      </c>
      <c r="V52" s="69"/>
      <c r="W52" s="70">
        <v>0.06</v>
      </c>
      <c r="X52" s="15">
        <f t="shared" si="9"/>
        <v>0.29573002754820937</v>
      </c>
      <c r="Y52" s="16">
        <f>VLOOKUP(C52,台股行情!A:D,4,FALSE)</f>
        <v>4165</v>
      </c>
      <c r="Z52" s="38">
        <f>VLOOKUP(C52,台股行情!A:E,5,FALSE)</f>
        <v>-310</v>
      </c>
      <c r="AA52" s="90">
        <f t="shared" ca="1" si="1"/>
        <v>13516.591830029569</v>
      </c>
      <c r="AB52" s="103" t="s">
        <v>2729</v>
      </c>
    </row>
    <row r="53" spans="1:28" outlineLevel="1">
      <c r="A53" s="275">
        <v>44173</v>
      </c>
      <c r="B53" s="11" t="s">
        <v>19</v>
      </c>
      <c r="C53" s="11">
        <v>2317</v>
      </c>
      <c r="D53" s="11" t="s">
        <v>245</v>
      </c>
      <c r="E53" s="11">
        <v>1000</v>
      </c>
      <c r="F53" s="11">
        <v>89</v>
      </c>
      <c r="G53" s="212">
        <f t="shared" si="2"/>
        <v>89000</v>
      </c>
      <c r="H53" s="11">
        <v>126</v>
      </c>
      <c r="I53" s="104">
        <v>44230</v>
      </c>
      <c r="J53" s="16">
        <v>115.5</v>
      </c>
      <c r="K53" s="11">
        <f t="shared" si="3"/>
        <v>115500</v>
      </c>
      <c r="L53" s="17">
        <v>164</v>
      </c>
      <c r="M53" s="11">
        <v>346</v>
      </c>
      <c r="N53" s="11">
        <v>0</v>
      </c>
      <c r="O53" s="13">
        <f t="shared" si="4"/>
        <v>0</v>
      </c>
      <c r="P53" s="14">
        <f t="shared" si="5"/>
        <v>25854</v>
      </c>
      <c r="Q53" s="14">
        <f t="shared" si="6"/>
        <v>0</v>
      </c>
      <c r="R53" s="14"/>
      <c r="S53" s="14">
        <v>10</v>
      </c>
      <c r="T53" s="14">
        <f t="shared" si="7"/>
        <v>0</v>
      </c>
      <c r="U53" s="69">
        <f t="shared" si="8"/>
        <v>0</v>
      </c>
      <c r="V53" s="69"/>
      <c r="W53" s="70">
        <v>0.06</v>
      </c>
      <c r="X53" s="15">
        <f t="shared" si="9"/>
        <v>0.29049438202247191</v>
      </c>
      <c r="Y53" s="16">
        <f>VLOOKUP(C53,台股行情!A:D,4,FALSE)</f>
        <v>239.5</v>
      </c>
      <c r="Z53" s="38">
        <f>VLOOKUP(C53,台股行情!A:E,5,FALSE)</f>
        <v>-3.5</v>
      </c>
      <c r="AA53" s="90">
        <f t="shared" ca="1" si="1"/>
        <v>13889.497316832767</v>
      </c>
      <c r="AB53" s="103" t="s">
        <v>2729</v>
      </c>
    </row>
    <row r="54" spans="1:28" outlineLevel="1">
      <c r="A54" s="275">
        <v>44174</v>
      </c>
      <c r="B54" s="11" t="s">
        <v>19</v>
      </c>
      <c r="C54" s="11">
        <v>2454</v>
      </c>
      <c r="D54" s="11" t="s">
        <v>246</v>
      </c>
      <c r="E54" s="11">
        <v>100</v>
      </c>
      <c r="F54" s="11">
        <v>737</v>
      </c>
      <c r="G54" s="212">
        <f t="shared" si="2"/>
        <v>73700</v>
      </c>
      <c r="H54" s="11">
        <v>105</v>
      </c>
      <c r="I54" s="104">
        <v>44230</v>
      </c>
      <c r="J54" s="16">
        <v>944</v>
      </c>
      <c r="K54" s="11">
        <f t="shared" si="3"/>
        <v>94400</v>
      </c>
      <c r="L54" s="17">
        <v>134</v>
      </c>
      <c r="M54" s="11">
        <v>283</v>
      </c>
      <c r="N54" s="11">
        <v>0</v>
      </c>
      <c r="O54" s="13">
        <f t="shared" si="4"/>
        <v>0</v>
      </c>
      <c r="P54" s="14">
        <f t="shared" si="5"/>
        <v>20168</v>
      </c>
      <c r="Q54" s="14">
        <f t="shared" si="6"/>
        <v>0</v>
      </c>
      <c r="R54" s="14"/>
      <c r="S54" s="14">
        <v>10</v>
      </c>
      <c r="T54" s="14">
        <f t="shared" si="7"/>
        <v>0</v>
      </c>
      <c r="U54" s="69">
        <f t="shared" si="8"/>
        <v>0</v>
      </c>
      <c r="V54" s="69"/>
      <c r="W54" s="70">
        <v>0.06</v>
      </c>
      <c r="X54" s="15">
        <f t="shared" si="9"/>
        <v>0.27364993215739486</v>
      </c>
      <c r="Y54" s="16">
        <f>VLOOKUP(C54,台股行情!A:D,4,FALSE)</f>
        <v>4165</v>
      </c>
      <c r="Z54" s="38">
        <f>VLOOKUP(C54,台股行情!A:E,5,FALSE)</f>
        <v>-310</v>
      </c>
      <c r="AA54" s="90">
        <f t="shared" ca="1" si="1"/>
        <v>11299.96714489103</v>
      </c>
      <c r="AB54" s="103" t="s">
        <v>2729</v>
      </c>
    </row>
    <row r="55" spans="1:28" outlineLevel="1">
      <c r="A55" s="275">
        <v>44176</v>
      </c>
      <c r="B55" s="11" t="s">
        <v>19</v>
      </c>
      <c r="C55" s="11">
        <v>3481</v>
      </c>
      <c r="D55" s="11" t="s">
        <v>255</v>
      </c>
      <c r="E55" s="11">
        <v>1000</v>
      </c>
      <c r="F55" s="11">
        <v>13.85</v>
      </c>
      <c r="G55" s="212">
        <f t="shared" si="2"/>
        <v>13850</v>
      </c>
      <c r="H55" s="11">
        <v>19</v>
      </c>
      <c r="I55" s="104">
        <v>44230</v>
      </c>
      <c r="J55" s="16">
        <v>14</v>
      </c>
      <c r="K55" s="11">
        <f t="shared" si="3"/>
        <v>14000</v>
      </c>
      <c r="L55" s="17">
        <v>20</v>
      </c>
      <c r="M55" s="11">
        <v>42</v>
      </c>
      <c r="N55" s="11">
        <v>0</v>
      </c>
      <c r="O55" s="13">
        <f t="shared" si="4"/>
        <v>0</v>
      </c>
      <c r="P55" s="14">
        <f t="shared" si="5"/>
        <v>59</v>
      </c>
      <c r="Q55" s="14">
        <f t="shared" si="6"/>
        <v>0</v>
      </c>
      <c r="R55" s="14"/>
      <c r="S55" s="14">
        <v>10</v>
      </c>
      <c r="T55" s="14">
        <f t="shared" si="7"/>
        <v>0</v>
      </c>
      <c r="U55" s="69">
        <f t="shared" si="8"/>
        <v>0</v>
      </c>
      <c r="V55" s="69"/>
      <c r="W55" s="70">
        <v>0.06</v>
      </c>
      <c r="X55" s="15">
        <f t="shared" si="9"/>
        <v>4.2599277978339354E-3</v>
      </c>
      <c r="Y55" s="16">
        <f>VLOOKUP(C55,台股行情!A:D,4,FALSE)</f>
        <v>48.3</v>
      </c>
      <c r="Z55" s="38">
        <f>VLOOKUP(C55,台股行情!A:E,5,FALSE)</f>
        <v>-2.6</v>
      </c>
      <c r="AA55" s="90">
        <f t="shared" ca="1" si="1"/>
        <v>2047.694666520644</v>
      </c>
      <c r="AB55" s="103" t="s">
        <v>2729</v>
      </c>
    </row>
    <row r="56" spans="1:28" outlineLevel="1">
      <c r="A56" s="275">
        <v>44176</v>
      </c>
      <c r="B56" s="11" t="s">
        <v>19</v>
      </c>
      <c r="C56" s="11">
        <v>3481</v>
      </c>
      <c r="D56" s="11" t="s">
        <v>255</v>
      </c>
      <c r="E56" s="11">
        <v>9000</v>
      </c>
      <c r="F56" s="11">
        <v>13.85</v>
      </c>
      <c r="G56" s="212">
        <f t="shared" si="2"/>
        <v>124650</v>
      </c>
      <c r="H56" s="11">
        <v>178</v>
      </c>
      <c r="I56" s="104">
        <v>44230</v>
      </c>
      <c r="J56" s="16">
        <v>14.05</v>
      </c>
      <c r="K56" s="11">
        <f t="shared" si="3"/>
        <v>126450</v>
      </c>
      <c r="L56" s="17">
        <v>180</v>
      </c>
      <c r="M56" s="11">
        <v>379</v>
      </c>
      <c r="N56" s="11">
        <v>0</v>
      </c>
      <c r="O56" s="13">
        <f t="shared" si="4"/>
        <v>0</v>
      </c>
      <c r="P56" s="14">
        <f t="shared" si="5"/>
        <v>1053</v>
      </c>
      <c r="Q56" s="14">
        <f t="shared" si="6"/>
        <v>0</v>
      </c>
      <c r="R56" s="14"/>
      <c r="S56" s="14">
        <v>10</v>
      </c>
      <c r="T56" s="14">
        <f t="shared" si="7"/>
        <v>0</v>
      </c>
      <c r="U56" s="69">
        <f t="shared" si="8"/>
        <v>0</v>
      </c>
      <c r="V56" s="69"/>
      <c r="W56" s="70">
        <v>0.06</v>
      </c>
      <c r="X56" s="15">
        <f t="shared" si="9"/>
        <v>8.4476534296028874E-3</v>
      </c>
      <c r="Y56" s="16">
        <f>VLOOKUP(C56,台股行情!A:D,4,FALSE)</f>
        <v>48.3</v>
      </c>
      <c r="Z56" s="38">
        <f>VLOOKUP(C56,台股行情!A:E,5,FALSE)</f>
        <v>-2.6</v>
      </c>
      <c r="AA56" s="90">
        <f t="shared" ca="1" si="1"/>
        <v>18429.251998685795</v>
      </c>
      <c r="AB56" s="103" t="s">
        <v>2729</v>
      </c>
    </row>
    <row r="57" spans="1:28" outlineLevel="1">
      <c r="A57" s="275">
        <v>44181</v>
      </c>
      <c r="B57" s="11" t="s">
        <v>19</v>
      </c>
      <c r="C57" s="11">
        <v>3037</v>
      </c>
      <c r="D57" s="11" t="s">
        <v>252</v>
      </c>
      <c r="E57" s="11">
        <v>1000</v>
      </c>
      <c r="F57" s="11">
        <v>86.7</v>
      </c>
      <c r="G57" s="212">
        <f t="shared" si="2"/>
        <v>86700</v>
      </c>
      <c r="H57" s="11">
        <v>123</v>
      </c>
      <c r="I57" s="104">
        <v>44230</v>
      </c>
      <c r="J57" s="16">
        <v>88.7</v>
      </c>
      <c r="K57" s="11">
        <f t="shared" si="3"/>
        <v>88700</v>
      </c>
      <c r="L57" s="17">
        <v>126</v>
      </c>
      <c r="M57" s="11">
        <v>266</v>
      </c>
      <c r="N57" s="11">
        <v>0</v>
      </c>
      <c r="O57" s="13">
        <f t="shared" si="4"/>
        <v>0</v>
      </c>
      <c r="P57" s="14">
        <f t="shared" si="5"/>
        <v>1475</v>
      </c>
      <c r="Q57" s="14">
        <f t="shared" si="6"/>
        <v>0</v>
      </c>
      <c r="R57" s="14"/>
      <c r="S57" s="14">
        <v>10</v>
      </c>
      <c r="T57" s="14">
        <f t="shared" si="7"/>
        <v>0</v>
      </c>
      <c r="U57" s="69">
        <f t="shared" si="8"/>
        <v>0</v>
      </c>
      <c r="V57" s="69"/>
      <c r="W57" s="70">
        <v>0.06</v>
      </c>
      <c r="X57" s="15">
        <f t="shared" si="9"/>
        <v>1.7012687427912343E-2</v>
      </c>
      <c r="Y57" s="16">
        <f>VLOOKUP(C57,台股行情!A:D,4,FALSE)</f>
        <v>1075</v>
      </c>
      <c r="Z57" s="38">
        <f>VLOOKUP(C57,台股行情!A:E,5,FALSE)</f>
        <v>-110</v>
      </c>
      <c r="AA57" s="90">
        <f t="shared" ca="1" si="1"/>
        <v>11631.529952907676</v>
      </c>
      <c r="AB57" s="103" t="s">
        <v>2729</v>
      </c>
    </row>
    <row r="58" spans="1:28" outlineLevel="1">
      <c r="A58" s="275">
        <v>44155</v>
      </c>
      <c r="B58" s="11" t="s">
        <v>19</v>
      </c>
      <c r="C58" s="11">
        <v>3008</v>
      </c>
      <c r="D58" s="11" t="s">
        <v>395</v>
      </c>
      <c r="E58" s="11">
        <v>10</v>
      </c>
      <c r="F58" s="11">
        <v>3470</v>
      </c>
      <c r="G58" s="212">
        <f t="shared" si="2"/>
        <v>34700</v>
      </c>
      <c r="H58" s="11">
        <v>49</v>
      </c>
      <c r="I58" s="104">
        <v>44260</v>
      </c>
      <c r="J58" s="16">
        <v>3350</v>
      </c>
      <c r="K58" s="11">
        <f t="shared" si="3"/>
        <v>33500</v>
      </c>
      <c r="L58" s="17">
        <v>47</v>
      </c>
      <c r="M58" s="11">
        <v>100</v>
      </c>
      <c r="N58" s="11">
        <v>0</v>
      </c>
      <c r="O58" s="13">
        <f t="shared" si="4"/>
        <v>0</v>
      </c>
      <c r="P58" s="14">
        <f t="shared" si="5"/>
        <v>-1406</v>
      </c>
      <c r="Q58" s="14">
        <f t="shared" si="6"/>
        <v>0</v>
      </c>
      <c r="R58" s="14"/>
      <c r="S58" s="14">
        <v>10</v>
      </c>
      <c r="T58" s="14">
        <f t="shared" si="7"/>
        <v>0</v>
      </c>
      <c r="U58" s="69">
        <f t="shared" si="8"/>
        <v>0</v>
      </c>
      <c r="V58" s="69"/>
      <c r="W58" s="70">
        <v>0.06</v>
      </c>
      <c r="X58" s="15">
        <f t="shared" si="9"/>
        <v>-4.0518731988472625E-2</v>
      </c>
      <c r="Y58" s="16">
        <f>VLOOKUP(C58,台股行情!A:D,4,FALSE)</f>
        <v>6605</v>
      </c>
      <c r="Z58" s="38">
        <f>VLOOKUP(C58,台股行情!A:E,5,FALSE)</f>
        <v>-275</v>
      </c>
      <c r="AA58" s="90">
        <f t="shared" ca="1" si="1"/>
        <v>9975.6324608476607</v>
      </c>
      <c r="AB58" s="103" t="s">
        <v>2729</v>
      </c>
    </row>
    <row r="59" spans="1:28" outlineLevel="1">
      <c r="A59" s="275">
        <v>44166</v>
      </c>
      <c r="B59" s="11" t="s">
        <v>19</v>
      </c>
      <c r="C59" s="11">
        <v>3711</v>
      </c>
      <c r="D59" s="11" t="s">
        <v>396</v>
      </c>
      <c r="E59" s="11">
        <v>1000</v>
      </c>
      <c r="F59" s="11">
        <v>76.7</v>
      </c>
      <c r="G59" s="212">
        <f t="shared" si="2"/>
        <v>76700</v>
      </c>
      <c r="H59" s="11">
        <v>109</v>
      </c>
      <c r="I59" s="104">
        <v>44260</v>
      </c>
      <c r="J59" s="16">
        <v>102.5</v>
      </c>
      <c r="K59" s="11">
        <f t="shared" si="3"/>
        <v>102500</v>
      </c>
      <c r="L59" s="17">
        <v>146</v>
      </c>
      <c r="M59" s="11">
        <v>307</v>
      </c>
      <c r="N59" s="11">
        <v>0</v>
      </c>
      <c r="O59" s="13">
        <f t="shared" si="4"/>
        <v>0</v>
      </c>
      <c r="P59" s="14">
        <f t="shared" si="5"/>
        <v>25228</v>
      </c>
      <c r="Q59" s="14">
        <f t="shared" si="6"/>
        <v>0</v>
      </c>
      <c r="R59" s="14"/>
      <c r="S59" s="14">
        <v>10</v>
      </c>
      <c r="T59" s="14">
        <f t="shared" si="7"/>
        <v>0</v>
      </c>
      <c r="U59" s="69">
        <f t="shared" si="8"/>
        <v>0</v>
      </c>
      <c r="V59" s="69"/>
      <c r="W59" s="70">
        <v>0.06</v>
      </c>
      <c r="X59" s="15">
        <f t="shared" si="9"/>
        <v>0.32891786179921773</v>
      </c>
      <c r="Y59" s="16">
        <f>VLOOKUP(C59,台股行情!A:D,4,FALSE)</f>
        <v>673</v>
      </c>
      <c r="Z59" s="38">
        <f>VLOOKUP(C59,台股行情!A:E,5,FALSE)</f>
        <v>-74</v>
      </c>
      <c r="AA59" s="90">
        <f t="shared" ca="1" si="1"/>
        <v>19739.897053991896</v>
      </c>
      <c r="AB59" s="103" t="s">
        <v>2729</v>
      </c>
    </row>
    <row r="60" spans="1:28" outlineLevel="1">
      <c r="A60" s="275">
        <v>44158</v>
      </c>
      <c r="B60" s="11" t="s">
        <v>19</v>
      </c>
      <c r="C60" s="11">
        <v>2884</v>
      </c>
      <c r="D60" s="11" t="s">
        <v>397</v>
      </c>
      <c r="E60" s="11">
        <v>1000</v>
      </c>
      <c r="F60" s="11">
        <v>25.6</v>
      </c>
      <c r="G60" s="212">
        <f t="shared" si="2"/>
        <v>25600</v>
      </c>
      <c r="H60" s="11">
        <v>36</v>
      </c>
      <c r="I60" s="104">
        <v>44264</v>
      </c>
      <c r="J60" s="16">
        <v>25.4</v>
      </c>
      <c r="K60" s="11">
        <f t="shared" si="3"/>
        <v>25400</v>
      </c>
      <c r="L60" s="17">
        <v>36</v>
      </c>
      <c r="M60" s="11">
        <v>76</v>
      </c>
      <c r="N60" s="11">
        <v>0</v>
      </c>
      <c r="O60" s="13">
        <f t="shared" si="4"/>
        <v>0</v>
      </c>
      <c r="P60" s="14">
        <f t="shared" si="5"/>
        <v>-358</v>
      </c>
      <c r="Q60" s="14">
        <f t="shared" si="6"/>
        <v>0</v>
      </c>
      <c r="R60" s="14"/>
      <c r="S60" s="14">
        <v>10</v>
      </c>
      <c r="T60" s="14">
        <f t="shared" si="7"/>
        <v>0</v>
      </c>
      <c r="U60" s="69">
        <f t="shared" si="8"/>
        <v>0</v>
      </c>
      <c r="V60" s="69"/>
      <c r="W60" s="70">
        <v>0.06</v>
      </c>
      <c r="X60" s="15">
        <f t="shared" si="9"/>
        <v>-1.3984375E-2</v>
      </c>
      <c r="Y60" s="16">
        <f>VLOOKUP(C60,台股行情!A:D,4,FALSE)</f>
        <v>48.8</v>
      </c>
      <c r="Z60" s="38">
        <f>VLOOKUP(C60,台股行情!A:E,5,FALSE)</f>
        <v>1.5</v>
      </c>
      <c r="AA60" s="90">
        <f t="shared" ca="1" si="1"/>
        <v>7429.6353082904388</v>
      </c>
      <c r="AB60" s="103" t="s">
        <v>2729</v>
      </c>
    </row>
    <row r="61" spans="1:28" outlineLevel="1">
      <c r="A61" s="99">
        <v>44210</v>
      </c>
      <c r="B61" s="11" t="s">
        <v>19</v>
      </c>
      <c r="C61" s="11">
        <v>5347</v>
      </c>
      <c r="D61" s="11" t="s">
        <v>264</v>
      </c>
      <c r="E61" s="11">
        <v>1000</v>
      </c>
      <c r="F61" s="11">
        <v>121.5</v>
      </c>
      <c r="G61" s="11">
        <f t="shared" si="2"/>
        <v>121500</v>
      </c>
      <c r="H61" s="11">
        <v>173</v>
      </c>
      <c r="I61" s="104">
        <v>44214</v>
      </c>
      <c r="J61" s="16">
        <v>114.5</v>
      </c>
      <c r="K61" s="11">
        <f t="shared" si="3"/>
        <v>114500</v>
      </c>
      <c r="L61" s="17">
        <v>163</v>
      </c>
      <c r="M61" s="11">
        <v>343</v>
      </c>
      <c r="N61" s="11">
        <v>0</v>
      </c>
      <c r="O61" s="13">
        <f t="shared" si="4"/>
        <v>0</v>
      </c>
      <c r="P61" s="14">
        <f t="shared" si="5"/>
        <v>-7689</v>
      </c>
      <c r="Q61" s="14">
        <f t="shared" si="6"/>
        <v>0</v>
      </c>
      <c r="R61" s="14"/>
      <c r="S61" s="14">
        <v>10</v>
      </c>
      <c r="T61" s="14">
        <f t="shared" si="7"/>
        <v>0</v>
      </c>
      <c r="U61" s="69">
        <f t="shared" si="8"/>
        <v>0</v>
      </c>
      <c r="V61" s="69"/>
      <c r="W61" s="70">
        <v>0.11</v>
      </c>
      <c r="X61" s="15">
        <f t="shared" si="9"/>
        <v>-6.3283950617283952E-2</v>
      </c>
      <c r="Y61" s="16">
        <f>VLOOKUP(C61,台股行情!A:D,4,FALSE)</f>
        <v>161.5</v>
      </c>
      <c r="Z61" s="38">
        <f>VLOOKUP(C61,台股行情!A:E,5,FALSE)</f>
        <v>-14.5</v>
      </c>
      <c r="AA61" s="90">
        <f t="shared" ca="1" si="1"/>
        <v>1330.6319132625124</v>
      </c>
      <c r="AB61" s="103" t="s">
        <v>2729</v>
      </c>
    </row>
    <row r="62" spans="1:28" outlineLevel="1">
      <c r="A62" s="99">
        <v>44207</v>
      </c>
      <c r="B62" s="11" t="s">
        <v>19</v>
      </c>
      <c r="C62" s="11">
        <v>3543</v>
      </c>
      <c r="D62" s="11" t="s">
        <v>1029</v>
      </c>
      <c r="E62" s="11">
        <v>1000</v>
      </c>
      <c r="F62" s="11">
        <v>34.4</v>
      </c>
      <c r="G62" s="11">
        <f t="shared" si="2"/>
        <v>34400</v>
      </c>
      <c r="H62" s="11">
        <v>43</v>
      </c>
      <c r="I62" s="104">
        <v>44216</v>
      </c>
      <c r="J62" s="16">
        <v>31.2</v>
      </c>
      <c r="K62" s="11">
        <f t="shared" si="3"/>
        <v>31200</v>
      </c>
      <c r="L62" s="17">
        <v>44</v>
      </c>
      <c r="M62" s="11">
        <v>93</v>
      </c>
      <c r="N62" s="11">
        <v>0</v>
      </c>
      <c r="O62" s="13">
        <f t="shared" si="4"/>
        <v>0</v>
      </c>
      <c r="P62" s="14">
        <f t="shared" si="5"/>
        <v>-3390</v>
      </c>
      <c r="Q62" s="14">
        <f t="shared" si="6"/>
        <v>0</v>
      </c>
      <c r="R62" s="14"/>
      <c r="S62" s="14">
        <v>10</v>
      </c>
      <c r="T62" s="14">
        <f t="shared" si="7"/>
        <v>0</v>
      </c>
      <c r="U62" s="69">
        <f t="shared" si="8"/>
        <v>0</v>
      </c>
      <c r="V62" s="69"/>
      <c r="W62" s="70">
        <v>0.11</v>
      </c>
      <c r="X62" s="15">
        <f t="shared" si="9"/>
        <v>-9.854651162790698E-2</v>
      </c>
      <c r="Y62" s="16">
        <f>VLOOKUP(C62,台股行情!A:D,4,FALSE)</f>
        <v>50.4</v>
      </c>
      <c r="Z62" s="38">
        <f>VLOOKUP(C62,台股行情!A:E,5,FALSE)</f>
        <v>-1.5</v>
      </c>
      <c r="AA62" s="90">
        <f t="shared" ca="1" si="1"/>
        <v>847.66181141167453</v>
      </c>
      <c r="AB62" s="103" t="s">
        <v>2729</v>
      </c>
    </row>
    <row r="63" spans="1:28" outlineLevel="1">
      <c r="A63" s="99">
        <v>44210</v>
      </c>
      <c r="B63" s="11" t="s">
        <v>19</v>
      </c>
      <c r="C63" s="11">
        <v>6233</v>
      </c>
      <c r="D63" s="11" t="s">
        <v>1432</v>
      </c>
      <c r="E63" s="11">
        <v>1000</v>
      </c>
      <c r="F63" s="11">
        <v>37</v>
      </c>
      <c r="G63" s="11">
        <f t="shared" si="2"/>
        <v>37000</v>
      </c>
      <c r="H63" s="11">
        <v>52</v>
      </c>
      <c r="I63" s="104">
        <v>44228</v>
      </c>
      <c r="J63" s="16">
        <v>35.75</v>
      </c>
      <c r="K63" s="11">
        <f t="shared" si="3"/>
        <v>35750</v>
      </c>
      <c r="L63" s="17">
        <v>50</v>
      </c>
      <c r="M63" s="11">
        <v>107</v>
      </c>
      <c r="N63" s="11">
        <v>0</v>
      </c>
      <c r="O63" s="13">
        <f t="shared" si="4"/>
        <v>0</v>
      </c>
      <c r="P63" s="14">
        <f t="shared" si="5"/>
        <v>-1469</v>
      </c>
      <c r="Q63" s="14">
        <f t="shared" si="6"/>
        <v>0</v>
      </c>
      <c r="R63" s="14"/>
      <c r="S63" s="14">
        <v>10</v>
      </c>
      <c r="T63" s="14">
        <f t="shared" si="7"/>
        <v>0</v>
      </c>
      <c r="U63" s="69">
        <f t="shared" si="8"/>
        <v>0</v>
      </c>
      <c r="V63" s="69"/>
      <c r="W63" s="70">
        <v>0.11</v>
      </c>
      <c r="X63" s="15">
        <f t="shared" si="9"/>
        <v>-3.9702702702702701E-2</v>
      </c>
      <c r="Y63" s="16">
        <f>VLOOKUP(C63,台股行情!A:D,4,FALSE)</f>
        <v>24.95</v>
      </c>
      <c r="Z63" s="38">
        <f>VLOOKUP(C63,台股行情!A:E,5,FALSE)</f>
        <v>-0.2</v>
      </c>
      <c r="AA63" s="90">
        <f t="shared" ca="1" si="1"/>
        <v>1823.4585478041836</v>
      </c>
      <c r="AB63" s="103" t="s">
        <v>2729</v>
      </c>
    </row>
    <row r="64" spans="1:28" outlineLevel="1">
      <c r="A64" s="99">
        <v>44207</v>
      </c>
      <c r="B64" s="11" t="s">
        <v>19</v>
      </c>
      <c r="C64" s="11">
        <v>2303</v>
      </c>
      <c r="D64" s="11" t="s">
        <v>244</v>
      </c>
      <c r="E64" s="11">
        <v>1000</v>
      </c>
      <c r="F64" s="11">
        <v>49.25</v>
      </c>
      <c r="G64" s="11">
        <f t="shared" si="2"/>
        <v>49250</v>
      </c>
      <c r="H64" s="11">
        <v>70</v>
      </c>
      <c r="I64" s="104">
        <v>44230</v>
      </c>
      <c r="J64" s="16">
        <v>52.2</v>
      </c>
      <c r="K64" s="11">
        <f t="shared" si="3"/>
        <v>52200</v>
      </c>
      <c r="L64" s="17">
        <v>74</v>
      </c>
      <c r="M64" s="11">
        <v>156</v>
      </c>
      <c r="N64" s="11">
        <v>0</v>
      </c>
      <c r="O64" s="13">
        <f t="shared" si="4"/>
        <v>0</v>
      </c>
      <c r="P64" s="14">
        <f t="shared" si="5"/>
        <v>2640</v>
      </c>
      <c r="Q64" s="14">
        <f t="shared" si="6"/>
        <v>0</v>
      </c>
      <c r="R64" s="14"/>
      <c r="S64" s="14">
        <v>10</v>
      </c>
      <c r="T64" s="14">
        <f t="shared" si="7"/>
        <v>0</v>
      </c>
      <c r="U64" s="69">
        <f t="shared" si="8"/>
        <v>0</v>
      </c>
      <c r="V64" s="69"/>
      <c r="W64" s="70">
        <v>0.11</v>
      </c>
      <c r="X64" s="15">
        <f t="shared" si="9"/>
        <v>5.3604060913705585E-2</v>
      </c>
      <c r="Y64" s="16">
        <f>VLOOKUP(C64,台股行情!A:D,4,FALSE)</f>
        <v>133.5</v>
      </c>
      <c r="Z64" s="38">
        <f>VLOOKUP(C64,台股行情!A:E,5,FALSE)</f>
        <v>-8.5</v>
      </c>
      <c r="AA64" s="90">
        <f t="shared" ca="1" si="1"/>
        <v>3101.3853904282114</v>
      </c>
      <c r="AB64" s="103" t="s">
        <v>2729</v>
      </c>
    </row>
    <row r="65" spans="1:28" outlineLevel="1">
      <c r="A65" s="99">
        <v>44221</v>
      </c>
      <c r="B65" s="11" t="s">
        <v>19</v>
      </c>
      <c r="C65" s="11">
        <v>2603</v>
      </c>
      <c r="D65" s="11" t="s">
        <v>241</v>
      </c>
      <c r="E65" s="11">
        <v>1000</v>
      </c>
      <c r="F65" s="11">
        <v>35.6</v>
      </c>
      <c r="G65" s="11">
        <f t="shared" si="2"/>
        <v>35600</v>
      </c>
      <c r="H65" s="11">
        <v>50</v>
      </c>
      <c r="I65" s="104">
        <v>44251</v>
      </c>
      <c r="J65" s="16">
        <v>37.799999999999997</v>
      </c>
      <c r="K65" s="11">
        <f t="shared" si="3"/>
        <v>37800</v>
      </c>
      <c r="L65" s="17">
        <v>53</v>
      </c>
      <c r="M65" s="11">
        <v>113</v>
      </c>
      <c r="N65" s="11">
        <v>0</v>
      </c>
      <c r="O65" s="13">
        <f t="shared" si="4"/>
        <v>0</v>
      </c>
      <c r="P65" s="14">
        <f t="shared" si="5"/>
        <v>1974</v>
      </c>
      <c r="Q65" s="14">
        <f t="shared" si="6"/>
        <v>0</v>
      </c>
      <c r="R65" s="14"/>
      <c r="S65" s="14">
        <v>10</v>
      </c>
      <c r="T65" s="14">
        <f t="shared" si="7"/>
        <v>0</v>
      </c>
      <c r="U65" s="69">
        <f t="shared" si="8"/>
        <v>0</v>
      </c>
      <c r="V65" s="69"/>
      <c r="W65" s="70">
        <v>0.11</v>
      </c>
      <c r="X65" s="15">
        <f t="shared" si="9"/>
        <v>5.5449438202247188E-2</v>
      </c>
      <c r="Y65" s="16">
        <f>VLOOKUP(C65,台股行情!A:D,4,FALSE)</f>
        <v>257</v>
      </c>
      <c r="Z65" s="38">
        <f>VLOOKUP(C65,台股行情!A:E,5,FALSE)</f>
        <v>-6</v>
      </c>
      <c r="AA65" s="90">
        <f t="shared" ca="1" si="1"/>
        <v>2924.1046982805824</v>
      </c>
      <c r="AB65" s="103" t="s">
        <v>2729</v>
      </c>
    </row>
    <row r="66" spans="1:28" outlineLevel="1">
      <c r="A66" s="99">
        <v>44246</v>
      </c>
      <c r="B66" s="11" t="s">
        <v>19</v>
      </c>
      <c r="C66" s="11">
        <v>1515</v>
      </c>
      <c r="D66" s="11" t="s">
        <v>406</v>
      </c>
      <c r="E66" s="11">
        <v>1000</v>
      </c>
      <c r="F66" s="11">
        <v>87.9</v>
      </c>
      <c r="G66" s="11">
        <f t="shared" si="2"/>
        <v>87900</v>
      </c>
      <c r="H66" s="11">
        <v>125</v>
      </c>
      <c r="I66" s="104">
        <v>44258</v>
      </c>
      <c r="J66" s="16">
        <v>82.3</v>
      </c>
      <c r="K66" s="11">
        <f t="shared" si="3"/>
        <v>82300</v>
      </c>
      <c r="L66" s="17">
        <v>117</v>
      </c>
      <c r="M66" s="11">
        <v>246</v>
      </c>
      <c r="N66" s="11">
        <v>0</v>
      </c>
      <c r="O66" s="13">
        <f t="shared" si="4"/>
        <v>0</v>
      </c>
      <c r="P66" s="14">
        <f t="shared" si="5"/>
        <v>-6098</v>
      </c>
      <c r="Q66" s="14">
        <f t="shared" si="6"/>
        <v>0</v>
      </c>
      <c r="R66" s="14"/>
      <c r="S66" s="14">
        <v>10</v>
      </c>
      <c r="T66" s="14">
        <f t="shared" si="7"/>
        <v>0</v>
      </c>
      <c r="U66" s="69">
        <f t="shared" si="8"/>
        <v>0</v>
      </c>
      <c r="V66" s="69"/>
      <c r="W66" s="70">
        <v>0.11</v>
      </c>
      <c r="X66" s="15">
        <f t="shared" si="9"/>
        <v>-6.9374288964732647E-2</v>
      </c>
      <c r="Y66" s="16">
        <f>VLOOKUP(C66,台股行情!A:D,4,FALSE)</f>
        <v>28.75</v>
      </c>
      <c r="Z66" s="38">
        <f>VLOOKUP(C66,台股行情!A:E,5,FALSE)</f>
        <v>0</v>
      </c>
      <c r="AA66" s="90">
        <f t="shared" ca="1" si="1"/>
        <v>2887.9640784141934</v>
      </c>
      <c r="AB66" s="103" t="s">
        <v>2729</v>
      </c>
    </row>
    <row r="67" spans="1:28" outlineLevel="1">
      <c r="A67" s="99">
        <v>44251</v>
      </c>
      <c r="B67" s="11" t="s">
        <v>19</v>
      </c>
      <c r="C67" s="11">
        <v>2009</v>
      </c>
      <c r="D67" s="11" t="s">
        <v>1543</v>
      </c>
      <c r="E67" s="11">
        <v>1000</v>
      </c>
      <c r="F67" s="11">
        <v>34.700000000000003</v>
      </c>
      <c r="G67" s="11">
        <f t="shared" si="2"/>
        <v>34700</v>
      </c>
      <c r="H67" s="11">
        <v>49</v>
      </c>
      <c r="I67" s="104">
        <v>44258</v>
      </c>
      <c r="J67" s="16">
        <v>29.8</v>
      </c>
      <c r="K67" s="11">
        <f t="shared" si="3"/>
        <v>29800</v>
      </c>
      <c r="L67" s="17">
        <v>42</v>
      </c>
      <c r="M67" s="11">
        <v>89</v>
      </c>
      <c r="N67" s="11">
        <v>0</v>
      </c>
      <c r="O67" s="13">
        <f t="shared" si="4"/>
        <v>0</v>
      </c>
      <c r="P67" s="14">
        <f t="shared" si="5"/>
        <v>-5090</v>
      </c>
      <c r="Q67" s="14">
        <f t="shared" si="6"/>
        <v>0</v>
      </c>
      <c r="R67" s="14"/>
      <c r="S67" s="14">
        <v>10</v>
      </c>
      <c r="T67" s="14">
        <f t="shared" si="7"/>
        <v>0</v>
      </c>
      <c r="U67" s="69">
        <f t="shared" si="8"/>
        <v>0</v>
      </c>
      <c r="V67" s="69"/>
      <c r="W67" s="70">
        <v>0.11</v>
      </c>
      <c r="X67" s="15">
        <f t="shared" si="9"/>
        <v>-0.14668587896253601</v>
      </c>
      <c r="Y67" s="16">
        <f>VLOOKUP(C67,台股行情!A:D,4,FALSE)</f>
        <v>39.549999999999997</v>
      </c>
      <c r="Z67" s="38">
        <f>VLOOKUP(C67,台股行情!A:E,5,FALSE)</f>
        <v>-1.35</v>
      </c>
      <c r="AA67" s="90">
        <f t="shared" ca="1" si="1"/>
        <v>665.04216405651073</v>
      </c>
      <c r="AB67" s="103" t="s">
        <v>2729</v>
      </c>
    </row>
    <row r="68" spans="1:28" outlineLevel="1">
      <c r="A68" s="99">
        <v>44246</v>
      </c>
      <c r="B68" s="11" t="s">
        <v>19</v>
      </c>
      <c r="C68" s="11">
        <v>3041</v>
      </c>
      <c r="D68" s="11" t="s">
        <v>407</v>
      </c>
      <c r="E68" s="11">
        <v>1000</v>
      </c>
      <c r="F68" s="11">
        <v>29.15</v>
      </c>
      <c r="G68" s="11">
        <f t="shared" si="2"/>
        <v>29150</v>
      </c>
      <c r="H68" s="11">
        <v>41</v>
      </c>
      <c r="I68" s="104">
        <v>44258</v>
      </c>
      <c r="J68" s="16">
        <v>27.8</v>
      </c>
      <c r="K68" s="11">
        <f t="shared" si="3"/>
        <v>27800</v>
      </c>
      <c r="L68" s="17">
        <v>39</v>
      </c>
      <c r="M68" s="11">
        <v>83</v>
      </c>
      <c r="N68" s="11">
        <v>0</v>
      </c>
      <c r="O68" s="13">
        <f t="shared" si="4"/>
        <v>0</v>
      </c>
      <c r="P68" s="14">
        <f t="shared" si="5"/>
        <v>-1523</v>
      </c>
      <c r="Q68" s="14">
        <f t="shared" si="6"/>
        <v>0</v>
      </c>
      <c r="R68" s="14"/>
      <c r="S68" s="14">
        <v>10</v>
      </c>
      <c r="T68" s="14">
        <f t="shared" si="7"/>
        <v>0</v>
      </c>
      <c r="U68" s="69">
        <f t="shared" si="8"/>
        <v>0</v>
      </c>
      <c r="V68" s="69"/>
      <c r="W68" s="70">
        <v>0.11</v>
      </c>
      <c r="X68" s="15">
        <f t="shared" si="9"/>
        <v>-5.2246998284734135E-2</v>
      </c>
      <c r="Y68" s="16">
        <f>VLOOKUP(C68,台股行情!A:D,4,FALSE)</f>
        <v>24.35</v>
      </c>
      <c r="Z68" s="38">
        <f>VLOOKUP(C68,台股行情!A:E,5,FALSE)</f>
        <v>-1.1499999999999999</v>
      </c>
      <c r="AA68" s="90">
        <f t="shared" ca="1" si="1"/>
        <v>957.72642645931444</v>
      </c>
      <c r="AB68" s="103" t="s">
        <v>2729</v>
      </c>
    </row>
    <row r="69" spans="1:28" outlineLevel="1">
      <c r="A69" s="99">
        <v>44258</v>
      </c>
      <c r="B69" s="11" t="s">
        <v>19</v>
      </c>
      <c r="C69" s="11">
        <v>6640</v>
      </c>
      <c r="D69" s="11" t="s">
        <v>1485</v>
      </c>
      <c r="E69" s="11">
        <v>1000</v>
      </c>
      <c r="F69" s="11">
        <v>79</v>
      </c>
      <c r="G69" s="11">
        <f t="shared" si="2"/>
        <v>79000</v>
      </c>
      <c r="H69" s="11">
        <v>112</v>
      </c>
      <c r="I69" s="104">
        <v>44259</v>
      </c>
      <c r="J69" s="16">
        <v>71.900000000000006</v>
      </c>
      <c r="K69" s="11">
        <f t="shared" si="3"/>
        <v>71900</v>
      </c>
      <c r="L69" s="17">
        <v>102</v>
      </c>
      <c r="M69" s="11">
        <v>215</v>
      </c>
      <c r="N69" s="11">
        <v>0</v>
      </c>
      <c r="O69" s="13">
        <f t="shared" si="4"/>
        <v>0</v>
      </c>
      <c r="P69" s="14">
        <f t="shared" si="5"/>
        <v>-7539</v>
      </c>
      <c r="Q69" s="14">
        <f t="shared" si="6"/>
        <v>0</v>
      </c>
      <c r="R69" s="14"/>
      <c r="S69" s="14">
        <v>10</v>
      </c>
      <c r="T69" s="14">
        <f t="shared" si="7"/>
        <v>0</v>
      </c>
      <c r="U69" s="69">
        <f t="shared" si="8"/>
        <v>0</v>
      </c>
      <c r="V69" s="69"/>
      <c r="W69" s="70">
        <v>0.11</v>
      </c>
      <c r="X69" s="15">
        <f t="shared" si="9"/>
        <v>-9.5430379746835436E-2</v>
      </c>
      <c r="Y69" s="16">
        <f>VLOOKUP(C69,台股行情!A:D,4,FALSE)</f>
        <v>1015</v>
      </c>
      <c r="Z69" s="38">
        <f>VLOOKUP(C69,台股行情!A:E,5,FALSE)</f>
        <v>-55</v>
      </c>
      <c r="AA69" s="90">
        <f t="shared" ca="1" si="1"/>
        <v>216.29613404884458</v>
      </c>
      <c r="AB69" s="103" t="s">
        <v>2729</v>
      </c>
    </row>
    <row r="70" spans="1:28" outlineLevel="1">
      <c r="A70" s="99">
        <v>44203</v>
      </c>
      <c r="B70" s="11" t="s">
        <v>19</v>
      </c>
      <c r="C70" s="11">
        <v>2455</v>
      </c>
      <c r="D70" s="11" t="s">
        <v>744</v>
      </c>
      <c r="E70" s="11">
        <v>1000</v>
      </c>
      <c r="F70" s="11">
        <v>115</v>
      </c>
      <c r="G70" s="11">
        <f t="shared" si="2"/>
        <v>115000</v>
      </c>
      <c r="H70" s="11">
        <v>163</v>
      </c>
      <c r="I70" s="104">
        <v>44260</v>
      </c>
      <c r="J70" s="16">
        <v>105.5</v>
      </c>
      <c r="K70" s="11">
        <f t="shared" si="3"/>
        <v>105500</v>
      </c>
      <c r="L70" s="17">
        <v>150</v>
      </c>
      <c r="M70" s="11">
        <v>316</v>
      </c>
      <c r="N70" s="11">
        <v>0</v>
      </c>
      <c r="O70" s="13">
        <f t="shared" si="4"/>
        <v>0</v>
      </c>
      <c r="P70" s="14">
        <f t="shared" si="5"/>
        <v>-10139</v>
      </c>
      <c r="Q70" s="14">
        <f t="shared" si="6"/>
        <v>0</v>
      </c>
      <c r="R70" s="14"/>
      <c r="S70" s="14">
        <v>10</v>
      </c>
      <c r="T70" s="14">
        <f t="shared" si="7"/>
        <v>0</v>
      </c>
      <c r="U70" s="69">
        <f t="shared" si="8"/>
        <v>0</v>
      </c>
      <c r="V70" s="69"/>
      <c r="W70" s="70">
        <v>0.11</v>
      </c>
      <c r="X70" s="15">
        <f t="shared" si="9"/>
        <v>-8.8165217391304354E-2</v>
      </c>
      <c r="Y70" s="16">
        <f>VLOOKUP(C70,台股行情!A:D,4,FALSE)</f>
        <v>483.5</v>
      </c>
      <c r="Z70" s="38">
        <f>VLOOKUP(C70,台股行情!A:E,5,FALSE)</f>
        <v>-39.5</v>
      </c>
      <c r="AA70" s="90">
        <f t="shared" ca="1" si="1"/>
        <v>17947.103274559195</v>
      </c>
      <c r="AB70" s="103" t="s">
        <v>2729</v>
      </c>
    </row>
    <row r="71" spans="1:28" outlineLevel="1">
      <c r="A71" s="99">
        <v>44210</v>
      </c>
      <c r="B71" s="11" t="s">
        <v>19</v>
      </c>
      <c r="C71" s="11">
        <v>2409</v>
      </c>
      <c r="D71" s="11" t="s">
        <v>1665</v>
      </c>
      <c r="E71" s="11">
        <v>2000</v>
      </c>
      <c r="F71" s="11">
        <v>15.25</v>
      </c>
      <c r="G71" s="11">
        <f t="shared" si="2"/>
        <v>30500</v>
      </c>
      <c r="H71" s="11">
        <v>163</v>
      </c>
      <c r="I71" s="104">
        <v>44260</v>
      </c>
      <c r="J71" s="16">
        <v>18.399999999999999</v>
      </c>
      <c r="K71" s="11">
        <f t="shared" si="3"/>
        <v>36800</v>
      </c>
      <c r="L71" s="17">
        <v>52</v>
      </c>
      <c r="M71" s="11">
        <v>110</v>
      </c>
      <c r="N71" s="11">
        <v>0</v>
      </c>
      <c r="O71" s="13">
        <f t="shared" si="4"/>
        <v>0</v>
      </c>
      <c r="P71" s="14">
        <f t="shared" si="5"/>
        <v>5965</v>
      </c>
      <c r="Q71" s="14">
        <f t="shared" si="6"/>
        <v>0</v>
      </c>
      <c r="R71" s="14"/>
      <c r="S71" s="14">
        <v>10</v>
      </c>
      <c r="T71" s="14">
        <f t="shared" si="7"/>
        <v>0</v>
      </c>
      <c r="U71" s="69">
        <f t="shared" si="8"/>
        <v>0</v>
      </c>
      <c r="V71" s="69"/>
      <c r="W71" s="70">
        <v>0.11</v>
      </c>
      <c r="X71" s="15">
        <f t="shared" si="9"/>
        <v>0.19557377049180327</v>
      </c>
      <c r="Y71" s="16">
        <f>VLOOKUP(C71,台股行情!A:D,4,FALSE)</f>
        <v>34.9</v>
      </c>
      <c r="Z71" s="38">
        <f>VLOOKUP(C71,台股行情!A:E,5,FALSE)</f>
        <v>-1.35</v>
      </c>
      <c r="AA71" s="90">
        <f t="shared" ca="1" si="1"/>
        <v>4175.3367648669364</v>
      </c>
      <c r="AB71" s="103" t="s">
        <v>2729</v>
      </c>
    </row>
    <row r="72" spans="1:28" outlineLevel="1">
      <c r="A72" s="99">
        <v>44221</v>
      </c>
      <c r="B72" s="11" t="s">
        <v>19</v>
      </c>
      <c r="C72" s="11">
        <v>2603</v>
      </c>
      <c r="D72" s="11" t="s">
        <v>241</v>
      </c>
      <c r="E72" s="11">
        <v>1000</v>
      </c>
      <c r="F72" s="11">
        <v>35.9</v>
      </c>
      <c r="G72" s="11">
        <f t="shared" si="2"/>
        <v>35900</v>
      </c>
      <c r="H72" s="11">
        <v>51</v>
      </c>
      <c r="I72" s="104">
        <v>44260</v>
      </c>
      <c r="J72" s="16">
        <v>37.299999999999997</v>
      </c>
      <c r="K72" s="11">
        <f t="shared" si="3"/>
        <v>37300</v>
      </c>
      <c r="L72" s="17">
        <v>53</v>
      </c>
      <c r="M72" s="11">
        <v>111</v>
      </c>
      <c r="N72" s="11">
        <v>0</v>
      </c>
      <c r="O72" s="13">
        <f t="shared" si="4"/>
        <v>0</v>
      </c>
      <c r="P72" s="14">
        <f t="shared" si="5"/>
        <v>1175</v>
      </c>
      <c r="Q72" s="14">
        <f t="shared" si="6"/>
        <v>0</v>
      </c>
      <c r="R72" s="14"/>
      <c r="S72" s="14">
        <v>10</v>
      </c>
      <c r="T72" s="14">
        <f t="shared" si="7"/>
        <v>0</v>
      </c>
      <c r="U72" s="69">
        <f t="shared" si="8"/>
        <v>0</v>
      </c>
      <c r="V72" s="69"/>
      <c r="W72" s="70">
        <v>0.11</v>
      </c>
      <c r="X72" s="15">
        <f t="shared" si="9"/>
        <v>3.2729805013927575E-2</v>
      </c>
      <c r="Y72" s="16">
        <f>VLOOKUP(C72,台股行情!A:D,4,FALSE)</f>
        <v>257</v>
      </c>
      <c r="Z72" s="38">
        <f>VLOOKUP(C72,台股行情!A:E,5,FALSE)</f>
        <v>-6</v>
      </c>
      <c r="AA72" s="90">
        <f t="shared" ca="1" si="1"/>
        <v>3833.3698390099657</v>
      </c>
      <c r="AB72" s="103" t="s">
        <v>2729</v>
      </c>
    </row>
    <row r="73" spans="1:28" outlineLevel="1">
      <c r="A73" s="99">
        <v>44232</v>
      </c>
      <c r="B73" s="11" t="s">
        <v>19</v>
      </c>
      <c r="C73" s="11">
        <v>2357</v>
      </c>
      <c r="D73" s="11" t="s">
        <v>115</v>
      </c>
      <c r="E73" s="11">
        <v>1000</v>
      </c>
      <c r="F73" s="11">
        <v>287</v>
      </c>
      <c r="G73" s="11">
        <f t="shared" si="2"/>
        <v>287000</v>
      </c>
      <c r="H73" s="11">
        <v>408</v>
      </c>
      <c r="I73" s="104">
        <v>44260</v>
      </c>
      <c r="J73" s="16">
        <v>311</v>
      </c>
      <c r="K73" s="11">
        <f t="shared" si="3"/>
        <v>311000</v>
      </c>
      <c r="L73" s="17">
        <v>443</v>
      </c>
      <c r="M73" s="11">
        <v>933</v>
      </c>
      <c r="N73" s="11">
        <v>0</v>
      </c>
      <c r="O73" s="13">
        <f t="shared" si="4"/>
        <v>0</v>
      </c>
      <c r="P73" s="14">
        <f t="shared" ref="P73:P136" si="10">IF(I73="",R73-H73,(K73-H73-SUM(L73:N73)+R73-S73-T73)-G73)+(ROUND(R73*V73,0)-ROUND(R73*(1+V73),0)*W73)</f>
        <v>22206</v>
      </c>
      <c r="Q73" s="14">
        <f t="shared" si="6"/>
        <v>0</v>
      </c>
      <c r="R73" s="14"/>
      <c r="S73" s="14">
        <v>10</v>
      </c>
      <c r="T73" s="14">
        <f t="shared" si="7"/>
        <v>0</v>
      </c>
      <c r="U73" s="69">
        <f t="shared" si="8"/>
        <v>0</v>
      </c>
      <c r="V73" s="69"/>
      <c r="W73" s="70">
        <v>0.11</v>
      </c>
      <c r="X73" s="15">
        <f t="shared" si="9"/>
        <v>7.7372822299651561E-2</v>
      </c>
      <c r="Y73" s="16">
        <f>VLOOKUP(C73,台股行情!A:D,4,FALSE)</f>
        <v>975</v>
      </c>
      <c r="Z73" s="38">
        <f>VLOOKUP(C73,台股行情!A:E,5,FALSE)</f>
        <v>-15</v>
      </c>
      <c r="AA73" s="90">
        <f t="shared" ca="1" si="1"/>
        <v>22001.971306538166</v>
      </c>
      <c r="AB73" s="103" t="s">
        <v>2729</v>
      </c>
    </row>
    <row r="74" spans="1:28" outlineLevel="1">
      <c r="A74" s="99">
        <v>44249</v>
      </c>
      <c r="B74" s="11" t="s">
        <v>19</v>
      </c>
      <c r="C74" s="11">
        <v>1513</v>
      </c>
      <c r="D74" s="11" t="s">
        <v>408</v>
      </c>
      <c r="E74" s="11">
        <v>1000</v>
      </c>
      <c r="F74" s="11">
        <v>51.5</v>
      </c>
      <c r="G74" s="11">
        <f t="shared" si="2"/>
        <v>51500</v>
      </c>
      <c r="H74" s="11">
        <v>73</v>
      </c>
      <c r="I74" s="104">
        <v>44260</v>
      </c>
      <c r="J74" s="16">
        <v>51.1</v>
      </c>
      <c r="K74" s="11">
        <f t="shared" si="3"/>
        <v>51100</v>
      </c>
      <c r="L74" s="17">
        <v>72</v>
      </c>
      <c r="M74" s="11">
        <v>153</v>
      </c>
      <c r="N74" s="11">
        <v>0</v>
      </c>
      <c r="O74" s="13">
        <f t="shared" si="4"/>
        <v>0</v>
      </c>
      <c r="P74" s="14">
        <f t="shared" si="10"/>
        <v>-708</v>
      </c>
      <c r="Q74" s="14">
        <f t="shared" si="6"/>
        <v>0</v>
      </c>
      <c r="R74" s="14"/>
      <c r="S74" s="14">
        <v>10</v>
      </c>
      <c r="T74" s="14">
        <f t="shared" si="7"/>
        <v>0</v>
      </c>
      <c r="U74" s="69">
        <f t="shared" si="8"/>
        <v>0</v>
      </c>
      <c r="V74" s="69"/>
      <c r="W74" s="70">
        <v>0.11</v>
      </c>
      <c r="X74" s="15">
        <f t="shared" si="9"/>
        <v>-1.374757281553398E-2</v>
      </c>
      <c r="Y74" s="16">
        <f>VLOOKUP(C74,台股行情!A:D,4,FALSE)</f>
        <v>165</v>
      </c>
      <c r="Z74" s="38">
        <f>VLOOKUP(C74,台股行情!A:E,5,FALSE)</f>
        <v>-3.5</v>
      </c>
      <c r="AA74" s="90">
        <f t="shared" ca="1" si="1"/>
        <v>1551.0349359325376</v>
      </c>
      <c r="AB74" s="103" t="s">
        <v>2729</v>
      </c>
    </row>
    <row r="75" spans="1:28" outlineLevel="1">
      <c r="A75" s="99">
        <v>44249</v>
      </c>
      <c r="B75" s="11" t="s">
        <v>19</v>
      </c>
      <c r="C75" s="11">
        <v>2393</v>
      </c>
      <c r="D75" s="11" t="s">
        <v>409</v>
      </c>
      <c r="E75" s="11">
        <v>1000</v>
      </c>
      <c r="F75" s="11">
        <v>47.75</v>
      </c>
      <c r="G75" s="11">
        <f t="shared" si="2"/>
        <v>47750</v>
      </c>
      <c r="H75" s="11">
        <v>65</v>
      </c>
      <c r="I75" s="104">
        <v>44260</v>
      </c>
      <c r="J75" s="16">
        <v>44.1</v>
      </c>
      <c r="K75" s="11">
        <f t="shared" si="3"/>
        <v>44100</v>
      </c>
      <c r="L75" s="17">
        <v>62</v>
      </c>
      <c r="M75" s="11">
        <v>132</v>
      </c>
      <c r="N75" s="11">
        <v>0</v>
      </c>
      <c r="O75" s="13">
        <f t="shared" si="4"/>
        <v>0</v>
      </c>
      <c r="P75" s="14">
        <f t="shared" si="10"/>
        <v>-3919</v>
      </c>
      <c r="Q75" s="14">
        <f t="shared" si="6"/>
        <v>0</v>
      </c>
      <c r="R75" s="14"/>
      <c r="S75" s="14">
        <v>10</v>
      </c>
      <c r="T75" s="14">
        <f t="shared" si="7"/>
        <v>0</v>
      </c>
      <c r="U75" s="69">
        <f t="shared" si="8"/>
        <v>0</v>
      </c>
      <c r="V75" s="69"/>
      <c r="W75" s="70">
        <v>0.11</v>
      </c>
      <c r="X75" s="15">
        <f t="shared" si="9"/>
        <v>-8.2073298429319375E-2</v>
      </c>
      <c r="Y75" s="16">
        <f>VLOOKUP(C75,台股行情!A:D,4,FALSE)</f>
        <v>68.400000000000006</v>
      </c>
      <c r="Z75" s="38">
        <f>VLOOKUP(C75,台股行情!A:E,5,FALSE)</f>
        <v>0.1</v>
      </c>
      <c r="AA75" s="90">
        <f t="shared" ca="1" si="1"/>
        <v>1438.0954988500712</v>
      </c>
      <c r="AB75" s="103" t="s">
        <v>2729</v>
      </c>
    </row>
    <row r="76" spans="1:28" outlineLevel="1">
      <c r="A76" s="99">
        <v>44249</v>
      </c>
      <c r="B76" s="11" t="s">
        <v>19</v>
      </c>
      <c r="C76" s="11">
        <v>2456</v>
      </c>
      <c r="D76" s="208" t="s">
        <v>179</v>
      </c>
      <c r="E76" s="11">
        <v>1000</v>
      </c>
      <c r="F76" s="11">
        <v>107</v>
      </c>
      <c r="G76" s="11">
        <f t="shared" si="2"/>
        <v>107000</v>
      </c>
      <c r="H76" s="11">
        <v>152</v>
      </c>
      <c r="I76" s="104">
        <v>44260</v>
      </c>
      <c r="J76" s="16">
        <v>109</v>
      </c>
      <c r="K76" s="11">
        <f t="shared" si="3"/>
        <v>109000</v>
      </c>
      <c r="L76" s="17">
        <v>155</v>
      </c>
      <c r="M76" s="11">
        <v>327</v>
      </c>
      <c r="N76" s="11">
        <v>0</v>
      </c>
      <c r="O76" s="13">
        <f t="shared" si="4"/>
        <v>0</v>
      </c>
      <c r="P76" s="14">
        <f t="shared" si="10"/>
        <v>1356</v>
      </c>
      <c r="Q76" s="14">
        <f t="shared" si="6"/>
        <v>0</v>
      </c>
      <c r="R76" s="14"/>
      <c r="S76" s="14">
        <v>10</v>
      </c>
      <c r="T76" s="14">
        <f t="shared" si="7"/>
        <v>0</v>
      </c>
      <c r="U76" s="69">
        <f t="shared" si="8"/>
        <v>0</v>
      </c>
      <c r="V76" s="69"/>
      <c r="W76" s="70">
        <v>0.11</v>
      </c>
      <c r="X76" s="15">
        <f t="shared" si="9"/>
        <v>1.2672897196261683E-2</v>
      </c>
      <c r="Y76" s="16" t="e">
        <f>VLOOKUP(C76,台股行情!A:D,4,FALSE)</f>
        <v>#N/A</v>
      </c>
      <c r="Z76" s="38" t="e">
        <f>VLOOKUP(C76,台股行情!A:E,5,FALSE)</f>
        <v>#N/A</v>
      </c>
      <c r="AA76" s="90">
        <f t="shared" ca="1" si="1"/>
        <v>3222.5386047530392</v>
      </c>
      <c r="AB76" s="103" t="s">
        <v>2729</v>
      </c>
    </row>
    <row r="77" spans="1:28" outlineLevel="1">
      <c r="A77" s="99">
        <v>44250</v>
      </c>
      <c r="B77" s="11" t="s">
        <v>19</v>
      </c>
      <c r="C77" s="11">
        <v>2344</v>
      </c>
      <c r="D77" s="11" t="s">
        <v>1550</v>
      </c>
      <c r="E77" s="11">
        <v>1000</v>
      </c>
      <c r="F77" s="11">
        <v>30.55</v>
      </c>
      <c r="G77" s="11">
        <f t="shared" si="2"/>
        <v>30550</v>
      </c>
      <c r="H77" s="11">
        <v>43</v>
      </c>
      <c r="I77" s="104">
        <v>44260</v>
      </c>
      <c r="J77" s="16">
        <v>27.75</v>
      </c>
      <c r="K77" s="11">
        <f t="shared" si="3"/>
        <v>27750</v>
      </c>
      <c r="L77" s="17">
        <v>39</v>
      </c>
      <c r="M77" s="11">
        <v>83</v>
      </c>
      <c r="N77" s="11">
        <v>0</v>
      </c>
      <c r="O77" s="13">
        <f t="shared" si="4"/>
        <v>0</v>
      </c>
      <c r="P77" s="14">
        <f t="shared" si="10"/>
        <v>-2975</v>
      </c>
      <c r="Q77" s="14">
        <f t="shared" si="6"/>
        <v>0</v>
      </c>
      <c r="R77" s="14"/>
      <c r="S77" s="14">
        <v>10</v>
      </c>
      <c r="T77" s="14">
        <f t="shared" si="7"/>
        <v>0</v>
      </c>
      <c r="U77" s="69">
        <f t="shared" si="8"/>
        <v>0</v>
      </c>
      <c r="V77" s="69"/>
      <c r="W77" s="70">
        <v>0.11</v>
      </c>
      <c r="X77" s="15">
        <f t="shared" si="9"/>
        <v>-9.7381342062193121E-2</v>
      </c>
      <c r="Y77" s="16">
        <f>VLOOKUP(C77,台股行情!A:D,4,FALSE)</f>
        <v>155</v>
      </c>
      <c r="Z77" s="38">
        <f>VLOOKUP(C77,台股行情!A:E,5,FALSE)</f>
        <v>-10</v>
      </c>
      <c r="AA77" s="90">
        <f t="shared" ca="1" si="1"/>
        <v>836.4363158471142</v>
      </c>
      <c r="AB77" s="103" t="s">
        <v>2729</v>
      </c>
    </row>
    <row r="78" spans="1:28" outlineLevel="1">
      <c r="A78" s="99">
        <v>44251</v>
      </c>
      <c r="B78" s="11" t="s">
        <v>19</v>
      </c>
      <c r="C78" s="11">
        <v>2890</v>
      </c>
      <c r="D78" s="11" t="s">
        <v>852</v>
      </c>
      <c r="E78" s="11">
        <v>1000</v>
      </c>
      <c r="F78" s="11">
        <v>11.8</v>
      </c>
      <c r="G78" s="11">
        <f t="shared" si="2"/>
        <v>11800</v>
      </c>
      <c r="H78" s="11">
        <v>20</v>
      </c>
      <c r="I78" s="104">
        <v>44260</v>
      </c>
      <c r="J78" s="16">
        <v>11.65</v>
      </c>
      <c r="K78" s="11">
        <f t="shared" si="3"/>
        <v>11650</v>
      </c>
      <c r="L78" s="17">
        <v>20</v>
      </c>
      <c r="M78" s="11">
        <v>34</v>
      </c>
      <c r="N78" s="11">
        <v>0</v>
      </c>
      <c r="O78" s="13">
        <f t="shared" si="4"/>
        <v>0</v>
      </c>
      <c r="P78" s="14">
        <f t="shared" si="10"/>
        <v>-234</v>
      </c>
      <c r="Q78" s="14">
        <f t="shared" si="6"/>
        <v>0</v>
      </c>
      <c r="R78" s="14"/>
      <c r="S78" s="14">
        <v>10</v>
      </c>
      <c r="T78" s="14">
        <f t="shared" si="7"/>
        <v>0</v>
      </c>
      <c r="U78" s="69">
        <f t="shared" si="8"/>
        <v>0</v>
      </c>
      <c r="V78" s="69"/>
      <c r="W78" s="70">
        <v>0.11</v>
      </c>
      <c r="X78" s="15">
        <f t="shared" si="9"/>
        <v>-1.9830508474576271E-2</v>
      </c>
      <c r="Y78" s="16">
        <f>VLOOKUP(C78,台股行情!A:D,4,FALSE)</f>
        <v>45.6</v>
      </c>
      <c r="Z78" s="38">
        <f>VLOOKUP(C78,台股行情!A:E,5,FALSE)</f>
        <v>1.55</v>
      </c>
      <c r="AA78" s="90">
        <f t="shared" ca="1" si="1"/>
        <v>290.76771437958604</v>
      </c>
      <c r="AB78" s="103" t="s">
        <v>2729</v>
      </c>
    </row>
    <row r="79" spans="1:28" outlineLevel="1">
      <c r="A79" s="99">
        <v>44251</v>
      </c>
      <c r="B79" s="11" t="s">
        <v>19</v>
      </c>
      <c r="C79" s="11">
        <v>2891</v>
      </c>
      <c r="D79" s="11" t="s">
        <v>853</v>
      </c>
      <c r="E79" s="11">
        <v>1000</v>
      </c>
      <c r="F79" s="11">
        <v>20.8</v>
      </c>
      <c r="G79" s="11">
        <f t="shared" si="2"/>
        <v>20800</v>
      </c>
      <c r="H79" s="11">
        <v>29</v>
      </c>
      <c r="I79" s="104">
        <v>44260</v>
      </c>
      <c r="J79" s="16">
        <v>20.149999999999999</v>
      </c>
      <c r="K79" s="11">
        <f t="shared" si="3"/>
        <v>20150</v>
      </c>
      <c r="L79" s="17">
        <v>28</v>
      </c>
      <c r="M79" s="11">
        <v>60</v>
      </c>
      <c r="N79" s="11">
        <v>0</v>
      </c>
      <c r="O79" s="13">
        <f t="shared" si="4"/>
        <v>0</v>
      </c>
      <c r="P79" s="14">
        <f t="shared" si="10"/>
        <v>-777</v>
      </c>
      <c r="Q79" s="14">
        <f t="shared" si="6"/>
        <v>0</v>
      </c>
      <c r="R79" s="14"/>
      <c r="S79" s="14">
        <v>10</v>
      </c>
      <c r="T79" s="14">
        <f t="shared" si="7"/>
        <v>0</v>
      </c>
      <c r="U79" s="69">
        <f t="shared" si="8"/>
        <v>0</v>
      </c>
      <c r="V79" s="69"/>
      <c r="W79" s="70">
        <v>0.11</v>
      </c>
      <c r="X79" s="15">
        <f t="shared" si="9"/>
        <v>-3.7355769230769234E-2</v>
      </c>
      <c r="Y79" s="16">
        <f>VLOOKUP(C79,台股行情!A:D,4,FALSE)</f>
        <v>72.900000000000006</v>
      </c>
      <c r="Z79" s="38">
        <f>VLOOKUP(C79,台股行情!A:E,5,FALSE)</f>
        <v>1.5</v>
      </c>
      <c r="AA79" s="90">
        <f t="shared" ca="1" si="1"/>
        <v>512.53969992333805</v>
      </c>
      <c r="AB79" s="103" t="s">
        <v>2729</v>
      </c>
    </row>
    <row r="80" spans="1:28" outlineLevel="1">
      <c r="A80" s="99">
        <v>44251</v>
      </c>
      <c r="B80" s="11" t="s">
        <v>19</v>
      </c>
      <c r="C80" s="11">
        <v>1301</v>
      </c>
      <c r="D80" s="11" t="s">
        <v>460</v>
      </c>
      <c r="E80" s="11">
        <v>1000</v>
      </c>
      <c r="F80" s="11">
        <v>100</v>
      </c>
      <c r="G80" s="11">
        <f t="shared" si="2"/>
        <v>100000</v>
      </c>
      <c r="H80" s="11">
        <v>142</v>
      </c>
      <c r="I80" s="104">
        <v>44267</v>
      </c>
      <c r="J80" s="16">
        <v>104.5</v>
      </c>
      <c r="K80" s="11">
        <f t="shared" si="3"/>
        <v>104500</v>
      </c>
      <c r="L80" s="17">
        <v>148</v>
      </c>
      <c r="M80" s="11">
        <v>313</v>
      </c>
      <c r="N80" s="11">
        <v>0</v>
      </c>
      <c r="O80" s="13">
        <f t="shared" si="4"/>
        <v>0</v>
      </c>
      <c r="P80" s="14">
        <f t="shared" si="10"/>
        <v>3887</v>
      </c>
      <c r="Q80" s="14">
        <f t="shared" si="6"/>
        <v>0</v>
      </c>
      <c r="R80" s="14"/>
      <c r="S80" s="14">
        <v>10</v>
      </c>
      <c r="T80" s="14">
        <f t="shared" si="7"/>
        <v>0</v>
      </c>
      <c r="U80" s="69">
        <f t="shared" si="8"/>
        <v>0</v>
      </c>
      <c r="V80" s="69"/>
      <c r="W80" s="70">
        <v>0.11</v>
      </c>
      <c r="X80" s="15">
        <f t="shared" si="9"/>
        <v>3.8870000000000002E-2</v>
      </c>
      <c r="Y80" s="16">
        <f>VLOOKUP(C80,台股行情!A:D,4,FALSE)</f>
        <v>81.7</v>
      </c>
      <c r="Z80" s="38">
        <f>VLOOKUP(C80,台股行情!A:E,5,FALSE)</f>
        <v>-7.2</v>
      </c>
      <c r="AA80" s="90">
        <f t="shared" ca="1" si="1"/>
        <v>4380.6811959259667</v>
      </c>
      <c r="AB80" s="103" t="s">
        <v>2729</v>
      </c>
    </row>
    <row r="81" spans="1:28" outlineLevel="1">
      <c r="A81" s="99">
        <v>44251</v>
      </c>
      <c r="B81" s="11" t="s">
        <v>19</v>
      </c>
      <c r="C81" s="11">
        <v>1305</v>
      </c>
      <c r="D81" s="11" t="s">
        <v>462</v>
      </c>
      <c r="E81" s="11">
        <v>1000</v>
      </c>
      <c r="F81" s="11">
        <v>29.85</v>
      </c>
      <c r="G81" s="11">
        <f t="shared" si="2"/>
        <v>29850</v>
      </c>
      <c r="H81" s="11">
        <v>42</v>
      </c>
      <c r="I81" s="104">
        <v>44267</v>
      </c>
      <c r="J81" s="16">
        <v>33.049999999999997</v>
      </c>
      <c r="K81" s="11">
        <f t="shared" si="3"/>
        <v>33050</v>
      </c>
      <c r="L81" s="17">
        <v>47</v>
      </c>
      <c r="M81" s="11">
        <v>99</v>
      </c>
      <c r="N81" s="11">
        <v>0</v>
      </c>
      <c r="O81" s="13">
        <f t="shared" si="4"/>
        <v>0</v>
      </c>
      <c r="P81" s="14">
        <f t="shared" si="10"/>
        <v>3002</v>
      </c>
      <c r="Q81" s="14">
        <f t="shared" si="6"/>
        <v>0</v>
      </c>
      <c r="R81" s="14"/>
      <c r="S81" s="14">
        <v>10</v>
      </c>
      <c r="T81" s="14">
        <f t="shared" si="7"/>
        <v>0</v>
      </c>
      <c r="U81" s="69">
        <f t="shared" si="8"/>
        <v>0</v>
      </c>
      <c r="V81" s="69"/>
      <c r="W81" s="70">
        <v>0.11</v>
      </c>
      <c r="X81" s="15">
        <f t="shared" si="9"/>
        <v>0.10056951423785594</v>
      </c>
      <c r="Y81" s="16">
        <f>VLOOKUP(C81,台股行情!A:D,4,FALSE)</f>
        <v>13.15</v>
      </c>
      <c r="Z81" s="38">
        <f>VLOOKUP(C81,台股行情!A:E,5,FALSE)</f>
        <v>-0.55000000000000004</v>
      </c>
      <c r="AA81" s="90">
        <f t="shared" ca="1" si="1"/>
        <v>1307.633336983901</v>
      </c>
      <c r="AB81" s="103" t="s">
        <v>2729</v>
      </c>
    </row>
    <row r="82" spans="1:28" outlineLevel="1">
      <c r="A82" s="99">
        <v>44251</v>
      </c>
      <c r="B82" s="11" t="s">
        <v>19</v>
      </c>
      <c r="C82" s="11">
        <v>1802</v>
      </c>
      <c r="D82" s="11" t="s">
        <v>609</v>
      </c>
      <c r="E82" s="11">
        <v>2000</v>
      </c>
      <c r="F82" s="11">
        <v>19.649999999999999</v>
      </c>
      <c r="G82" s="11">
        <f t="shared" si="2"/>
        <v>39300</v>
      </c>
      <c r="H82" s="11">
        <v>56</v>
      </c>
      <c r="I82" s="104">
        <v>44267</v>
      </c>
      <c r="J82" s="16">
        <v>20.05</v>
      </c>
      <c r="K82" s="11">
        <f t="shared" si="3"/>
        <v>40100</v>
      </c>
      <c r="L82" s="17">
        <v>57</v>
      </c>
      <c r="M82" s="11">
        <v>120</v>
      </c>
      <c r="N82" s="11">
        <v>0</v>
      </c>
      <c r="O82" s="13">
        <f t="shared" si="4"/>
        <v>0</v>
      </c>
      <c r="P82" s="14">
        <f t="shared" si="10"/>
        <v>557</v>
      </c>
      <c r="Q82" s="14">
        <f t="shared" si="6"/>
        <v>0</v>
      </c>
      <c r="R82" s="14"/>
      <c r="S82" s="14">
        <v>10</v>
      </c>
      <c r="T82" s="14">
        <f t="shared" si="7"/>
        <v>0</v>
      </c>
      <c r="U82" s="69">
        <f t="shared" si="8"/>
        <v>0</v>
      </c>
      <c r="V82" s="69"/>
      <c r="W82" s="70">
        <v>0.11</v>
      </c>
      <c r="X82" s="15">
        <f t="shared" si="9"/>
        <v>1.4173027989821884E-2</v>
      </c>
      <c r="Y82" s="16">
        <f>VLOOKUP(C82,台股行情!A:D,4,FALSE)</f>
        <v>62.7</v>
      </c>
      <c r="Z82" s="38">
        <f>VLOOKUP(C82,台股行情!A:E,5,FALSE)</f>
        <v>-4.3</v>
      </c>
      <c r="AA82" s="90">
        <f t="shared" ca="1" si="1"/>
        <v>1721.6077099989047</v>
      </c>
      <c r="AB82" s="103" t="s">
        <v>2729</v>
      </c>
    </row>
    <row r="83" spans="1:28" outlineLevel="1">
      <c r="A83" s="99">
        <v>44251</v>
      </c>
      <c r="B83" s="11" t="s">
        <v>19</v>
      </c>
      <c r="C83" s="11">
        <v>2002</v>
      </c>
      <c r="D83" s="11" t="s">
        <v>240</v>
      </c>
      <c r="E83" s="11">
        <v>1000</v>
      </c>
      <c r="F83" s="11">
        <v>25.45</v>
      </c>
      <c r="G83" s="11">
        <f t="shared" si="2"/>
        <v>25450</v>
      </c>
      <c r="H83" s="11">
        <v>36</v>
      </c>
      <c r="I83" s="104">
        <v>44267</v>
      </c>
      <c r="J83" s="16">
        <v>25.8</v>
      </c>
      <c r="K83" s="11">
        <f t="shared" si="3"/>
        <v>25800</v>
      </c>
      <c r="L83" s="17">
        <v>36</v>
      </c>
      <c r="M83" s="11">
        <v>77</v>
      </c>
      <c r="N83" s="11">
        <v>0</v>
      </c>
      <c r="O83" s="13">
        <f t="shared" si="4"/>
        <v>0</v>
      </c>
      <c r="P83" s="14">
        <f t="shared" si="10"/>
        <v>191</v>
      </c>
      <c r="Q83" s="14">
        <f t="shared" si="6"/>
        <v>0</v>
      </c>
      <c r="R83" s="14"/>
      <c r="S83" s="14">
        <v>10</v>
      </c>
      <c r="T83" s="14">
        <f t="shared" si="7"/>
        <v>0</v>
      </c>
      <c r="U83" s="69">
        <f t="shared" si="8"/>
        <v>0</v>
      </c>
      <c r="V83" s="69"/>
      <c r="W83" s="70">
        <v>0.11</v>
      </c>
      <c r="X83" s="15">
        <f t="shared" si="9"/>
        <v>7.5049115913555994E-3</v>
      </c>
      <c r="Y83" s="16">
        <f>VLOOKUP(C83,台股行情!A:D,4,FALSE)</f>
        <v>19.25</v>
      </c>
      <c r="Z83" s="38">
        <f>VLOOKUP(C83,台股行情!A:E,5,FALSE)</f>
        <v>-0.25</v>
      </c>
      <c r="AA83" s="90">
        <f t="shared" ca="1" si="1"/>
        <v>1114.8833643631585</v>
      </c>
      <c r="AB83" s="103" t="s">
        <v>2729</v>
      </c>
    </row>
    <row r="84" spans="1:28" outlineLevel="1">
      <c r="A84" s="99">
        <v>44267</v>
      </c>
      <c r="B84" s="11" t="s">
        <v>19</v>
      </c>
      <c r="C84" s="11">
        <v>2338</v>
      </c>
      <c r="D84" s="11" t="s">
        <v>681</v>
      </c>
      <c r="E84" s="11">
        <v>2000</v>
      </c>
      <c r="F84" s="11">
        <v>51.4</v>
      </c>
      <c r="G84" s="11">
        <f t="shared" si="2"/>
        <v>102800</v>
      </c>
      <c r="H84" s="11">
        <v>73</v>
      </c>
      <c r="I84" s="104">
        <v>44267</v>
      </c>
      <c r="J84" s="16">
        <v>53.7</v>
      </c>
      <c r="K84" s="11">
        <f t="shared" si="3"/>
        <v>107400</v>
      </c>
      <c r="L84" s="17">
        <v>76</v>
      </c>
      <c r="M84" s="11">
        <v>80</v>
      </c>
      <c r="N84" s="11">
        <v>0</v>
      </c>
      <c r="O84" s="13">
        <f t="shared" si="4"/>
        <v>0</v>
      </c>
      <c r="P84" s="14">
        <f t="shared" si="10"/>
        <v>4361</v>
      </c>
      <c r="Q84" s="14">
        <f t="shared" si="6"/>
        <v>0</v>
      </c>
      <c r="R84" s="14"/>
      <c r="S84" s="14">
        <v>10</v>
      </c>
      <c r="T84" s="14">
        <f t="shared" si="7"/>
        <v>0</v>
      </c>
      <c r="U84" s="69">
        <f t="shared" si="8"/>
        <v>0</v>
      </c>
      <c r="V84" s="69"/>
      <c r="W84" s="70">
        <v>0.11</v>
      </c>
      <c r="X84" s="15">
        <f t="shared" si="9"/>
        <v>4.2422178988326849E-2</v>
      </c>
      <c r="Y84" s="16">
        <f>VLOOKUP(C84,台股行情!A:D,4,FALSE)</f>
        <v>44.55</v>
      </c>
      <c r="Z84" s="38">
        <f>VLOOKUP(C84,台股行情!A:E,5,FALSE)</f>
        <v>-1.75</v>
      </c>
      <c r="AA84" s="90">
        <f t="shared" ca="1" si="1"/>
        <v>0</v>
      </c>
      <c r="AB84" s="103" t="s">
        <v>2729</v>
      </c>
    </row>
    <row r="85" spans="1:28" outlineLevel="1">
      <c r="A85" s="99">
        <v>44267</v>
      </c>
      <c r="B85" s="11" t="s">
        <v>19</v>
      </c>
      <c r="C85" s="11">
        <v>6138</v>
      </c>
      <c r="D85" s="11" t="s">
        <v>1366</v>
      </c>
      <c r="E85" s="11">
        <v>1000</v>
      </c>
      <c r="F85" s="11">
        <v>114.5</v>
      </c>
      <c r="G85" s="11">
        <f t="shared" si="2"/>
        <v>114500</v>
      </c>
      <c r="H85" s="11">
        <v>163</v>
      </c>
      <c r="I85" s="104">
        <v>44267</v>
      </c>
      <c r="J85" s="16">
        <v>115.5</v>
      </c>
      <c r="K85" s="11">
        <f t="shared" si="3"/>
        <v>115500</v>
      </c>
      <c r="L85" s="17">
        <v>164</v>
      </c>
      <c r="M85" s="11">
        <v>173</v>
      </c>
      <c r="N85" s="11">
        <v>0</v>
      </c>
      <c r="O85" s="13">
        <f t="shared" si="4"/>
        <v>0</v>
      </c>
      <c r="P85" s="14">
        <f t="shared" si="10"/>
        <v>490</v>
      </c>
      <c r="Q85" s="14">
        <f t="shared" si="6"/>
        <v>0</v>
      </c>
      <c r="R85" s="14"/>
      <c r="S85" s="14">
        <v>10</v>
      </c>
      <c r="T85" s="14">
        <f t="shared" si="7"/>
        <v>0</v>
      </c>
      <c r="U85" s="69">
        <f t="shared" si="8"/>
        <v>0</v>
      </c>
      <c r="V85" s="69"/>
      <c r="W85" s="70">
        <v>0.11</v>
      </c>
      <c r="X85" s="15">
        <f t="shared" si="9"/>
        <v>4.2794759825327509E-3</v>
      </c>
      <c r="Y85" s="16">
        <f>VLOOKUP(C85,台股行情!A:D,4,FALSE)</f>
        <v>255</v>
      </c>
      <c r="Z85" s="38">
        <f>VLOOKUP(C85,台股行情!A:E,5,FALSE)</f>
        <v>-9.5</v>
      </c>
      <c r="AA85" s="90">
        <f t="shared" ca="1" si="1"/>
        <v>0</v>
      </c>
      <c r="AB85" s="103" t="s">
        <v>2729</v>
      </c>
    </row>
    <row r="86" spans="1:28" outlineLevel="1">
      <c r="A86" s="99">
        <v>44270</v>
      </c>
      <c r="B86" s="11" t="s">
        <v>19</v>
      </c>
      <c r="C86" s="11">
        <v>4953</v>
      </c>
      <c r="D86" s="11" t="s">
        <v>1213</v>
      </c>
      <c r="E86" s="11">
        <v>1000</v>
      </c>
      <c r="F86" s="11">
        <v>107</v>
      </c>
      <c r="G86" s="11">
        <f t="shared" si="2"/>
        <v>107000</v>
      </c>
      <c r="H86" s="11">
        <v>152</v>
      </c>
      <c r="I86" s="104">
        <v>44270</v>
      </c>
      <c r="J86" s="16">
        <v>108</v>
      </c>
      <c r="K86" s="11">
        <f t="shared" si="3"/>
        <v>108000</v>
      </c>
      <c r="L86" s="17">
        <v>153</v>
      </c>
      <c r="M86" s="11">
        <v>162</v>
      </c>
      <c r="N86" s="11">
        <v>0</v>
      </c>
      <c r="O86" s="13">
        <f t="shared" si="4"/>
        <v>0</v>
      </c>
      <c r="P86" s="14">
        <f t="shared" si="10"/>
        <v>523</v>
      </c>
      <c r="Q86" s="14">
        <f t="shared" si="6"/>
        <v>0</v>
      </c>
      <c r="R86" s="14"/>
      <c r="S86" s="14">
        <v>10</v>
      </c>
      <c r="T86" s="14">
        <f t="shared" si="7"/>
        <v>0</v>
      </c>
      <c r="U86" s="69">
        <f t="shared" si="8"/>
        <v>0</v>
      </c>
      <c r="V86" s="69"/>
      <c r="W86" s="70">
        <v>0.11</v>
      </c>
      <c r="X86" s="15">
        <f t="shared" si="9"/>
        <v>4.8878504672897199E-3</v>
      </c>
      <c r="Y86" s="16">
        <f>VLOOKUP(C86,台股行情!A:D,4,FALSE)</f>
        <v>115.5</v>
      </c>
      <c r="Z86" s="38">
        <f>VLOOKUP(C86,台股行情!A:E,5,FALSE)</f>
        <v>-1.5</v>
      </c>
      <c r="AA86" s="90">
        <f t="shared" ref="AA86:AA143" ca="1" si="11">IF(I86="",((TODAY()-A86)*G86)/365.24,((I86-A86)*G86)/365.24)</f>
        <v>0</v>
      </c>
      <c r="AB86" s="103" t="s">
        <v>2729</v>
      </c>
    </row>
    <row r="87" spans="1:28" outlineLevel="1">
      <c r="A87" s="99">
        <v>44270</v>
      </c>
      <c r="B87" s="11" t="s">
        <v>19</v>
      </c>
      <c r="C87" s="11">
        <v>2338</v>
      </c>
      <c r="D87" s="11" t="s">
        <v>681</v>
      </c>
      <c r="E87" s="11">
        <v>1000</v>
      </c>
      <c r="F87" s="11">
        <v>53.9</v>
      </c>
      <c r="G87" s="11">
        <f t="shared" si="2"/>
        <v>53900</v>
      </c>
      <c r="H87" s="11">
        <v>76</v>
      </c>
      <c r="I87" s="104">
        <v>44271</v>
      </c>
      <c r="J87" s="16">
        <v>54.9</v>
      </c>
      <c r="K87" s="11">
        <f t="shared" si="3"/>
        <v>54900</v>
      </c>
      <c r="L87" s="17">
        <v>78</v>
      </c>
      <c r="M87" s="11">
        <v>164</v>
      </c>
      <c r="N87" s="11">
        <v>0</v>
      </c>
      <c r="O87" s="13">
        <f t="shared" si="4"/>
        <v>0</v>
      </c>
      <c r="P87" s="14">
        <f t="shared" si="10"/>
        <v>672</v>
      </c>
      <c r="Q87" s="14">
        <f t="shared" si="6"/>
        <v>0</v>
      </c>
      <c r="R87" s="14"/>
      <c r="S87" s="14">
        <v>10</v>
      </c>
      <c r="T87" s="14">
        <f t="shared" si="7"/>
        <v>0</v>
      </c>
      <c r="U87" s="69">
        <f t="shared" si="8"/>
        <v>0</v>
      </c>
      <c r="V87" s="69"/>
      <c r="W87" s="70">
        <v>0.11</v>
      </c>
      <c r="X87" s="15">
        <f t="shared" si="9"/>
        <v>1.2467532467532468E-2</v>
      </c>
      <c r="Y87" s="16">
        <f>VLOOKUP(C87,台股行情!A:D,4,FALSE)</f>
        <v>44.55</v>
      </c>
      <c r="Z87" s="38">
        <f>VLOOKUP(C87,台股行情!A:E,5,FALSE)</f>
        <v>-1.75</v>
      </c>
      <c r="AA87" s="90">
        <f t="shared" ca="1" si="11"/>
        <v>147.57419778775599</v>
      </c>
      <c r="AB87" s="103" t="s">
        <v>2729</v>
      </c>
    </row>
    <row r="88" spans="1:28" outlineLevel="1">
      <c r="A88" s="99">
        <v>44272</v>
      </c>
      <c r="B88" s="11" t="s">
        <v>19</v>
      </c>
      <c r="C88" s="11">
        <v>3092</v>
      </c>
      <c r="D88" s="11" t="s">
        <v>913</v>
      </c>
      <c r="E88" s="11">
        <v>1000</v>
      </c>
      <c r="F88" s="11">
        <v>78.8</v>
      </c>
      <c r="G88" s="11">
        <f t="shared" si="2"/>
        <v>78800</v>
      </c>
      <c r="H88" s="11">
        <v>112</v>
      </c>
      <c r="I88" s="104">
        <v>44277</v>
      </c>
      <c r="J88" s="16">
        <v>73.900000000000006</v>
      </c>
      <c r="K88" s="11">
        <f t="shared" si="3"/>
        <v>73900</v>
      </c>
      <c r="L88" s="17">
        <v>105</v>
      </c>
      <c r="M88" s="11">
        <v>221</v>
      </c>
      <c r="N88" s="11">
        <v>0</v>
      </c>
      <c r="O88" s="13">
        <f t="shared" si="4"/>
        <v>0</v>
      </c>
      <c r="P88" s="14">
        <f t="shared" si="10"/>
        <v>-5348</v>
      </c>
      <c r="Q88" s="14">
        <f t="shared" si="6"/>
        <v>0</v>
      </c>
      <c r="R88" s="14"/>
      <c r="S88" s="14">
        <v>10</v>
      </c>
      <c r="T88" s="14">
        <f t="shared" si="7"/>
        <v>0</v>
      </c>
      <c r="U88" s="69">
        <f t="shared" si="8"/>
        <v>0</v>
      </c>
      <c r="V88" s="69"/>
      <c r="W88" s="70">
        <v>0.11</v>
      </c>
      <c r="X88" s="15">
        <f t="shared" si="9"/>
        <v>-6.7868020304568524E-2</v>
      </c>
      <c r="Y88" s="16">
        <f>VLOOKUP(C88,台股行情!A:D,4,FALSE)</f>
        <v>22.95</v>
      </c>
      <c r="Z88" s="38">
        <f>VLOOKUP(C88,台股行情!A:E,5,FALSE)</f>
        <v>-0.4</v>
      </c>
      <c r="AA88" s="90">
        <f t="shared" ca="1" si="11"/>
        <v>1078.7427444967693</v>
      </c>
      <c r="AB88" s="103" t="s">
        <v>2729</v>
      </c>
    </row>
    <row r="89" spans="1:28" outlineLevel="1">
      <c r="A89" s="99">
        <v>44272</v>
      </c>
      <c r="B89" s="11" t="s">
        <v>19</v>
      </c>
      <c r="C89" s="11">
        <v>5243</v>
      </c>
      <c r="D89" s="11" t="s">
        <v>1248</v>
      </c>
      <c r="E89" s="11">
        <v>1000</v>
      </c>
      <c r="F89" s="11">
        <v>71.2</v>
      </c>
      <c r="G89" s="11">
        <f t="shared" si="2"/>
        <v>71200</v>
      </c>
      <c r="H89" s="11">
        <v>101</v>
      </c>
      <c r="I89" s="104">
        <v>44277</v>
      </c>
      <c r="J89" s="16">
        <v>71.8</v>
      </c>
      <c r="K89" s="11">
        <f t="shared" si="3"/>
        <v>71800</v>
      </c>
      <c r="L89" s="17">
        <v>102</v>
      </c>
      <c r="M89" s="11">
        <v>215</v>
      </c>
      <c r="N89" s="11">
        <v>0</v>
      </c>
      <c r="O89" s="13">
        <f t="shared" si="4"/>
        <v>0</v>
      </c>
      <c r="P89" s="14">
        <f t="shared" si="10"/>
        <v>172</v>
      </c>
      <c r="Q89" s="14">
        <f t="shared" si="6"/>
        <v>0</v>
      </c>
      <c r="R89" s="14"/>
      <c r="S89" s="14">
        <v>10</v>
      </c>
      <c r="T89" s="14">
        <f t="shared" si="7"/>
        <v>0</v>
      </c>
      <c r="U89" s="69">
        <f t="shared" si="8"/>
        <v>0</v>
      </c>
      <c r="V89" s="69"/>
      <c r="W89" s="70">
        <v>0.11</v>
      </c>
      <c r="X89" s="15">
        <f t="shared" si="9"/>
        <v>2.4157303370786515E-3</v>
      </c>
      <c r="Y89" s="16">
        <f>VLOOKUP(C89,台股行情!A:D,4,FALSE)</f>
        <v>92.3</v>
      </c>
      <c r="Z89" s="38">
        <f>VLOOKUP(C89,台股行情!A:E,5,FALSE)</f>
        <v>-5.5</v>
      </c>
      <c r="AA89" s="90">
        <f t="shared" ca="1" si="11"/>
        <v>974.7015660935275</v>
      </c>
      <c r="AB89" s="103" t="s">
        <v>2729</v>
      </c>
    </row>
    <row r="90" spans="1:28" outlineLevel="1">
      <c r="A90" s="99">
        <v>44272</v>
      </c>
      <c r="B90" s="11" t="s">
        <v>19</v>
      </c>
      <c r="C90" s="11">
        <v>5243</v>
      </c>
      <c r="D90" s="11" t="s">
        <v>1248</v>
      </c>
      <c r="E90" s="11">
        <v>1000</v>
      </c>
      <c r="F90" s="11">
        <v>70.5</v>
      </c>
      <c r="G90" s="11">
        <f t="shared" si="2"/>
        <v>70500</v>
      </c>
      <c r="H90" s="11">
        <v>100</v>
      </c>
      <c r="I90" s="104">
        <v>44278</v>
      </c>
      <c r="J90" s="16">
        <v>79</v>
      </c>
      <c r="K90" s="11">
        <f t="shared" si="3"/>
        <v>79000</v>
      </c>
      <c r="L90" s="17">
        <v>112</v>
      </c>
      <c r="M90" s="11">
        <v>237</v>
      </c>
      <c r="N90" s="11">
        <v>0</v>
      </c>
      <c r="O90" s="13">
        <f t="shared" si="4"/>
        <v>0</v>
      </c>
      <c r="P90" s="14">
        <f t="shared" si="10"/>
        <v>8041</v>
      </c>
      <c r="Q90" s="14">
        <f t="shared" si="6"/>
        <v>0</v>
      </c>
      <c r="R90" s="14"/>
      <c r="S90" s="14">
        <v>10</v>
      </c>
      <c r="T90" s="14">
        <f t="shared" si="7"/>
        <v>0</v>
      </c>
      <c r="U90" s="69">
        <f t="shared" si="8"/>
        <v>0</v>
      </c>
      <c r="V90" s="69"/>
      <c r="W90" s="70">
        <v>0.11</v>
      </c>
      <c r="X90" s="15">
        <f t="shared" si="9"/>
        <v>0.11405673758865248</v>
      </c>
      <c r="Y90" s="16">
        <f>VLOOKUP(C90,台股行情!A:D,4,FALSE)</f>
        <v>92.3</v>
      </c>
      <c r="Z90" s="38">
        <f>VLOOKUP(C90,台股行情!A:E,5,FALSE)</f>
        <v>-5.5</v>
      </c>
      <c r="AA90" s="90">
        <f t="shared" ca="1" si="11"/>
        <v>1158.1425911729273</v>
      </c>
      <c r="AB90" s="103" t="s">
        <v>2729</v>
      </c>
    </row>
    <row r="91" spans="1:28" outlineLevel="1">
      <c r="A91" s="99">
        <v>44270</v>
      </c>
      <c r="B91" s="11" t="s">
        <v>19</v>
      </c>
      <c r="C91" s="11">
        <v>4953</v>
      </c>
      <c r="D91" s="11" t="s">
        <v>1213</v>
      </c>
      <c r="E91" s="11">
        <v>1000</v>
      </c>
      <c r="F91" s="11">
        <v>107.5</v>
      </c>
      <c r="G91" s="11">
        <f t="shared" si="2"/>
        <v>107500</v>
      </c>
      <c r="H91" s="11">
        <v>153</v>
      </c>
      <c r="I91" s="104">
        <v>44280</v>
      </c>
      <c r="J91" s="16">
        <v>104.5</v>
      </c>
      <c r="K91" s="11">
        <f t="shared" si="3"/>
        <v>104500</v>
      </c>
      <c r="L91" s="17">
        <v>148</v>
      </c>
      <c r="M91" s="11">
        <v>313</v>
      </c>
      <c r="N91" s="11">
        <v>0</v>
      </c>
      <c r="O91" s="13">
        <f t="shared" si="4"/>
        <v>0</v>
      </c>
      <c r="P91" s="14">
        <f t="shared" si="10"/>
        <v>-3624</v>
      </c>
      <c r="Q91" s="14">
        <f t="shared" si="6"/>
        <v>0</v>
      </c>
      <c r="R91" s="14"/>
      <c r="S91" s="14">
        <v>10</v>
      </c>
      <c r="T91" s="14">
        <f t="shared" si="7"/>
        <v>0</v>
      </c>
      <c r="U91" s="69">
        <f t="shared" si="8"/>
        <v>0</v>
      </c>
      <c r="V91" s="69"/>
      <c r="W91" s="70">
        <v>0.11</v>
      </c>
      <c r="X91" s="15">
        <f t="shared" si="9"/>
        <v>-3.3711627906976745E-2</v>
      </c>
      <c r="Y91" s="16">
        <f>VLOOKUP(C91,台股行情!A:D,4,FALSE)</f>
        <v>115.5</v>
      </c>
      <c r="Z91" s="38">
        <f>VLOOKUP(C91,台股行情!A:E,5,FALSE)</f>
        <v>-1.5</v>
      </c>
      <c r="AA91" s="90">
        <f t="shared" ca="1" si="11"/>
        <v>2943.2701785127588</v>
      </c>
      <c r="AB91" s="103" t="s">
        <v>2729</v>
      </c>
    </row>
    <row r="92" spans="1:28" outlineLevel="1">
      <c r="A92" s="99">
        <v>44270</v>
      </c>
      <c r="B92" s="11" t="s">
        <v>19</v>
      </c>
      <c r="C92" s="11">
        <v>6443</v>
      </c>
      <c r="D92" s="11" t="s">
        <v>1463</v>
      </c>
      <c r="E92" s="11">
        <v>1000</v>
      </c>
      <c r="F92" s="11">
        <v>42.55</v>
      </c>
      <c r="G92" s="11">
        <f t="shared" si="2"/>
        <v>42550</v>
      </c>
      <c r="H92" s="11">
        <v>60</v>
      </c>
      <c r="I92" s="104">
        <v>44287</v>
      </c>
      <c r="J92" s="16">
        <v>45</v>
      </c>
      <c r="K92" s="11">
        <f t="shared" si="3"/>
        <v>45000</v>
      </c>
      <c r="L92" s="17">
        <v>64</v>
      </c>
      <c r="M92" s="11">
        <v>135</v>
      </c>
      <c r="N92" s="11">
        <v>0</v>
      </c>
      <c r="O92" s="13">
        <f t="shared" si="4"/>
        <v>0</v>
      </c>
      <c r="P92" s="14">
        <f t="shared" si="10"/>
        <v>2181</v>
      </c>
      <c r="Q92" s="14">
        <f t="shared" si="6"/>
        <v>0</v>
      </c>
      <c r="R92" s="14"/>
      <c r="S92" s="14">
        <v>10</v>
      </c>
      <c r="T92" s="14">
        <f t="shared" si="7"/>
        <v>0</v>
      </c>
      <c r="U92" s="69">
        <f t="shared" si="8"/>
        <v>0</v>
      </c>
      <c r="V92" s="69"/>
      <c r="W92" s="70">
        <v>0.11</v>
      </c>
      <c r="X92" s="15">
        <f t="shared" si="9"/>
        <v>5.1257344300822565E-2</v>
      </c>
      <c r="Y92" s="16">
        <f>VLOOKUP(C92,台股行情!A:D,4,FALSE)</f>
        <v>25.65</v>
      </c>
      <c r="Z92" s="38">
        <f>VLOOKUP(C92,台股行情!A:E,5,FALSE)</f>
        <v>-1.3</v>
      </c>
      <c r="AA92" s="90">
        <f t="shared" ca="1" si="11"/>
        <v>1980.4785894206548</v>
      </c>
      <c r="AB92" s="103" t="s">
        <v>2729</v>
      </c>
    </row>
    <row r="93" spans="1:28" outlineLevel="1">
      <c r="A93" s="99">
        <v>44272</v>
      </c>
      <c r="B93" s="11" t="s">
        <v>19</v>
      </c>
      <c r="C93" s="11">
        <v>2328</v>
      </c>
      <c r="D93" s="11" t="s">
        <v>677</v>
      </c>
      <c r="E93" s="11">
        <v>1000</v>
      </c>
      <c r="F93" s="11">
        <v>43.6</v>
      </c>
      <c r="G93" s="11">
        <f t="shared" si="2"/>
        <v>43600</v>
      </c>
      <c r="H93" s="11">
        <v>62</v>
      </c>
      <c r="I93" s="104">
        <v>44287</v>
      </c>
      <c r="J93" s="16">
        <v>44.45</v>
      </c>
      <c r="K93" s="11">
        <f t="shared" si="3"/>
        <v>44450</v>
      </c>
      <c r="L93" s="17">
        <v>63</v>
      </c>
      <c r="M93" s="11">
        <v>135</v>
      </c>
      <c r="N93" s="11">
        <v>0</v>
      </c>
      <c r="O93" s="13">
        <f t="shared" si="4"/>
        <v>0</v>
      </c>
      <c r="P93" s="14">
        <f t="shared" si="10"/>
        <v>580</v>
      </c>
      <c r="Q93" s="14">
        <f t="shared" si="6"/>
        <v>0</v>
      </c>
      <c r="R93" s="14"/>
      <c r="S93" s="14">
        <v>10</v>
      </c>
      <c r="T93" s="14">
        <f t="shared" si="7"/>
        <v>0</v>
      </c>
      <c r="U93" s="69">
        <f t="shared" si="8"/>
        <v>0</v>
      </c>
      <c r="V93" s="69"/>
      <c r="W93" s="70">
        <v>0.11</v>
      </c>
      <c r="X93" s="15">
        <f t="shared" si="9"/>
        <v>1.3302752293577982E-2</v>
      </c>
      <c r="Y93" s="16">
        <f>VLOOKUP(C93,台股行情!A:D,4,FALSE)</f>
        <v>47.85</v>
      </c>
      <c r="Z93" s="38">
        <f>VLOOKUP(C93,台股行情!A:E,5,FALSE)</f>
        <v>-1.7</v>
      </c>
      <c r="AA93" s="90">
        <f t="shared" ca="1" si="11"/>
        <v>1790.6034388347387</v>
      </c>
      <c r="AB93" s="103" t="s">
        <v>2729</v>
      </c>
    </row>
    <row r="94" spans="1:28" outlineLevel="1">
      <c r="A94" s="99">
        <v>44285</v>
      </c>
      <c r="B94" s="11" t="s">
        <v>19</v>
      </c>
      <c r="C94" s="11">
        <v>3005</v>
      </c>
      <c r="D94" s="11" t="s">
        <v>872</v>
      </c>
      <c r="E94" s="11">
        <v>1000</v>
      </c>
      <c r="F94" s="11">
        <v>64.400000000000006</v>
      </c>
      <c r="G94" s="11">
        <f t="shared" si="2"/>
        <v>64400.000000000007</v>
      </c>
      <c r="H94" s="11">
        <v>91</v>
      </c>
      <c r="I94" s="104">
        <v>44292</v>
      </c>
      <c r="J94" s="16">
        <v>58.4</v>
      </c>
      <c r="K94" s="11">
        <f t="shared" si="3"/>
        <v>58400</v>
      </c>
      <c r="L94" s="17">
        <v>83</v>
      </c>
      <c r="M94" s="11">
        <v>175</v>
      </c>
      <c r="N94" s="11">
        <v>0</v>
      </c>
      <c r="O94" s="13">
        <f t="shared" si="4"/>
        <v>0</v>
      </c>
      <c r="P94" s="14">
        <f t="shared" si="10"/>
        <v>-3166.5700000000074</v>
      </c>
      <c r="Q94" s="14">
        <f t="shared" si="6"/>
        <v>0</v>
      </c>
      <c r="R94" s="14">
        <v>3587</v>
      </c>
      <c r="S94" s="14">
        <v>10</v>
      </c>
      <c r="T94" s="14">
        <f t="shared" si="7"/>
        <v>0</v>
      </c>
      <c r="U94" s="69">
        <f t="shared" si="8"/>
        <v>0</v>
      </c>
      <c r="V94" s="69"/>
      <c r="W94" s="70">
        <v>0.11</v>
      </c>
      <c r="X94" s="15">
        <f t="shared" si="9"/>
        <v>-4.9170341614906944E-2</v>
      </c>
      <c r="Y94" s="16">
        <f>VLOOKUP(C94,台股行情!A:D,4,FALSE)</f>
        <v>121</v>
      </c>
      <c r="Z94" s="38">
        <f>VLOOKUP(C94,台股行情!A:E,5,FALSE)</f>
        <v>0.5</v>
      </c>
      <c r="AA94" s="90">
        <f t="shared" ca="1" si="11"/>
        <v>1234.2569269521412</v>
      </c>
      <c r="AB94" s="103" t="s">
        <v>2729</v>
      </c>
    </row>
    <row r="95" spans="1:28" outlineLevel="1">
      <c r="A95" s="99">
        <v>44280</v>
      </c>
      <c r="B95" s="11" t="s">
        <v>19</v>
      </c>
      <c r="C95" s="11">
        <v>5523</v>
      </c>
      <c r="D95" s="11" t="s">
        <v>1314</v>
      </c>
      <c r="E95" s="11">
        <v>2000</v>
      </c>
      <c r="F95" s="11">
        <v>20.65</v>
      </c>
      <c r="G95" s="11">
        <f t="shared" si="2"/>
        <v>41300</v>
      </c>
      <c r="H95" s="11">
        <v>58</v>
      </c>
      <c r="I95" s="104">
        <v>44292</v>
      </c>
      <c r="J95" s="16">
        <v>22.8</v>
      </c>
      <c r="K95" s="11">
        <f t="shared" si="3"/>
        <v>45600</v>
      </c>
      <c r="L95" s="17">
        <v>64</v>
      </c>
      <c r="M95" s="11">
        <v>136</v>
      </c>
      <c r="N95" s="11">
        <v>0</v>
      </c>
      <c r="O95" s="13">
        <f t="shared" si="4"/>
        <v>0</v>
      </c>
      <c r="P95" s="14">
        <f t="shared" si="10"/>
        <v>4032</v>
      </c>
      <c r="Q95" s="14">
        <f t="shared" si="6"/>
        <v>0</v>
      </c>
      <c r="R95" s="14"/>
      <c r="S95" s="14">
        <v>10</v>
      </c>
      <c r="T95" s="14">
        <f t="shared" si="7"/>
        <v>0</v>
      </c>
      <c r="U95" s="69">
        <f t="shared" si="8"/>
        <v>0</v>
      </c>
      <c r="V95" s="69"/>
      <c r="W95" s="70">
        <v>0.11</v>
      </c>
      <c r="X95" s="15">
        <f t="shared" si="9"/>
        <v>9.7627118644067798E-2</v>
      </c>
      <c r="Y95" s="16" t="str">
        <f>VLOOKUP(C95,台股行情!A:D,4,FALSE)</f>
        <v>--</v>
      </c>
      <c r="Z95" s="38" t="str">
        <f>VLOOKUP(C95,台股行情!A:E,5,FALSE)</f>
        <v>--</v>
      </c>
      <c r="AA95" s="90">
        <f t="shared" ca="1" si="11"/>
        <v>1356.9160004380681</v>
      </c>
      <c r="AB95" s="103" t="s">
        <v>2729</v>
      </c>
    </row>
    <row r="96" spans="1:28" outlineLevel="1">
      <c r="A96" s="99">
        <v>44272</v>
      </c>
      <c r="B96" s="11" t="s">
        <v>19</v>
      </c>
      <c r="C96" s="11">
        <v>3707</v>
      </c>
      <c r="D96" s="11" t="s">
        <v>262</v>
      </c>
      <c r="E96" s="11">
        <v>1000</v>
      </c>
      <c r="F96" s="11">
        <v>51.3</v>
      </c>
      <c r="G96" s="11">
        <f t="shared" si="2"/>
        <v>51300</v>
      </c>
      <c r="H96" s="11">
        <v>73</v>
      </c>
      <c r="I96" s="104">
        <v>44292</v>
      </c>
      <c r="J96" s="16">
        <v>64.400000000000006</v>
      </c>
      <c r="K96" s="11">
        <f t="shared" si="3"/>
        <v>64400.000000000007</v>
      </c>
      <c r="L96" s="17">
        <v>91</v>
      </c>
      <c r="M96" s="11">
        <v>193</v>
      </c>
      <c r="N96" s="11">
        <v>0</v>
      </c>
      <c r="O96" s="13">
        <f t="shared" si="4"/>
        <v>0</v>
      </c>
      <c r="P96" s="14">
        <f t="shared" si="10"/>
        <v>12733.000000000007</v>
      </c>
      <c r="Q96" s="14">
        <f t="shared" si="6"/>
        <v>0</v>
      </c>
      <c r="R96" s="14"/>
      <c r="S96" s="14">
        <v>10</v>
      </c>
      <c r="T96" s="14">
        <f t="shared" si="7"/>
        <v>0</v>
      </c>
      <c r="U96" s="69">
        <f t="shared" si="8"/>
        <v>0</v>
      </c>
      <c r="V96" s="69"/>
      <c r="W96" s="70">
        <v>0.11</v>
      </c>
      <c r="X96" s="15">
        <f t="shared" si="9"/>
        <v>0.24820662768031204</v>
      </c>
      <c r="Y96" s="16">
        <f>VLOOKUP(C96,台股行情!A:D,4,FALSE)</f>
        <v>77</v>
      </c>
      <c r="Z96" s="38">
        <f>VLOOKUP(C96,台股行情!A:E,5,FALSE)</f>
        <v>-4.7</v>
      </c>
      <c r="AA96" s="90">
        <f t="shared" ca="1" si="11"/>
        <v>2809.1118168875259</v>
      </c>
      <c r="AB96" s="103" t="s">
        <v>2729</v>
      </c>
    </row>
    <row r="97" spans="1:28" outlineLevel="1">
      <c r="A97" s="99">
        <v>44287</v>
      </c>
      <c r="B97" s="11" t="s">
        <v>19</v>
      </c>
      <c r="C97" s="11">
        <v>1313</v>
      </c>
      <c r="D97" s="11" t="s">
        <v>467</v>
      </c>
      <c r="E97" s="11">
        <v>2000</v>
      </c>
      <c r="F97" s="11">
        <v>20.65</v>
      </c>
      <c r="G97" s="11">
        <f t="shared" si="2"/>
        <v>41300</v>
      </c>
      <c r="H97" s="11">
        <v>58</v>
      </c>
      <c r="I97" s="104">
        <v>44292</v>
      </c>
      <c r="J97" s="16">
        <v>21</v>
      </c>
      <c r="K97" s="11">
        <f t="shared" si="3"/>
        <v>42000</v>
      </c>
      <c r="L97" s="17">
        <v>59</v>
      </c>
      <c r="M97" s="11">
        <v>126</v>
      </c>
      <c r="N97" s="11">
        <v>0</v>
      </c>
      <c r="O97" s="13">
        <f t="shared" si="4"/>
        <v>0</v>
      </c>
      <c r="P97" s="14">
        <f t="shared" si="10"/>
        <v>447</v>
      </c>
      <c r="Q97" s="14">
        <f t="shared" si="6"/>
        <v>0</v>
      </c>
      <c r="R97" s="14"/>
      <c r="S97" s="14">
        <v>10</v>
      </c>
      <c r="T97" s="14">
        <f t="shared" si="7"/>
        <v>0</v>
      </c>
      <c r="U97" s="69">
        <f t="shared" si="8"/>
        <v>0</v>
      </c>
      <c r="V97" s="69"/>
      <c r="W97" s="70">
        <v>0.11</v>
      </c>
      <c r="X97" s="15">
        <f t="shared" si="9"/>
        <v>1.0823244552058112E-2</v>
      </c>
      <c r="Y97" s="16">
        <f>VLOOKUP(C97,台股行情!A:D,4,FALSE)</f>
        <v>12.9</v>
      </c>
      <c r="Z97" s="38">
        <f>VLOOKUP(C97,台股行情!A:E,5,FALSE)</f>
        <v>-0.7</v>
      </c>
      <c r="AA97" s="90">
        <f t="shared" ca="1" si="11"/>
        <v>565.38166684919508</v>
      </c>
      <c r="AB97" s="103" t="s">
        <v>2729</v>
      </c>
    </row>
    <row r="98" spans="1:28" outlineLevel="1">
      <c r="A98" s="99">
        <v>44284</v>
      </c>
      <c r="B98" s="11" t="s">
        <v>19</v>
      </c>
      <c r="C98" s="11">
        <v>2330</v>
      </c>
      <c r="D98" s="11" t="s">
        <v>1549</v>
      </c>
      <c r="E98" s="11">
        <v>1000</v>
      </c>
      <c r="F98" s="11">
        <v>598</v>
      </c>
      <c r="G98" s="11">
        <f t="shared" si="2"/>
        <v>598000</v>
      </c>
      <c r="H98" s="11">
        <v>852</v>
      </c>
      <c r="I98" s="104">
        <v>44292</v>
      </c>
      <c r="J98" s="16">
        <v>610</v>
      </c>
      <c r="K98" s="11">
        <f t="shared" si="3"/>
        <v>610000</v>
      </c>
      <c r="L98" s="17">
        <v>869</v>
      </c>
      <c r="M98" s="11">
        <v>1830</v>
      </c>
      <c r="N98" s="11">
        <v>0</v>
      </c>
      <c r="O98" s="13">
        <f t="shared" si="4"/>
        <v>0</v>
      </c>
      <c r="P98" s="14">
        <f t="shared" si="10"/>
        <v>8439</v>
      </c>
      <c r="Q98" s="14">
        <f t="shared" si="6"/>
        <v>0</v>
      </c>
      <c r="R98" s="14"/>
      <c r="S98" s="14">
        <v>10</v>
      </c>
      <c r="T98" s="14">
        <f t="shared" si="7"/>
        <v>0</v>
      </c>
      <c r="U98" s="69">
        <f t="shared" si="8"/>
        <v>0</v>
      </c>
      <c r="V98" s="69"/>
      <c r="W98" s="70">
        <v>0.11</v>
      </c>
      <c r="X98" s="15">
        <f t="shared" si="9"/>
        <v>1.4112040133779265E-2</v>
      </c>
      <c r="Y98" s="16">
        <f>VLOOKUP(C98,台股行情!A:D,4,FALSE)</f>
        <v>2440</v>
      </c>
      <c r="Z98" s="38">
        <f>VLOOKUP(C98,台股行情!A:E,5,FALSE)</f>
        <v>-50</v>
      </c>
      <c r="AA98" s="90">
        <f t="shared" ca="1" si="11"/>
        <v>13098.236775818639</v>
      </c>
      <c r="AB98" s="103" t="s">
        <v>2729</v>
      </c>
    </row>
    <row r="99" spans="1:28" outlineLevel="1">
      <c r="A99" s="99">
        <v>44285</v>
      </c>
      <c r="B99" s="11" t="s">
        <v>19</v>
      </c>
      <c r="C99" s="11">
        <v>2063</v>
      </c>
      <c r="D99" s="11" t="s">
        <v>644</v>
      </c>
      <c r="E99" s="11">
        <v>1000</v>
      </c>
      <c r="F99" s="11">
        <v>35.700000000000003</v>
      </c>
      <c r="G99" s="11">
        <f t="shared" si="2"/>
        <v>35700</v>
      </c>
      <c r="H99" s="11">
        <v>50</v>
      </c>
      <c r="I99" s="104">
        <v>44292</v>
      </c>
      <c r="J99" s="16">
        <v>34.25</v>
      </c>
      <c r="K99" s="11">
        <f t="shared" si="3"/>
        <v>34250</v>
      </c>
      <c r="L99" s="17">
        <v>48</v>
      </c>
      <c r="M99" s="11">
        <v>102</v>
      </c>
      <c r="N99" s="11">
        <v>0</v>
      </c>
      <c r="O99" s="13">
        <f t="shared" si="4"/>
        <v>0</v>
      </c>
      <c r="P99" s="14">
        <f t="shared" si="10"/>
        <v>120</v>
      </c>
      <c r="Q99" s="14">
        <f t="shared" si="6"/>
        <v>0</v>
      </c>
      <c r="R99" s="14">
        <v>2000</v>
      </c>
      <c r="S99" s="14">
        <v>10</v>
      </c>
      <c r="T99" s="14">
        <f t="shared" si="7"/>
        <v>0</v>
      </c>
      <c r="U99" s="69">
        <f t="shared" si="8"/>
        <v>0</v>
      </c>
      <c r="V99" s="69"/>
      <c r="W99" s="70">
        <v>0.11</v>
      </c>
      <c r="X99" s="15">
        <f t="shared" si="9"/>
        <v>3.3613445378151263E-3</v>
      </c>
      <c r="Y99" s="16">
        <f>VLOOKUP(C99,台股行情!A:D,4,FALSE)</f>
        <v>23.7</v>
      </c>
      <c r="Z99" s="38">
        <f>VLOOKUP(C99,台股行情!A:E,5,FALSE)</f>
        <v>-0.4</v>
      </c>
      <c r="AA99" s="90">
        <f t="shared" ca="1" si="11"/>
        <v>684.20764428868688</v>
      </c>
      <c r="AB99" s="103" t="s">
        <v>2729</v>
      </c>
    </row>
    <row r="100" spans="1:28" outlineLevel="1">
      <c r="A100" s="99">
        <v>44294</v>
      </c>
      <c r="B100" s="11" t="s">
        <v>19</v>
      </c>
      <c r="C100" s="11">
        <v>2020</v>
      </c>
      <c r="D100" s="11" t="s">
        <v>629</v>
      </c>
      <c r="E100" s="11">
        <v>2000</v>
      </c>
      <c r="F100" s="11">
        <v>22.8</v>
      </c>
      <c r="G100" s="11">
        <f t="shared" si="2"/>
        <v>45600</v>
      </c>
      <c r="H100" s="11">
        <v>64</v>
      </c>
      <c r="I100" s="104">
        <v>44294</v>
      </c>
      <c r="J100" s="16">
        <v>23.2</v>
      </c>
      <c r="K100" s="11">
        <f t="shared" si="3"/>
        <v>46400</v>
      </c>
      <c r="L100" s="17">
        <v>66</v>
      </c>
      <c r="M100" s="11">
        <v>138</v>
      </c>
      <c r="N100" s="11">
        <v>0</v>
      </c>
      <c r="O100" s="13">
        <f t="shared" si="4"/>
        <v>0</v>
      </c>
      <c r="P100" s="14">
        <f t="shared" si="10"/>
        <v>522</v>
      </c>
      <c r="Q100" s="14">
        <f t="shared" si="6"/>
        <v>0</v>
      </c>
      <c r="R100" s="14"/>
      <c r="S100" s="14">
        <v>10</v>
      </c>
      <c r="T100" s="14">
        <f t="shared" si="7"/>
        <v>0</v>
      </c>
      <c r="U100" s="69">
        <f t="shared" si="8"/>
        <v>0</v>
      </c>
      <c r="V100" s="69"/>
      <c r="W100" s="70">
        <v>0.11</v>
      </c>
      <c r="X100" s="15">
        <f t="shared" si="9"/>
        <v>1.1447368421052631E-2</v>
      </c>
      <c r="Y100" s="16">
        <f>VLOOKUP(C100,台股行情!A:D,4,FALSE)</f>
        <v>24</v>
      </c>
      <c r="Z100" s="38">
        <f>VLOOKUP(C100,台股行情!A:E,5,FALSE)</f>
        <v>-0.3</v>
      </c>
      <c r="AA100" s="90">
        <f t="shared" ca="1" si="11"/>
        <v>0</v>
      </c>
      <c r="AB100" s="103" t="s">
        <v>2729</v>
      </c>
    </row>
    <row r="101" spans="1:28" outlineLevel="1">
      <c r="A101" s="99">
        <v>44293</v>
      </c>
      <c r="B101" s="11" t="s">
        <v>19</v>
      </c>
      <c r="C101" s="11">
        <v>2376</v>
      </c>
      <c r="D101" s="11" t="s">
        <v>702</v>
      </c>
      <c r="E101" s="11">
        <v>1000</v>
      </c>
      <c r="F101" s="11">
        <v>100.5</v>
      </c>
      <c r="G101" s="11">
        <f t="shared" si="2"/>
        <v>100500</v>
      </c>
      <c r="H101" s="11">
        <v>143</v>
      </c>
      <c r="I101" s="104">
        <v>44299</v>
      </c>
      <c r="J101" s="16">
        <v>104.5</v>
      </c>
      <c r="K101" s="11">
        <f t="shared" si="3"/>
        <v>104500</v>
      </c>
      <c r="L101" s="17">
        <v>148</v>
      </c>
      <c r="M101" s="11">
        <v>313</v>
      </c>
      <c r="N101" s="11">
        <v>0</v>
      </c>
      <c r="O101" s="13">
        <f t="shared" si="4"/>
        <v>0</v>
      </c>
      <c r="P101" s="14">
        <f t="shared" si="10"/>
        <v>3386</v>
      </c>
      <c r="Q101" s="14">
        <f t="shared" si="6"/>
        <v>0</v>
      </c>
      <c r="R101" s="14"/>
      <c r="S101" s="14">
        <v>10</v>
      </c>
      <c r="T101" s="14">
        <f t="shared" si="7"/>
        <v>0</v>
      </c>
      <c r="U101" s="69">
        <f t="shared" si="8"/>
        <v>0</v>
      </c>
      <c r="V101" s="69"/>
      <c r="W101" s="70">
        <v>0.11</v>
      </c>
      <c r="X101" s="15">
        <f t="shared" si="9"/>
        <v>3.3691542288557211E-2</v>
      </c>
      <c r="Y101" s="16">
        <f>VLOOKUP(C101,台股行情!A:D,4,FALSE)</f>
        <v>347</v>
      </c>
      <c r="Z101" s="38">
        <f>VLOOKUP(C101,台股行情!A:E,5,FALSE)</f>
        <v>-9</v>
      </c>
      <c r="AA101" s="90">
        <f t="shared" ca="1" si="11"/>
        <v>1650.9692257145987</v>
      </c>
      <c r="AB101" s="103" t="s">
        <v>2729</v>
      </c>
    </row>
    <row r="102" spans="1:28" outlineLevel="1">
      <c r="A102" s="99">
        <v>44293</v>
      </c>
      <c r="B102" s="11" t="s">
        <v>19</v>
      </c>
      <c r="C102" s="11">
        <v>3596</v>
      </c>
      <c r="D102" s="11" t="s">
        <v>1566</v>
      </c>
      <c r="E102" s="11">
        <v>1000</v>
      </c>
      <c r="F102" s="11">
        <v>118.5</v>
      </c>
      <c r="G102" s="11">
        <f t="shared" si="2"/>
        <v>118500</v>
      </c>
      <c r="H102" s="11">
        <v>168</v>
      </c>
      <c r="I102" s="104">
        <v>44299</v>
      </c>
      <c r="J102" s="16">
        <v>126</v>
      </c>
      <c r="K102" s="11">
        <f t="shared" si="3"/>
        <v>126000</v>
      </c>
      <c r="L102" s="17">
        <v>179</v>
      </c>
      <c r="M102" s="11">
        <v>378</v>
      </c>
      <c r="N102" s="11">
        <v>0</v>
      </c>
      <c r="O102" s="13">
        <f t="shared" si="4"/>
        <v>0</v>
      </c>
      <c r="P102" s="14">
        <f t="shared" si="10"/>
        <v>6765</v>
      </c>
      <c r="Q102" s="14">
        <f t="shared" si="6"/>
        <v>0</v>
      </c>
      <c r="R102" s="14"/>
      <c r="S102" s="14">
        <v>10</v>
      </c>
      <c r="T102" s="14">
        <f t="shared" si="7"/>
        <v>0</v>
      </c>
      <c r="U102" s="69">
        <f t="shared" si="8"/>
        <v>0</v>
      </c>
      <c r="V102" s="69"/>
      <c r="W102" s="70">
        <v>0.11</v>
      </c>
      <c r="X102" s="15">
        <f t="shared" si="9"/>
        <v>5.7088607594936711E-2</v>
      </c>
      <c r="Y102" s="16">
        <f>VLOOKUP(C102,台股行情!A:D,4,FALSE)</f>
        <v>158.5</v>
      </c>
      <c r="Z102" s="38">
        <f>VLOOKUP(C102,台股行情!A:E,5,FALSE)</f>
        <v>-2</v>
      </c>
      <c r="AA102" s="90">
        <f t="shared" ca="1" si="11"/>
        <v>1946.6652064396012</v>
      </c>
      <c r="AB102" s="103" t="s">
        <v>2729</v>
      </c>
    </row>
    <row r="103" spans="1:28" outlineLevel="1">
      <c r="A103" s="99">
        <v>44292</v>
      </c>
      <c r="B103" s="11" t="s">
        <v>19</v>
      </c>
      <c r="C103" s="11">
        <v>2881</v>
      </c>
      <c r="D103" s="11" t="s">
        <v>1557</v>
      </c>
      <c r="E103" s="11">
        <v>1000</v>
      </c>
      <c r="F103" s="11">
        <v>57.6</v>
      </c>
      <c r="G103" s="11">
        <f t="shared" si="2"/>
        <v>57600</v>
      </c>
      <c r="H103" s="11">
        <v>82</v>
      </c>
      <c r="I103" s="104">
        <v>44308</v>
      </c>
      <c r="J103" s="16">
        <v>61.5</v>
      </c>
      <c r="K103" s="11">
        <f t="shared" si="3"/>
        <v>61500</v>
      </c>
      <c r="L103" s="17">
        <v>87</v>
      </c>
      <c r="M103" s="11">
        <v>184</v>
      </c>
      <c r="N103" s="11">
        <v>0</v>
      </c>
      <c r="O103" s="13">
        <f t="shared" si="4"/>
        <v>0</v>
      </c>
      <c r="P103" s="14">
        <f t="shared" si="10"/>
        <v>3537</v>
      </c>
      <c r="Q103" s="14">
        <f t="shared" si="6"/>
        <v>0</v>
      </c>
      <c r="R103" s="14"/>
      <c r="S103" s="14">
        <v>10</v>
      </c>
      <c r="T103" s="14">
        <f t="shared" si="7"/>
        <v>0</v>
      </c>
      <c r="U103" s="69">
        <f t="shared" si="8"/>
        <v>0</v>
      </c>
      <c r="V103" s="69"/>
      <c r="W103" s="70">
        <v>0.11</v>
      </c>
      <c r="X103" s="15">
        <f t="shared" si="9"/>
        <v>6.1406250000000002E-2</v>
      </c>
      <c r="Y103" s="16">
        <f>VLOOKUP(C103,台股行情!A:D,4,FALSE)</f>
        <v>159.5</v>
      </c>
      <c r="Z103" s="38">
        <f>VLOOKUP(C103,台股行情!A:E,5,FALSE)</f>
        <v>-1</v>
      </c>
      <c r="AA103" s="90">
        <f t="shared" ca="1" si="11"/>
        <v>2523.2723688533565</v>
      </c>
      <c r="AB103" s="103" t="s">
        <v>2729</v>
      </c>
    </row>
    <row r="104" spans="1:28" outlineLevel="1">
      <c r="A104" s="99">
        <v>44299</v>
      </c>
      <c r="B104" s="11" t="s">
        <v>19</v>
      </c>
      <c r="C104" s="11">
        <v>1440</v>
      </c>
      <c r="D104" s="11" t="s">
        <v>1541</v>
      </c>
      <c r="E104" s="11">
        <v>1000</v>
      </c>
      <c r="F104" s="11">
        <v>24.65</v>
      </c>
      <c r="G104" s="11">
        <f t="shared" si="2"/>
        <v>24650</v>
      </c>
      <c r="H104" s="11">
        <v>35</v>
      </c>
      <c r="I104" s="104">
        <v>44308</v>
      </c>
      <c r="J104" s="16">
        <v>27.7</v>
      </c>
      <c r="K104" s="11">
        <f t="shared" si="3"/>
        <v>27700</v>
      </c>
      <c r="L104" s="17">
        <v>39</v>
      </c>
      <c r="M104" s="11">
        <v>83</v>
      </c>
      <c r="N104" s="11">
        <v>0</v>
      </c>
      <c r="O104" s="13">
        <f t="shared" si="4"/>
        <v>0</v>
      </c>
      <c r="P104" s="14">
        <f t="shared" si="10"/>
        <v>2883</v>
      </c>
      <c r="Q104" s="14">
        <f t="shared" si="6"/>
        <v>0</v>
      </c>
      <c r="R104" s="14"/>
      <c r="S104" s="14">
        <v>10</v>
      </c>
      <c r="T104" s="14">
        <f t="shared" si="7"/>
        <v>0</v>
      </c>
      <c r="U104" s="69">
        <f t="shared" si="8"/>
        <v>0</v>
      </c>
      <c r="V104" s="69"/>
      <c r="W104" s="70">
        <v>0.11</v>
      </c>
      <c r="X104" s="15">
        <f t="shared" si="9"/>
        <v>0.11695740365111562</v>
      </c>
      <c r="Y104" s="16">
        <f>VLOOKUP(C104,台股行情!A:D,4,FALSE)</f>
        <v>14.1</v>
      </c>
      <c r="Z104" s="38">
        <f>VLOOKUP(C104,台股行情!A:E,5,FALSE)</f>
        <v>-0.4</v>
      </c>
      <c r="AA104" s="90">
        <f t="shared" ca="1" si="11"/>
        <v>607.40882707260982</v>
      </c>
      <c r="AB104" s="103" t="s">
        <v>2729</v>
      </c>
    </row>
    <row r="105" spans="1:28" outlineLevel="1">
      <c r="A105" s="99">
        <v>44300</v>
      </c>
      <c r="B105" s="11" t="s">
        <v>19</v>
      </c>
      <c r="C105" s="11">
        <v>3042</v>
      </c>
      <c r="D105" s="11" t="s">
        <v>1562</v>
      </c>
      <c r="E105" s="11">
        <v>1000</v>
      </c>
      <c r="F105" s="11">
        <v>109</v>
      </c>
      <c r="G105" s="11">
        <f t="shared" ref="G105:G141" si="12">E105*F105</f>
        <v>109000</v>
      </c>
      <c r="H105" s="11">
        <v>155</v>
      </c>
      <c r="I105" s="104">
        <v>44308</v>
      </c>
      <c r="J105" s="16">
        <v>115.6</v>
      </c>
      <c r="K105" s="11">
        <f t="shared" ref="K105:K141" si="13">E105*J105</f>
        <v>115600</v>
      </c>
      <c r="L105" s="17">
        <v>163</v>
      </c>
      <c r="M105" s="11">
        <v>345</v>
      </c>
      <c r="N105" s="11">
        <v>0</v>
      </c>
      <c r="O105" s="13">
        <f t="shared" ref="O105:O142" si="14">IF(I105="",E105*Y105,0)</f>
        <v>0</v>
      </c>
      <c r="P105" s="14">
        <f t="shared" si="10"/>
        <v>5927</v>
      </c>
      <c r="Q105" s="14">
        <f t="shared" ref="Q105:Q142" si="15">IF(I105="",(O105-G105-(O105*0.1425%*0.65)-(O105*0.3%)-S105-T105),0)</f>
        <v>0</v>
      </c>
      <c r="R105" s="14"/>
      <c r="S105" s="14">
        <v>10</v>
      </c>
      <c r="T105" s="14">
        <f t="shared" ref="T105:T142" si="16">IF(ROUND(R105*(1+V105),0)&gt;20000,ROUND(ROUND(R105*(1+V105),0)*2%,0),0)</f>
        <v>0</v>
      </c>
      <c r="U105" s="69">
        <f t="shared" ref="U105:U142" si="17">(V105*50%)/(1+50%*V105)</f>
        <v>0</v>
      </c>
      <c r="V105" s="69"/>
      <c r="W105" s="70">
        <v>0.11</v>
      </c>
      <c r="X105" s="15">
        <f t="shared" ref="X105:X142" si="18">(P105+Q105)/G105</f>
        <v>5.4376146788990824E-2</v>
      </c>
      <c r="Y105" s="16">
        <f>VLOOKUP(C105,台股行情!A:D,4,FALSE)</f>
        <v>189.5</v>
      </c>
      <c r="Z105" s="38">
        <f>VLOOKUP(C105,台股行情!A:E,5,FALSE)</f>
        <v>-15.5</v>
      </c>
      <c r="AA105" s="90">
        <f t="shared" ca="1" si="11"/>
        <v>2387.4712517796515</v>
      </c>
      <c r="AB105" s="103" t="s">
        <v>2729</v>
      </c>
    </row>
    <row r="106" spans="1:28" outlineLevel="1">
      <c r="A106" s="99">
        <v>44300</v>
      </c>
      <c r="B106" s="11" t="s">
        <v>19</v>
      </c>
      <c r="C106" s="11">
        <v>3596</v>
      </c>
      <c r="D106" s="11" t="s">
        <v>1566</v>
      </c>
      <c r="E106" s="11">
        <v>1000</v>
      </c>
      <c r="F106" s="11">
        <v>115.5</v>
      </c>
      <c r="G106" s="11">
        <f t="shared" si="12"/>
        <v>115500</v>
      </c>
      <c r="H106" s="11">
        <v>164</v>
      </c>
      <c r="I106" s="104">
        <v>44308</v>
      </c>
      <c r="J106" s="16">
        <v>114</v>
      </c>
      <c r="K106" s="11">
        <f t="shared" si="13"/>
        <v>114000</v>
      </c>
      <c r="L106" s="17">
        <v>162</v>
      </c>
      <c r="M106" s="11">
        <v>342</v>
      </c>
      <c r="N106" s="11">
        <v>0</v>
      </c>
      <c r="O106" s="13">
        <f t="shared" si="14"/>
        <v>0</v>
      </c>
      <c r="P106" s="14">
        <f t="shared" si="10"/>
        <v>-2178</v>
      </c>
      <c r="Q106" s="14">
        <f t="shared" si="15"/>
        <v>0</v>
      </c>
      <c r="R106" s="14"/>
      <c r="S106" s="14">
        <v>10</v>
      </c>
      <c r="T106" s="14">
        <f t="shared" si="16"/>
        <v>0</v>
      </c>
      <c r="U106" s="69">
        <f t="shared" si="17"/>
        <v>0</v>
      </c>
      <c r="V106" s="69"/>
      <c r="W106" s="70">
        <v>0.11</v>
      </c>
      <c r="X106" s="15">
        <f t="shared" si="18"/>
        <v>-1.8857142857142857E-2</v>
      </c>
      <c r="Y106" s="16">
        <f>VLOOKUP(C106,台股行情!A:D,4,FALSE)</f>
        <v>158.5</v>
      </c>
      <c r="Z106" s="38">
        <f>VLOOKUP(C106,台股行情!A:E,5,FALSE)</f>
        <v>-2</v>
      </c>
      <c r="AA106" s="90">
        <f t="shared" ca="1" si="11"/>
        <v>2529.8433906472455</v>
      </c>
      <c r="AB106" s="103" t="s">
        <v>2729</v>
      </c>
    </row>
    <row r="107" spans="1:28" outlineLevel="1">
      <c r="A107" s="99">
        <v>44302</v>
      </c>
      <c r="B107" s="11" t="s">
        <v>19</v>
      </c>
      <c r="C107" s="11">
        <v>2103</v>
      </c>
      <c r="D107" s="11" t="s">
        <v>1545</v>
      </c>
      <c r="E107" s="11">
        <v>1000</v>
      </c>
      <c r="F107" s="11">
        <v>30.75</v>
      </c>
      <c r="G107" s="11">
        <f t="shared" si="12"/>
        <v>30750</v>
      </c>
      <c r="H107" s="11">
        <v>43</v>
      </c>
      <c r="I107" s="104">
        <v>44308</v>
      </c>
      <c r="J107" s="16">
        <v>32.9</v>
      </c>
      <c r="K107" s="11">
        <f t="shared" si="13"/>
        <v>32900</v>
      </c>
      <c r="L107" s="17">
        <v>46</v>
      </c>
      <c r="M107" s="11">
        <v>98</v>
      </c>
      <c r="N107" s="11">
        <v>0</v>
      </c>
      <c r="O107" s="13">
        <f t="shared" si="14"/>
        <v>0</v>
      </c>
      <c r="P107" s="14">
        <f t="shared" si="10"/>
        <v>1953</v>
      </c>
      <c r="Q107" s="14">
        <f t="shared" si="15"/>
        <v>0</v>
      </c>
      <c r="R107" s="14"/>
      <c r="S107" s="14">
        <v>10</v>
      </c>
      <c r="T107" s="14">
        <f t="shared" si="16"/>
        <v>0</v>
      </c>
      <c r="U107" s="69">
        <f t="shared" si="17"/>
        <v>0</v>
      </c>
      <c r="V107" s="69"/>
      <c r="W107" s="70">
        <v>0.11</v>
      </c>
      <c r="X107" s="15">
        <f t="shared" si="18"/>
        <v>6.351219512195122E-2</v>
      </c>
      <c r="Y107" s="16">
        <f>VLOOKUP(C107,台股行情!A:D,4,FALSE)</f>
        <v>28.6</v>
      </c>
      <c r="Z107" s="38">
        <f>VLOOKUP(C107,台股行情!A:E,5,FALSE)</f>
        <v>-1.35</v>
      </c>
      <c r="AA107" s="90">
        <f t="shared" ca="1" si="11"/>
        <v>505.147300405213</v>
      </c>
      <c r="AB107" s="103" t="s">
        <v>2729</v>
      </c>
    </row>
    <row r="108" spans="1:28" outlineLevel="1">
      <c r="A108" s="99">
        <v>44306</v>
      </c>
      <c r="B108" s="11" t="s">
        <v>19</v>
      </c>
      <c r="C108" s="11">
        <v>2009</v>
      </c>
      <c r="D108" s="11" t="s">
        <v>1543</v>
      </c>
      <c r="E108" s="11">
        <v>1000</v>
      </c>
      <c r="F108" s="11">
        <v>46.25</v>
      </c>
      <c r="G108" s="11">
        <f t="shared" si="12"/>
        <v>46250</v>
      </c>
      <c r="H108" s="11">
        <v>65</v>
      </c>
      <c r="I108" s="104">
        <v>44308</v>
      </c>
      <c r="J108" s="16">
        <v>48.75</v>
      </c>
      <c r="K108" s="11">
        <f t="shared" si="13"/>
        <v>48750</v>
      </c>
      <c r="L108" s="17">
        <v>69</v>
      </c>
      <c r="M108" s="11">
        <v>146</v>
      </c>
      <c r="N108" s="11">
        <v>0</v>
      </c>
      <c r="O108" s="13">
        <f t="shared" si="14"/>
        <v>0</v>
      </c>
      <c r="P108" s="14">
        <f t="shared" si="10"/>
        <v>2210</v>
      </c>
      <c r="Q108" s="14">
        <f t="shared" si="15"/>
        <v>0</v>
      </c>
      <c r="R108" s="14"/>
      <c r="S108" s="14">
        <v>10</v>
      </c>
      <c r="T108" s="14">
        <f t="shared" si="16"/>
        <v>0</v>
      </c>
      <c r="U108" s="69">
        <f t="shared" si="17"/>
        <v>0</v>
      </c>
      <c r="V108" s="69"/>
      <c r="W108" s="70">
        <v>0.11</v>
      </c>
      <c r="X108" s="15">
        <f t="shared" si="18"/>
        <v>4.7783783783783784E-2</v>
      </c>
      <c r="Y108" s="16">
        <f>VLOOKUP(C108,台股行情!A:D,4,FALSE)</f>
        <v>39.549999999999997</v>
      </c>
      <c r="Z108" s="38">
        <f>VLOOKUP(C108,台股行情!A:E,5,FALSE)</f>
        <v>-1.35</v>
      </c>
      <c r="AA108" s="90">
        <f t="shared" ca="1" si="11"/>
        <v>253.25813163946992</v>
      </c>
      <c r="AB108" s="103" t="s">
        <v>2729</v>
      </c>
    </row>
    <row r="109" spans="1:28" outlineLevel="1">
      <c r="A109" s="99">
        <v>44307</v>
      </c>
      <c r="B109" s="11" t="s">
        <v>19</v>
      </c>
      <c r="C109" s="11">
        <v>5483</v>
      </c>
      <c r="D109" s="11" t="s">
        <v>1574</v>
      </c>
      <c r="E109" s="11">
        <v>1000</v>
      </c>
      <c r="F109" s="11">
        <v>192</v>
      </c>
      <c r="G109" s="11">
        <f t="shared" si="12"/>
        <v>192000</v>
      </c>
      <c r="H109" s="11">
        <v>273</v>
      </c>
      <c r="I109" s="104">
        <v>44308</v>
      </c>
      <c r="J109" s="16">
        <v>197</v>
      </c>
      <c r="K109" s="11">
        <f t="shared" si="13"/>
        <v>197000</v>
      </c>
      <c r="L109" s="17">
        <v>280</v>
      </c>
      <c r="M109" s="11">
        <v>591</v>
      </c>
      <c r="N109" s="11">
        <v>0</v>
      </c>
      <c r="O109" s="13">
        <f t="shared" si="14"/>
        <v>0</v>
      </c>
      <c r="P109" s="14">
        <f t="shared" si="10"/>
        <v>3846</v>
      </c>
      <c r="Q109" s="14">
        <f t="shared" si="15"/>
        <v>0</v>
      </c>
      <c r="R109" s="14"/>
      <c r="S109" s="14">
        <v>10</v>
      </c>
      <c r="T109" s="14">
        <f t="shared" si="16"/>
        <v>0</v>
      </c>
      <c r="U109" s="69">
        <f t="shared" si="17"/>
        <v>0</v>
      </c>
      <c r="V109" s="69"/>
      <c r="W109" s="70">
        <v>0.11</v>
      </c>
      <c r="X109" s="15">
        <f t="shared" si="18"/>
        <v>2.003125E-2</v>
      </c>
      <c r="Y109" s="16">
        <f>VLOOKUP(C109,台股行情!A:D,4,FALSE)</f>
        <v>195.5</v>
      </c>
      <c r="Z109" s="38">
        <f>VLOOKUP(C109,台股行情!A:E,5,FALSE)</f>
        <v>-13</v>
      </c>
      <c r="AA109" s="90">
        <f t="shared" ca="1" si="11"/>
        <v>525.681743511116</v>
      </c>
      <c r="AB109" s="103" t="s">
        <v>2729</v>
      </c>
    </row>
    <row r="110" spans="1:28" outlineLevel="1">
      <c r="A110" s="99">
        <v>44299</v>
      </c>
      <c r="B110" s="11" t="s">
        <v>19</v>
      </c>
      <c r="C110" s="11">
        <v>1304</v>
      </c>
      <c r="D110" s="11" t="s">
        <v>242</v>
      </c>
      <c r="E110" s="11">
        <v>1000</v>
      </c>
      <c r="F110" s="11">
        <v>29.4</v>
      </c>
      <c r="G110" s="11">
        <f t="shared" si="12"/>
        <v>29400</v>
      </c>
      <c r="H110" s="11">
        <v>42</v>
      </c>
      <c r="I110" s="104">
        <v>44312</v>
      </c>
      <c r="J110" s="16">
        <v>37</v>
      </c>
      <c r="K110" s="11">
        <f t="shared" si="13"/>
        <v>37000</v>
      </c>
      <c r="L110" s="17">
        <v>52</v>
      </c>
      <c r="M110" s="11">
        <v>111</v>
      </c>
      <c r="N110" s="11">
        <v>0</v>
      </c>
      <c r="O110" s="13">
        <f t="shared" si="14"/>
        <v>0</v>
      </c>
      <c r="P110" s="14">
        <f t="shared" si="10"/>
        <v>7385</v>
      </c>
      <c r="Q110" s="14">
        <f t="shared" si="15"/>
        <v>0</v>
      </c>
      <c r="R110" s="14"/>
      <c r="S110" s="14">
        <v>10</v>
      </c>
      <c r="T110" s="14">
        <f t="shared" si="16"/>
        <v>0</v>
      </c>
      <c r="U110" s="69">
        <f t="shared" si="17"/>
        <v>0</v>
      </c>
      <c r="V110" s="69"/>
      <c r="W110" s="70">
        <v>0.11</v>
      </c>
      <c r="X110" s="15">
        <f t="shared" si="18"/>
        <v>0.25119047619047619</v>
      </c>
      <c r="Y110" s="16">
        <f>VLOOKUP(C110,台股行情!A:D,4,FALSE)</f>
        <v>13.2</v>
      </c>
      <c r="Z110" s="38">
        <f>VLOOKUP(C110,台股行情!A:E,5,FALSE)</f>
        <v>-0.8</v>
      </c>
      <c r="AA110" s="90">
        <f t="shared" ca="1" si="11"/>
        <v>1046.4352206768151</v>
      </c>
      <c r="AB110" s="103" t="s">
        <v>2729</v>
      </c>
    </row>
    <row r="111" spans="1:28" outlineLevel="1">
      <c r="A111" s="99">
        <v>44306</v>
      </c>
      <c r="B111" s="11" t="s">
        <v>19</v>
      </c>
      <c r="C111" s="11">
        <v>1309</v>
      </c>
      <c r="D111" s="11" t="s">
        <v>1540</v>
      </c>
      <c r="E111" s="11">
        <v>1000</v>
      </c>
      <c r="F111" s="11">
        <v>50.3</v>
      </c>
      <c r="G111" s="11">
        <f t="shared" si="12"/>
        <v>50300</v>
      </c>
      <c r="H111" s="11">
        <v>71</v>
      </c>
      <c r="I111" s="104">
        <v>44313</v>
      </c>
      <c r="J111" s="16">
        <v>47.6</v>
      </c>
      <c r="K111" s="11">
        <f t="shared" si="13"/>
        <v>47600</v>
      </c>
      <c r="L111" s="17">
        <v>67</v>
      </c>
      <c r="M111" s="11">
        <v>142</v>
      </c>
      <c r="N111" s="11">
        <v>0</v>
      </c>
      <c r="O111" s="13">
        <f t="shared" si="14"/>
        <v>0</v>
      </c>
      <c r="P111" s="14">
        <f t="shared" si="10"/>
        <v>-2990</v>
      </c>
      <c r="Q111" s="14">
        <f t="shared" si="15"/>
        <v>0</v>
      </c>
      <c r="R111" s="14"/>
      <c r="S111" s="14">
        <v>10</v>
      </c>
      <c r="T111" s="14">
        <f t="shared" si="16"/>
        <v>0</v>
      </c>
      <c r="U111" s="69">
        <f t="shared" si="17"/>
        <v>0</v>
      </c>
      <c r="V111" s="69"/>
      <c r="W111" s="70">
        <v>0.11</v>
      </c>
      <c r="X111" s="15">
        <f t="shared" si="18"/>
        <v>-5.9443339960238567E-2</v>
      </c>
      <c r="Y111" s="16">
        <f>VLOOKUP(C111,台股行情!A:D,4,FALSE)</f>
        <v>14.35</v>
      </c>
      <c r="Z111" s="38">
        <f>VLOOKUP(C111,台股行情!A:E,5,FALSE)</f>
        <v>-0.8</v>
      </c>
      <c r="AA111" s="90">
        <f t="shared" ca="1" si="11"/>
        <v>964.023655678458</v>
      </c>
      <c r="AB111" s="103" t="s">
        <v>2729</v>
      </c>
    </row>
    <row r="112" spans="1:28" outlineLevel="1">
      <c r="A112" s="99">
        <v>44313</v>
      </c>
      <c r="B112" s="11" t="s">
        <v>19</v>
      </c>
      <c r="C112" s="11">
        <v>3030</v>
      </c>
      <c r="D112" s="11" t="s">
        <v>1561</v>
      </c>
      <c r="E112" s="11">
        <v>1000</v>
      </c>
      <c r="F112" s="11">
        <v>68.599999999999994</v>
      </c>
      <c r="G112" s="11">
        <f t="shared" si="12"/>
        <v>68600</v>
      </c>
      <c r="H112" s="11">
        <v>97</v>
      </c>
      <c r="I112" s="104">
        <v>44321</v>
      </c>
      <c r="J112" s="16">
        <v>61.1</v>
      </c>
      <c r="K112" s="11">
        <f t="shared" si="13"/>
        <v>61100</v>
      </c>
      <c r="L112" s="17">
        <v>87</v>
      </c>
      <c r="M112" s="11">
        <v>183</v>
      </c>
      <c r="N112" s="11">
        <v>0</v>
      </c>
      <c r="O112" s="13">
        <f t="shared" si="14"/>
        <v>0</v>
      </c>
      <c r="P112" s="14">
        <f t="shared" si="10"/>
        <v>-7877</v>
      </c>
      <c r="Q112" s="14">
        <f t="shared" si="15"/>
        <v>0</v>
      </c>
      <c r="R112" s="14"/>
      <c r="S112" s="14">
        <v>10</v>
      </c>
      <c r="T112" s="14">
        <f t="shared" si="16"/>
        <v>0</v>
      </c>
      <c r="U112" s="69">
        <f t="shared" si="17"/>
        <v>0</v>
      </c>
      <c r="V112" s="69"/>
      <c r="W112" s="70">
        <v>0.11</v>
      </c>
      <c r="X112" s="15">
        <f t="shared" si="18"/>
        <v>-0.11482507288629738</v>
      </c>
      <c r="Y112" s="16">
        <f>VLOOKUP(C112,台股行情!A:D,4,FALSE)</f>
        <v>285</v>
      </c>
      <c r="Z112" s="38">
        <f>VLOOKUP(C112,台股行情!A:E,5,FALSE)</f>
        <v>-22</v>
      </c>
      <c r="AA112" s="90">
        <f t="shared" ca="1" si="11"/>
        <v>1502.5736502026064</v>
      </c>
      <c r="AB112" s="103" t="s">
        <v>2729</v>
      </c>
    </row>
    <row r="113" spans="1:28" outlineLevel="1">
      <c r="A113" s="99">
        <v>44299</v>
      </c>
      <c r="B113" s="11" t="s">
        <v>19</v>
      </c>
      <c r="C113" s="11">
        <v>1304</v>
      </c>
      <c r="D113" s="11" t="s">
        <v>242</v>
      </c>
      <c r="E113" s="205">
        <v>1000</v>
      </c>
      <c r="F113" s="11">
        <v>29.4</v>
      </c>
      <c r="G113" s="11">
        <f t="shared" si="12"/>
        <v>29400</v>
      </c>
      <c r="H113" s="11">
        <v>41</v>
      </c>
      <c r="I113" s="104">
        <v>44323</v>
      </c>
      <c r="J113" s="16">
        <v>36.200000000000003</v>
      </c>
      <c r="K113" s="11">
        <f t="shared" si="13"/>
        <v>36200</v>
      </c>
      <c r="L113" s="17">
        <v>51</v>
      </c>
      <c r="M113" s="11">
        <v>108</v>
      </c>
      <c r="N113" s="11">
        <v>0</v>
      </c>
      <c r="O113" s="13">
        <f t="shared" si="14"/>
        <v>0</v>
      </c>
      <c r="P113" s="14">
        <f t="shared" si="10"/>
        <v>6590</v>
      </c>
      <c r="Q113" s="14">
        <f t="shared" si="15"/>
        <v>0</v>
      </c>
      <c r="R113" s="14"/>
      <c r="S113" s="14">
        <v>10</v>
      </c>
      <c r="T113" s="14">
        <f t="shared" si="16"/>
        <v>0</v>
      </c>
      <c r="U113" s="69">
        <f t="shared" si="17"/>
        <v>0</v>
      </c>
      <c r="V113" s="69"/>
      <c r="W113" s="70">
        <v>0.11</v>
      </c>
      <c r="X113" s="15">
        <f t="shared" si="18"/>
        <v>0.22414965986394558</v>
      </c>
      <c r="Y113" s="16">
        <f>VLOOKUP(C113,台股行情!A:D,4,FALSE)</f>
        <v>13.2</v>
      </c>
      <c r="Z113" s="38">
        <f>VLOOKUP(C113,台股行情!A:E,5,FALSE)</f>
        <v>-0.8</v>
      </c>
      <c r="AA113" s="90">
        <f t="shared" ca="1" si="11"/>
        <v>1931.8804074033512</v>
      </c>
      <c r="AB113" s="103" t="s">
        <v>2729</v>
      </c>
    </row>
    <row r="114" spans="1:28" outlineLevel="1">
      <c r="A114" s="99">
        <v>44308</v>
      </c>
      <c r="B114" s="11" t="s">
        <v>19</v>
      </c>
      <c r="C114" s="11">
        <v>2637</v>
      </c>
      <c r="D114" s="11" t="s">
        <v>1554</v>
      </c>
      <c r="E114" s="11">
        <v>1000</v>
      </c>
      <c r="F114" s="11">
        <v>53.9</v>
      </c>
      <c r="G114" s="11">
        <f t="shared" si="12"/>
        <v>53900</v>
      </c>
      <c r="H114" s="11">
        <v>76</v>
      </c>
      <c r="I114" s="104">
        <v>44323</v>
      </c>
      <c r="J114" s="16">
        <v>62.5</v>
      </c>
      <c r="K114" s="11">
        <f t="shared" si="13"/>
        <v>62500</v>
      </c>
      <c r="L114" s="17">
        <v>89</v>
      </c>
      <c r="M114" s="11">
        <v>187</v>
      </c>
      <c r="N114" s="11">
        <v>0</v>
      </c>
      <c r="O114" s="13">
        <f t="shared" si="14"/>
        <v>0</v>
      </c>
      <c r="P114" s="14">
        <f t="shared" si="10"/>
        <v>8238</v>
      </c>
      <c r="Q114" s="14">
        <f t="shared" si="15"/>
        <v>0</v>
      </c>
      <c r="R114" s="14"/>
      <c r="S114" s="14">
        <v>10</v>
      </c>
      <c r="T114" s="14">
        <f t="shared" si="16"/>
        <v>0</v>
      </c>
      <c r="U114" s="69">
        <f t="shared" si="17"/>
        <v>0</v>
      </c>
      <c r="V114" s="69"/>
      <c r="W114" s="70">
        <v>0.11</v>
      </c>
      <c r="X114" s="15">
        <f t="shared" si="18"/>
        <v>0.15283858998144711</v>
      </c>
      <c r="Y114" s="16">
        <f>VLOOKUP(C114,台股行情!A:D,4,FALSE)</f>
        <v>101</v>
      </c>
      <c r="Z114" s="38">
        <f>VLOOKUP(C114,台股行情!A:E,5,FALSE)</f>
        <v>-2.5</v>
      </c>
      <c r="AA114" s="90">
        <f t="shared" ca="1" si="11"/>
        <v>2213.6129668163398</v>
      </c>
      <c r="AB114" s="103" t="s">
        <v>2729</v>
      </c>
    </row>
    <row r="115" spans="1:28" outlineLevel="1">
      <c r="A115" s="99">
        <v>44299</v>
      </c>
      <c r="B115" s="11" t="s">
        <v>19</v>
      </c>
      <c r="C115" s="11">
        <v>1440</v>
      </c>
      <c r="D115" s="11" t="s">
        <v>1541</v>
      </c>
      <c r="E115" s="205">
        <v>1000</v>
      </c>
      <c r="F115" s="11">
        <v>24.65</v>
      </c>
      <c r="G115" s="11">
        <f t="shared" si="12"/>
        <v>24650</v>
      </c>
      <c r="H115" s="11">
        <v>35</v>
      </c>
      <c r="I115" s="104">
        <v>44330</v>
      </c>
      <c r="J115" s="16">
        <v>26.65</v>
      </c>
      <c r="K115" s="11">
        <f t="shared" si="13"/>
        <v>26650</v>
      </c>
      <c r="L115" s="17">
        <v>37</v>
      </c>
      <c r="M115" s="11">
        <v>79</v>
      </c>
      <c r="N115" s="11">
        <v>0</v>
      </c>
      <c r="O115" s="13">
        <f t="shared" si="14"/>
        <v>0</v>
      </c>
      <c r="P115" s="14">
        <f t="shared" si="10"/>
        <v>1839</v>
      </c>
      <c r="Q115" s="14">
        <f t="shared" si="15"/>
        <v>0</v>
      </c>
      <c r="R115" s="14"/>
      <c r="S115" s="14">
        <v>10</v>
      </c>
      <c r="T115" s="14">
        <f t="shared" si="16"/>
        <v>0</v>
      </c>
      <c r="U115" s="69">
        <f t="shared" si="17"/>
        <v>0</v>
      </c>
      <c r="V115" s="69"/>
      <c r="W115" s="70">
        <v>0.11</v>
      </c>
      <c r="X115" s="15">
        <f t="shared" si="18"/>
        <v>7.4604462474645028E-2</v>
      </c>
      <c r="Y115" s="16">
        <f>VLOOKUP(C115,台股行情!A:D,4,FALSE)</f>
        <v>14.1</v>
      </c>
      <c r="Z115" s="38">
        <f>VLOOKUP(C115,台股行情!A:E,5,FALSE)</f>
        <v>-0.4</v>
      </c>
      <c r="AA115" s="90">
        <f t="shared" ca="1" si="11"/>
        <v>2092.1859599167669</v>
      </c>
      <c r="AB115" s="103" t="s">
        <v>2729</v>
      </c>
    </row>
    <row r="116" spans="1:28" outlineLevel="1">
      <c r="A116" s="99">
        <v>44277</v>
      </c>
      <c r="B116" s="11" t="s">
        <v>19</v>
      </c>
      <c r="C116" s="11">
        <v>4938</v>
      </c>
      <c r="D116" s="11" t="s">
        <v>1569</v>
      </c>
      <c r="E116" s="11">
        <v>1000</v>
      </c>
      <c r="F116" s="11">
        <v>73.900000000000006</v>
      </c>
      <c r="G116" s="11">
        <f t="shared" si="12"/>
        <v>73900</v>
      </c>
      <c r="H116" s="11">
        <v>105</v>
      </c>
      <c r="I116" s="104">
        <v>44390</v>
      </c>
      <c r="J116" s="16">
        <v>68</v>
      </c>
      <c r="K116" s="11">
        <f t="shared" si="13"/>
        <v>68000</v>
      </c>
      <c r="L116" s="17">
        <v>96</v>
      </c>
      <c r="M116" s="11">
        <v>204</v>
      </c>
      <c r="N116" s="11">
        <v>0</v>
      </c>
      <c r="O116" s="13">
        <f t="shared" si="14"/>
        <v>0</v>
      </c>
      <c r="P116" s="14">
        <f t="shared" si="10"/>
        <v>-2320.6799999999998</v>
      </c>
      <c r="Q116" s="14">
        <f t="shared" si="15"/>
        <v>0</v>
      </c>
      <c r="R116" s="14">
        <v>4488</v>
      </c>
      <c r="S116" s="14">
        <v>10</v>
      </c>
      <c r="T116" s="14">
        <f t="shared" si="16"/>
        <v>0</v>
      </c>
      <c r="U116" s="69">
        <f t="shared" si="17"/>
        <v>0</v>
      </c>
      <c r="V116" s="69"/>
      <c r="W116" s="70">
        <v>0.11</v>
      </c>
      <c r="X116" s="15">
        <f t="shared" si="18"/>
        <v>-3.1402976995940461E-2</v>
      </c>
      <c r="Y116" s="16">
        <f>VLOOKUP(C116,台股行情!A:D,4,FALSE)</f>
        <v>98.1</v>
      </c>
      <c r="Z116" s="38">
        <f>VLOOKUP(C116,台股行情!A:E,5,FALSE)</f>
        <v>-1.9</v>
      </c>
      <c r="AA116" s="90">
        <f t="shared" ca="1" si="11"/>
        <v>22863.596539261856</v>
      </c>
      <c r="AB116" s="103" t="s">
        <v>2729</v>
      </c>
    </row>
    <row r="117" spans="1:28" outlineLevel="1">
      <c r="A117" s="99">
        <v>44278</v>
      </c>
      <c r="B117" s="11" t="s">
        <v>19</v>
      </c>
      <c r="C117" s="11">
        <v>3711</v>
      </c>
      <c r="D117" s="11" t="s">
        <v>396</v>
      </c>
      <c r="E117" s="11">
        <v>1000</v>
      </c>
      <c r="F117" s="11">
        <v>109.5</v>
      </c>
      <c r="G117" s="11">
        <f t="shared" si="12"/>
        <v>109500</v>
      </c>
      <c r="H117" s="11">
        <v>156</v>
      </c>
      <c r="I117" s="104">
        <v>44413</v>
      </c>
      <c r="J117" s="16">
        <v>133</v>
      </c>
      <c r="K117" s="11">
        <f t="shared" si="13"/>
        <v>133000</v>
      </c>
      <c r="L117" s="17">
        <v>189</v>
      </c>
      <c r="M117" s="11">
        <v>399</v>
      </c>
      <c r="N117" s="11">
        <v>0</v>
      </c>
      <c r="O117" s="13">
        <f t="shared" si="14"/>
        <v>0</v>
      </c>
      <c r="P117" s="14">
        <f t="shared" si="10"/>
        <v>22746</v>
      </c>
      <c r="Q117" s="14">
        <f t="shared" si="15"/>
        <v>0</v>
      </c>
      <c r="R117" s="14"/>
      <c r="S117" s="14">
        <v>10</v>
      </c>
      <c r="T117" s="14">
        <f t="shared" si="16"/>
        <v>0</v>
      </c>
      <c r="U117" s="69">
        <f t="shared" si="17"/>
        <v>0</v>
      </c>
      <c r="V117" s="69"/>
      <c r="W117" s="70">
        <v>0.11</v>
      </c>
      <c r="X117" s="15">
        <f t="shared" si="18"/>
        <v>0.20772602739726029</v>
      </c>
      <c r="Y117" s="16">
        <f>VLOOKUP(C117,台股行情!A:D,4,FALSE)</f>
        <v>673</v>
      </c>
      <c r="Z117" s="38">
        <f>VLOOKUP(C117,台股行情!A:E,5,FALSE)</f>
        <v>-74</v>
      </c>
      <c r="AA117" s="90">
        <f t="shared" ca="1" si="11"/>
        <v>40473.387361734749</v>
      </c>
      <c r="AB117" s="103" t="s">
        <v>2729</v>
      </c>
    </row>
    <row r="118" spans="1:28" outlineLevel="1">
      <c r="A118" s="99">
        <v>44399</v>
      </c>
      <c r="B118" s="11" t="s">
        <v>19</v>
      </c>
      <c r="C118" s="11">
        <v>2317</v>
      </c>
      <c r="D118" s="11" t="s">
        <v>245</v>
      </c>
      <c r="E118" s="11">
        <v>1000</v>
      </c>
      <c r="F118" s="11">
        <v>111.5</v>
      </c>
      <c r="G118" s="11">
        <f t="shared" si="12"/>
        <v>111500</v>
      </c>
      <c r="H118" s="11">
        <v>158</v>
      </c>
      <c r="I118" s="104">
        <v>44412</v>
      </c>
      <c r="J118" s="16">
        <v>112.5</v>
      </c>
      <c r="K118" s="11">
        <f t="shared" si="13"/>
        <v>112500</v>
      </c>
      <c r="L118" s="17">
        <v>160</v>
      </c>
      <c r="M118" s="11">
        <v>337</v>
      </c>
      <c r="N118" s="11">
        <v>0</v>
      </c>
      <c r="O118" s="13">
        <f t="shared" si="14"/>
        <v>0</v>
      </c>
      <c r="P118" s="14">
        <f t="shared" si="10"/>
        <v>335</v>
      </c>
      <c r="Q118" s="14">
        <f t="shared" si="15"/>
        <v>0</v>
      </c>
      <c r="R118" s="14"/>
      <c r="S118" s="14">
        <v>10</v>
      </c>
      <c r="T118" s="14">
        <f t="shared" si="16"/>
        <v>0</v>
      </c>
      <c r="U118" s="69">
        <f t="shared" si="17"/>
        <v>0</v>
      </c>
      <c r="V118" s="69"/>
      <c r="W118" s="70">
        <v>0.11</v>
      </c>
      <c r="X118" s="15">
        <f t="shared" si="18"/>
        <v>3.0044843049327353E-3</v>
      </c>
      <c r="Y118" s="16">
        <f>VLOOKUP(C118,台股行情!A:D,4,FALSE)</f>
        <v>239.5</v>
      </c>
      <c r="Z118" s="38">
        <f>VLOOKUP(C118,台股行情!A:E,5,FALSE)</f>
        <v>-3.5</v>
      </c>
      <c r="AA118" s="90">
        <f t="shared" ca="1" si="11"/>
        <v>3968.62337093418</v>
      </c>
      <c r="AB118" s="103" t="s">
        <v>2729</v>
      </c>
    </row>
    <row r="119" spans="1:28" outlineLevel="1">
      <c r="A119" s="99">
        <v>44308</v>
      </c>
      <c r="B119" s="11" t="s">
        <v>19</v>
      </c>
      <c r="C119" s="11">
        <v>1905</v>
      </c>
      <c r="D119" s="11" t="s">
        <v>1542</v>
      </c>
      <c r="E119" s="11">
        <v>1000</v>
      </c>
      <c r="F119" s="11">
        <v>26.4</v>
      </c>
      <c r="G119" s="11">
        <f t="shared" si="12"/>
        <v>26400</v>
      </c>
      <c r="H119" s="11">
        <v>37</v>
      </c>
      <c r="I119" s="104">
        <v>44439</v>
      </c>
      <c r="J119" s="16">
        <v>24.35</v>
      </c>
      <c r="K119" s="11">
        <f t="shared" si="13"/>
        <v>24350</v>
      </c>
      <c r="L119" s="17">
        <v>34</v>
      </c>
      <c r="M119" s="11">
        <v>73</v>
      </c>
      <c r="N119" s="11">
        <v>0</v>
      </c>
      <c r="O119" s="13">
        <f t="shared" si="14"/>
        <v>0</v>
      </c>
      <c r="P119" s="14">
        <f t="shared" si="10"/>
        <v>-2204</v>
      </c>
      <c r="Q119" s="14">
        <f t="shared" si="15"/>
        <v>0</v>
      </c>
      <c r="R119" s="14"/>
      <c r="S119" s="14">
        <v>10</v>
      </c>
      <c r="T119" s="14">
        <f t="shared" si="16"/>
        <v>0</v>
      </c>
      <c r="U119" s="69">
        <f t="shared" si="17"/>
        <v>0</v>
      </c>
      <c r="V119" s="69"/>
      <c r="W119" s="70">
        <v>0.11</v>
      </c>
      <c r="X119" s="15">
        <f t="shared" si="18"/>
        <v>-8.3484848484848481E-2</v>
      </c>
      <c r="Y119" s="16">
        <f>VLOOKUP(C119,台股行情!A:D,4,FALSE)</f>
        <v>13.1</v>
      </c>
      <c r="Z119" s="38">
        <f>VLOOKUP(C119,台股行情!A:E,5,FALSE)</f>
        <v>0</v>
      </c>
      <c r="AA119" s="90">
        <f t="shared" ca="1" si="11"/>
        <v>9468.8424049939767</v>
      </c>
      <c r="AB119" s="103" t="s">
        <v>2729</v>
      </c>
    </row>
    <row r="120" spans="1:28" outlineLevel="1">
      <c r="A120" s="99">
        <v>44313</v>
      </c>
      <c r="B120" s="11" t="s">
        <v>19</v>
      </c>
      <c r="C120" s="11">
        <v>8440</v>
      </c>
      <c r="D120" s="11" t="s">
        <v>2176</v>
      </c>
      <c r="E120" s="11">
        <v>1000</v>
      </c>
      <c r="F120" s="11">
        <v>22.7</v>
      </c>
      <c r="G120" s="11">
        <f t="shared" si="12"/>
        <v>22700</v>
      </c>
      <c r="H120" s="11">
        <v>32</v>
      </c>
      <c r="I120" s="104">
        <v>44439</v>
      </c>
      <c r="J120" s="16">
        <v>18.8</v>
      </c>
      <c r="K120" s="11">
        <f t="shared" si="13"/>
        <v>18800</v>
      </c>
      <c r="L120" s="17">
        <v>26</v>
      </c>
      <c r="M120" s="11">
        <v>56</v>
      </c>
      <c r="N120" s="11">
        <v>0</v>
      </c>
      <c r="O120" s="13">
        <f t="shared" si="14"/>
        <v>0</v>
      </c>
      <c r="P120" s="14">
        <f t="shared" si="10"/>
        <v>-3490</v>
      </c>
      <c r="Q120" s="14">
        <f t="shared" si="15"/>
        <v>0</v>
      </c>
      <c r="R120" s="14">
        <v>600</v>
      </c>
      <c r="S120" s="14">
        <v>10</v>
      </c>
      <c r="T120" s="14">
        <f t="shared" si="16"/>
        <v>0</v>
      </c>
      <c r="U120" s="69">
        <f t="shared" si="17"/>
        <v>0</v>
      </c>
      <c r="V120" s="69"/>
      <c r="W120" s="70">
        <v>0.11</v>
      </c>
      <c r="X120" s="15">
        <f t="shared" si="18"/>
        <v>-0.1537444933920705</v>
      </c>
      <c r="Y120" s="16">
        <f>VLOOKUP(C120,台股行情!A:D,4,FALSE)</f>
        <v>19.95</v>
      </c>
      <c r="Z120" s="38">
        <f>VLOOKUP(C120,台股行情!A:E,5,FALSE)</f>
        <v>-0.25</v>
      </c>
      <c r="AA120" s="90">
        <f t="shared" ca="1" si="11"/>
        <v>7831.0152228671559</v>
      </c>
      <c r="AB120" s="103" t="s">
        <v>2729</v>
      </c>
    </row>
    <row r="121" spans="1:28" outlineLevel="1">
      <c r="A121" s="99">
        <v>44308</v>
      </c>
      <c r="B121" s="11" t="s">
        <v>19</v>
      </c>
      <c r="C121" s="11">
        <v>2409</v>
      </c>
      <c r="D121" s="11" t="s">
        <v>1665</v>
      </c>
      <c r="E121" s="11">
        <v>1000</v>
      </c>
      <c r="F121" s="11">
        <v>30.2</v>
      </c>
      <c r="G121" s="11">
        <f t="shared" si="12"/>
        <v>30200</v>
      </c>
      <c r="H121" s="11">
        <v>43</v>
      </c>
      <c r="I121" s="169">
        <v>44442</v>
      </c>
      <c r="J121" s="16">
        <v>17.350000000000001</v>
      </c>
      <c r="K121" s="11">
        <f t="shared" si="13"/>
        <v>17350</v>
      </c>
      <c r="L121" s="17">
        <v>24</v>
      </c>
      <c r="M121" s="11">
        <v>52</v>
      </c>
      <c r="N121" s="11">
        <v>0</v>
      </c>
      <c r="O121" s="13">
        <f t="shared" si="14"/>
        <v>0</v>
      </c>
      <c r="P121" s="14">
        <f t="shared" si="10"/>
        <v>-12712</v>
      </c>
      <c r="Q121" s="14">
        <f t="shared" si="15"/>
        <v>0</v>
      </c>
      <c r="R121" s="14">
        <v>300</v>
      </c>
      <c r="S121" s="14">
        <v>10</v>
      </c>
      <c r="T121" s="14">
        <f t="shared" si="16"/>
        <v>0</v>
      </c>
      <c r="U121" s="69">
        <f t="shared" si="17"/>
        <v>0</v>
      </c>
      <c r="V121" s="69"/>
      <c r="W121" s="70">
        <v>0.11</v>
      </c>
      <c r="X121" s="15">
        <f t="shared" si="18"/>
        <v>-0.4209271523178808</v>
      </c>
      <c r="Y121" s="16">
        <f>VLOOKUP(C121,台股行情!A:D,4,FALSE)</f>
        <v>34.9</v>
      </c>
      <c r="Z121" s="38">
        <f>VLOOKUP(C121,台股行情!A:E,5,FALSE)</f>
        <v>-1.35</v>
      </c>
      <c r="AA121" s="90">
        <f t="shared" ca="1" si="11"/>
        <v>11079.837914795751</v>
      </c>
      <c r="AB121" s="103" t="s">
        <v>2729</v>
      </c>
    </row>
    <row r="122" spans="1:28" outlineLevel="1">
      <c r="A122" s="99">
        <v>44308</v>
      </c>
      <c r="B122" s="11" t="s">
        <v>19</v>
      </c>
      <c r="C122" s="11">
        <v>3481</v>
      </c>
      <c r="D122" s="11" t="s">
        <v>255</v>
      </c>
      <c r="E122" s="11">
        <v>1000</v>
      </c>
      <c r="F122" s="11">
        <v>29.35</v>
      </c>
      <c r="G122" s="11">
        <f t="shared" si="12"/>
        <v>29350</v>
      </c>
      <c r="H122" s="11">
        <v>41</v>
      </c>
      <c r="I122" s="169">
        <v>44442</v>
      </c>
      <c r="J122" s="16">
        <v>16.850000000000001</v>
      </c>
      <c r="K122" s="11">
        <f t="shared" si="13"/>
        <v>16850</v>
      </c>
      <c r="L122" s="17">
        <v>24</v>
      </c>
      <c r="M122" s="11">
        <v>50</v>
      </c>
      <c r="N122" s="11">
        <v>0</v>
      </c>
      <c r="O122" s="13">
        <f t="shared" si="14"/>
        <v>0</v>
      </c>
      <c r="P122" s="14">
        <f t="shared" si="10"/>
        <v>-12270.78</v>
      </c>
      <c r="Q122" s="14">
        <f t="shared" si="15"/>
        <v>0</v>
      </c>
      <c r="R122" s="14">
        <v>398</v>
      </c>
      <c r="S122" s="14">
        <v>10</v>
      </c>
      <c r="T122" s="14">
        <f t="shared" si="16"/>
        <v>0</v>
      </c>
      <c r="U122" s="69">
        <f t="shared" si="17"/>
        <v>0</v>
      </c>
      <c r="V122" s="69"/>
      <c r="W122" s="70">
        <v>0.11</v>
      </c>
      <c r="X122" s="15">
        <f t="shared" si="18"/>
        <v>-0.41808449744463377</v>
      </c>
      <c r="Y122" s="16">
        <f>VLOOKUP(C122,台股行情!A:D,4,FALSE)</f>
        <v>48.3</v>
      </c>
      <c r="Z122" s="38">
        <f>VLOOKUP(C122,台股行情!A:E,5,FALSE)</f>
        <v>-2.6</v>
      </c>
      <c r="AA122" s="90">
        <f t="shared" ca="1" si="11"/>
        <v>10767.988172160771</v>
      </c>
      <c r="AB122" s="103" t="s">
        <v>2729</v>
      </c>
    </row>
    <row r="123" spans="1:28" outlineLevel="1">
      <c r="A123" s="99">
        <v>44300</v>
      </c>
      <c r="B123" s="11" t="s">
        <v>19</v>
      </c>
      <c r="C123" s="11">
        <v>2618</v>
      </c>
      <c r="D123" s="11" t="s">
        <v>1553</v>
      </c>
      <c r="E123" s="11">
        <v>1000</v>
      </c>
      <c r="F123" s="11">
        <v>17.95</v>
      </c>
      <c r="G123" s="11">
        <f t="shared" si="12"/>
        <v>17950</v>
      </c>
      <c r="H123" s="11">
        <v>25</v>
      </c>
      <c r="I123" s="169">
        <v>44442</v>
      </c>
      <c r="J123" s="16">
        <v>18.45</v>
      </c>
      <c r="K123" s="11">
        <f t="shared" si="13"/>
        <v>18450</v>
      </c>
      <c r="L123" s="17">
        <v>26</v>
      </c>
      <c r="M123" s="11">
        <v>55</v>
      </c>
      <c r="N123" s="11">
        <v>0</v>
      </c>
      <c r="O123" s="13">
        <f t="shared" si="14"/>
        <v>0</v>
      </c>
      <c r="P123" s="14">
        <f t="shared" si="10"/>
        <v>384</v>
      </c>
      <c r="Q123" s="14">
        <f t="shared" si="15"/>
        <v>0</v>
      </c>
      <c r="R123" s="14"/>
      <c r="S123" s="14">
        <v>10</v>
      </c>
      <c r="T123" s="14">
        <f t="shared" si="16"/>
        <v>0</v>
      </c>
      <c r="U123" s="69">
        <f t="shared" si="17"/>
        <v>0</v>
      </c>
      <c r="V123" s="69"/>
      <c r="W123" s="70">
        <v>0.11</v>
      </c>
      <c r="X123" s="15">
        <f t="shared" si="18"/>
        <v>2.1392757660167131E-2</v>
      </c>
      <c r="Y123" s="16">
        <f>VLOOKUP(C123,台股行情!A:D,4,FALSE)</f>
        <v>43.45</v>
      </c>
      <c r="Z123" s="38">
        <f>VLOOKUP(C123,台股行情!A:E,5,FALSE)</f>
        <v>0.05</v>
      </c>
      <c r="AA123" s="90">
        <f t="shared" ca="1" si="11"/>
        <v>6978.6989376848096</v>
      </c>
      <c r="AB123" s="103" t="s">
        <v>2729</v>
      </c>
    </row>
    <row r="124" spans="1:28" outlineLevel="1">
      <c r="A124" s="99">
        <v>44308</v>
      </c>
      <c r="B124" s="11" t="s">
        <v>19</v>
      </c>
      <c r="C124" s="11">
        <v>2031</v>
      </c>
      <c r="D124" s="11" t="s">
        <v>1544</v>
      </c>
      <c r="E124" s="11">
        <v>1000</v>
      </c>
      <c r="F124" s="11">
        <v>61.2</v>
      </c>
      <c r="G124" s="11">
        <f t="shared" si="12"/>
        <v>61200</v>
      </c>
      <c r="H124" s="11">
        <v>87</v>
      </c>
      <c r="I124" s="169">
        <v>44445</v>
      </c>
      <c r="J124" s="16">
        <v>67</v>
      </c>
      <c r="K124" s="11">
        <f t="shared" si="13"/>
        <v>67000</v>
      </c>
      <c r="L124" s="17">
        <v>95</v>
      </c>
      <c r="M124" s="11">
        <v>201</v>
      </c>
      <c r="N124" s="11">
        <v>0</v>
      </c>
      <c r="O124" s="13">
        <f t="shared" si="14"/>
        <v>0</v>
      </c>
      <c r="P124" s="14">
        <f t="shared" si="10"/>
        <v>7115.8</v>
      </c>
      <c r="Q124" s="14">
        <f t="shared" si="15"/>
        <v>0</v>
      </c>
      <c r="R124" s="14">
        <v>1920</v>
      </c>
      <c r="S124" s="14">
        <v>10</v>
      </c>
      <c r="T124" s="14">
        <f t="shared" si="16"/>
        <v>0</v>
      </c>
      <c r="U124" s="69">
        <f t="shared" si="17"/>
        <v>0</v>
      </c>
      <c r="V124" s="69"/>
      <c r="W124" s="70">
        <v>0.11</v>
      </c>
      <c r="X124" s="15">
        <f t="shared" si="18"/>
        <v>0.11627124183006536</v>
      </c>
      <c r="Y124" s="16">
        <f>VLOOKUP(C124,台股行情!A:D,4,FALSE)</f>
        <v>46.95</v>
      </c>
      <c r="Z124" s="38">
        <f>VLOOKUP(C124,台股行情!A:E,5,FALSE)</f>
        <v>-0.4</v>
      </c>
      <c r="AA124" s="90">
        <f t="shared" ca="1" si="11"/>
        <v>22955.864636951046</v>
      </c>
      <c r="AB124" s="103" t="s">
        <v>2729</v>
      </c>
    </row>
    <row r="125" spans="1:28" outlineLevel="1">
      <c r="A125" s="99">
        <v>44390</v>
      </c>
      <c r="B125" s="11" t="s">
        <v>19</v>
      </c>
      <c r="C125" s="11">
        <v>3029</v>
      </c>
      <c r="D125" s="11" t="s">
        <v>1560</v>
      </c>
      <c r="E125" s="11">
        <v>1000</v>
      </c>
      <c r="F125" s="11">
        <v>49.5</v>
      </c>
      <c r="G125" s="11">
        <f t="shared" si="12"/>
        <v>49500</v>
      </c>
      <c r="H125" s="11">
        <v>70</v>
      </c>
      <c r="I125" s="169">
        <v>44456</v>
      </c>
      <c r="J125" s="16">
        <v>45.9</v>
      </c>
      <c r="K125" s="11">
        <f t="shared" si="13"/>
        <v>45900</v>
      </c>
      <c r="L125" s="17">
        <v>65</v>
      </c>
      <c r="M125" s="11">
        <v>137</v>
      </c>
      <c r="N125" s="11">
        <v>0</v>
      </c>
      <c r="O125" s="13">
        <f t="shared" si="14"/>
        <v>0</v>
      </c>
      <c r="P125" s="14">
        <f t="shared" si="10"/>
        <v>-1212</v>
      </c>
      <c r="Q125" s="14">
        <f t="shared" si="15"/>
        <v>0</v>
      </c>
      <c r="R125" s="14">
        <v>3000</v>
      </c>
      <c r="S125" s="14">
        <v>10</v>
      </c>
      <c r="T125" s="14">
        <f t="shared" si="16"/>
        <v>0</v>
      </c>
      <c r="U125" s="69">
        <f t="shared" si="17"/>
        <v>0</v>
      </c>
      <c r="V125" s="69"/>
      <c r="W125" s="70">
        <v>0.11</v>
      </c>
      <c r="X125" s="15">
        <f t="shared" si="18"/>
        <v>-2.4484848484848484E-2</v>
      </c>
      <c r="Y125" s="16">
        <f>VLOOKUP(C125,台股行情!A:D,4,FALSE)</f>
        <v>119.5</v>
      </c>
      <c r="Z125" s="38">
        <f>VLOOKUP(C125,台股行情!A:E,5,FALSE)</f>
        <v>-2</v>
      </c>
      <c r="AA125" s="90">
        <f t="shared" ca="1" si="11"/>
        <v>8944.8034169313323</v>
      </c>
      <c r="AB125" s="103" t="s">
        <v>2729</v>
      </c>
    </row>
    <row r="126" spans="1:28" outlineLevel="1">
      <c r="A126" s="99">
        <v>44300</v>
      </c>
      <c r="B126" s="11" t="s">
        <v>19</v>
      </c>
      <c r="C126" s="11">
        <v>2618</v>
      </c>
      <c r="D126" s="11" t="s">
        <v>1553</v>
      </c>
      <c r="E126" s="11">
        <v>4000</v>
      </c>
      <c r="F126" s="11">
        <v>17.95</v>
      </c>
      <c r="G126" s="11">
        <f t="shared" si="12"/>
        <v>71800</v>
      </c>
      <c r="H126" s="11">
        <v>122</v>
      </c>
      <c r="I126" s="169">
        <v>44503</v>
      </c>
      <c r="J126" s="16">
        <v>20.5</v>
      </c>
      <c r="K126" s="11">
        <f t="shared" si="13"/>
        <v>82000</v>
      </c>
      <c r="L126" s="17">
        <v>116</v>
      </c>
      <c r="M126" s="11">
        <v>246</v>
      </c>
      <c r="N126" s="11">
        <v>0</v>
      </c>
      <c r="O126" s="13">
        <f t="shared" si="14"/>
        <v>0</v>
      </c>
      <c r="P126" s="14">
        <f t="shared" si="10"/>
        <v>9706</v>
      </c>
      <c r="Q126" s="14">
        <f t="shared" si="15"/>
        <v>0</v>
      </c>
      <c r="R126" s="14"/>
      <c r="S126" s="14">
        <v>10</v>
      </c>
      <c r="T126" s="14">
        <f t="shared" si="16"/>
        <v>0</v>
      </c>
      <c r="U126" s="69">
        <f t="shared" si="17"/>
        <v>0</v>
      </c>
      <c r="V126" s="69"/>
      <c r="W126" s="70">
        <v>0.11</v>
      </c>
      <c r="X126" s="15">
        <f t="shared" si="18"/>
        <v>0.13518105849582174</v>
      </c>
      <c r="Y126" s="16">
        <f>VLOOKUP(C126,台股行情!A:D,4,FALSE)</f>
        <v>43.45</v>
      </c>
      <c r="Z126" s="38">
        <f>VLOOKUP(C126,台股行情!A:E,5,FALSE)</f>
        <v>0.05</v>
      </c>
      <c r="AA126" s="90">
        <f t="shared" ca="1" si="11"/>
        <v>39906.36293943708</v>
      </c>
      <c r="AB126" s="103" t="s">
        <v>2729</v>
      </c>
    </row>
    <row r="127" spans="1:28" outlineLevel="1">
      <c r="A127" s="99">
        <v>44313</v>
      </c>
      <c r="B127" s="11" t="s">
        <v>19</v>
      </c>
      <c r="C127" s="11">
        <v>8440</v>
      </c>
      <c r="D127" s="11" t="s">
        <v>2176</v>
      </c>
      <c r="E127" s="11">
        <v>1000</v>
      </c>
      <c r="F127" s="11">
        <v>22.7</v>
      </c>
      <c r="G127" s="11">
        <f t="shared" si="12"/>
        <v>22700</v>
      </c>
      <c r="H127" s="11">
        <v>32</v>
      </c>
      <c r="I127" s="169">
        <v>44531</v>
      </c>
      <c r="J127" s="16">
        <v>18.399999999999999</v>
      </c>
      <c r="K127" s="11">
        <f t="shared" si="13"/>
        <v>18400</v>
      </c>
      <c r="L127" s="17">
        <v>26</v>
      </c>
      <c r="M127" s="11">
        <v>55</v>
      </c>
      <c r="N127" s="11">
        <v>0</v>
      </c>
      <c r="O127" s="13">
        <f t="shared" si="14"/>
        <v>0</v>
      </c>
      <c r="P127" s="14">
        <f t="shared" si="10"/>
        <v>-3889</v>
      </c>
      <c r="Q127" s="14">
        <f t="shared" si="15"/>
        <v>0</v>
      </c>
      <c r="R127" s="14">
        <v>600</v>
      </c>
      <c r="S127" s="14">
        <v>10</v>
      </c>
      <c r="T127" s="14">
        <f t="shared" si="16"/>
        <v>0</v>
      </c>
      <c r="U127" s="69">
        <f t="shared" si="17"/>
        <v>0</v>
      </c>
      <c r="V127" s="69"/>
      <c r="W127" s="70">
        <v>0.11</v>
      </c>
      <c r="X127" s="15">
        <f t="shared" si="18"/>
        <v>-0.17132158590308369</v>
      </c>
      <c r="Y127" s="16">
        <f>VLOOKUP(C127,台股行情!A:D,4,FALSE)</f>
        <v>19.95</v>
      </c>
      <c r="Z127" s="38">
        <f>VLOOKUP(C127,台股行情!A:E,5,FALSE)</f>
        <v>-0.25</v>
      </c>
      <c r="AA127" s="90">
        <f t="shared" ca="1" si="11"/>
        <v>13548.899353849523</v>
      </c>
      <c r="AB127" s="103" t="s">
        <v>2729</v>
      </c>
    </row>
    <row r="128" spans="1:28" outlineLevel="1">
      <c r="A128" s="99">
        <v>44445</v>
      </c>
      <c r="B128" s="11" t="s">
        <v>19</v>
      </c>
      <c r="C128" s="11">
        <v>6196</v>
      </c>
      <c r="D128" s="11" t="s">
        <v>1577</v>
      </c>
      <c r="E128" s="11">
        <v>1000</v>
      </c>
      <c r="F128" s="11">
        <v>116</v>
      </c>
      <c r="G128" s="11">
        <f t="shared" si="12"/>
        <v>116000</v>
      </c>
      <c r="H128" s="11">
        <v>165</v>
      </c>
      <c r="I128" s="169">
        <v>44545</v>
      </c>
      <c r="J128" s="16">
        <v>149</v>
      </c>
      <c r="K128" s="11">
        <f t="shared" si="13"/>
        <v>149000</v>
      </c>
      <c r="L128" s="17">
        <v>212</v>
      </c>
      <c r="M128" s="11">
        <v>447</v>
      </c>
      <c r="N128" s="11">
        <v>0</v>
      </c>
      <c r="O128" s="13">
        <f t="shared" si="14"/>
        <v>0</v>
      </c>
      <c r="P128" s="14">
        <f t="shared" si="10"/>
        <v>32166</v>
      </c>
      <c r="Q128" s="14">
        <f t="shared" si="15"/>
        <v>0</v>
      </c>
      <c r="R128" s="14"/>
      <c r="S128" s="14">
        <v>10</v>
      </c>
      <c r="T128" s="14">
        <f t="shared" si="16"/>
        <v>0</v>
      </c>
      <c r="U128" s="69">
        <f t="shared" si="17"/>
        <v>0</v>
      </c>
      <c r="V128" s="69"/>
      <c r="W128" s="70">
        <v>0.11</v>
      </c>
      <c r="X128" s="15">
        <f t="shared" si="18"/>
        <v>0.27729310344827585</v>
      </c>
      <c r="Y128" s="16">
        <f>VLOOKUP(C128,台股行情!A:D,4,FALSE)</f>
        <v>613</v>
      </c>
      <c r="Z128" s="38">
        <f>VLOOKUP(C128,台股行情!A:E,5,FALSE)</f>
        <v>-43</v>
      </c>
      <c r="AA128" s="90">
        <f t="shared" ca="1" si="11"/>
        <v>31759.938670463256</v>
      </c>
      <c r="AB128" s="103" t="s">
        <v>2729</v>
      </c>
    </row>
    <row r="129" spans="1:28" outlineLevel="1">
      <c r="A129" s="99">
        <v>44522</v>
      </c>
      <c r="B129" s="11" t="s">
        <v>19</v>
      </c>
      <c r="C129" s="11">
        <v>3481</v>
      </c>
      <c r="D129" s="11" t="s">
        <v>255</v>
      </c>
      <c r="E129" s="11">
        <v>1000</v>
      </c>
      <c r="F129" s="11">
        <v>19.05</v>
      </c>
      <c r="G129" s="11">
        <f t="shared" si="12"/>
        <v>19050</v>
      </c>
      <c r="H129" s="11">
        <v>27</v>
      </c>
      <c r="I129" s="169">
        <v>44551</v>
      </c>
      <c r="J129" s="16">
        <v>19.350000000000001</v>
      </c>
      <c r="K129" s="11">
        <f t="shared" si="13"/>
        <v>19350</v>
      </c>
      <c r="L129" s="17">
        <v>27</v>
      </c>
      <c r="M129" s="11">
        <v>58</v>
      </c>
      <c r="N129" s="11">
        <v>0</v>
      </c>
      <c r="O129" s="13">
        <f t="shared" si="14"/>
        <v>0</v>
      </c>
      <c r="P129" s="14">
        <f t="shared" si="10"/>
        <v>178</v>
      </c>
      <c r="Q129" s="14">
        <f t="shared" si="15"/>
        <v>0</v>
      </c>
      <c r="R129" s="14"/>
      <c r="S129" s="14">
        <v>10</v>
      </c>
      <c r="T129" s="14">
        <f t="shared" si="16"/>
        <v>0</v>
      </c>
      <c r="U129" s="69">
        <f t="shared" si="17"/>
        <v>0</v>
      </c>
      <c r="V129" s="69"/>
      <c r="W129" s="70">
        <v>0.11</v>
      </c>
      <c r="X129" s="15">
        <f t="shared" si="18"/>
        <v>9.3438320209973755E-3</v>
      </c>
      <c r="Y129" s="16">
        <f>VLOOKUP(C129,台股行情!A:D,4,FALSE)</f>
        <v>48.3</v>
      </c>
      <c r="Z129" s="38">
        <f>VLOOKUP(C129,台股行情!A:E,5,FALSE)</f>
        <v>-2.6</v>
      </c>
      <c r="AA129" s="90">
        <f t="shared" ca="1" si="11"/>
        <v>1512.5670791808125</v>
      </c>
      <c r="AB129" s="103" t="s">
        <v>2729</v>
      </c>
    </row>
    <row r="130" spans="1:28" outlineLevel="1">
      <c r="A130" s="99">
        <v>44293</v>
      </c>
      <c r="B130" s="11" t="s">
        <v>19</v>
      </c>
      <c r="C130" s="11">
        <v>3023</v>
      </c>
      <c r="D130" s="11" t="s">
        <v>1559</v>
      </c>
      <c r="E130" s="11">
        <v>1000</v>
      </c>
      <c r="F130" s="11">
        <v>280.5</v>
      </c>
      <c r="G130" s="11">
        <f t="shared" si="12"/>
        <v>280500</v>
      </c>
      <c r="H130" s="11">
        <v>399</v>
      </c>
      <c r="I130" s="169">
        <v>44554</v>
      </c>
      <c r="J130" s="16">
        <v>289.5</v>
      </c>
      <c r="K130" s="11">
        <f t="shared" si="13"/>
        <v>289500</v>
      </c>
      <c r="L130" s="17">
        <v>412</v>
      </c>
      <c r="M130" s="11">
        <v>868</v>
      </c>
      <c r="N130" s="11">
        <v>0</v>
      </c>
      <c r="O130" s="13">
        <f t="shared" si="14"/>
        <v>0</v>
      </c>
      <c r="P130" s="14">
        <f t="shared" si="10"/>
        <v>12907.32</v>
      </c>
      <c r="Q130" s="14">
        <f t="shared" si="15"/>
        <v>0</v>
      </c>
      <c r="R130" s="14">
        <v>6288</v>
      </c>
      <c r="S130" s="14">
        <v>10</v>
      </c>
      <c r="T130" s="14">
        <f t="shared" si="16"/>
        <v>0</v>
      </c>
      <c r="U130" s="69">
        <f t="shared" si="17"/>
        <v>0</v>
      </c>
      <c r="V130" s="69"/>
      <c r="W130" s="70">
        <v>0.11</v>
      </c>
      <c r="X130" s="15">
        <f t="shared" si="18"/>
        <v>4.6015401069518715E-2</v>
      </c>
      <c r="Y130" s="16">
        <f>VLOOKUP(C130,台股行情!A:D,4,FALSE)</f>
        <v>321.5</v>
      </c>
      <c r="Z130" s="38">
        <f>VLOOKUP(C130,台股行情!A:E,5,FALSE)</f>
        <v>3</v>
      </c>
      <c r="AA130" s="90">
        <f t="shared" ca="1" si="11"/>
        <v>200444.91293396123</v>
      </c>
      <c r="AB130" s="103" t="s">
        <v>2729</v>
      </c>
    </row>
    <row r="131" spans="1:28" outlineLevel="1">
      <c r="A131" s="99">
        <v>44308</v>
      </c>
      <c r="B131" s="11" t="s">
        <v>19</v>
      </c>
      <c r="C131" s="11">
        <v>2208</v>
      </c>
      <c r="D131" s="11" t="s">
        <v>1546</v>
      </c>
      <c r="E131" s="11">
        <v>2000</v>
      </c>
      <c r="F131" s="11">
        <v>29.35</v>
      </c>
      <c r="G131" s="11">
        <f t="shared" si="12"/>
        <v>58700</v>
      </c>
      <c r="H131" s="11">
        <v>83</v>
      </c>
      <c r="I131" s="169">
        <v>44554</v>
      </c>
      <c r="J131" s="16">
        <v>21.45</v>
      </c>
      <c r="K131" s="11">
        <f t="shared" si="13"/>
        <v>42900</v>
      </c>
      <c r="L131" s="17">
        <v>60</v>
      </c>
      <c r="M131" s="11">
        <v>128</v>
      </c>
      <c r="N131" s="11">
        <v>0</v>
      </c>
      <c r="O131" s="13">
        <f t="shared" si="14"/>
        <v>0</v>
      </c>
      <c r="P131" s="14">
        <f t="shared" si="10"/>
        <v>-16081</v>
      </c>
      <c r="Q131" s="14">
        <f t="shared" si="15"/>
        <v>0</v>
      </c>
      <c r="R131" s="14"/>
      <c r="S131" s="14">
        <v>10</v>
      </c>
      <c r="T131" s="14">
        <f t="shared" si="16"/>
        <v>0</v>
      </c>
      <c r="U131" s="69">
        <f t="shared" si="17"/>
        <v>0</v>
      </c>
      <c r="V131" s="69"/>
      <c r="W131" s="70">
        <v>0.11</v>
      </c>
      <c r="X131" s="15">
        <f t="shared" si="18"/>
        <v>-0.27395229982964225</v>
      </c>
      <c r="Y131" s="16">
        <f>VLOOKUP(C131,台股行情!A:D,4,FALSE)</f>
        <v>18</v>
      </c>
      <c r="Z131" s="38">
        <f>VLOOKUP(C131,台股行情!A:E,5,FALSE)</f>
        <v>-0.3</v>
      </c>
      <c r="AA131" s="90">
        <f t="shared" ca="1" si="11"/>
        <v>39536.195378381337</v>
      </c>
      <c r="AB131" s="103" t="s">
        <v>2729</v>
      </c>
    </row>
    <row r="132" spans="1:28" outlineLevel="1">
      <c r="A132" s="99">
        <v>44522</v>
      </c>
      <c r="B132" s="11" t="s">
        <v>19</v>
      </c>
      <c r="C132" s="11">
        <v>2409</v>
      </c>
      <c r="D132" s="11" t="s">
        <v>1665</v>
      </c>
      <c r="E132" s="11">
        <v>1000</v>
      </c>
      <c r="F132" s="11">
        <v>21.95</v>
      </c>
      <c r="G132" s="11">
        <f t="shared" si="12"/>
        <v>21950</v>
      </c>
      <c r="H132" s="11">
        <v>31</v>
      </c>
      <c r="I132" s="169">
        <v>44554</v>
      </c>
      <c r="J132" s="16">
        <v>22.35</v>
      </c>
      <c r="K132" s="11">
        <f t="shared" si="13"/>
        <v>22350</v>
      </c>
      <c r="L132" s="17">
        <v>31</v>
      </c>
      <c r="M132" s="11">
        <v>67</v>
      </c>
      <c r="N132" s="11">
        <v>0</v>
      </c>
      <c r="O132" s="13">
        <f t="shared" si="14"/>
        <v>0</v>
      </c>
      <c r="P132" s="14">
        <f t="shared" si="10"/>
        <v>261</v>
      </c>
      <c r="Q132" s="14">
        <f t="shared" si="15"/>
        <v>0</v>
      </c>
      <c r="R132" s="14"/>
      <c r="S132" s="14">
        <v>10</v>
      </c>
      <c r="T132" s="14">
        <f t="shared" si="16"/>
        <v>0</v>
      </c>
      <c r="U132" s="69">
        <f t="shared" si="17"/>
        <v>0</v>
      </c>
      <c r="V132" s="69"/>
      <c r="W132" s="70">
        <v>0.11</v>
      </c>
      <c r="X132" s="15">
        <f t="shared" si="18"/>
        <v>1.1890660592255126E-2</v>
      </c>
      <c r="Y132" s="16">
        <f>VLOOKUP(C132,台股行情!A:D,4,FALSE)</f>
        <v>34.9</v>
      </c>
      <c r="Z132" s="38">
        <f>VLOOKUP(C132,台股行情!A:E,5,FALSE)</f>
        <v>-1.35</v>
      </c>
      <c r="AA132" s="90">
        <f t="shared" ca="1" si="11"/>
        <v>1923.1190450114993</v>
      </c>
      <c r="AB132" s="103" t="s">
        <v>2729</v>
      </c>
    </row>
    <row r="133" spans="1:28" outlineLevel="1">
      <c r="A133" s="99">
        <v>44523</v>
      </c>
      <c r="B133" s="11" t="s">
        <v>19</v>
      </c>
      <c r="C133" s="11">
        <v>2481</v>
      </c>
      <c r="D133" s="219" t="s">
        <v>2428</v>
      </c>
      <c r="E133" s="11">
        <v>1000</v>
      </c>
      <c r="F133" s="11">
        <v>108</v>
      </c>
      <c r="G133" s="11">
        <f t="shared" si="12"/>
        <v>108000</v>
      </c>
      <c r="H133" s="11">
        <v>153</v>
      </c>
      <c r="I133" s="169">
        <v>44554</v>
      </c>
      <c r="J133" s="16">
        <v>109</v>
      </c>
      <c r="K133" s="11">
        <f t="shared" si="13"/>
        <v>109000</v>
      </c>
      <c r="L133" s="17">
        <v>155</v>
      </c>
      <c r="M133" s="11">
        <v>327</v>
      </c>
      <c r="N133" s="11">
        <v>0</v>
      </c>
      <c r="O133" s="13">
        <f t="shared" si="14"/>
        <v>0</v>
      </c>
      <c r="P133" s="14">
        <f t="shared" si="10"/>
        <v>355</v>
      </c>
      <c r="Q133" s="14">
        <f t="shared" si="15"/>
        <v>0</v>
      </c>
      <c r="R133" s="14"/>
      <c r="S133" s="14">
        <v>10</v>
      </c>
      <c r="T133" s="14">
        <f t="shared" si="16"/>
        <v>0</v>
      </c>
      <c r="U133" s="69">
        <f t="shared" si="17"/>
        <v>0</v>
      </c>
      <c r="V133" s="69"/>
      <c r="W133" s="70">
        <v>0.11</v>
      </c>
      <c r="X133" s="15">
        <f t="shared" si="18"/>
        <v>3.2870370370370371E-3</v>
      </c>
      <c r="Y133" s="16">
        <f>VLOOKUP(C133,台股行情!A:D,4,FALSE)</f>
        <v>155.5</v>
      </c>
      <c r="Z133" s="38">
        <f>VLOOKUP(C133,台股行情!A:E,5,FALSE)</f>
        <v>-10.5</v>
      </c>
      <c r="AA133" s="90">
        <f t="shared" ca="1" si="11"/>
        <v>9166.575402475084</v>
      </c>
      <c r="AB133" s="103" t="s">
        <v>2729</v>
      </c>
    </row>
    <row r="134" spans="1:28" outlineLevel="1">
      <c r="A134" s="99">
        <v>44547</v>
      </c>
      <c r="B134" s="11" t="s">
        <v>19</v>
      </c>
      <c r="C134" s="11">
        <v>2103</v>
      </c>
      <c r="D134" s="11" t="s">
        <v>1545</v>
      </c>
      <c r="E134" s="11">
        <v>1000</v>
      </c>
      <c r="F134" s="11">
        <v>38.299999999999997</v>
      </c>
      <c r="G134" s="11">
        <f t="shared" si="12"/>
        <v>38300</v>
      </c>
      <c r="H134" s="11">
        <v>54</v>
      </c>
      <c r="I134" s="169">
        <v>44554</v>
      </c>
      <c r="J134" s="16">
        <v>40.950000000000003</v>
      </c>
      <c r="K134" s="11">
        <f t="shared" si="13"/>
        <v>40950</v>
      </c>
      <c r="L134" s="17">
        <v>58</v>
      </c>
      <c r="M134" s="11">
        <v>122</v>
      </c>
      <c r="N134" s="11">
        <v>0</v>
      </c>
      <c r="O134" s="13">
        <f t="shared" si="14"/>
        <v>0</v>
      </c>
      <c r="P134" s="14">
        <f t="shared" si="10"/>
        <v>2406</v>
      </c>
      <c r="Q134" s="14">
        <f t="shared" si="15"/>
        <v>0</v>
      </c>
      <c r="R134" s="14"/>
      <c r="S134" s="14">
        <v>10</v>
      </c>
      <c r="T134" s="14">
        <f t="shared" si="16"/>
        <v>0</v>
      </c>
      <c r="U134" s="69">
        <f t="shared" si="17"/>
        <v>0</v>
      </c>
      <c r="V134" s="69"/>
      <c r="W134" s="70">
        <v>0.11</v>
      </c>
      <c r="X134" s="15">
        <f t="shared" si="18"/>
        <v>6.2819843342036552E-2</v>
      </c>
      <c r="Y134" s="16">
        <f>VLOOKUP(C134,台股行情!A:D,4,FALSE)</f>
        <v>28.6</v>
      </c>
      <c r="Z134" s="38">
        <f>VLOOKUP(C134,台股行情!A:E,5,FALSE)</f>
        <v>-1.35</v>
      </c>
      <c r="AA134" s="90">
        <f t="shared" ca="1" si="11"/>
        <v>734.03789289234476</v>
      </c>
      <c r="AB134" s="103" t="s">
        <v>2729</v>
      </c>
    </row>
    <row r="135" spans="1:28" outlineLevel="1">
      <c r="A135" s="99">
        <v>44547</v>
      </c>
      <c r="B135" s="11" t="s">
        <v>19</v>
      </c>
      <c r="C135" s="11">
        <v>3060</v>
      </c>
      <c r="D135" s="11" t="s">
        <v>904</v>
      </c>
      <c r="E135" s="11">
        <v>1000</v>
      </c>
      <c r="F135" s="11">
        <v>27.95</v>
      </c>
      <c r="G135" s="11">
        <f t="shared" si="12"/>
        <v>27950</v>
      </c>
      <c r="H135" s="11">
        <v>39</v>
      </c>
      <c r="I135" s="169">
        <v>44554</v>
      </c>
      <c r="J135" s="16">
        <v>26.3</v>
      </c>
      <c r="K135" s="11">
        <f t="shared" si="13"/>
        <v>26300</v>
      </c>
      <c r="L135" s="17">
        <v>37</v>
      </c>
      <c r="M135" s="11">
        <v>78</v>
      </c>
      <c r="N135" s="11">
        <v>0</v>
      </c>
      <c r="O135" s="13">
        <f t="shared" si="14"/>
        <v>0</v>
      </c>
      <c r="P135" s="14">
        <f t="shared" si="10"/>
        <v>-1814</v>
      </c>
      <c r="Q135" s="14">
        <f t="shared" si="15"/>
        <v>0</v>
      </c>
      <c r="R135" s="14"/>
      <c r="S135" s="14">
        <v>10</v>
      </c>
      <c r="T135" s="14">
        <f t="shared" si="16"/>
        <v>0</v>
      </c>
      <c r="U135" s="69">
        <f t="shared" si="17"/>
        <v>0</v>
      </c>
      <c r="V135" s="69"/>
      <c r="W135" s="70">
        <v>0.11</v>
      </c>
      <c r="X135" s="15">
        <f t="shared" si="18"/>
        <v>-6.4901610017889091E-2</v>
      </c>
      <c r="Y135" s="16">
        <f>VLOOKUP(C135,台股行情!A:D,4,FALSE)</f>
        <v>27.35</v>
      </c>
      <c r="Z135" s="38">
        <f>VLOOKUP(C135,台股行情!A:E,5,FALSE)</f>
        <v>-0.8</v>
      </c>
      <c r="AA135" s="90">
        <f t="shared" ca="1" si="11"/>
        <v>535.67517248932211</v>
      </c>
      <c r="AB135" s="103" t="s">
        <v>2729</v>
      </c>
    </row>
    <row r="136" spans="1:28">
      <c r="A136" s="99">
        <v>44285</v>
      </c>
      <c r="B136" s="11" t="s">
        <v>19</v>
      </c>
      <c r="C136" s="11">
        <v>2344</v>
      </c>
      <c r="D136" s="11" t="s">
        <v>1550</v>
      </c>
      <c r="E136" s="11">
        <v>1000</v>
      </c>
      <c r="F136" s="11">
        <v>30.1</v>
      </c>
      <c r="G136" s="11">
        <f t="shared" si="12"/>
        <v>30100</v>
      </c>
      <c r="H136" s="11">
        <v>42</v>
      </c>
      <c r="I136" s="308">
        <v>44567</v>
      </c>
      <c r="J136" s="16">
        <v>30.75</v>
      </c>
      <c r="K136" s="11">
        <f t="shared" si="13"/>
        <v>30750</v>
      </c>
      <c r="L136" s="17">
        <v>43</v>
      </c>
      <c r="M136" s="11">
        <v>92</v>
      </c>
      <c r="N136" s="11">
        <v>0</v>
      </c>
      <c r="O136" s="13">
        <f t="shared" si="14"/>
        <v>0</v>
      </c>
      <c r="P136" s="14">
        <f t="shared" si="10"/>
        <v>641</v>
      </c>
      <c r="Q136" s="14">
        <f t="shared" si="15"/>
        <v>0</v>
      </c>
      <c r="R136" s="14">
        <v>200</v>
      </c>
      <c r="S136" s="14">
        <v>10</v>
      </c>
      <c r="T136" s="14">
        <f t="shared" si="16"/>
        <v>0</v>
      </c>
      <c r="U136" s="69">
        <f t="shared" si="17"/>
        <v>0</v>
      </c>
      <c r="V136" s="69"/>
      <c r="W136" s="70">
        <v>0.11</v>
      </c>
      <c r="X136" s="15">
        <f t="shared" si="18"/>
        <v>2.1295681063122924E-2</v>
      </c>
      <c r="Y136" s="16">
        <f>VLOOKUP(C136,台股行情!A:D,4,FALSE)</f>
        <v>155</v>
      </c>
      <c r="Z136" s="38">
        <f>VLOOKUP(C136,台股行情!A:E,5,FALSE)</f>
        <v>-10</v>
      </c>
      <c r="AA136" s="90">
        <f t="shared" ca="1" si="11"/>
        <v>23240.061329536744</v>
      </c>
      <c r="AB136" s="103" t="s">
        <v>2729</v>
      </c>
    </row>
    <row r="137" spans="1:28" outlineLevel="1">
      <c r="A137" s="99">
        <v>44300</v>
      </c>
      <c r="B137" s="11" t="s">
        <v>19</v>
      </c>
      <c r="C137" s="11">
        <v>2330</v>
      </c>
      <c r="D137" s="11" t="s">
        <v>1549</v>
      </c>
      <c r="E137" s="11">
        <v>1000</v>
      </c>
      <c r="F137" s="11">
        <v>607</v>
      </c>
      <c r="G137" s="11">
        <f t="shared" si="12"/>
        <v>607000</v>
      </c>
      <c r="H137" s="11">
        <v>864</v>
      </c>
      <c r="I137" s="308">
        <v>44567</v>
      </c>
      <c r="J137" s="16">
        <v>639</v>
      </c>
      <c r="K137" s="11">
        <f t="shared" si="13"/>
        <v>639000</v>
      </c>
      <c r="L137" s="17">
        <v>910</v>
      </c>
      <c r="M137" s="11">
        <v>1917</v>
      </c>
      <c r="N137" s="11">
        <v>0</v>
      </c>
      <c r="O137" s="13">
        <f t="shared" si="14"/>
        <v>0</v>
      </c>
      <c r="P137" s="14">
        <f t="shared" ref="P137:P142" si="19">IF(I137="",R137-H137,(K137-H137-SUM(L137:N137)+R137-S137-T137)-G137)+(ROUND(R137*V137,0)-ROUND(R137*(1+V137),0)*W137)</f>
        <v>35399</v>
      </c>
      <c r="Q137" s="14">
        <f t="shared" si="15"/>
        <v>0</v>
      </c>
      <c r="R137" s="14">
        <f>2500+2750+2750</f>
        <v>8000</v>
      </c>
      <c r="S137" s="14">
        <v>30</v>
      </c>
      <c r="T137" s="14">
        <f t="shared" si="16"/>
        <v>0</v>
      </c>
      <c r="U137" s="69">
        <f t="shared" si="17"/>
        <v>0</v>
      </c>
      <c r="V137" s="69"/>
      <c r="W137" s="70">
        <v>0.11</v>
      </c>
      <c r="X137" s="15">
        <f t="shared" si="18"/>
        <v>5.8317957166392091E-2</v>
      </c>
      <c r="Y137" s="16">
        <f>VLOOKUP(C137,台股行情!A:D,4,FALSE)</f>
        <v>2440</v>
      </c>
      <c r="Z137" s="38">
        <f>VLOOKUP(C137,台股行情!A:E,5,FALSE)</f>
        <v>-50</v>
      </c>
      <c r="AA137" s="90">
        <f t="shared" ca="1" si="11"/>
        <v>443732.8879640784</v>
      </c>
      <c r="AB137" s="103" t="s">
        <v>2729</v>
      </c>
    </row>
    <row r="138" spans="1:28" outlineLevel="1">
      <c r="A138" s="99">
        <v>44439</v>
      </c>
      <c r="B138" s="11" t="s">
        <v>19</v>
      </c>
      <c r="C138" s="11">
        <v>3034</v>
      </c>
      <c r="D138" s="11" t="s">
        <v>199</v>
      </c>
      <c r="E138" s="11">
        <v>1000</v>
      </c>
      <c r="F138" s="11">
        <v>447</v>
      </c>
      <c r="G138" s="11">
        <f t="shared" si="12"/>
        <v>447000</v>
      </c>
      <c r="H138" s="11">
        <v>636</v>
      </c>
      <c r="I138" s="308">
        <v>44567</v>
      </c>
      <c r="J138" s="16">
        <v>516</v>
      </c>
      <c r="K138" s="11">
        <f t="shared" si="13"/>
        <v>516000</v>
      </c>
      <c r="L138" s="17">
        <v>735</v>
      </c>
      <c r="M138" s="11">
        <v>1548</v>
      </c>
      <c r="N138" s="11">
        <v>0</v>
      </c>
      <c r="O138" s="13">
        <f t="shared" si="14"/>
        <v>0</v>
      </c>
      <c r="P138" s="14">
        <f t="shared" si="19"/>
        <v>66071</v>
      </c>
      <c r="Q138" s="14">
        <f t="shared" si="15"/>
        <v>0</v>
      </c>
      <c r="R138" s="14"/>
      <c r="S138" s="14">
        <v>10</v>
      </c>
      <c r="T138" s="14">
        <f t="shared" si="16"/>
        <v>0</v>
      </c>
      <c r="U138" s="69">
        <f t="shared" si="17"/>
        <v>0</v>
      </c>
      <c r="V138" s="69"/>
      <c r="W138" s="70">
        <v>0.11</v>
      </c>
      <c r="X138" s="15">
        <f t="shared" si="18"/>
        <v>0.14780984340044742</v>
      </c>
      <c r="Y138" s="16">
        <f>VLOOKUP(C138,台股行情!A:D,4,FALSE)</f>
        <v>565</v>
      </c>
      <c r="Z138" s="38">
        <f>VLOOKUP(C138,台股行情!A:E,5,FALSE)</f>
        <v>5</v>
      </c>
      <c r="AA138" s="90">
        <f t="shared" ca="1" si="11"/>
        <v>156653.15956631256</v>
      </c>
      <c r="AB138" s="103" t="s">
        <v>2729</v>
      </c>
    </row>
    <row r="139" spans="1:28" outlineLevel="1">
      <c r="A139" s="99">
        <v>44515</v>
      </c>
      <c r="B139" s="11" t="s">
        <v>19</v>
      </c>
      <c r="C139" s="11">
        <v>1504</v>
      </c>
      <c r="D139" s="11" t="s">
        <v>521</v>
      </c>
      <c r="E139" s="11">
        <v>1000</v>
      </c>
      <c r="F139" s="11">
        <v>31.65</v>
      </c>
      <c r="G139" s="11">
        <f t="shared" si="12"/>
        <v>31650</v>
      </c>
      <c r="H139" s="11">
        <v>45</v>
      </c>
      <c r="I139" s="308">
        <v>45006</v>
      </c>
      <c r="J139" s="16">
        <v>36.25</v>
      </c>
      <c r="K139" s="11">
        <f t="shared" si="13"/>
        <v>36250</v>
      </c>
      <c r="L139" s="17">
        <v>51</v>
      </c>
      <c r="M139" s="11">
        <v>108</v>
      </c>
      <c r="N139" s="11">
        <v>0</v>
      </c>
      <c r="O139" s="13">
        <f t="shared" si="14"/>
        <v>0</v>
      </c>
      <c r="P139" s="14">
        <f t="shared" si="19"/>
        <v>5592.5</v>
      </c>
      <c r="Q139" s="14">
        <f t="shared" si="15"/>
        <v>0</v>
      </c>
      <c r="R139" s="14">
        <v>1350</v>
      </c>
      <c r="S139" s="14">
        <v>5</v>
      </c>
      <c r="T139" s="14">
        <f t="shared" si="16"/>
        <v>0</v>
      </c>
      <c r="U139" s="69">
        <f t="shared" si="17"/>
        <v>0</v>
      </c>
      <c r="V139" s="69"/>
      <c r="W139" s="70">
        <v>0.11</v>
      </c>
      <c r="X139" s="15">
        <f t="shared" si="18"/>
        <v>0.17669826224328594</v>
      </c>
      <c r="Y139" s="16">
        <f>VLOOKUP(C139,台股行情!A:D,4,FALSE)</f>
        <v>69.2</v>
      </c>
      <c r="Z139" s="38">
        <f>VLOOKUP(C139,台股行情!A:E,5,FALSE)</f>
        <v>-1.7</v>
      </c>
      <c r="AA139" s="90">
        <f t="shared" ca="1" si="11"/>
        <v>42547.776804293069</v>
      </c>
      <c r="AB139" s="103" t="s">
        <v>2729</v>
      </c>
    </row>
    <row r="140" spans="1:28" outlineLevel="1">
      <c r="A140" s="99">
        <v>44515</v>
      </c>
      <c r="B140" s="11" t="s">
        <v>19</v>
      </c>
      <c r="C140" s="11">
        <v>1504</v>
      </c>
      <c r="D140" s="11" t="s">
        <v>521</v>
      </c>
      <c r="E140" s="11">
        <v>1000</v>
      </c>
      <c r="F140" s="11">
        <v>31.65</v>
      </c>
      <c r="G140" s="11">
        <f t="shared" si="12"/>
        <v>31650</v>
      </c>
      <c r="H140" s="11">
        <v>45</v>
      </c>
      <c r="I140" s="308">
        <v>45009</v>
      </c>
      <c r="J140" s="16">
        <v>44</v>
      </c>
      <c r="K140" s="11">
        <f t="shared" si="13"/>
        <v>44000</v>
      </c>
      <c r="L140" s="17">
        <v>62</v>
      </c>
      <c r="M140" s="11">
        <v>132</v>
      </c>
      <c r="N140" s="11">
        <v>0</v>
      </c>
      <c r="O140" s="13">
        <f t="shared" si="14"/>
        <v>0</v>
      </c>
      <c r="P140" s="14">
        <f t="shared" si="19"/>
        <v>13307.5</v>
      </c>
      <c r="Q140" s="14">
        <f t="shared" si="15"/>
        <v>0</v>
      </c>
      <c r="R140" s="14">
        <v>1350</v>
      </c>
      <c r="S140" s="14">
        <v>5</v>
      </c>
      <c r="T140" s="14">
        <f t="shared" si="16"/>
        <v>0</v>
      </c>
      <c r="U140" s="69">
        <f t="shared" si="17"/>
        <v>0</v>
      </c>
      <c r="V140" s="69"/>
      <c r="W140" s="70">
        <v>0.11</v>
      </c>
      <c r="X140" s="15">
        <f t="shared" si="18"/>
        <v>0.42045813586097947</v>
      </c>
      <c r="Y140" s="16">
        <f>VLOOKUP(C140,台股行情!A:D,4,FALSE)</f>
        <v>69.2</v>
      </c>
      <c r="Z140" s="38">
        <f>VLOOKUP(C140,台股行情!A:E,5,FALSE)</f>
        <v>-1.7</v>
      </c>
      <c r="AA140" s="90">
        <f t="shared" ca="1" si="11"/>
        <v>42807.742854013799</v>
      </c>
      <c r="AB140" s="103" t="s">
        <v>2729</v>
      </c>
    </row>
    <row r="141" spans="1:28" outlineLevel="1">
      <c r="A141" s="99">
        <v>44308</v>
      </c>
      <c r="B141" s="11" t="s">
        <v>19</v>
      </c>
      <c r="C141" s="11">
        <v>3090</v>
      </c>
      <c r="D141" s="11" t="s">
        <v>1563</v>
      </c>
      <c r="E141" s="11">
        <v>1000</v>
      </c>
      <c r="F141" s="11">
        <v>59.2</v>
      </c>
      <c r="G141" s="11">
        <f t="shared" si="12"/>
        <v>59200</v>
      </c>
      <c r="H141" s="11">
        <v>84</v>
      </c>
      <c r="I141" s="308">
        <v>45104</v>
      </c>
      <c r="J141" s="16">
        <v>58.2</v>
      </c>
      <c r="K141" s="11">
        <f t="shared" si="13"/>
        <v>58200</v>
      </c>
      <c r="L141" s="17">
        <v>82</v>
      </c>
      <c r="M141" s="11">
        <v>174</v>
      </c>
      <c r="N141" s="11">
        <v>0</v>
      </c>
      <c r="O141" s="13">
        <f t="shared" si="14"/>
        <v>0</v>
      </c>
      <c r="P141" s="14">
        <f t="shared" si="19"/>
        <v>4959</v>
      </c>
      <c r="Q141" s="14">
        <f t="shared" si="15"/>
        <v>0</v>
      </c>
      <c r="R141" s="14">
        <f>3100+4000</f>
        <v>7100</v>
      </c>
      <c r="S141" s="14">
        <v>20</v>
      </c>
      <c r="T141" s="14">
        <f t="shared" si="16"/>
        <v>0</v>
      </c>
      <c r="U141" s="69">
        <f t="shared" si="17"/>
        <v>0</v>
      </c>
      <c r="V141" s="69"/>
      <c r="W141" s="70">
        <v>0.11</v>
      </c>
      <c r="X141" s="15">
        <f t="shared" si="18"/>
        <v>8.376689189189189E-2</v>
      </c>
      <c r="Y141" s="16">
        <f>VLOOKUP(C141,台股行情!A:D,4,FALSE)</f>
        <v>171.5</v>
      </c>
      <c r="Z141" s="38">
        <f>VLOOKUP(C141,台股行情!A:E,5,FALSE)</f>
        <v>-12</v>
      </c>
      <c r="AA141" s="90">
        <f t="shared" ca="1" si="11"/>
        <v>129019.82258241157</v>
      </c>
      <c r="AB141" s="103" t="s">
        <v>2729</v>
      </c>
    </row>
    <row r="142" spans="1:28" outlineLevel="1">
      <c r="A142" s="99">
        <v>44299</v>
      </c>
      <c r="B142" s="11" t="s">
        <v>19</v>
      </c>
      <c r="C142" s="11">
        <v>4930</v>
      </c>
      <c r="D142" s="11" t="s">
        <v>1630</v>
      </c>
      <c r="E142" s="11">
        <v>595</v>
      </c>
      <c r="F142" s="11">
        <v>35.950000000000003</v>
      </c>
      <c r="G142" s="183">
        <v>35950</v>
      </c>
      <c r="H142" s="183">
        <v>51</v>
      </c>
      <c r="I142" s="308">
        <v>45520</v>
      </c>
      <c r="J142" s="16">
        <v>31.7</v>
      </c>
      <c r="K142" s="11">
        <v>18861</v>
      </c>
      <c r="L142" s="17">
        <v>26</v>
      </c>
      <c r="M142" s="11">
        <v>56</v>
      </c>
      <c r="N142" s="11">
        <v>0</v>
      </c>
      <c r="O142" s="13">
        <f t="shared" si="14"/>
        <v>0</v>
      </c>
      <c r="P142" s="14">
        <f t="shared" si="19"/>
        <v>-5734.93</v>
      </c>
      <c r="Q142" s="14">
        <f t="shared" si="15"/>
        <v>0</v>
      </c>
      <c r="R142" s="14">
        <f>3500+4049+2856+1190+1368</f>
        <v>12963</v>
      </c>
      <c r="S142" s="14">
        <v>50</v>
      </c>
      <c r="T142" s="14">
        <f t="shared" si="16"/>
        <v>0</v>
      </c>
      <c r="U142" s="69">
        <f t="shared" si="17"/>
        <v>0</v>
      </c>
      <c r="V142" s="69"/>
      <c r="W142" s="70">
        <v>0.11</v>
      </c>
      <c r="X142" s="15">
        <f t="shared" si="18"/>
        <v>-0.15952517385257303</v>
      </c>
      <c r="Y142" s="16">
        <f>VLOOKUP(C142,台股行情!A:D,4,FALSE)</f>
        <v>15.5</v>
      </c>
      <c r="Z142" s="38">
        <f>VLOOKUP(C142,台股行情!A:E,5,FALSE)</f>
        <v>0</v>
      </c>
      <c r="AA142" s="90">
        <f t="shared" ca="1" si="11"/>
        <v>120181.11378819407</v>
      </c>
      <c r="AB142" s="103" t="s">
        <v>2729</v>
      </c>
    </row>
    <row r="143" spans="1:28" outlineLevel="1">
      <c r="A143" s="99">
        <v>44517</v>
      </c>
      <c r="B143" s="11" t="s">
        <v>19</v>
      </c>
      <c r="C143" s="11">
        <v>3545</v>
      </c>
      <c r="D143" s="11" t="s">
        <v>1030</v>
      </c>
      <c r="E143" s="11">
        <v>1000</v>
      </c>
      <c r="F143" s="11">
        <v>164</v>
      </c>
      <c r="G143" s="11">
        <v>164000</v>
      </c>
      <c r="H143" s="11">
        <v>233</v>
      </c>
      <c r="I143" s="308">
        <v>46031</v>
      </c>
      <c r="J143" s="16">
        <v>52.3</v>
      </c>
      <c r="K143" s="11">
        <v>52300</v>
      </c>
      <c r="L143" s="11">
        <v>74</v>
      </c>
      <c r="M143" s="11">
        <v>156</v>
      </c>
      <c r="N143" s="11">
        <v>0</v>
      </c>
      <c r="O143" s="13">
        <v>0</v>
      </c>
      <c r="P143" s="14">
        <v>-95230.7</v>
      </c>
      <c r="Q143" s="14">
        <v>0</v>
      </c>
      <c r="R143" s="14">
        <v>19070</v>
      </c>
      <c r="S143" s="14">
        <v>40</v>
      </c>
      <c r="T143" s="14">
        <v>0</v>
      </c>
      <c r="U143" s="69">
        <v>0</v>
      </c>
      <c r="V143" s="69"/>
      <c r="W143" s="70">
        <v>0.11</v>
      </c>
      <c r="X143" s="15">
        <v>-0.58067499999999994</v>
      </c>
      <c r="Y143" s="16">
        <v>52.8</v>
      </c>
      <c r="Z143" s="38">
        <f>VLOOKUP(C143,台股行情!A:E,5,FALSE)</f>
        <v>-0.5</v>
      </c>
      <c r="AA143" s="90">
        <f t="shared" ca="1" si="11"/>
        <v>679816.01138977113</v>
      </c>
      <c r="AB143" s="103" t="s">
        <v>2729</v>
      </c>
    </row>
    <row r="144" spans="1:28" outlineLevel="1">
      <c r="A144" s="99">
        <v>44308</v>
      </c>
      <c r="B144" s="11" t="s">
        <v>19</v>
      </c>
      <c r="C144" s="11">
        <v>2002</v>
      </c>
      <c r="D144" s="11" t="str">
        <f>VLOOKUP(C144,台股行情!A:B,2,FALSE)</f>
        <v>中鋼</v>
      </c>
      <c r="E144" s="11">
        <v>1000</v>
      </c>
      <c r="F144" s="11">
        <v>39.9</v>
      </c>
      <c r="G144" s="11">
        <f>E144*F144</f>
        <v>39900</v>
      </c>
      <c r="H144" s="11">
        <v>56</v>
      </c>
      <c r="I144" s="308">
        <v>46042</v>
      </c>
      <c r="J144" s="16">
        <v>19.25</v>
      </c>
      <c r="K144" s="11">
        <f>E144*J144</f>
        <v>19250</v>
      </c>
      <c r="L144" s="11">
        <f>ROUND(J144*E144*0.1425%,0)</f>
        <v>27</v>
      </c>
      <c r="M144" s="11">
        <f>ROUND(J144*E144*0.3%,0)</f>
        <v>58</v>
      </c>
      <c r="N144" s="11">
        <v>0</v>
      </c>
      <c r="O144" s="13">
        <f>IF(I144="",E144*Y144,0)</f>
        <v>0</v>
      </c>
      <c r="P144" s="14">
        <f>IF(I144="",R144-H144,(K144-H144-SUM(L144:N144)+R144-S144-T144)-G144)+(ROUND(R144*V144,0)-ROUND(R144*(1+V144),0)*W144)</f>
        <v>-16319.8</v>
      </c>
      <c r="Q144" s="14">
        <f>IF(I144="",(O144-G144-(O144*0.1425%*0.65)-(O144*0.3%)-S144-T144),0)</f>
        <v>0</v>
      </c>
      <c r="R144" s="14">
        <f>300+3100+1000+350+330</f>
        <v>5080</v>
      </c>
      <c r="S144" s="14">
        <v>50</v>
      </c>
      <c r="T144" s="14">
        <f>IF(ROUND(R144*(1+V144),0)&gt;20000,ROUND(ROUND(R144*(1+V144),0)*2%,0),0)</f>
        <v>0</v>
      </c>
      <c r="U144" s="69">
        <f>(V144*50%)/(1+50%*V144)</f>
        <v>0</v>
      </c>
      <c r="V144" s="69"/>
      <c r="W144" s="70">
        <v>0.11</v>
      </c>
      <c r="X144" s="15">
        <f>(P144+Q144)/G144</f>
        <v>-0.40901754385964911</v>
      </c>
      <c r="Y144" s="16">
        <f>VLOOKUP(C144,台股行情!A:D,4,FALSE)</f>
        <v>19.25</v>
      </c>
      <c r="Z144" s="38">
        <f>VLOOKUP(C144,台股行情!A:E,5,FALSE)</f>
        <v>-0.25</v>
      </c>
      <c r="AA144" s="90">
        <f ca="1">IF(I144="",((TODAY()-A144)*G144)/365.24,((I144-A144)*G144)/365.24)</f>
        <v>189427.77351878217</v>
      </c>
      <c r="AB144" s="103" t="s">
        <v>2729</v>
      </c>
    </row>
    <row r="145" spans="1:28" outlineLevel="1">
      <c r="A145" s="99">
        <v>44308</v>
      </c>
      <c r="B145" s="11" t="s">
        <v>19</v>
      </c>
      <c r="C145" s="11">
        <v>2002</v>
      </c>
      <c r="D145" s="11" t="str">
        <f>VLOOKUP(C145,台股行情!A:B,2,FALSE)</f>
        <v>中鋼</v>
      </c>
      <c r="E145" s="11">
        <v>2000</v>
      </c>
      <c r="F145" s="11">
        <v>39.200000000000003</v>
      </c>
      <c r="G145" s="11">
        <f>E145*F145</f>
        <v>78400</v>
      </c>
      <c r="H145" s="11">
        <v>111</v>
      </c>
      <c r="I145" s="308">
        <v>46043</v>
      </c>
      <c r="J145" s="16">
        <v>19.05</v>
      </c>
      <c r="K145" s="11">
        <f>E145*J145</f>
        <v>38100</v>
      </c>
      <c r="L145" s="11">
        <f>ROUND(J145*E145*0.1425%,0)</f>
        <v>54</v>
      </c>
      <c r="M145" s="11">
        <f>ROUND(J145*E145*0.3%,0)</f>
        <v>114</v>
      </c>
      <c r="N145" s="11">
        <v>0</v>
      </c>
      <c r="O145" s="13">
        <f>IF(I145="",E145*Y145,0)</f>
        <v>0</v>
      </c>
      <c r="P145" s="14">
        <f>IF(I145="",R145-H145,(K145-H145-SUM(L145:N145)+R145-S145-T145)-G145)+(ROUND(R145*V145,0)-ROUND(R145*(1+V145),0)*W145)</f>
        <v>-31586.6</v>
      </c>
      <c r="Q145" s="14">
        <f>IF(I145="",(O145-G145-(O145*0.1425%*0.65)-(O145*0.3%)-S145-T145),0)</f>
        <v>0</v>
      </c>
      <c r="R145" s="14">
        <f>600+6200+2000+700+660</f>
        <v>10160</v>
      </c>
      <c r="S145" s="14">
        <v>50</v>
      </c>
      <c r="T145" s="14">
        <f>IF(ROUND(R145*(1+V145),0)&gt;20000,ROUND(ROUND(R145*(1+V145),0)*2%,0),0)</f>
        <v>0</v>
      </c>
      <c r="U145" s="69">
        <f>(V145*50%)/(1+50%*V145)</f>
        <v>0</v>
      </c>
      <c r="V145" s="69"/>
      <c r="W145" s="70">
        <v>0.11</v>
      </c>
      <c r="X145" s="15">
        <f>(P145+Q145)/G145</f>
        <v>-0.40289030612244897</v>
      </c>
      <c r="Y145" s="16">
        <f>VLOOKUP(C145,台股行情!A:D,4,FALSE)</f>
        <v>19.25</v>
      </c>
      <c r="Z145" s="38">
        <f>VLOOKUP(C145,台股行情!A:E,5,FALSE)</f>
        <v>-0.25</v>
      </c>
      <c r="AA145" s="90">
        <f ca="1">IF(I145="",((TODAY()-A145)*G145)/365.24,((I145-A145)*G145)/365.24)</f>
        <v>372423.61187164602</v>
      </c>
      <c r="AB145" s="103" t="s">
        <v>2729</v>
      </c>
    </row>
    <row r="146" spans="1:28" outlineLevel="1">
      <c r="A146" s="99">
        <v>44293</v>
      </c>
      <c r="B146" s="11" t="s">
        <v>19</v>
      </c>
      <c r="C146" s="11">
        <v>8086</v>
      </c>
      <c r="D146" s="11" t="str">
        <f>VLOOKUP(C146,台股行情!A:B,2,FALSE)</f>
        <v>宏捷科</v>
      </c>
      <c r="E146" s="11">
        <v>1000</v>
      </c>
      <c r="F146" s="11">
        <v>165.5</v>
      </c>
      <c r="G146" s="11">
        <f>E146*F146</f>
        <v>165500</v>
      </c>
      <c r="H146" s="11">
        <v>235</v>
      </c>
      <c r="I146" s="308">
        <v>46090</v>
      </c>
      <c r="J146" s="16">
        <v>118</v>
      </c>
      <c r="K146" s="11">
        <f>E146*J146</f>
        <v>118000</v>
      </c>
      <c r="L146" s="11">
        <v>168</v>
      </c>
      <c r="M146" s="11">
        <v>354</v>
      </c>
      <c r="N146" s="11">
        <v>0</v>
      </c>
      <c r="O146" s="13">
        <f>IF(I146="",E146*Y146,0)</f>
        <v>0</v>
      </c>
      <c r="P146" s="14">
        <f>IF(I146="",R146-H146,(K146-H146-SUM(L146:N146)+R146-S146-T146)-G146)+(ROUND(R146*V146,0)-ROUND(R146*(1+V146),0)*W146)</f>
        <v>-41363.9</v>
      </c>
      <c r="Q146" s="14">
        <f>IF(I146="",(O146-G146-(O146*0.1425%*0.65)-(O146*0.3%)-S146-T146),0)</f>
        <v>0</v>
      </c>
      <c r="R146" s="14">
        <f>2800+2800+1000+1190</f>
        <v>7790</v>
      </c>
      <c r="S146" s="14">
        <v>40</v>
      </c>
      <c r="T146" s="14">
        <f>IF(ROUND(R146*(1+V146),0)&gt;20000,ROUND(ROUND(R146*(1+V146),0)*2%,0),0)</f>
        <v>0</v>
      </c>
      <c r="U146" s="69">
        <f>(V146*50%)/(1+50%*V146)</f>
        <v>0</v>
      </c>
      <c r="V146" s="69"/>
      <c r="W146" s="70">
        <v>0.11</v>
      </c>
      <c r="X146" s="15">
        <f>(P146+Q146)/G146</f>
        <v>-0.24993293051359516</v>
      </c>
      <c r="Y146" s="16">
        <f>VLOOKUP(C146,台股行情!A:D,4,FALSE)</f>
        <v>130</v>
      </c>
      <c r="Z146" s="38">
        <f>VLOOKUP(C146,台股行情!A:E,5,FALSE)</f>
        <v>-11</v>
      </c>
      <c r="AA146" s="90">
        <f ca="1">IF(I146="",((TODAY()-A146)*G146)/365.24,((I146-A146)*G146)/365.24)</f>
        <v>814268.70003285503</v>
      </c>
      <c r="AB146" s="103" t="s">
        <v>2729</v>
      </c>
    </row>
    <row r="147" spans="1:28" outlineLevel="1">
      <c r="A147" s="99">
        <v>44308</v>
      </c>
      <c r="B147" s="11" t="s">
        <v>19</v>
      </c>
      <c r="C147" s="11">
        <v>2409</v>
      </c>
      <c r="D147" s="11" t="str">
        <f>VLOOKUP(C147,台股行情!A:B,2,FALSE)</f>
        <v>友達</v>
      </c>
      <c r="E147" s="11">
        <v>800</v>
      </c>
      <c r="F147" s="11">
        <v>30.3</v>
      </c>
      <c r="G147" s="183">
        <v>30300</v>
      </c>
      <c r="H147" s="183">
        <v>43</v>
      </c>
      <c r="I147" s="308">
        <v>46119</v>
      </c>
      <c r="J147" s="16">
        <v>16.45</v>
      </c>
      <c r="K147" s="11">
        <f>E147*J147</f>
        <v>13160</v>
      </c>
      <c r="L147" s="11">
        <v>18</v>
      </c>
      <c r="M147" s="11">
        <f>ROUND(J147*E147*0.3%,0)</f>
        <v>39</v>
      </c>
      <c r="N147" s="11">
        <v>0</v>
      </c>
      <c r="O147" s="13">
        <f>IF(I147="",E147*Y147,0)</f>
        <v>0</v>
      </c>
      <c r="P147" s="14">
        <f>IF(I147="",R147-H147,(K147-H147-SUM(L147:N147)+R147-S147-T147)-G147)+(ROUND(R147*V147,0)-ROUND(R147*(1+V147),0)*W147)</f>
        <v>-14706.33</v>
      </c>
      <c r="Q147" s="14">
        <f>IF(I147="",(O147-G147-(O147*0.1425%*0.65)-(O147*0.3%)-S147-T147),0)</f>
        <v>0</v>
      </c>
      <c r="R147" s="14">
        <f>300+1000+640+720+243</f>
        <v>2903</v>
      </c>
      <c r="S147" s="14">
        <v>50</v>
      </c>
      <c r="T147" s="14">
        <f>IF(ROUND(R147*(1+V147),0)&gt;20000,ROUND(ROUND(R147*(1+V147),0)*2%,0),0)</f>
        <v>0</v>
      </c>
      <c r="U147" s="69">
        <f>(V147*50%)/(1+50%*V147)</f>
        <v>0</v>
      </c>
      <c r="V147" s="69"/>
      <c r="W147" s="70">
        <v>0.11</v>
      </c>
      <c r="X147" s="15">
        <f>(P147+Q147)/G147</f>
        <v>-0.48535742574257423</v>
      </c>
      <c r="Y147" s="16">
        <f>VLOOKUP(C147,台股行情!A:D,4,FALSE)</f>
        <v>34.9</v>
      </c>
      <c r="Z147" s="38">
        <f>VLOOKUP(C147,台股行情!A:E,5,FALSE)</f>
        <v>-1.35</v>
      </c>
      <c r="AA147" s="90">
        <f ca="1">IF(I147="",((TODAY()-A147)*G147)/365.24,((I147-A147)*G147)/365.24)</f>
        <v>150239.0209177527</v>
      </c>
      <c r="AB147" s="103" t="s">
        <v>2729</v>
      </c>
    </row>
    <row r="148" spans="1:28" outlineLevel="1">
      <c r="A148" s="99">
        <v>44278</v>
      </c>
      <c r="B148" s="11" t="s">
        <v>19</v>
      </c>
      <c r="C148" s="11">
        <v>6153</v>
      </c>
      <c r="D148" s="11" t="str">
        <f>VLOOKUP(C148,台股行情!A:B,2,FALSE)</f>
        <v>嘉聯益</v>
      </c>
      <c r="E148" s="11">
        <v>3000</v>
      </c>
      <c r="F148" s="11">
        <v>37.799999999999997</v>
      </c>
      <c r="G148" s="11">
        <f>E148*F148</f>
        <v>113399.99999999999</v>
      </c>
      <c r="H148" s="11">
        <v>161</v>
      </c>
      <c r="I148" s="308">
        <v>46149</v>
      </c>
      <c r="J148" s="16">
        <v>19.05</v>
      </c>
      <c r="K148" s="11">
        <f>E148*J148</f>
        <v>57150</v>
      </c>
      <c r="L148" s="11">
        <f>ROUND(J148*E148*0.1425%,0)</f>
        <v>81</v>
      </c>
      <c r="M148" s="11">
        <f>ROUND(J148*E148*0.3%,0)</f>
        <v>171</v>
      </c>
      <c r="N148" s="11">
        <v>0</v>
      </c>
      <c r="O148" s="13">
        <f>IF(I148="",E148*Y148,0)</f>
        <v>0</v>
      </c>
      <c r="P148" s="14">
        <f>IF(I148="",R148-H148,(K148-H148-SUM(L148:N148)+R148-S148-T148)-G148)+(ROUND(R148*V148,0)-ROUND(R148*(1+V148),0)*W148)</f>
        <v>-54705.419999999984</v>
      </c>
      <c r="Q148" s="14">
        <f>IF(I148="",(O148-G148-(O148*0.1425%*0.65)-(O148*0.3%)-S148-T148),0)</f>
        <v>0</v>
      </c>
      <c r="R148" s="14">
        <f>1500+722</f>
        <v>2222</v>
      </c>
      <c r="S148" s="14">
        <v>20</v>
      </c>
      <c r="T148" s="14">
        <f>IF(ROUND(R148*(1+V148),0)&gt;20000,ROUND(ROUND(R148*(1+V148),0)*2%,0),0)</f>
        <v>0</v>
      </c>
      <c r="U148" s="69">
        <f>(V148*50%)/(1+50%*V148)</f>
        <v>0</v>
      </c>
      <c r="V148" s="69"/>
      <c r="W148" s="70">
        <v>0.11</v>
      </c>
      <c r="X148" s="15">
        <f>(P148+Q148)/G148</f>
        <v>-0.48241111111111101</v>
      </c>
      <c r="Y148" s="16">
        <f>VLOOKUP(C148,台股行情!A:D,4,FALSE)</f>
        <v>18.05</v>
      </c>
      <c r="Z148" s="38">
        <f>VLOOKUP(C148,台股行情!A:E,5,FALSE)</f>
        <v>-0.95</v>
      </c>
      <c r="AA148" s="90">
        <f ca="1">IF(I148="",((TODAY()-A148)*G148)/365.24,((I148-A148)*G148)/365.24)</f>
        <v>580909.53893330402</v>
      </c>
      <c r="AB148" s="103" t="s">
        <v>2729</v>
      </c>
    </row>
    <row r="149" spans="1:28">
      <c r="A149" s="99">
        <v>44571</v>
      </c>
      <c r="B149" s="11" t="s">
        <v>19</v>
      </c>
      <c r="C149" s="11">
        <v>2358</v>
      </c>
      <c r="D149" s="11" t="s">
        <v>691</v>
      </c>
      <c r="E149" s="11">
        <v>1000</v>
      </c>
      <c r="F149" s="11">
        <v>27.95</v>
      </c>
      <c r="G149" s="11">
        <f t="shared" ref="G149:G169" si="20">E149*F149</f>
        <v>27950</v>
      </c>
      <c r="H149" s="11">
        <v>39</v>
      </c>
      <c r="I149" s="104">
        <v>44580</v>
      </c>
      <c r="J149" s="16">
        <v>25.15</v>
      </c>
      <c r="K149" s="11">
        <f t="shared" ref="K149:K170" si="21">E149*J149</f>
        <v>25150</v>
      </c>
      <c r="L149" s="17">
        <v>35</v>
      </c>
      <c r="M149" s="11">
        <v>75</v>
      </c>
      <c r="N149" s="11">
        <v>0</v>
      </c>
      <c r="O149" s="13">
        <f t="shared" ref="O149:O171" si="22">IF(I149="",E149*Y149,0)</f>
        <v>0</v>
      </c>
      <c r="P149" s="14">
        <f t="shared" ref="P149:P171" si="23">IF(I149="",R149-H149,(K149-H149-SUM(L149:N149)+R149-S149-T149)-G149)+(ROUND(R149*V149,0)-ROUND(R149*(1+V149),0)*W149)</f>
        <v>-2949</v>
      </c>
      <c r="Q149" s="14">
        <f t="shared" ref="Q149:Q171" si="24">IF(I149="",(O149-G149-(O149*0.1425%*0.65)-(O149*0.3%)-S149-T149),0)</f>
        <v>0</v>
      </c>
      <c r="R149" s="14"/>
      <c r="S149" s="14"/>
      <c r="T149" s="14">
        <f t="shared" ref="T149:T171" si="25">IF(ROUND(R149*(1+V149),0)&gt;20000,ROUND(ROUND(R149*(1+V149),0)*2%,0),0)</f>
        <v>0</v>
      </c>
      <c r="U149" s="69">
        <f t="shared" ref="U149:U213" si="26">(V149*50%)/(1+50%*V149)</f>
        <v>0</v>
      </c>
      <c r="V149" s="69"/>
      <c r="W149" s="70">
        <v>0.11</v>
      </c>
      <c r="X149" s="15">
        <f t="shared" ref="X149:X213" si="27">(P149+Q149)/G149</f>
        <v>-0.10550983899821109</v>
      </c>
      <c r="Y149" s="16" t="e">
        <f>VLOOKUP(C149,台股行情!A:D,4,FALSE)</f>
        <v>#N/A</v>
      </c>
      <c r="Z149" s="38" t="e">
        <f>VLOOKUP(C149,台股行情!A:E,5,FALSE)</f>
        <v>#N/A</v>
      </c>
      <c r="AA149" s="90">
        <f t="shared" ref="AA149:AA213" ca="1" si="28">IF(I149="",((TODAY()-A149)*G149)/365.24,((I149-A149)*G149)/365.24)</f>
        <v>688.7252217719855</v>
      </c>
      <c r="AB149" s="103" t="s">
        <v>2729</v>
      </c>
    </row>
    <row r="150" spans="1:28" outlineLevel="1">
      <c r="A150" s="99">
        <v>44571</v>
      </c>
      <c r="B150" s="11" t="s">
        <v>19</v>
      </c>
      <c r="C150" s="11">
        <v>2358</v>
      </c>
      <c r="D150" s="11" t="s">
        <v>691</v>
      </c>
      <c r="E150" s="11">
        <v>1000</v>
      </c>
      <c r="F150" s="11">
        <v>27.95</v>
      </c>
      <c r="G150" s="11">
        <f t="shared" si="20"/>
        <v>27950</v>
      </c>
      <c r="H150" s="11">
        <v>40</v>
      </c>
      <c r="I150" s="104">
        <v>44581</v>
      </c>
      <c r="J150" s="16">
        <v>24.75</v>
      </c>
      <c r="K150" s="11">
        <f t="shared" si="21"/>
        <v>24750</v>
      </c>
      <c r="L150" s="17">
        <v>35</v>
      </c>
      <c r="M150" s="11">
        <v>74</v>
      </c>
      <c r="N150" s="11">
        <v>0</v>
      </c>
      <c r="O150" s="13">
        <f t="shared" si="22"/>
        <v>0</v>
      </c>
      <c r="P150" s="14">
        <f t="shared" si="23"/>
        <v>-3349</v>
      </c>
      <c r="Q150" s="14">
        <f t="shared" si="24"/>
        <v>0</v>
      </c>
      <c r="R150" s="14"/>
      <c r="S150" s="14"/>
      <c r="T150" s="14">
        <f t="shared" si="25"/>
        <v>0</v>
      </c>
      <c r="U150" s="69">
        <f t="shared" si="26"/>
        <v>0</v>
      </c>
      <c r="V150" s="69"/>
      <c r="W150" s="70">
        <v>0.11</v>
      </c>
      <c r="X150" s="15">
        <f t="shared" si="27"/>
        <v>-0.1198211091234347</v>
      </c>
      <c r="Y150" s="16" t="e">
        <f>VLOOKUP(C150,台股行情!A:D,4,FALSE)</f>
        <v>#N/A</v>
      </c>
      <c r="Z150" s="38" t="e">
        <f>VLOOKUP(C150,台股行情!A:E,5,FALSE)</f>
        <v>#N/A</v>
      </c>
      <c r="AA150" s="90">
        <f t="shared" ca="1" si="28"/>
        <v>765.2502464133172</v>
      </c>
      <c r="AB150" s="103" t="s">
        <v>2729</v>
      </c>
    </row>
    <row r="151" spans="1:28" outlineLevel="1">
      <c r="A151" s="99">
        <v>44571</v>
      </c>
      <c r="B151" s="11" t="s">
        <v>19</v>
      </c>
      <c r="C151" s="11">
        <v>4728</v>
      </c>
      <c r="D151" s="11" t="s">
        <v>1183</v>
      </c>
      <c r="E151" s="11">
        <v>1000</v>
      </c>
      <c r="F151" s="11">
        <v>90.8</v>
      </c>
      <c r="G151" s="11">
        <f t="shared" si="20"/>
        <v>90800</v>
      </c>
      <c r="H151" s="11">
        <v>129</v>
      </c>
      <c r="I151" s="104">
        <v>44581</v>
      </c>
      <c r="J151" s="16">
        <v>90.3</v>
      </c>
      <c r="K151" s="11">
        <f t="shared" si="21"/>
        <v>90300</v>
      </c>
      <c r="L151" s="17">
        <v>128</v>
      </c>
      <c r="M151" s="11">
        <v>270</v>
      </c>
      <c r="N151" s="11">
        <v>0</v>
      </c>
      <c r="O151" s="13">
        <f t="shared" si="22"/>
        <v>0</v>
      </c>
      <c r="P151" s="14">
        <f t="shared" si="23"/>
        <v>-1027</v>
      </c>
      <c r="Q151" s="14">
        <f t="shared" si="24"/>
        <v>0</v>
      </c>
      <c r="R151" s="14"/>
      <c r="S151" s="14"/>
      <c r="T151" s="14">
        <f t="shared" si="25"/>
        <v>0</v>
      </c>
      <c r="U151" s="69">
        <f t="shared" si="26"/>
        <v>0</v>
      </c>
      <c r="V151" s="69"/>
      <c r="W151" s="70">
        <v>0.11</v>
      </c>
      <c r="X151" s="15">
        <f t="shared" si="27"/>
        <v>-1.1310572687224669E-2</v>
      </c>
      <c r="Y151" s="16">
        <f>VLOOKUP(C151,台股行情!A:D,4,FALSE)</f>
        <v>393</v>
      </c>
      <c r="Z151" s="38">
        <f>VLOOKUP(C151,台股行情!A:E,5,FALSE)</f>
        <v>-6.5</v>
      </c>
      <c r="AA151" s="90">
        <f t="shared" ca="1" si="28"/>
        <v>2486.0365786879861</v>
      </c>
      <c r="AB151" s="103" t="s">
        <v>2729</v>
      </c>
    </row>
    <row r="152" spans="1:28" outlineLevel="1">
      <c r="A152" s="99">
        <v>44581</v>
      </c>
      <c r="B152" s="11" t="s">
        <v>19</v>
      </c>
      <c r="C152" s="11">
        <v>3338</v>
      </c>
      <c r="D152" s="11" t="s">
        <v>977</v>
      </c>
      <c r="E152" s="11">
        <v>1000</v>
      </c>
      <c r="F152" s="11">
        <v>58.8</v>
      </c>
      <c r="G152" s="11">
        <f t="shared" si="20"/>
        <v>58800</v>
      </c>
      <c r="H152" s="11">
        <v>83</v>
      </c>
      <c r="I152" s="104">
        <v>44616</v>
      </c>
      <c r="J152" s="16">
        <v>54.5</v>
      </c>
      <c r="K152" s="11">
        <f t="shared" si="21"/>
        <v>54500</v>
      </c>
      <c r="L152" s="17">
        <v>77</v>
      </c>
      <c r="M152" s="11">
        <v>163</v>
      </c>
      <c r="N152" s="11">
        <v>0</v>
      </c>
      <c r="O152" s="13">
        <f t="shared" si="22"/>
        <v>0</v>
      </c>
      <c r="P152" s="14">
        <f t="shared" si="23"/>
        <v>-4623</v>
      </c>
      <c r="Q152" s="14">
        <f t="shared" si="24"/>
        <v>0</v>
      </c>
      <c r="R152" s="14"/>
      <c r="S152" s="14"/>
      <c r="T152" s="14">
        <f t="shared" si="25"/>
        <v>0</v>
      </c>
      <c r="U152" s="69">
        <f t="shared" si="26"/>
        <v>0</v>
      </c>
      <c r="V152" s="69"/>
      <c r="W152" s="70">
        <v>0.11</v>
      </c>
      <c r="X152" s="15">
        <f t="shared" si="27"/>
        <v>-7.8622448979591836E-2</v>
      </c>
      <c r="Y152" s="16">
        <f>VLOOKUP(C152,台股行情!A:D,4,FALSE)</f>
        <v>66.599999999999994</v>
      </c>
      <c r="Z152" s="38">
        <f>VLOOKUP(C152,台股行情!A:E,5,FALSE)</f>
        <v>-2.2000000000000002</v>
      </c>
      <c r="AA152" s="90">
        <f t="shared" ca="1" si="28"/>
        <v>5634.6511882597742</v>
      </c>
      <c r="AB152" s="103" t="s">
        <v>2729</v>
      </c>
    </row>
    <row r="153" spans="1:28" outlineLevel="1">
      <c r="A153" s="99">
        <v>44623</v>
      </c>
      <c r="B153" s="11" t="s">
        <v>19</v>
      </c>
      <c r="C153" s="11">
        <v>1304</v>
      </c>
      <c r="D153" s="11" t="s">
        <v>242</v>
      </c>
      <c r="E153" s="11">
        <v>2000</v>
      </c>
      <c r="F153" s="11">
        <v>31.6</v>
      </c>
      <c r="G153" s="11">
        <f t="shared" si="20"/>
        <v>63200</v>
      </c>
      <c r="H153" s="11">
        <v>90</v>
      </c>
      <c r="I153" s="104">
        <v>44623</v>
      </c>
      <c r="J153" s="16">
        <v>31.6</v>
      </c>
      <c r="K153" s="11">
        <f t="shared" si="21"/>
        <v>63200</v>
      </c>
      <c r="L153" s="17">
        <v>90</v>
      </c>
      <c r="M153" s="11">
        <v>94</v>
      </c>
      <c r="N153" s="11">
        <v>0</v>
      </c>
      <c r="O153" s="13">
        <f t="shared" si="22"/>
        <v>0</v>
      </c>
      <c r="P153" s="14">
        <f t="shared" si="23"/>
        <v>-274</v>
      </c>
      <c r="Q153" s="14">
        <f t="shared" si="24"/>
        <v>0</v>
      </c>
      <c r="R153" s="14"/>
      <c r="S153" s="14"/>
      <c r="T153" s="14">
        <f t="shared" si="25"/>
        <v>0</v>
      </c>
      <c r="U153" s="69">
        <f t="shared" si="26"/>
        <v>0</v>
      </c>
      <c r="V153" s="69"/>
      <c r="W153" s="70">
        <v>0.11</v>
      </c>
      <c r="X153" s="15">
        <f t="shared" si="27"/>
        <v>-4.3354430379746837E-3</v>
      </c>
      <c r="Y153" s="16">
        <f>VLOOKUP(C153,台股行情!A:D,4,FALSE)</f>
        <v>13.2</v>
      </c>
      <c r="Z153" s="38">
        <f>VLOOKUP(C153,台股行情!A:E,5,FALSE)</f>
        <v>-0.8</v>
      </c>
      <c r="AA153" s="90">
        <f t="shared" ca="1" si="28"/>
        <v>0</v>
      </c>
      <c r="AB153" s="103" t="s">
        <v>2729</v>
      </c>
    </row>
    <row r="154" spans="1:28" outlineLevel="1">
      <c r="A154" s="99">
        <v>44623</v>
      </c>
      <c r="B154" s="11" t="s">
        <v>19</v>
      </c>
      <c r="C154" s="11">
        <v>2211</v>
      </c>
      <c r="D154" s="11" t="s">
        <v>1547</v>
      </c>
      <c r="E154" s="11">
        <v>1000</v>
      </c>
      <c r="F154" s="11">
        <v>63.7</v>
      </c>
      <c r="G154" s="11">
        <f t="shared" si="20"/>
        <v>63700</v>
      </c>
      <c r="H154" s="11">
        <v>90</v>
      </c>
      <c r="I154" s="104">
        <v>44623</v>
      </c>
      <c r="J154" s="16">
        <v>62.5</v>
      </c>
      <c r="K154" s="11">
        <f t="shared" si="21"/>
        <v>62500</v>
      </c>
      <c r="L154" s="17">
        <v>89</v>
      </c>
      <c r="M154" s="11">
        <v>93</v>
      </c>
      <c r="N154" s="11">
        <v>0</v>
      </c>
      <c r="O154" s="13">
        <f t="shared" si="22"/>
        <v>0</v>
      </c>
      <c r="P154" s="14">
        <f t="shared" si="23"/>
        <v>-1472</v>
      </c>
      <c r="Q154" s="14">
        <f t="shared" si="24"/>
        <v>0</v>
      </c>
      <c r="R154" s="14"/>
      <c r="S154" s="14"/>
      <c r="T154" s="14">
        <f t="shared" si="25"/>
        <v>0</v>
      </c>
      <c r="U154" s="69">
        <f t="shared" si="26"/>
        <v>0</v>
      </c>
      <c r="V154" s="69"/>
      <c r="W154" s="70">
        <v>0.11</v>
      </c>
      <c r="X154" s="15">
        <f t="shared" si="27"/>
        <v>-2.3108320251177393E-2</v>
      </c>
      <c r="Y154" s="16">
        <f>VLOOKUP(C154,台股行情!A:D,4,FALSE)</f>
        <v>79.3</v>
      </c>
      <c r="Z154" s="38">
        <f>VLOOKUP(C154,台股行情!A:E,5,FALSE)</f>
        <v>-0.6</v>
      </c>
      <c r="AA154" s="90">
        <f t="shared" ca="1" si="28"/>
        <v>0</v>
      </c>
      <c r="AB154" s="103" t="s">
        <v>2729</v>
      </c>
    </row>
    <row r="155" spans="1:28" outlineLevel="1">
      <c r="A155" s="99">
        <v>44623</v>
      </c>
      <c r="B155" s="11" t="s">
        <v>19</v>
      </c>
      <c r="C155" s="11">
        <v>3663</v>
      </c>
      <c r="D155" s="11" t="s">
        <v>261</v>
      </c>
      <c r="E155" s="11">
        <v>2000</v>
      </c>
      <c r="F155" s="11">
        <v>34.35</v>
      </c>
      <c r="G155" s="11">
        <f t="shared" si="20"/>
        <v>68700</v>
      </c>
      <c r="H155" s="11">
        <v>97</v>
      </c>
      <c r="I155" s="104">
        <v>44623</v>
      </c>
      <c r="J155" s="16">
        <v>33.75</v>
      </c>
      <c r="K155" s="11">
        <f t="shared" si="21"/>
        <v>67500</v>
      </c>
      <c r="L155" s="17">
        <v>96</v>
      </c>
      <c r="M155" s="11">
        <v>101</v>
      </c>
      <c r="N155" s="11">
        <v>0</v>
      </c>
      <c r="O155" s="13">
        <f t="shared" si="22"/>
        <v>0</v>
      </c>
      <c r="P155" s="14">
        <f t="shared" si="23"/>
        <v>-1494</v>
      </c>
      <c r="Q155" s="14">
        <f t="shared" si="24"/>
        <v>0</v>
      </c>
      <c r="R155" s="14"/>
      <c r="S155" s="14"/>
      <c r="T155" s="14">
        <f t="shared" si="25"/>
        <v>0</v>
      </c>
      <c r="U155" s="69">
        <f t="shared" si="26"/>
        <v>0</v>
      </c>
      <c r="V155" s="69"/>
      <c r="W155" s="70">
        <v>0.11</v>
      </c>
      <c r="X155" s="15">
        <f t="shared" si="27"/>
        <v>-2.1746724890829693E-2</v>
      </c>
      <c r="Y155" s="16">
        <f>VLOOKUP(C155,台股行情!A:D,4,FALSE)</f>
        <v>68.5</v>
      </c>
      <c r="Z155" s="38">
        <f>VLOOKUP(C155,台股行情!A:E,5,FALSE)</f>
        <v>1.9</v>
      </c>
      <c r="AA155" s="90">
        <f t="shared" ca="1" si="28"/>
        <v>0</v>
      </c>
      <c r="AB155" s="103" t="s">
        <v>2729</v>
      </c>
    </row>
    <row r="156" spans="1:28" outlineLevel="1">
      <c r="A156" s="99">
        <v>44601</v>
      </c>
      <c r="B156" s="11" t="s">
        <v>19</v>
      </c>
      <c r="C156" s="11">
        <v>3017</v>
      </c>
      <c r="D156" s="11" t="s">
        <v>879</v>
      </c>
      <c r="E156" s="11">
        <v>1000</v>
      </c>
      <c r="F156" s="11">
        <v>105</v>
      </c>
      <c r="G156" s="11">
        <f t="shared" si="20"/>
        <v>105000</v>
      </c>
      <c r="H156" s="11">
        <v>149</v>
      </c>
      <c r="I156" s="104">
        <v>44624</v>
      </c>
      <c r="J156" s="16">
        <v>115</v>
      </c>
      <c r="K156" s="11">
        <f t="shared" si="21"/>
        <v>115000</v>
      </c>
      <c r="L156" s="17">
        <v>163</v>
      </c>
      <c r="M156" s="11">
        <v>345</v>
      </c>
      <c r="N156" s="11">
        <v>0</v>
      </c>
      <c r="O156" s="13">
        <f t="shared" si="22"/>
        <v>0</v>
      </c>
      <c r="P156" s="14">
        <f t="shared" si="23"/>
        <v>9343</v>
      </c>
      <c r="Q156" s="14">
        <f t="shared" si="24"/>
        <v>0</v>
      </c>
      <c r="R156" s="14"/>
      <c r="S156" s="14"/>
      <c r="T156" s="14">
        <f t="shared" si="25"/>
        <v>0</v>
      </c>
      <c r="U156" s="69">
        <f t="shared" si="26"/>
        <v>0</v>
      </c>
      <c r="V156" s="69"/>
      <c r="W156" s="70">
        <v>0.11</v>
      </c>
      <c r="X156" s="15">
        <f t="shared" si="27"/>
        <v>8.8980952380952383E-2</v>
      </c>
      <c r="Y156" s="16">
        <f>VLOOKUP(C156,台股行情!A:D,4,FALSE)</f>
        <v>3085</v>
      </c>
      <c r="Z156" s="38">
        <f>VLOOKUP(C156,台股行情!A:E,5,FALSE)</f>
        <v>-230</v>
      </c>
      <c r="AA156" s="90">
        <f t="shared" ca="1" si="28"/>
        <v>6612.0906801007559</v>
      </c>
      <c r="AB156" s="103" t="s">
        <v>2729</v>
      </c>
    </row>
    <row r="157" spans="1:28" outlineLevel="1">
      <c r="A157" s="99">
        <v>44567</v>
      </c>
      <c r="B157" s="11" t="s">
        <v>19</v>
      </c>
      <c r="C157" s="11">
        <v>1474</v>
      </c>
      <c r="D157" s="11" t="s">
        <v>516</v>
      </c>
      <c r="E157" s="11">
        <v>2000</v>
      </c>
      <c r="F157" s="11">
        <v>15.8</v>
      </c>
      <c r="G157" s="11">
        <f t="shared" si="20"/>
        <v>31600</v>
      </c>
      <c r="H157" s="11">
        <v>45</v>
      </c>
      <c r="I157" s="104">
        <v>44644</v>
      </c>
      <c r="J157" s="16">
        <v>15.1</v>
      </c>
      <c r="K157" s="11">
        <f t="shared" si="21"/>
        <v>30200</v>
      </c>
      <c r="L157" s="17">
        <v>43</v>
      </c>
      <c r="M157" s="11">
        <v>90</v>
      </c>
      <c r="N157" s="11">
        <v>0</v>
      </c>
      <c r="O157" s="13">
        <f t="shared" si="22"/>
        <v>0</v>
      </c>
      <c r="P157" s="14">
        <f t="shared" si="23"/>
        <v>-1578</v>
      </c>
      <c r="Q157" s="14">
        <f t="shared" si="24"/>
        <v>0</v>
      </c>
      <c r="R157" s="14"/>
      <c r="S157" s="14"/>
      <c r="T157" s="14">
        <f t="shared" si="25"/>
        <v>0</v>
      </c>
      <c r="U157" s="69">
        <f t="shared" si="26"/>
        <v>0</v>
      </c>
      <c r="V157" s="69"/>
      <c r="W157" s="70">
        <v>0.11</v>
      </c>
      <c r="X157" s="15">
        <f t="shared" si="27"/>
        <v>-4.9936708860759495E-2</v>
      </c>
      <c r="Y157" s="16">
        <f>VLOOKUP(C157,台股行情!A:D,4,FALSE)</f>
        <v>9.99</v>
      </c>
      <c r="Z157" s="38">
        <f>VLOOKUP(C157,台股行情!A:E,5,FALSE)</f>
        <v>-0.06</v>
      </c>
      <c r="AA157" s="90">
        <f t="shared" ca="1" si="28"/>
        <v>6661.9209287044132</v>
      </c>
      <c r="AB157" s="103" t="s">
        <v>2729</v>
      </c>
    </row>
    <row r="158" spans="1:28" outlineLevel="1">
      <c r="A158" s="99">
        <v>44600</v>
      </c>
      <c r="B158" s="11" t="s">
        <v>19</v>
      </c>
      <c r="C158" s="11">
        <v>2006</v>
      </c>
      <c r="D158" s="11" t="s">
        <v>243</v>
      </c>
      <c r="E158" s="11">
        <v>1000</v>
      </c>
      <c r="F158" s="11">
        <v>71.900000000000006</v>
      </c>
      <c r="G158" s="11">
        <f t="shared" si="20"/>
        <v>71900</v>
      </c>
      <c r="H158" s="11">
        <v>102</v>
      </c>
      <c r="I158" s="104">
        <v>44624</v>
      </c>
      <c r="J158" s="16">
        <v>80.8</v>
      </c>
      <c r="K158" s="11">
        <f t="shared" si="21"/>
        <v>80800</v>
      </c>
      <c r="L158" s="17">
        <v>115</v>
      </c>
      <c r="M158" s="11">
        <v>242</v>
      </c>
      <c r="N158" s="11">
        <v>0</v>
      </c>
      <c r="O158" s="13">
        <f t="shared" si="22"/>
        <v>0</v>
      </c>
      <c r="P158" s="14">
        <f t="shared" si="23"/>
        <v>8441</v>
      </c>
      <c r="Q158" s="14">
        <f t="shared" si="24"/>
        <v>0</v>
      </c>
      <c r="R158" s="14"/>
      <c r="S158" s="14"/>
      <c r="T158" s="14">
        <f t="shared" si="25"/>
        <v>0</v>
      </c>
      <c r="U158" s="69">
        <f t="shared" si="26"/>
        <v>0</v>
      </c>
      <c r="V158" s="69"/>
      <c r="W158" s="70">
        <v>0.11</v>
      </c>
      <c r="X158" s="15">
        <f t="shared" si="27"/>
        <v>0.11739916550764952</v>
      </c>
      <c r="Y158" s="16">
        <f>VLOOKUP(C158,台股行情!A:D,4,FALSE)</f>
        <v>90.1</v>
      </c>
      <c r="Z158" s="38">
        <f>VLOOKUP(C158,台股行情!A:E,5,FALSE)</f>
        <v>0.6</v>
      </c>
      <c r="AA158" s="90">
        <f t="shared" ca="1" si="28"/>
        <v>4724.5646698061546</v>
      </c>
      <c r="AB158" s="103" t="s">
        <v>2729</v>
      </c>
    </row>
    <row r="159" spans="1:28" outlineLevel="1">
      <c r="A159" s="99">
        <v>44651</v>
      </c>
      <c r="B159" s="11" t="s">
        <v>19</v>
      </c>
      <c r="C159" s="11">
        <v>2312</v>
      </c>
      <c r="D159" s="11" t="s">
        <v>673</v>
      </c>
      <c r="E159" s="11">
        <v>1000</v>
      </c>
      <c r="F159" s="11">
        <v>17.05</v>
      </c>
      <c r="G159" s="11">
        <f t="shared" si="20"/>
        <v>17050</v>
      </c>
      <c r="H159" s="11">
        <v>24</v>
      </c>
      <c r="I159" s="104">
        <v>44658</v>
      </c>
      <c r="J159" s="16">
        <v>15.35</v>
      </c>
      <c r="K159" s="11">
        <f t="shared" si="21"/>
        <v>15350</v>
      </c>
      <c r="L159" s="17">
        <v>21</v>
      </c>
      <c r="M159" s="11">
        <v>46</v>
      </c>
      <c r="N159" s="11">
        <v>0</v>
      </c>
      <c r="O159" s="13">
        <f t="shared" si="22"/>
        <v>0</v>
      </c>
      <c r="P159" s="14">
        <f t="shared" si="23"/>
        <v>-1791</v>
      </c>
      <c r="Q159" s="14">
        <f t="shared" si="24"/>
        <v>0</v>
      </c>
      <c r="R159" s="14"/>
      <c r="S159" s="14"/>
      <c r="T159" s="14">
        <f t="shared" si="25"/>
        <v>0</v>
      </c>
      <c r="U159" s="69">
        <f t="shared" si="26"/>
        <v>0</v>
      </c>
      <c r="V159" s="69"/>
      <c r="W159" s="70">
        <v>0.11</v>
      </c>
      <c r="X159" s="15">
        <f t="shared" si="27"/>
        <v>-0.10504398826979472</v>
      </c>
      <c r="Y159" s="16">
        <f>VLOOKUP(C159,台股行情!A:D,4,FALSE)</f>
        <v>31.5</v>
      </c>
      <c r="Z159" s="38">
        <f>VLOOKUP(C159,台股行情!A:E,5,FALSE)</f>
        <v>-1.75</v>
      </c>
      <c r="AA159" s="90">
        <f t="shared" ca="1" si="28"/>
        <v>326.77143795860258</v>
      </c>
      <c r="AB159" s="103" t="s">
        <v>2729</v>
      </c>
    </row>
    <row r="160" spans="1:28" outlineLevel="1">
      <c r="A160" s="99">
        <v>44651</v>
      </c>
      <c r="B160" s="11" t="s">
        <v>19</v>
      </c>
      <c r="C160" s="11">
        <v>2312</v>
      </c>
      <c r="D160" s="11" t="s">
        <v>673</v>
      </c>
      <c r="E160" s="11">
        <v>1000</v>
      </c>
      <c r="F160" s="11">
        <v>17.05</v>
      </c>
      <c r="G160" s="11">
        <f t="shared" si="20"/>
        <v>17050</v>
      </c>
      <c r="H160" s="11">
        <v>24</v>
      </c>
      <c r="I160" s="104">
        <v>44662</v>
      </c>
      <c r="J160" s="16">
        <v>14.6</v>
      </c>
      <c r="K160" s="11">
        <f t="shared" si="21"/>
        <v>14600</v>
      </c>
      <c r="L160" s="17">
        <v>20</v>
      </c>
      <c r="M160" s="11">
        <v>43</v>
      </c>
      <c r="N160" s="11">
        <v>0</v>
      </c>
      <c r="O160" s="13">
        <f t="shared" si="22"/>
        <v>0</v>
      </c>
      <c r="P160" s="14">
        <f t="shared" si="23"/>
        <v>-2537</v>
      </c>
      <c r="Q160" s="14">
        <f t="shared" si="24"/>
        <v>0</v>
      </c>
      <c r="R160" s="14"/>
      <c r="S160" s="14"/>
      <c r="T160" s="14">
        <f t="shared" si="25"/>
        <v>0</v>
      </c>
      <c r="U160" s="69">
        <f t="shared" si="26"/>
        <v>0</v>
      </c>
      <c r="V160" s="69"/>
      <c r="W160" s="70">
        <v>0.11</v>
      </c>
      <c r="X160" s="15">
        <f t="shared" si="27"/>
        <v>-0.14879765395894429</v>
      </c>
      <c r="Y160" s="16">
        <f>VLOOKUP(C160,台股行情!A:D,4,FALSE)</f>
        <v>31.5</v>
      </c>
      <c r="Z160" s="38">
        <f>VLOOKUP(C160,台股行情!A:E,5,FALSE)</f>
        <v>-1.75</v>
      </c>
      <c r="AA160" s="90">
        <f t="shared" ca="1" si="28"/>
        <v>513.49797393494691</v>
      </c>
      <c r="AB160" s="103" t="s">
        <v>2729</v>
      </c>
    </row>
    <row r="161" spans="1:28" outlineLevel="1">
      <c r="A161" s="99">
        <v>44663</v>
      </c>
      <c r="B161" s="11" t="s">
        <v>19</v>
      </c>
      <c r="C161" s="11">
        <v>6020</v>
      </c>
      <c r="D161" s="11" t="s">
        <v>1342</v>
      </c>
      <c r="E161" s="11">
        <v>1000</v>
      </c>
      <c r="F161" s="11">
        <v>23.9</v>
      </c>
      <c r="G161" s="11">
        <f t="shared" si="20"/>
        <v>23900</v>
      </c>
      <c r="H161" s="11">
        <v>34</v>
      </c>
      <c r="I161" s="104">
        <v>44664</v>
      </c>
      <c r="J161" s="16">
        <v>24.15</v>
      </c>
      <c r="K161" s="11">
        <f t="shared" si="21"/>
        <v>24150</v>
      </c>
      <c r="L161" s="17">
        <v>34</v>
      </c>
      <c r="M161" s="11">
        <v>72</v>
      </c>
      <c r="N161" s="11">
        <v>0</v>
      </c>
      <c r="O161" s="13">
        <f t="shared" si="22"/>
        <v>0</v>
      </c>
      <c r="P161" s="14">
        <f t="shared" si="23"/>
        <v>110</v>
      </c>
      <c r="Q161" s="14">
        <f t="shared" si="24"/>
        <v>0</v>
      </c>
      <c r="R161" s="14"/>
      <c r="S161" s="14"/>
      <c r="T161" s="14">
        <f t="shared" si="25"/>
        <v>0</v>
      </c>
      <c r="U161" s="69">
        <f t="shared" si="26"/>
        <v>0</v>
      </c>
      <c r="V161" s="69"/>
      <c r="W161" s="70">
        <v>0.11</v>
      </c>
      <c r="X161" s="15">
        <f t="shared" si="27"/>
        <v>4.6025104602510462E-3</v>
      </c>
      <c r="Y161" s="16">
        <f>VLOOKUP(C161,台股行情!A:D,4,FALSE)</f>
        <v>20.6</v>
      </c>
      <c r="Z161" s="38">
        <f>VLOOKUP(C161,台股行情!A:E,5,FALSE)</f>
        <v>-0.25</v>
      </c>
      <c r="AA161" s="90">
        <f t="shared" ca="1" si="28"/>
        <v>65.436425364144128</v>
      </c>
      <c r="AB161" s="103" t="s">
        <v>2729</v>
      </c>
    </row>
    <row r="162" spans="1:28" outlineLevel="1">
      <c r="A162" s="99">
        <v>44658</v>
      </c>
      <c r="B162" s="11" t="s">
        <v>19</v>
      </c>
      <c r="C162" s="11">
        <v>5468</v>
      </c>
      <c r="D162" s="11" t="s">
        <v>1294</v>
      </c>
      <c r="E162" s="11">
        <v>1000</v>
      </c>
      <c r="F162" s="11">
        <v>29.35</v>
      </c>
      <c r="G162" s="11">
        <f t="shared" si="20"/>
        <v>29350</v>
      </c>
      <c r="H162" s="11">
        <v>42</v>
      </c>
      <c r="I162" s="104">
        <v>44718</v>
      </c>
      <c r="J162" s="16">
        <v>38.5</v>
      </c>
      <c r="K162" s="11">
        <f t="shared" si="21"/>
        <v>38500</v>
      </c>
      <c r="L162" s="17">
        <v>54</v>
      </c>
      <c r="M162" s="11">
        <v>115</v>
      </c>
      <c r="N162" s="11">
        <v>0</v>
      </c>
      <c r="O162" s="13">
        <f t="shared" si="22"/>
        <v>0</v>
      </c>
      <c r="P162" s="14">
        <f t="shared" si="23"/>
        <v>8939</v>
      </c>
      <c r="Q162" s="14">
        <f t="shared" si="24"/>
        <v>0</v>
      </c>
      <c r="R162" s="14"/>
      <c r="S162" s="14"/>
      <c r="T162" s="14">
        <f t="shared" si="25"/>
        <v>0</v>
      </c>
      <c r="U162" s="69">
        <f t="shared" si="26"/>
        <v>0</v>
      </c>
      <c r="V162" s="69"/>
      <c r="W162" s="70">
        <v>0.11</v>
      </c>
      <c r="X162" s="15">
        <f t="shared" si="27"/>
        <v>0.30456558773424192</v>
      </c>
      <c r="Y162" s="16">
        <f>VLOOKUP(C162,台股行情!A:D,4,FALSE)</f>
        <v>21.8</v>
      </c>
      <c r="Z162" s="38">
        <f>VLOOKUP(C162,台股行情!A:E,5,FALSE)</f>
        <v>-0.55000000000000004</v>
      </c>
      <c r="AA162" s="90">
        <f t="shared" ca="1" si="28"/>
        <v>4821.487241266017</v>
      </c>
      <c r="AB162" s="103" t="s">
        <v>2729</v>
      </c>
    </row>
    <row r="163" spans="1:28" outlineLevel="1">
      <c r="A163" s="99">
        <v>44658</v>
      </c>
      <c r="B163" s="11" t="s">
        <v>19</v>
      </c>
      <c r="C163" s="11">
        <v>5468</v>
      </c>
      <c r="D163" s="11" t="s">
        <v>1294</v>
      </c>
      <c r="E163" s="11">
        <v>1000</v>
      </c>
      <c r="F163" s="11">
        <v>29.35</v>
      </c>
      <c r="G163" s="11">
        <f t="shared" si="20"/>
        <v>29350</v>
      </c>
      <c r="H163" s="11">
        <v>41</v>
      </c>
      <c r="I163" s="104">
        <v>44720</v>
      </c>
      <c r="J163" s="16">
        <v>35.15</v>
      </c>
      <c r="K163" s="11">
        <f t="shared" si="21"/>
        <v>35150</v>
      </c>
      <c r="L163" s="17">
        <v>50</v>
      </c>
      <c r="M163" s="11">
        <v>105</v>
      </c>
      <c r="N163" s="11">
        <v>0</v>
      </c>
      <c r="O163" s="13">
        <f t="shared" si="22"/>
        <v>0</v>
      </c>
      <c r="P163" s="14">
        <f t="shared" si="23"/>
        <v>5604</v>
      </c>
      <c r="Q163" s="14">
        <f t="shared" si="24"/>
        <v>0</v>
      </c>
      <c r="R163" s="14"/>
      <c r="S163" s="14"/>
      <c r="T163" s="14">
        <f t="shared" si="25"/>
        <v>0</v>
      </c>
      <c r="U163" s="69">
        <f t="shared" si="26"/>
        <v>0</v>
      </c>
      <c r="V163" s="69"/>
      <c r="W163" s="70">
        <v>0.11</v>
      </c>
      <c r="X163" s="15">
        <f t="shared" si="27"/>
        <v>0.19093696763202725</v>
      </c>
      <c r="Y163" s="16">
        <f>VLOOKUP(C163,台股行情!A:D,4,FALSE)</f>
        <v>21.8</v>
      </c>
      <c r="Z163" s="38">
        <f>VLOOKUP(C163,台股行情!A:E,5,FALSE)</f>
        <v>-0.55000000000000004</v>
      </c>
      <c r="AA163" s="90">
        <f t="shared" ca="1" si="28"/>
        <v>4982.2034826415511</v>
      </c>
      <c r="AB163" s="103" t="s">
        <v>2729</v>
      </c>
    </row>
    <row r="164" spans="1:28" outlineLevel="1">
      <c r="A164" s="99">
        <v>44650</v>
      </c>
      <c r="B164" s="11" t="s">
        <v>19</v>
      </c>
      <c r="C164" s="11">
        <v>6176</v>
      </c>
      <c r="D164" s="11" t="s">
        <v>100</v>
      </c>
      <c r="E164" s="11">
        <v>1000</v>
      </c>
      <c r="F164" s="11">
        <v>104</v>
      </c>
      <c r="G164" s="11">
        <f t="shared" si="20"/>
        <v>104000</v>
      </c>
      <c r="H164" s="11">
        <v>148</v>
      </c>
      <c r="I164" s="104">
        <v>44718</v>
      </c>
      <c r="J164" s="16">
        <v>105.5</v>
      </c>
      <c r="K164" s="11">
        <f t="shared" si="21"/>
        <v>105500</v>
      </c>
      <c r="L164" s="17">
        <v>150</v>
      </c>
      <c r="M164" s="11">
        <v>316</v>
      </c>
      <c r="N164" s="11">
        <v>0</v>
      </c>
      <c r="O164" s="13">
        <f t="shared" si="22"/>
        <v>0</v>
      </c>
      <c r="P164" s="14">
        <f t="shared" si="23"/>
        <v>886</v>
      </c>
      <c r="Q164" s="14">
        <f t="shared" si="24"/>
        <v>0</v>
      </c>
      <c r="R164" s="14"/>
      <c r="S164" s="14"/>
      <c r="T164" s="14">
        <f t="shared" si="25"/>
        <v>0</v>
      </c>
      <c r="U164" s="69">
        <f t="shared" si="26"/>
        <v>0</v>
      </c>
      <c r="V164" s="69"/>
      <c r="W164" s="70">
        <v>0.11</v>
      </c>
      <c r="X164" s="15">
        <f t="shared" si="27"/>
        <v>8.5192307692307685E-3</v>
      </c>
      <c r="Y164" s="16">
        <f>VLOOKUP(C164,台股行情!A:D,4,FALSE)</f>
        <v>91</v>
      </c>
      <c r="Z164" s="38">
        <f>VLOOKUP(C164,台股行情!A:E,5,FALSE)</f>
        <v>-0.7</v>
      </c>
      <c r="AA164" s="90">
        <f t="shared" ca="1" si="28"/>
        <v>19362.61088599277</v>
      </c>
      <c r="AB164" s="103" t="s">
        <v>2729</v>
      </c>
    </row>
    <row r="165" spans="1:28" outlineLevel="1">
      <c r="A165" s="99">
        <v>44581</v>
      </c>
      <c r="B165" s="11" t="s">
        <v>19</v>
      </c>
      <c r="C165" s="11">
        <v>3548</v>
      </c>
      <c r="D165" s="11" t="s">
        <v>1032</v>
      </c>
      <c r="E165" s="11">
        <v>1000</v>
      </c>
      <c r="F165" s="11">
        <v>74.2</v>
      </c>
      <c r="G165" s="11">
        <f t="shared" si="20"/>
        <v>74200</v>
      </c>
      <c r="H165" s="11">
        <v>105</v>
      </c>
      <c r="I165" s="104">
        <v>44722</v>
      </c>
      <c r="J165" s="16">
        <v>67.2</v>
      </c>
      <c r="K165" s="11">
        <f t="shared" si="21"/>
        <v>67200</v>
      </c>
      <c r="L165" s="17">
        <v>95</v>
      </c>
      <c r="M165" s="11">
        <v>201</v>
      </c>
      <c r="N165" s="11">
        <v>0</v>
      </c>
      <c r="O165" s="13">
        <f t="shared" si="22"/>
        <v>0</v>
      </c>
      <c r="P165" s="14">
        <f t="shared" si="23"/>
        <v>-7401</v>
      </c>
      <c r="Q165" s="14">
        <f t="shared" si="24"/>
        <v>0</v>
      </c>
      <c r="R165" s="14"/>
      <c r="S165" s="14"/>
      <c r="T165" s="14">
        <f t="shared" si="25"/>
        <v>0</v>
      </c>
      <c r="U165" s="69">
        <f t="shared" si="26"/>
        <v>0</v>
      </c>
      <c r="V165" s="69"/>
      <c r="W165" s="70">
        <v>0.11</v>
      </c>
      <c r="X165" s="15">
        <f t="shared" si="27"/>
        <v>-9.9743935309973039E-2</v>
      </c>
      <c r="Y165" s="16">
        <f>VLOOKUP(C165,台股行情!A:D,4,FALSE)</f>
        <v>71.3</v>
      </c>
      <c r="Z165" s="38">
        <f>VLOOKUP(C165,台股行情!A:E,5,FALSE)</f>
        <v>-1.1000000000000001</v>
      </c>
      <c r="AA165" s="90">
        <f t="shared" ca="1" si="28"/>
        <v>28644.726755010404</v>
      </c>
      <c r="AB165" s="103" t="s">
        <v>2729</v>
      </c>
    </row>
    <row r="166" spans="1:28" outlineLevel="1">
      <c r="A166" s="99">
        <v>44565</v>
      </c>
      <c r="B166" s="11" t="s">
        <v>19</v>
      </c>
      <c r="C166" s="11">
        <v>2368</v>
      </c>
      <c r="D166" s="11" t="s">
        <v>1657</v>
      </c>
      <c r="E166" s="11">
        <v>1000</v>
      </c>
      <c r="F166" s="11">
        <v>79.7</v>
      </c>
      <c r="G166" s="11">
        <f t="shared" si="20"/>
        <v>79700</v>
      </c>
      <c r="H166" s="11">
        <v>113</v>
      </c>
      <c r="I166" s="104">
        <v>44726</v>
      </c>
      <c r="J166" s="16">
        <v>91.9</v>
      </c>
      <c r="K166" s="11">
        <f t="shared" si="21"/>
        <v>91900</v>
      </c>
      <c r="L166" s="17">
        <v>130</v>
      </c>
      <c r="M166" s="11">
        <v>275</v>
      </c>
      <c r="N166" s="11">
        <v>0</v>
      </c>
      <c r="O166" s="13">
        <f t="shared" si="22"/>
        <v>0</v>
      </c>
      <c r="P166" s="14">
        <f t="shared" si="23"/>
        <v>11682</v>
      </c>
      <c r="Q166" s="14">
        <f t="shared" si="24"/>
        <v>0</v>
      </c>
      <c r="R166" s="14"/>
      <c r="S166" s="14"/>
      <c r="T166" s="14">
        <f t="shared" si="25"/>
        <v>0</v>
      </c>
      <c r="U166" s="69">
        <f t="shared" si="26"/>
        <v>0</v>
      </c>
      <c r="V166" s="69"/>
      <c r="W166" s="70">
        <v>0.11</v>
      </c>
      <c r="X166" s="15">
        <f t="shared" si="27"/>
        <v>0.14657465495608532</v>
      </c>
      <c r="Y166" s="16">
        <f>VLOOKUP(C166,台股行情!A:D,4,FALSE)</f>
        <v>1190</v>
      </c>
      <c r="Z166" s="38">
        <f>VLOOKUP(C166,台股行情!A:E,5,FALSE)</f>
        <v>-70</v>
      </c>
      <c r="AA166" s="90">
        <f t="shared" ca="1" si="28"/>
        <v>35132.241813602013</v>
      </c>
      <c r="AB166" s="103" t="s">
        <v>2729</v>
      </c>
    </row>
    <row r="167" spans="1:28" outlineLevel="1">
      <c r="A167" s="99">
        <v>44650</v>
      </c>
      <c r="B167" s="11" t="s">
        <v>19</v>
      </c>
      <c r="C167" s="11">
        <v>6123</v>
      </c>
      <c r="D167" s="11" t="s">
        <v>1357</v>
      </c>
      <c r="E167" s="11">
        <v>1000</v>
      </c>
      <c r="F167" s="11">
        <v>54.5</v>
      </c>
      <c r="G167" s="11">
        <f t="shared" si="20"/>
        <v>54500</v>
      </c>
      <c r="H167" s="11">
        <v>77</v>
      </c>
      <c r="I167" s="104">
        <v>44749</v>
      </c>
      <c r="J167" s="16">
        <v>50.7</v>
      </c>
      <c r="K167" s="11">
        <f t="shared" si="21"/>
        <v>50700</v>
      </c>
      <c r="L167" s="17">
        <v>72</v>
      </c>
      <c r="M167" s="11">
        <v>152</v>
      </c>
      <c r="N167" s="11">
        <v>0</v>
      </c>
      <c r="O167" s="13">
        <f t="shared" si="22"/>
        <v>0</v>
      </c>
      <c r="P167" s="14">
        <f t="shared" si="23"/>
        <v>-1441</v>
      </c>
      <c r="Q167" s="14">
        <f t="shared" si="24"/>
        <v>0</v>
      </c>
      <c r="R167" s="14">
        <v>3000</v>
      </c>
      <c r="S167" s="14">
        <v>10</v>
      </c>
      <c r="T167" s="14">
        <f t="shared" si="25"/>
        <v>0</v>
      </c>
      <c r="U167" s="69">
        <f t="shared" si="26"/>
        <v>0</v>
      </c>
      <c r="V167" s="69"/>
      <c r="W167" s="70">
        <v>0.11</v>
      </c>
      <c r="X167" s="15">
        <f t="shared" si="27"/>
        <v>-2.6440366972477064E-2</v>
      </c>
      <c r="Y167" s="16">
        <f>VLOOKUP(C167,台股行情!A:D,4,FALSE)</f>
        <v>42.9</v>
      </c>
      <c r="Z167" s="38">
        <f>VLOOKUP(C167,台股行情!A:E,5,FALSE)</f>
        <v>-0.1</v>
      </c>
      <c r="AA167" s="90">
        <f t="shared" ca="1" si="28"/>
        <v>14772.478370386594</v>
      </c>
      <c r="AB167" s="103" t="s">
        <v>2729</v>
      </c>
    </row>
    <row r="168" spans="1:28" outlineLevel="1">
      <c r="A168" s="99">
        <v>44601</v>
      </c>
      <c r="B168" s="11" t="s">
        <v>19</v>
      </c>
      <c r="C168" s="11">
        <v>2233</v>
      </c>
      <c r="D168" s="11" t="s">
        <v>665</v>
      </c>
      <c r="E168" s="11">
        <v>1000</v>
      </c>
      <c r="F168" s="11">
        <v>118</v>
      </c>
      <c r="G168" s="11">
        <f t="shared" si="20"/>
        <v>118000</v>
      </c>
      <c r="H168" s="11">
        <v>168</v>
      </c>
      <c r="I168" s="308">
        <v>45273</v>
      </c>
      <c r="J168" s="16">
        <v>138</v>
      </c>
      <c r="K168" s="11">
        <f t="shared" si="21"/>
        <v>138000</v>
      </c>
      <c r="L168" s="17">
        <v>196</v>
      </c>
      <c r="M168" s="11">
        <v>414</v>
      </c>
      <c r="N168" s="11">
        <v>0</v>
      </c>
      <c r="O168" s="13">
        <f t="shared" si="22"/>
        <v>0</v>
      </c>
      <c r="P168" s="14">
        <f t="shared" si="23"/>
        <v>29348</v>
      </c>
      <c r="Q168" s="14">
        <f t="shared" si="24"/>
        <v>0</v>
      </c>
      <c r="R168" s="14">
        <f>5400+6000</f>
        <v>11400</v>
      </c>
      <c r="S168" s="14">
        <v>20</v>
      </c>
      <c r="T168" s="14">
        <f t="shared" si="25"/>
        <v>0</v>
      </c>
      <c r="U168" s="69">
        <f t="shared" si="26"/>
        <v>0</v>
      </c>
      <c r="V168" s="69"/>
      <c r="W168" s="70">
        <v>0.11</v>
      </c>
      <c r="X168" s="15">
        <f t="shared" si="27"/>
        <v>0.24871186440677967</v>
      </c>
      <c r="Y168" s="16">
        <f>VLOOKUP(C168,台股行情!A:D,4,FALSE)</f>
        <v>154</v>
      </c>
      <c r="Z168" s="38">
        <f>VLOOKUP(C168,台股行情!A:E,5,FALSE)</f>
        <v>-8.5</v>
      </c>
      <c r="AA168" s="90">
        <f t="shared" ca="1" si="28"/>
        <v>217106.5600700909</v>
      </c>
      <c r="AB168" s="103" t="s">
        <v>2729</v>
      </c>
    </row>
    <row r="169" spans="1:28" outlineLevel="1">
      <c r="A169" s="99">
        <v>44603</v>
      </c>
      <c r="B169" s="11" t="s">
        <v>19</v>
      </c>
      <c r="C169" s="11">
        <v>8299</v>
      </c>
      <c r="D169" s="11" t="s">
        <v>2148</v>
      </c>
      <c r="E169" s="11">
        <v>1000</v>
      </c>
      <c r="F169" s="11">
        <v>503</v>
      </c>
      <c r="G169" s="11">
        <f t="shared" si="20"/>
        <v>503000</v>
      </c>
      <c r="H169" s="11">
        <v>716</v>
      </c>
      <c r="I169" s="308">
        <v>45384</v>
      </c>
      <c r="J169" s="16">
        <v>720</v>
      </c>
      <c r="K169" s="11">
        <f t="shared" si="21"/>
        <v>720000</v>
      </c>
      <c r="L169" s="17">
        <v>1026</v>
      </c>
      <c r="M169" s="11">
        <v>2160</v>
      </c>
      <c r="N169" s="11">
        <v>0</v>
      </c>
      <c r="O169" s="13">
        <f t="shared" si="22"/>
        <v>0</v>
      </c>
      <c r="P169" s="14">
        <f t="shared" si="23"/>
        <v>241039.39</v>
      </c>
      <c r="Q169" s="14">
        <f t="shared" si="24"/>
        <v>0</v>
      </c>
      <c r="R169" s="14">
        <f>13000+10277+4450+4424</f>
        <v>32151</v>
      </c>
      <c r="S169" s="14">
        <v>30</v>
      </c>
      <c r="T169" s="14">
        <f t="shared" si="25"/>
        <v>643</v>
      </c>
      <c r="U169" s="69">
        <f t="shared" si="26"/>
        <v>0</v>
      </c>
      <c r="V169" s="69"/>
      <c r="W169" s="70">
        <v>0.11</v>
      </c>
      <c r="X169" s="15">
        <f t="shared" si="27"/>
        <v>0.47920355864811137</v>
      </c>
      <c r="Y169" s="16">
        <f>VLOOKUP(C169,台股行情!A:D,4,FALSE)</f>
        <v>1830</v>
      </c>
      <c r="Z169" s="38">
        <f>VLOOKUP(C169,台股行情!A:E,5,FALSE)</f>
        <v>-135</v>
      </c>
      <c r="AA169" s="90">
        <f t="shared" ca="1" si="28"/>
        <v>1075574.9644069653</v>
      </c>
      <c r="AB169" s="103" t="s">
        <v>2729</v>
      </c>
    </row>
    <row r="170" spans="1:28" outlineLevel="1">
      <c r="A170" s="99">
        <v>44658</v>
      </c>
      <c r="B170" s="11" t="s">
        <v>19</v>
      </c>
      <c r="C170" s="11">
        <v>2892</v>
      </c>
      <c r="D170" s="11" t="s">
        <v>854</v>
      </c>
      <c r="E170" s="11">
        <v>1050</v>
      </c>
      <c r="F170" s="11">
        <v>29.75</v>
      </c>
      <c r="G170" s="11">
        <v>29750</v>
      </c>
      <c r="H170" s="11">
        <v>42</v>
      </c>
      <c r="I170" s="308">
        <v>45436</v>
      </c>
      <c r="J170" s="16">
        <v>28.25</v>
      </c>
      <c r="K170" s="221">
        <f t="shared" si="21"/>
        <v>29662.5</v>
      </c>
      <c r="L170" s="17">
        <v>42</v>
      </c>
      <c r="M170" s="11">
        <v>84</v>
      </c>
      <c r="N170" s="11">
        <v>0</v>
      </c>
      <c r="O170" s="13">
        <f t="shared" si="22"/>
        <v>0</v>
      </c>
      <c r="P170" s="14">
        <f t="shared" si="23"/>
        <v>460.74</v>
      </c>
      <c r="Q170" s="14">
        <f t="shared" si="24"/>
        <v>0</v>
      </c>
      <c r="R170" s="14">
        <v>816</v>
      </c>
      <c r="S170" s="14">
        <v>10</v>
      </c>
      <c r="T170" s="14">
        <f t="shared" si="25"/>
        <v>0</v>
      </c>
      <c r="U170" s="69">
        <f t="shared" si="26"/>
        <v>0</v>
      </c>
      <c r="V170" s="69"/>
      <c r="W170" s="70">
        <v>0.11</v>
      </c>
      <c r="X170" s="15">
        <f t="shared" si="27"/>
        <v>1.5487058823529413E-2</v>
      </c>
      <c r="Y170" s="16">
        <f>VLOOKUP(C170,台股行情!A:D,4,FALSE)</f>
        <v>41.6</v>
      </c>
      <c r="Z170" s="38">
        <f>VLOOKUP(C170,台股行情!A:E,5,FALSE)</f>
        <v>0.95</v>
      </c>
      <c r="AA170" s="90">
        <f t="shared" ca="1" si="28"/>
        <v>63370.660387690281</v>
      </c>
      <c r="AB170" s="103" t="s">
        <v>2729</v>
      </c>
    </row>
    <row r="171" spans="1:28" outlineLevel="1">
      <c r="A171" s="99">
        <v>44658</v>
      </c>
      <c r="B171" s="11" t="s">
        <v>19</v>
      </c>
      <c r="C171" s="11">
        <v>5880</v>
      </c>
      <c r="D171" s="11" t="str">
        <f>VLOOKUP(C171,台股行情!A:B,2,FALSE)</f>
        <v>合庫金</v>
      </c>
      <c r="E171" s="242">
        <v>1000</v>
      </c>
      <c r="F171" s="11">
        <v>30.8</v>
      </c>
      <c r="G171" s="11">
        <f>E171*F171</f>
        <v>30800</v>
      </c>
      <c r="H171" s="11">
        <v>43</v>
      </c>
      <c r="I171" s="308">
        <v>45520</v>
      </c>
      <c r="J171" s="16">
        <v>25.85</v>
      </c>
      <c r="K171" s="11">
        <v>27826</v>
      </c>
      <c r="L171" s="17">
        <v>38</v>
      </c>
      <c r="M171" s="11">
        <v>83</v>
      </c>
      <c r="N171" s="11">
        <v>0</v>
      </c>
      <c r="O171" s="13">
        <f t="shared" si="22"/>
        <v>0</v>
      </c>
      <c r="P171" s="14">
        <f t="shared" si="23"/>
        <v>-1232.04</v>
      </c>
      <c r="Q171" s="14">
        <f t="shared" si="24"/>
        <v>0</v>
      </c>
      <c r="R171" s="14">
        <f>515+702+947</f>
        <v>2164</v>
      </c>
      <c r="S171" s="14">
        <v>20</v>
      </c>
      <c r="T171" s="14">
        <f t="shared" si="25"/>
        <v>0</v>
      </c>
      <c r="U171" s="69">
        <f t="shared" si="26"/>
        <v>0</v>
      </c>
      <c r="V171" s="69"/>
      <c r="W171" s="70">
        <v>0.11</v>
      </c>
      <c r="X171" s="15">
        <f t="shared" si="27"/>
        <v>-4.0001298701298697E-2</v>
      </c>
      <c r="Y171" s="16">
        <f>VLOOKUP(C171,台股行情!A:D,4,FALSE)</f>
        <v>27.5</v>
      </c>
      <c r="Z171" s="38">
        <f>VLOOKUP(C171,台股行情!A:E,5,FALSE)</f>
        <v>0.35</v>
      </c>
      <c r="AA171" s="90">
        <f t="shared" ca="1" si="28"/>
        <v>72690.833424597527</v>
      </c>
      <c r="AB171" s="103" t="s">
        <v>2729</v>
      </c>
    </row>
    <row r="172" spans="1:28" outlineLevel="1">
      <c r="A172" s="99">
        <v>44658</v>
      </c>
      <c r="B172" s="11" t="s">
        <v>19</v>
      </c>
      <c r="C172" s="11">
        <v>6020</v>
      </c>
      <c r="D172" s="11" t="s">
        <v>1342</v>
      </c>
      <c r="E172" s="11">
        <v>1000</v>
      </c>
      <c r="F172" s="11">
        <v>21.15</v>
      </c>
      <c r="G172" s="11">
        <f>E172*F172</f>
        <v>21150</v>
      </c>
      <c r="H172" s="11">
        <v>43</v>
      </c>
      <c r="I172" s="308">
        <v>45541</v>
      </c>
      <c r="J172" s="16">
        <v>19.05</v>
      </c>
      <c r="K172" s="11">
        <f>E172*J172</f>
        <v>19050</v>
      </c>
      <c r="L172" s="17">
        <v>27</v>
      </c>
      <c r="M172" s="11">
        <v>27</v>
      </c>
      <c r="N172" s="11">
        <v>0</v>
      </c>
      <c r="O172" s="13">
        <f t="shared" ref="O172:O173" si="29">IF(I172="",E172*Y172,0)</f>
        <v>0</v>
      </c>
      <c r="P172" s="14">
        <f t="shared" ref="P172" si="30">IF(I172="",R172-H172,(K172-H172-SUM(L172:N172)+R172-S172-T172)-G172)+(ROUND(R172*V172,0)-ROUND(R172*(1+V172),0)*W172)</f>
        <v>-1406.89</v>
      </c>
      <c r="Q172" s="14">
        <f t="shared" ref="Q172:Q173" si="31">IF(I172="",(O172-G172-(O172*0.1425%*0.65)-(O172*0.3%)-S172-T172),0)</f>
        <v>0</v>
      </c>
      <c r="R172" s="14">
        <v>899</v>
      </c>
      <c r="S172" s="14">
        <v>10</v>
      </c>
      <c r="T172" s="14">
        <f t="shared" ref="T172:T173" si="32">IF(ROUND(R172*(1+V172),0)&gt;20000,ROUND(ROUND(R172*(1+V172),0)*2%,0),0)</f>
        <v>0</v>
      </c>
      <c r="U172" s="69">
        <f t="shared" ref="U172:U173" si="33">(V172*50%)/(1+50%*V172)</f>
        <v>0</v>
      </c>
      <c r="V172" s="69"/>
      <c r="W172" s="70">
        <v>0.11</v>
      </c>
      <c r="X172" s="15">
        <f t="shared" ref="X172:X173" si="34">(P172+Q172)/G172</f>
        <v>-6.6519621749408994E-2</v>
      </c>
      <c r="Y172" s="16">
        <f>VLOOKUP(C172,台股行情!A:D,4,FALSE)</f>
        <v>20.6</v>
      </c>
      <c r="Z172" s="38">
        <f>VLOOKUP(C172,台股行情!A:E,5,FALSE)</f>
        <v>-0.25</v>
      </c>
      <c r="AA172" s="90">
        <f t="shared" ref="AA172" ca="1" si="35">IF(I172="",((TODAY()-A172)*G172)/365.24,((I172-A172)*G172)/365.24)</f>
        <v>51131.995400284744</v>
      </c>
      <c r="AB172" s="103" t="s">
        <v>2729</v>
      </c>
    </row>
    <row r="173" spans="1:28" outlineLevel="1">
      <c r="A173" s="99">
        <v>44622</v>
      </c>
      <c r="B173" s="11" t="s">
        <v>19</v>
      </c>
      <c r="C173" s="11">
        <v>2015</v>
      </c>
      <c r="D173" s="11" t="str">
        <f>VLOOKUP(C173,台股行情!A:B,2,FALSE)</f>
        <v>豐興</v>
      </c>
      <c r="E173" s="11">
        <v>1000</v>
      </c>
      <c r="F173" s="11">
        <v>88.4</v>
      </c>
      <c r="G173" s="11">
        <f t="shared" ref="G173" si="36">E173*F173</f>
        <v>88400</v>
      </c>
      <c r="H173" s="11">
        <v>125</v>
      </c>
      <c r="I173" s="308">
        <v>46136</v>
      </c>
      <c r="J173" s="16">
        <v>60.9</v>
      </c>
      <c r="K173" s="11">
        <f t="shared" ref="K173" si="37">E173*J173</f>
        <v>60900</v>
      </c>
      <c r="L173" s="11">
        <v>86</v>
      </c>
      <c r="M173" s="11">
        <v>182</v>
      </c>
      <c r="N173" s="11">
        <v>0</v>
      </c>
      <c r="O173" s="13">
        <f t="shared" si="29"/>
        <v>0</v>
      </c>
      <c r="P173" s="14">
        <f t="shared" ref="P173" si="38">IF(I173="",R173-H173,(K173-H173-SUM(L173:N173)+R173-S173-T173)-G173)+(ROUND(R173*V173,0)-ROUND(R173*(1+V173),0)*W173)</f>
        <v>-10766</v>
      </c>
      <c r="Q173" s="14">
        <f t="shared" si="31"/>
        <v>0</v>
      </c>
      <c r="R173" s="14">
        <f>5000+4000+3500+3500+3300</f>
        <v>19300</v>
      </c>
      <c r="S173" s="14">
        <v>50</v>
      </c>
      <c r="T173" s="14">
        <f t="shared" si="32"/>
        <v>0</v>
      </c>
      <c r="U173" s="69">
        <f t="shared" si="33"/>
        <v>0</v>
      </c>
      <c r="V173" s="69"/>
      <c r="W173" s="70">
        <v>0.11</v>
      </c>
      <c r="X173" s="15">
        <f t="shared" si="34"/>
        <v>-0.12178733031674208</v>
      </c>
      <c r="Y173" s="16">
        <f>VLOOKUP(C173,台股行情!A:D,4,FALSE)</f>
        <v>66.099999999999994</v>
      </c>
      <c r="Z173" s="38">
        <f>VLOOKUP(C173,台股行情!A:E,5,FALSE)</f>
        <v>1.6</v>
      </c>
      <c r="AA173" s="90">
        <f t="shared" ca="1" si="28"/>
        <v>366437.41101741319</v>
      </c>
      <c r="AB173" s="103" t="s">
        <v>2729</v>
      </c>
    </row>
    <row r="174" spans="1:28">
      <c r="A174" s="99">
        <v>45009</v>
      </c>
      <c r="B174" s="11" t="s">
        <v>19</v>
      </c>
      <c r="C174" s="11">
        <v>4995</v>
      </c>
      <c r="D174" s="189" t="s">
        <v>1226</v>
      </c>
      <c r="E174" s="11">
        <v>1000</v>
      </c>
      <c r="F174" s="11">
        <v>55.1</v>
      </c>
      <c r="G174" s="11">
        <v>55100</v>
      </c>
      <c r="H174" s="11">
        <v>78</v>
      </c>
      <c r="I174" s="104">
        <v>45028</v>
      </c>
      <c r="J174" s="16">
        <v>52.1</v>
      </c>
      <c r="K174" s="11">
        <v>52100</v>
      </c>
      <c r="L174" s="17">
        <v>74</v>
      </c>
      <c r="M174" s="11">
        <v>156</v>
      </c>
      <c r="N174" s="11">
        <v>0</v>
      </c>
      <c r="O174" s="13">
        <v>0</v>
      </c>
      <c r="P174" s="14">
        <f t="shared" ref="P174:P215" si="39">IF(I174="",R174-H174,(K174-H174-SUM(L174:N174)+R174-S174-T174)-G174)+(ROUND(R174*V174,0)-ROUND(R174*(1+V174),0)*W174)</f>
        <v>-3308</v>
      </c>
      <c r="Q174" s="14">
        <v>0</v>
      </c>
      <c r="R174" s="14"/>
      <c r="S174" s="14"/>
      <c r="T174" s="14"/>
      <c r="U174" s="69">
        <f t="shared" si="26"/>
        <v>0</v>
      </c>
      <c r="V174" s="69"/>
      <c r="W174" s="70">
        <v>-0.89</v>
      </c>
      <c r="X174" s="15">
        <f t="shared" si="27"/>
        <v>-6.0036297640653359E-2</v>
      </c>
      <c r="Y174" s="16">
        <f>VLOOKUP(C174,台股行情!A:D,4,FALSE)</f>
        <v>45.45</v>
      </c>
      <c r="Z174" s="38">
        <f>VLOOKUP(C174,台股行情!A:E,5,FALSE)</f>
        <v>-1.1499999999999999</v>
      </c>
      <c r="AA174" s="90">
        <f t="shared" ca="1" si="28"/>
        <v>2866.334465009309</v>
      </c>
      <c r="AB174" s="103" t="s">
        <v>2729</v>
      </c>
    </row>
    <row r="175" spans="1:28" outlineLevel="1">
      <c r="A175" s="99">
        <v>45103</v>
      </c>
      <c r="B175" s="11"/>
      <c r="C175" s="11">
        <v>5426</v>
      </c>
      <c r="D175" s="189" t="s">
        <v>1283</v>
      </c>
      <c r="E175" s="11">
        <v>1000</v>
      </c>
      <c r="F175" s="11">
        <v>15.7</v>
      </c>
      <c r="G175" s="11">
        <f t="shared" ref="G175:G215" si="40">E175*F175</f>
        <v>15700</v>
      </c>
      <c r="H175" s="11">
        <v>22</v>
      </c>
      <c r="I175" s="104">
        <v>45117</v>
      </c>
      <c r="J175" s="16">
        <v>16.649999999999999</v>
      </c>
      <c r="K175" s="11">
        <f t="shared" ref="K175:K215" si="41">E175*J175</f>
        <v>16650</v>
      </c>
      <c r="L175" s="17">
        <v>23</v>
      </c>
      <c r="M175" s="11">
        <v>49</v>
      </c>
      <c r="N175" s="11">
        <v>0</v>
      </c>
      <c r="O175" s="13">
        <f t="shared" ref="O175:O215" si="42">IF(I175="",E175*Y175,0)</f>
        <v>0</v>
      </c>
      <c r="P175" s="14">
        <f t="shared" si="39"/>
        <v>856</v>
      </c>
      <c r="Q175" s="14">
        <f t="shared" ref="Q175:Q215" si="43">IF(I175="",(O175-G175-(O175*0.1425%*0.65)-(O175*0.3%)-S175-T175),0)</f>
        <v>0</v>
      </c>
      <c r="R175" s="14"/>
      <c r="S175" s="14"/>
      <c r="T175" s="14"/>
      <c r="U175" s="69">
        <f t="shared" si="26"/>
        <v>0</v>
      </c>
      <c r="V175" s="69"/>
      <c r="W175" s="70">
        <v>0.11</v>
      </c>
      <c r="X175" s="15">
        <f t="shared" si="27"/>
        <v>5.4522292993630574E-2</v>
      </c>
      <c r="Y175" s="16">
        <f>VLOOKUP(C175,台股行情!A:D,4,FALSE)</f>
        <v>27.35</v>
      </c>
      <c r="Z175" s="38">
        <f>VLOOKUP(C175,台股行情!A:E,5,FALSE)</f>
        <v>-1.25</v>
      </c>
      <c r="AA175" s="90">
        <f t="shared" ca="1" si="28"/>
        <v>601.79607929032966</v>
      </c>
      <c r="AB175" s="103" t="s">
        <v>2729</v>
      </c>
    </row>
    <row r="176" spans="1:28" outlineLevel="1">
      <c r="A176" s="99">
        <v>45103</v>
      </c>
      <c r="B176" s="11"/>
      <c r="C176" s="11">
        <v>5426</v>
      </c>
      <c r="D176" s="189" t="s">
        <v>1283</v>
      </c>
      <c r="E176" s="11">
        <v>1000</v>
      </c>
      <c r="F176" s="11">
        <v>15.7</v>
      </c>
      <c r="G176" s="11">
        <f t="shared" si="40"/>
        <v>15700</v>
      </c>
      <c r="H176" s="11">
        <v>22</v>
      </c>
      <c r="I176" s="104">
        <v>45117</v>
      </c>
      <c r="J176" s="16">
        <v>16.5</v>
      </c>
      <c r="K176" s="11">
        <f t="shared" si="41"/>
        <v>16500</v>
      </c>
      <c r="L176" s="17">
        <v>23</v>
      </c>
      <c r="M176" s="11">
        <v>49</v>
      </c>
      <c r="N176" s="11">
        <v>0</v>
      </c>
      <c r="O176" s="13">
        <f t="shared" si="42"/>
        <v>0</v>
      </c>
      <c r="P176" s="14">
        <f t="shared" si="39"/>
        <v>706</v>
      </c>
      <c r="Q176" s="14">
        <f t="shared" si="43"/>
        <v>0</v>
      </c>
      <c r="R176" s="14"/>
      <c r="S176" s="14"/>
      <c r="T176" s="14"/>
      <c r="U176" s="69">
        <f t="shared" si="26"/>
        <v>0</v>
      </c>
      <c r="V176" s="69"/>
      <c r="W176" s="70">
        <v>0.11</v>
      </c>
      <c r="X176" s="15">
        <f t="shared" si="27"/>
        <v>4.4968152866242041E-2</v>
      </c>
      <c r="Y176" s="16">
        <f>VLOOKUP(C176,台股行情!A:D,4,FALSE)</f>
        <v>27.35</v>
      </c>
      <c r="Z176" s="38">
        <f>VLOOKUP(C176,台股行情!A:E,5,FALSE)</f>
        <v>-1.25</v>
      </c>
      <c r="AA176" s="90">
        <f t="shared" ca="1" si="28"/>
        <v>601.79607929032966</v>
      </c>
      <c r="AB176" s="103" t="s">
        <v>2729</v>
      </c>
    </row>
    <row r="177" spans="1:28" outlineLevel="1">
      <c r="A177" s="99">
        <v>45103</v>
      </c>
      <c r="B177" s="11"/>
      <c r="C177" s="11">
        <v>5426</v>
      </c>
      <c r="D177" s="189" t="s">
        <v>1283</v>
      </c>
      <c r="E177" s="11">
        <v>1000</v>
      </c>
      <c r="F177" s="11">
        <v>15.7</v>
      </c>
      <c r="G177" s="11">
        <f t="shared" si="40"/>
        <v>15700</v>
      </c>
      <c r="H177" s="11">
        <v>23</v>
      </c>
      <c r="I177" s="104">
        <v>45118</v>
      </c>
      <c r="J177" s="16">
        <v>16.149999999999999</v>
      </c>
      <c r="K177" s="11">
        <f t="shared" si="41"/>
        <v>16149.999999999998</v>
      </c>
      <c r="L177" s="17">
        <v>23</v>
      </c>
      <c r="M177" s="11">
        <v>48</v>
      </c>
      <c r="N177" s="11">
        <v>0</v>
      </c>
      <c r="O177" s="13">
        <f t="shared" si="42"/>
        <v>0</v>
      </c>
      <c r="P177" s="14">
        <f t="shared" si="39"/>
        <v>355.99999999999818</v>
      </c>
      <c r="Q177" s="14">
        <f t="shared" si="43"/>
        <v>0</v>
      </c>
      <c r="R177" s="14"/>
      <c r="S177" s="14"/>
      <c r="T177" s="14"/>
      <c r="U177" s="69">
        <f t="shared" si="26"/>
        <v>0</v>
      </c>
      <c r="V177" s="69"/>
      <c r="W177" s="70">
        <v>0.11</v>
      </c>
      <c r="X177" s="15">
        <f t="shared" si="27"/>
        <v>2.2675159235668672E-2</v>
      </c>
      <c r="Y177" s="16">
        <f>VLOOKUP(C177,台股行情!A:D,4,FALSE)</f>
        <v>27.35</v>
      </c>
      <c r="Z177" s="38">
        <f>VLOOKUP(C177,台股行情!A:E,5,FALSE)</f>
        <v>-1.25</v>
      </c>
      <c r="AA177" s="90">
        <f t="shared" ca="1" si="28"/>
        <v>644.78151352535315</v>
      </c>
      <c r="AB177" s="103" t="s">
        <v>2729</v>
      </c>
    </row>
    <row r="178" spans="1:28" outlineLevel="1">
      <c r="A178" s="99">
        <v>45103</v>
      </c>
      <c r="B178" s="11"/>
      <c r="C178" s="11">
        <v>6695</v>
      </c>
      <c r="D178" s="189" t="s">
        <v>2028</v>
      </c>
      <c r="E178" s="11">
        <v>1000</v>
      </c>
      <c r="F178" s="11">
        <v>46.8</v>
      </c>
      <c r="G178" s="11">
        <f t="shared" si="40"/>
        <v>46800</v>
      </c>
      <c r="H178" s="11">
        <v>66</v>
      </c>
      <c r="I178" s="104">
        <v>45113</v>
      </c>
      <c r="J178" s="16">
        <v>44.75</v>
      </c>
      <c r="K178" s="11">
        <f t="shared" si="41"/>
        <v>44750</v>
      </c>
      <c r="L178" s="17">
        <v>63</v>
      </c>
      <c r="M178" s="11">
        <v>134</v>
      </c>
      <c r="N178" s="11">
        <v>0</v>
      </c>
      <c r="O178" s="13">
        <f t="shared" si="42"/>
        <v>0</v>
      </c>
      <c r="P178" s="14">
        <f t="shared" si="39"/>
        <v>-2313</v>
      </c>
      <c r="Q178" s="14">
        <f t="shared" si="43"/>
        <v>0</v>
      </c>
      <c r="R178" s="14"/>
      <c r="S178" s="14"/>
      <c r="T178" s="14"/>
      <c r="U178" s="69">
        <f t="shared" si="26"/>
        <v>0</v>
      </c>
      <c r="V178" s="69"/>
      <c r="W178" s="70">
        <v>0.11</v>
      </c>
      <c r="X178" s="15">
        <f t="shared" si="27"/>
        <v>-4.9423076923076924E-2</v>
      </c>
      <c r="Y178" s="16">
        <f>VLOOKUP(C178,台股行情!A:D,4,FALSE)</f>
        <v>48.4</v>
      </c>
      <c r="Z178" s="38">
        <f>VLOOKUP(C178,台股行情!A:E,5,FALSE)</f>
        <v>-1.45</v>
      </c>
      <c r="AA178" s="90">
        <f t="shared" ca="1" si="28"/>
        <v>1281.3492498083451</v>
      </c>
      <c r="AB178" s="103" t="s">
        <v>2729</v>
      </c>
    </row>
    <row r="179" spans="1:28" outlineLevel="1">
      <c r="A179" s="99">
        <v>45138</v>
      </c>
      <c r="B179" s="11"/>
      <c r="C179" s="11">
        <v>9927</v>
      </c>
      <c r="D179" s="189" t="s">
        <v>2235</v>
      </c>
      <c r="E179" s="11">
        <v>1000</v>
      </c>
      <c r="F179" s="11">
        <v>54</v>
      </c>
      <c r="G179" s="11">
        <f t="shared" si="40"/>
        <v>54000</v>
      </c>
      <c r="H179" s="203">
        <v>76</v>
      </c>
      <c r="I179" s="202">
        <v>45145</v>
      </c>
      <c r="J179" s="16">
        <v>56</v>
      </c>
      <c r="K179" s="11">
        <f t="shared" si="41"/>
        <v>56000</v>
      </c>
      <c r="L179" s="17">
        <v>79</v>
      </c>
      <c r="M179" s="11">
        <v>168</v>
      </c>
      <c r="N179" s="11">
        <v>0</v>
      </c>
      <c r="O179" s="13">
        <f t="shared" si="42"/>
        <v>0</v>
      </c>
      <c r="P179" s="14">
        <f t="shared" si="39"/>
        <v>1677</v>
      </c>
      <c r="Q179" s="14">
        <f t="shared" si="43"/>
        <v>0</v>
      </c>
      <c r="R179" s="14"/>
      <c r="S179" s="14"/>
      <c r="T179" s="14"/>
      <c r="U179" s="69">
        <f t="shared" si="26"/>
        <v>0</v>
      </c>
      <c r="V179" s="69"/>
      <c r="W179" s="70">
        <v>0.11</v>
      </c>
      <c r="X179" s="15">
        <f t="shared" si="27"/>
        <v>3.1055555555555555E-2</v>
      </c>
      <c r="Y179" s="16">
        <f>VLOOKUP(C179,台股行情!A:D,4,FALSE)</f>
        <v>60.1</v>
      </c>
      <c r="Z179" s="38">
        <f>VLOOKUP(C179,台股行情!A:E,5,FALSE)</f>
        <v>-0.6</v>
      </c>
      <c r="AA179" s="90">
        <f t="shared" ca="1" si="28"/>
        <v>1034.9359325375096</v>
      </c>
      <c r="AB179" s="103" t="s">
        <v>2729</v>
      </c>
    </row>
    <row r="180" spans="1:28" outlineLevel="1">
      <c r="A180" s="99">
        <v>45103</v>
      </c>
      <c r="B180" s="11" t="s">
        <v>19</v>
      </c>
      <c r="C180" s="11">
        <v>1515</v>
      </c>
      <c r="D180" s="189" t="s">
        <v>406</v>
      </c>
      <c r="E180" s="11">
        <v>1000</v>
      </c>
      <c r="F180" s="11">
        <v>37</v>
      </c>
      <c r="G180" s="11">
        <f t="shared" si="40"/>
        <v>37000</v>
      </c>
      <c r="H180" s="203">
        <v>52</v>
      </c>
      <c r="I180" s="202">
        <v>45142</v>
      </c>
      <c r="J180" s="16">
        <v>37.200000000000003</v>
      </c>
      <c r="K180" s="11">
        <f t="shared" si="41"/>
        <v>37200</v>
      </c>
      <c r="L180" s="17">
        <v>53</v>
      </c>
      <c r="M180" s="11">
        <v>111</v>
      </c>
      <c r="N180" s="11">
        <v>0</v>
      </c>
      <c r="O180" s="13">
        <f t="shared" si="42"/>
        <v>0</v>
      </c>
      <c r="P180" s="14">
        <f t="shared" si="39"/>
        <v>-16</v>
      </c>
      <c r="Q180" s="14">
        <f t="shared" si="43"/>
        <v>0</v>
      </c>
      <c r="R180" s="14"/>
      <c r="S180" s="14"/>
      <c r="T180" s="14"/>
      <c r="U180" s="69">
        <f t="shared" si="26"/>
        <v>0</v>
      </c>
      <c r="V180" s="69"/>
      <c r="W180" s="70">
        <v>0.11</v>
      </c>
      <c r="X180" s="15">
        <f t="shared" si="27"/>
        <v>-4.3243243243243243E-4</v>
      </c>
      <c r="Y180" s="16">
        <f>VLOOKUP(C180,台股行情!A:D,4,FALSE)</f>
        <v>28.75</v>
      </c>
      <c r="Z180" s="38">
        <f>VLOOKUP(C180,台股行情!A:E,5,FALSE)</f>
        <v>0</v>
      </c>
      <c r="AA180" s="90">
        <f t="shared" ca="1" si="28"/>
        <v>3950.8268535757311</v>
      </c>
      <c r="AB180" s="103" t="s">
        <v>2729</v>
      </c>
    </row>
    <row r="181" spans="1:28" outlineLevel="1">
      <c r="A181" s="99">
        <v>45103</v>
      </c>
      <c r="B181" s="11" t="s">
        <v>19</v>
      </c>
      <c r="C181" s="11">
        <v>1515</v>
      </c>
      <c r="D181" s="189" t="s">
        <v>406</v>
      </c>
      <c r="E181" s="11">
        <v>1000</v>
      </c>
      <c r="F181" s="11">
        <v>37</v>
      </c>
      <c r="G181" s="11">
        <f t="shared" si="40"/>
        <v>37000</v>
      </c>
      <c r="H181" s="11">
        <v>53</v>
      </c>
      <c r="I181" s="204">
        <v>45152</v>
      </c>
      <c r="J181" s="16">
        <v>37.299999999999997</v>
      </c>
      <c r="K181" s="11">
        <f t="shared" si="41"/>
        <v>37300</v>
      </c>
      <c r="L181" s="17">
        <v>53</v>
      </c>
      <c r="M181" s="11">
        <v>111</v>
      </c>
      <c r="N181" s="11">
        <v>0</v>
      </c>
      <c r="O181" s="13">
        <f t="shared" si="42"/>
        <v>0</v>
      </c>
      <c r="P181" s="14">
        <f t="shared" si="39"/>
        <v>83</v>
      </c>
      <c r="Q181" s="14">
        <f t="shared" si="43"/>
        <v>0</v>
      </c>
      <c r="R181" s="14"/>
      <c r="S181" s="14"/>
      <c r="T181" s="14"/>
      <c r="U181" s="69">
        <f t="shared" si="26"/>
        <v>0</v>
      </c>
      <c r="V181" s="69"/>
      <c r="W181" s="70">
        <v>0.11</v>
      </c>
      <c r="X181" s="15">
        <f t="shared" si="27"/>
        <v>2.2432432432432431E-3</v>
      </c>
      <c r="Y181" s="16">
        <f>VLOOKUP(C181,台股行情!A:D,4,FALSE)</f>
        <v>28.75</v>
      </c>
      <c r="Z181" s="38">
        <f>VLOOKUP(C181,台股行情!A:E,5,FALSE)</f>
        <v>0</v>
      </c>
      <c r="AA181" s="90">
        <f t="shared" ca="1" si="28"/>
        <v>4963.859380133611</v>
      </c>
      <c r="AB181" s="103" t="s">
        <v>2729</v>
      </c>
    </row>
    <row r="182" spans="1:28" outlineLevel="1">
      <c r="A182" s="99">
        <v>45287</v>
      </c>
      <c r="B182" s="11"/>
      <c r="C182" s="11">
        <v>2832</v>
      </c>
      <c r="D182" s="189" t="s">
        <v>838</v>
      </c>
      <c r="E182" s="11">
        <v>2000</v>
      </c>
      <c r="F182" s="11">
        <v>26.85</v>
      </c>
      <c r="G182" s="11">
        <f t="shared" si="40"/>
        <v>53700</v>
      </c>
      <c r="H182" s="11">
        <v>76</v>
      </c>
      <c r="I182" s="327">
        <v>45313</v>
      </c>
      <c r="J182" s="16">
        <v>25.3</v>
      </c>
      <c r="K182" s="11">
        <f t="shared" si="41"/>
        <v>50600</v>
      </c>
      <c r="L182" s="17">
        <v>72</v>
      </c>
      <c r="M182" s="11">
        <v>151</v>
      </c>
      <c r="N182" s="11">
        <v>0</v>
      </c>
      <c r="O182" s="13">
        <f t="shared" si="42"/>
        <v>0</v>
      </c>
      <c r="P182" s="14">
        <f t="shared" si="39"/>
        <v>-3399</v>
      </c>
      <c r="Q182" s="14">
        <f t="shared" si="43"/>
        <v>0</v>
      </c>
      <c r="R182" s="14"/>
      <c r="S182" s="14"/>
      <c r="T182" s="14"/>
      <c r="U182" s="69">
        <f t="shared" si="26"/>
        <v>0</v>
      </c>
      <c r="V182" s="69"/>
      <c r="W182" s="70">
        <v>0.11</v>
      </c>
      <c r="X182" s="15">
        <f t="shared" si="27"/>
        <v>-6.329608938547486E-2</v>
      </c>
      <c r="Y182" s="16">
        <f>VLOOKUP(C182,台股行情!A:D,4,FALSE)</f>
        <v>57.3</v>
      </c>
      <c r="Z182" s="38">
        <f>VLOOKUP(C182,台股行情!A:E,5,FALSE)</f>
        <v>0.2</v>
      </c>
      <c r="AA182" s="90">
        <f t="shared" ca="1" si="28"/>
        <v>3822.6919285948966</v>
      </c>
      <c r="AB182" s="103" t="s">
        <v>2729</v>
      </c>
    </row>
    <row r="183" spans="1:28" outlineLevel="1">
      <c r="A183" s="99">
        <v>45273</v>
      </c>
      <c r="B183" s="11"/>
      <c r="C183" s="11">
        <v>1519</v>
      </c>
      <c r="D183" s="189" t="s">
        <v>526</v>
      </c>
      <c r="E183" s="11">
        <v>1000</v>
      </c>
      <c r="F183" s="11">
        <v>362</v>
      </c>
      <c r="G183" s="11">
        <f t="shared" si="40"/>
        <v>362000</v>
      </c>
      <c r="H183" s="11">
        <v>515</v>
      </c>
      <c r="I183" s="327">
        <v>45320</v>
      </c>
      <c r="J183" s="16">
        <v>394</v>
      </c>
      <c r="K183" s="11">
        <f t="shared" si="41"/>
        <v>394000</v>
      </c>
      <c r="L183" s="17">
        <v>561</v>
      </c>
      <c r="M183" s="11">
        <v>1182</v>
      </c>
      <c r="N183" s="11">
        <v>0</v>
      </c>
      <c r="O183" s="13">
        <f t="shared" si="42"/>
        <v>0</v>
      </c>
      <c r="P183" s="14">
        <f t="shared" si="39"/>
        <v>29742</v>
      </c>
      <c r="Q183" s="14">
        <f t="shared" si="43"/>
        <v>0</v>
      </c>
      <c r="R183" s="14"/>
      <c r="S183" s="14"/>
      <c r="T183" s="14"/>
      <c r="U183" s="69">
        <f t="shared" si="26"/>
        <v>0</v>
      </c>
      <c r="V183" s="69"/>
      <c r="W183" s="70">
        <v>0.11</v>
      </c>
      <c r="X183" s="15">
        <f t="shared" si="27"/>
        <v>8.2160220994475133E-2</v>
      </c>
      <c r="Y183" s="16">
        <f>VLOOKUP(C183,台股行情!A:D,4,FALSE)</f>
        <v>649</v>
      </c>
      <c r="Z183" s="38">
        <f>VLOOKUP(C183,台股行情!A:E,5,FALSE)</f>
        <v>-41</v>
      </c>
      <c r="AA183" s="90">
        <f t="shared" ca="1" si="28"/>
        <v>46583.068667177744</v>
      </c>
      <c r="AB183" s="103" t="s">
        <v>2729</v>
      </c>
    </row>
    <row r="184" spans="1:28" outlineLevel="1">
      <c r="A184" s="99">
        <v>45125</v>
      </c>
      <c r="B184" s="11"/>
      <c r="C184" s="11">
        <v>2610</v>
      </c>
      <c r="D184" s="189" t="s">
        <v>247</v>
      </c>
      <c r="E184" s="11">
        <v>1000</v>
      </c>
      <c r="F184" s="11">
        <v>24.95</v>
      </c>
      <c r="G184" s="11">
        <f t="shared" si="40"/>
        <v>24950</v>
      </c>
      <c r="H184" s="11">
        <v>35</v>
      </c>
      <c r="I184" s="308">
        <v>45540</v>
      </c>
      <c r="J184" s="16">
        <v>20.350000000000001</v>
      </c>
      <c r="K184" s="11">
        <f t="shared" si="41"/>
        <v>20350</v>
      </c>
      <c r="L184" s="17">
        <v>28</v>
      </c>
      <c r="M184" s="11">
        <v>61</v>
      </c>
      <c r="N184" s="11">
        <v>0</v>
      </c>
      <c r="O184" s="13">
        <f t="shared" si="42"/>
        <v>0</v>
      </c>
      <c r="P184" s="14">
        <f t="shared" si="39"/>
        <v>-4119.8999999999996</v>
      </c>
      <c r="Q184" s="14">
        <f t="shared" si="43"/>
        <v>0</v>
      </c>
      <c r="R184" s="14">
        <v>690</v>
      </c>
      <c r="S184" s="14">
        <v>10</v>
      </c>
      <c r="T184" s="14"/>
      <c r="U184" s="69">
        <f t="shared" si="26"/>
        <v>0</v>
      </c>
      <c r="V184" s="69"/>
      <c r="W184" s="70">
        <v>0.11</v>
      </c>
      <c r="X184" s="15">
        <f t="shared" si="27"/>
        <v>-0.16512625250501001</v>
      </c>
      <c r="Y184" s="16">
        <f>VLOOKUP(C184,台股行情!A:D,4,FALSE)</f>
        <v>20.55</v>
      </c>
      <c r="Z184" s="38">
        <f>VLOOKUP(C184,台股行情!A:E,5,FALSE)</f>
        <v>-0.1</v>
      </c>
      <c r="AA184" s="90">
        <f t="shared" ca="1" si="28"/>
        <v>28349.167670572773</v>
      </c>
      <c r="AB184" s="103" t="s">
        <v>2729</v>
      </c>
    </row>
    <row r="185" spans="1:28" outlineLevel="1">
      <c r="A185" s="99">
        <v>45125</v>
      </c>
      <c r="B185" s="11" t="s">
        <v>19</v>
      </c>
      <c r="C185" s="11">
        <v>2618</v>
      </c>
      <c r="D185" s="189" t="str">
        <f>VLOOKUP(C185,台股行情!A:B,2,FALSE)</f>
        <v>長榮航</v>
      </c>
      <c r="E185" s="11">
        <v>1000</v>
      </c>
      <c r="F185" s="11">
        <v>37.1</v>
      </c>
      <c r="G185" s="11">
        <f t="shared" si="40"/>
        <v>37100</v>
      </c>
      <c r="H185" s="11">
        <v>52</v>
      </c>
      <c r="I185" s="308">
        <v>45566</v>
      </c>
      <c r="J185" s="16">
        <v>37.15</v>
      </c>
      <c r="K185" s="11">
        <f t="shared" si="41"/>
        <v>37150</v>
      </c>
      <c r="L185" s="17">
        <v>52</v>
      </c>
      <c r="M185" s="11">
        <v>111</v>
      </c>
      <c r="N185" s="11">
        <v>0</v>
      </c>
      <c r="O185" s="13">
        <f t="shared" si="42"/>
        <v>0</v>
      </c>
      <c r="P185" s="14">
        <f t="shared" si="39"/>
        <v>1427</v>
      </c>
      <c r="Q185" s="14">
        <f t="shared" si="43"/>
        <v>0</v>
      </c>
      <c r="R185" s="14">
        <v>1800</v>
      </c>
      <c r="S185" s="14">
        <v>10</v>
      </c>
      <c r="T185" s="14"/>
      <c r="U185" s="69">
        <f t="shared" si="26"/>
        <v>0</v>
      </c>
      <c r="V185" s="69"/>
      <c r="W185" s="70">
        <v>0.11</v>
      </c>
      <c r="X185" s="15">
        <f t="shared" si="27"/>
        <v>3.8463611859838272E-2</v>
      </c>
      <c r="Y185" s="16">
        <f>VLOOKUP(C185,台股行情!A:D,4,FALSE)</f>
        <v>43.45</v>
      </c>
      <c r="Z185" s="38">
        <f>VLOOKUP(C185,台股行情!A:E,5,FALSE)</f>
        <v>0.05</v>
      </c>
      <c r="AA185" s="90">
        <f t="shared" ca="1" si="28"/>
        <v>44795.476946665207</v>
      </c>
      <c r="AB185" s="103" t="s">
        <v>2729</v>
      </c>
    </row>
    <row r="186" spans="1:28" outlineLevel="1">
      <c r="A186" s="99">
        <v>45140</v>
      </c>
      <c r="B186" s="11"/>
      <c r="C186" s="11">
        <v>929</v>
      </c>
      <c r="D186" s="189" t="str">
        <f>VLOOKUP(C186,台股行情!A:B,2,FALSE)</f>
        <v>復華台灣科技優息</v>
      </c>
      <c r="E186" s="11">
        <v>3000</v>
      </c>
      <c r="F186" s="11">
        <v>16.48</v>
      </c>
      <c r="G186" s="11">
        <f t="shared" si="40"/>
        <v>49440</v>
      </c>
      <c r="H186" s="11">
        <v>70</v>
      </c>
      <c r="I186" s="308">
        <v>45664</v>
      </c>
      <c r="J186" s="16">
        <v>18.329999999999998</v>
      </c>
      <c r="K186" s="11">
        <f t="shared" si="41"/>
        <v>54989.999999999993</v>
      </c>
      <c r="L186" s="17">
        <v>26</v>
      </c>
      <c r="M186" s="11">
        <v>19</v>
      </c>
      <c r="N186" s="11">
        <v>0</v>
      </c>
      <c r="O186" s="13">
        <f t="shared" si="42"/>
        <v>0</v>
      </c>
      <c r="P186" s="14">
        <f t="shared" si="39"/>
        <v>6893.4999999999927</v>
      </c>
      <c r="Q186" s="14">
        <f t="shared" si="43"/>
        <v>0</v>
      </c>
      <c r="R186" s="14">
        <f>330+330+330+330+330</f>
        <v>1650</v>
      </c>
      <c r="S186" s="14">
        <v>10</v>
      </c>
      <c r="T186" s="14"/>
      <c r="U186" s="69">
        <f t="shared" si="26"/>
        <v>0</v>
      </c>
      <c r="V186" s="69"/>
      <c r="W186" s="70">
        <v>0.11</v>
      </c>
      <c r="X186" s="15">
        <f t="shared" si="27"/>
        <v>0.13943163430420696</v>
      </c>
      <c r="Y186" s="16">
        <f>VLOOKUP(C186,台股行情!A:D,4,FALSE)</f>
        <v>29.72</v>
      </c>
      <c r="Z186" s="38">
        <f>VLOOKUP(C186,台股行情!A:E,5,FALSE)</f>
        <v>-0.48</v>
      </c>
      <c r="AA186" s="90">
        <f t="shared" ca="1" si="28"/>
        <v>70930.237651954871</v>
      </c>
      <c r="AB186" s="103" t="s">
        <v>2733</v>
      </c>
    </row>
    <row r="187" spans="1:28" outlineLevel="1">
      <c r="A187" s="99">
        <v>45176</v>
      </c>
      <c r="B187" s="11"/>
      <c r="C187" s="11">
        <v>929</v>
      </c>
      <c r="D187" s="189" t="str">
        <f>VLOOKUP(C187,台股行情!A:B,2,FALSE)</f>
        <v>復華台灣科技優息</v>
      </c>
      <c r="E187" s="11">
        <v>1000</v>
      </c>
      <c r="F187" s="11">
        <v>17.75</v>
      </c>
      <c r="G187" s="11">
        <f t="shared" si="40"/>
        <v>17750</v>
      </c>
      <c r="H187" s="11">
        <v>25</v>
      </c>
      <c r="I187" s="308">
        <v>45664</v>
      </c>
      <c r="J187" s="16">
        <v>18.329999999999998</v>
      </c>
      <c r="K187" s="11">
        <f t="shared" si="41"/>
        <v>18330</v>
      </c>
      <c r="L187" s="17">
        <v>26</v>
      </c>
      <c r="M187" s="11">
        <v>19</v>
      </c>
      <c r="N187" s="11">
        <v>0</v>
      </c>
      <c r="O187" s="13">
        <f t="shared" si="42"/>
        <v>0</v>
      </c>
      <c r="P187" s="14">
        <f t="shared" si="39"/>
        <v>891.6</v>
      </c>
      <c r="Q187" s="14">
        <f t="shared" si="43"/>
        <v>0</v>
      </c>
      <c r="R187" s="14">
        <f>110+110+110+110</f>
        <v>440</v>
      </c>
      <c r="S187" s="14">
        <v>10</v>
      </c>
      <c r="T187" s="14"/>
      <c r="U187" s="69">
        <f t="shared" si="26"/>
        <v>0</v>
      </c>
      <c r="V187" s="69"/>
      <c r="W187" s="70">
        <v>0.11</v>
      </c>
      <c r="X187" s="15">
        <f t="shared" si="27"/>
        <v>5.0230985915492958E-2</v>
      </c>
      <c r="Y187" s="16">
        <f>VLOOKUP(C187,台股行情!A:D,4,FALSE)</f>
        <v>29.72</v>
      </c>
      <c r="Z187" s="38">
        <f>VLOOKUP(C187,台股行情!A:E,5,FALSE)</f>
        <v>-0.48</v>
      </c>
      <c r="AA187" s="90">
        <f t="shared" ca="1" si="28"/>
        <v>23715.9128244442</v>
      </c>
      <c r="AB187" s="103" t="s">
        <v>2733</v>
      </c>
    </row>
    <row r="188" spans="1:28" outlineLevel="1">
      <c r="A188" s="99">
        <v>45205</v>
      </c>
      <c r="B188" s="11"/>
      <c r="C188" s="11">
        <v>929</v>
      </c>
      <c r="D188" s="189" t="str">
        <f>VLOOKUP(C188,台股行情!A:B,2,FALSE)</f>
        <v>復華台灣科技優息</v>
      </c>
      <c r="E188" s="11">
        <v>1000</v>
      </c>
      <c r="F188" s="11">
        <v>17.52</v>
      </c>
      <c r="G188" s="11">
        <f t="shared" si="40"/>
        <v>17520</v>
      </c>
      <c r="H188" s="11">
        <v>24</v>
      </c>
      <c r="I188" s="308">
        <v>45664</v>
      </c>
      <c r="J188" s="16">
        <v>18.329999999999998</v>
      </c>
      <c r="K188" s="11">
        <f t="shared" si="41"/>
        <v>18330</v>
      </c>
      <c r="L188" s="17">
        <v>26</v>
      </c>
      <c r="M188" s="11">
        <v>18</v>
      </c>
      <c r="N188" s="11">
        <v>0</v>
      </c>
      <c r="O188" s="13">
        <f t="shared" si="42"/>
        <v>0</v>
      </c>
      <c r="P188" s="14">
        <f t="shared" si="39"/>
        <v>1025.7</v>
      </c>
      <c r="Q188" s="14">
        <f t="shared" si="43"/>
        <v>0</v>
      </c>
      <c r="R188" s="14">
        <f>110+110+110</f>
        <v>330</v>
      </c>
      <c r="S188" s="14">
        <v>10</v>
      </c>
      <c r="T188" s="14"/>
      <c r="U188" s="69">
        <f t="shared" si="26"/>
        <v>0</v>
      </c>
      <c r="V188" s="69"/>
      <c r="W188" s="70">
        <v>0.11</v>
      </c>
      <c r="X188" s="15">
        <f t="shared" si="27"/>
        <v>5.8544520547945206E-2</v>
      </c>
      <c r="Y188" s="16">
        <f>VLOOKUP(C188,台股行情!A:D,4,FALSE)</f>
        <v>29.72</v>
      </c>
      <c r="Z188" s="38">
        <f>VLOOKUP(C188,台股行情!A:E,5,FALSE)</f>
        <v>-0.48</v>
      </c>
      <c r="AA188" s="90">
        <f t="shared" ca="1" si="28"/>
        <v>22017.522724783703</v>
      </c>
      <c r="AB188" s="103" t="s">
        <v>2733</v>
      </c>
    </row>
    <row r="189" spans="1:28" outlineLevel="1">
      <c r="A189" s="99">
        <v>45287</v>
      </c>
      <c r="B189" s="11"/>
      <c r="C189" s="11">
        <v>929</v>
      </c>
      <c r="D189" s="189" t="str">
        <f>VLOOKUP(C189,台股行情!A:B,2,FALSE)</f>
        <v>復華台灣科技優息</v>
      </c>
      <c r="E189" s="11">
        <v>2000</v>
      </c>
      <c r="F189" s="11">
        <v>19.239999999999998</v>
      </c>
      <c r="G189" s="11">
        <f t="shared" si="40"/>
        <v>38480</v>
      </c>
      <c r="H189" s="11">
        <v>54</v>
      </c>
      <c r="I189" s="308">
        <v>45664</v>
      </c>
      <c r="J189" s="16">
        <v>18.329999999999998</v>
      </c>
      <c r="K189" s="11">
        <f t="shared" si="41"/>
        <v>36660</v>
      </c>
      <c r="L189" s="17">
        <v>26</v>
      </c>
      <c r="M189" s="11">
        <v>18</v>
      </c>
      <c r="N189" s="11">
        <v>0</v>
      </c>
      <c r="O189" s="13">
        <f t="shared" si="42"/>
        <v>0</v>
      </c>
      <c r="P189" s="14">
        <f t="shared" si="39"/>
        <v>3240.7</v>
      </c>
      <c r="Q189" s="14">
        <f t="shared" si="43"/>
        <v>0</v>
      </c>
      <c r="R189" s="14">
        <f>110+110+110+910+910+1040+1040+1600</f>
        <v>5830</v>
      </c>
      <c r="S189" s="14">
        <v>30</v>
      </c>
      <c r="T189" s="14"/>
      <c r="U189" s="69">
        <f t="shared" si="26"/>
        <v>0</v>
      </c>
      <c r="V189" s="69"/>
      <c r="W189" s="70">
        <v>0.11</v>
      </c>
      <c r="X189" s="15">
        <f t="shared" si="27"/>
        <v>8.4217775467775466E-2</v>
      </c>
      <c r="Y189" s="16">
        <f>VLOOKUP(C189,台股行情!A:D,4,FALSE)</f>
        <v>29.72</v>
      </c>
      <c r="Z189" s="38">
        <f>VLOOKUP(C189,台股行情!A:E,5,FALSE)</f>
        <v>-0.48</v>
      </c>
      <c r="AA189" s="90">
        <f t="shared" ca="1" si="28"/>
        <v>39718.979301281346</v>
      </c>
      <c r="AB189" s="103" t="s">
        <v>2733</v>
      </c>
    </row>
    <row r="190" spans="1:28" outlineLevel="1">
      <c r="A190" s="99">
        <v>45104</v>
      </c>
      <c r="B190" s="11"/>
      <c r="C190" s="11">
        <v>3038</v>
      </c>
      <c r="D190" s="189" t="str">
        <f>VLOOKUP(C190,台股行情!A:B,2,FALSE)</f>
        <v>全台</v>
      </c>
      <c r="E190" s="11">
        <v>1000</v>
      </c>
      <c r="F190" s="11">
        <v>42.75</v>
      </c>
      <c r="G190" s="11">
        <f t="shared" si="40"/>
        <v>42750</v>
      </c>
      <c r="H190" s="11">
        <v>60</v>
      </c>
      <c r="I190" s="308">
        <v>45882</v>
      </c>
      <c r="J190" s="16">
        <v>22.3</v>
      </c>
      <c r="K190" s="11">
        <f t="shared" si="41"/>
        <v>22300</v>
      </c>
      <c r="L190" s="11">
        <v>31</v>
      </c>
      <c r="M190" s="11">
        <v>66</v>
      </c>
      <c r="N190" s="11">
        <v>0</v>
      </c>
      <c r="O190" s="13">
        <f t="shared" si="42"/>
        <v>0</v>
      </c>
      <c r="P190" s="14">
        <f t="shared" si="39"/>
        <v>-16454</v>
      </c>
      <c r="Q190" s="14">
        <f t="shared" si="43"/>
        <v>0</v>
      </c>
      <c r="R190" s="14">
        <f>1600+1600+1500</f>
        <v>4700</v>
      </c>
      <c r="S190" s="14">
        <v>30</v>
      </c>
      <c r="T190" s="14"/>
      <c r="U190" s="69">
        <f t="shared" si="26"/>
        <v>0</v>
      </c>
      <c r="V190" s="69"/>
      <c r="W190" s="70">
        <v>0.11</v>
      </c>
      <c r="X190" s="15">
        <f t="shared" si="27"/>
        <v>-0.38488888888888889</v>
      </c>
      <c r="Y190" s="16">
        <f>VLOOKUP(C190,台股行情!A:D,4,FALSE)</f>
        <v>20.3</v>
      </c>
      <c r="Z190" s="38">
        <f>VLOOKUP(C190,台股行情!A:E,5,FALSE)</f>
        <v>-0.1</v>
      </c>
      <c r="AA190" s="90">
        <f t="shared" ca="1" si="28"/>
        <v>91062.041397437293</v>
      </c>
      <c r="AB190" s="103" t="s">
        <v>2729</v>
      </c>
    </row>
    <row r="191" spans="1:28">
      <c r="A191" s="99">
        <v>45349</v>
      </c>
      <c r="B191" s="11"/>
      <c r="C191" s="11">
        <v>3163</v>
      </c>
      <c r="D191" s="189" t="str">
        <f>VLOOKUP(C191,台股行情!A:B,2,FALSE)</f>
        <v>波若威</v>
      </c>
      <c r="E191" s="11">
        <v>1000</v>
      </c>
      <c r="F191" s="11">
        <v>105.5</v>
      </c>
      <c r="G191" s="11">
        <f t="shared" si="40"/>
        <v>105500</v>
      </c>
      <c r="H191" s="11">
        <v>150</v>
      </c>
      <c r="I191" s="104">
        <v>45366</v>
      </c>
      <c r="J191" s="16">
        <v>106</v>
      </c>
      <c r="K191" s="11">
        <f t="shared" si="41"/>
        <v>106000</v>
      </c>
      <c r="L191" s="17">
        <v>151</v>
      </c>
      <c r="M191" s="11">
        <v>318</v>
      </c>
      <c r="N191" s="11">
        <v>0</v>
      </c>
      <c r="O191" s="13">
        <f t="shared" si="42"/>
        <v>0</v>
      </c>
      <c r="P191" s="14">
        <f t="shared" si="39"/>
        <v>-119</v>
      </c>
      <c r="Q191" s="14">
        <f t="shared" si="43"/>
        <v>0</v>
      </c>
      <c r="R191" s="14"/>
      <c r="S191" s="14"/>
      <c r="T191" s="14"/>
      <c r="U191" s="69">
        <f t="shared" si="26"/>
        <v>0</v>
      </c>
      <c r="V191" s="69"/>
      <c r="W191" s="70">
        <v>0.11</v>
      </c>
      <c r="X191" s="15">
        <f t="shared" si="27"/>
        <v>-1.1279620853080568E-3</v>
      </c>
      <c r="Y191" s="16">
        <f>VLOOKUP(C191,台股行情!A:D,4,FALSE)</f>
        <v>604</v>
      </c>
      <c r="Z191" s="38">
        <f>VLOOKUP(C191,台股行情!A:E,5,FALSE)</f>
        <v>-49</v>
      </c>
      <c r="AA191" s="90">
        <f t="shared" ca="1" si="28"/>
        <v>4910.4698280582634</v>
      </c>
      <c r="AB191" s="103" t="s">
        <v>2729</v>
      </c>
    </row>
    <row r="192" spans="1:28" outlineLevel="1">
      <c r="A192" s="99">
        <v>45359</v>
      </c>
      <c r="B192" s="11"/>
      <c r="C192" s="11">
        <v>6176</v>
      </c>
      <c r="D192" s="189" t="str">
        <f>VLOOKUP(C192,台股行情!A:B,2,FALSE)</f>
        <v>瑞儀</v>
      </c>
      <c r="E192" s="11">
        <v>1000</v>
      </c>
      <c r="F192" s="11">
        <v>168.5</v>
      </c>
      <c r="G192" s="11">
        <f t="shared" si="40"/>
        <v>168500</v>
      </c>
      <c r="H192" s="11">
        <v>240</v>
      </c>
      <c r="I192" s="104">
        <v>45366</v>
      </c>
      <c r="J192" s="16">
        <v>173</v>
      </c>
      <c r="K192" s="11">
        <f t="shared" si="41"/>
        <v>173000</v>
      </c>
      <c r="L192" s="17">
        <v>246</v>
      </c>
      <c r="M192" s="11">
        <v>519</v>
      </c>
      <c r="N192" s="11">
        <v>0</v>
      </c>
      <c r="O192" s="13">
        <f t="shared" si="42"/>
        <v>0</v>
      </c>
      <c r="P192" s="14">
        <f t="shared" si="39"/>
        <v>3495</v>
      </c>
      <c r="Q192" s="14">
        <f t="shared" si="43"/>
        <v>0</v>
      </c>
      <c r="R192" s="14"/>
      <c r="S192" s="14"/>
      <c r="T192" s="14"/>
      <c r="U192" s="69">
        <f t="shared" si="26"/>
        <v>0</v>
      </c>
      <c r="V192" s="69"/>
      <c r="W192" s="70">
        <v>0.11</v>
      </c>
      <c r="X192" s="15">
        <f t="shared" si="27"/>
        <v>2.0741839762611274E-2</v>
      </c>
      <c r="Y192" s="16">
        <f>VLOOKUP(C192,台股行情!A:D,4,FALSE)</f>
        <v>91</v>
      </c>
      <c r="Z192" s="38">
        <f>VLOOKUP(C192,台股行情!A:E,5,FALSE)</f>
        <v>-0.7</v>
      </c>
      <c r="AA192" s="90">
        <f t="shared" ca="1" si="28"/>
        <v>3229.3834191216733</v>
      </c>
      <c r="AB192" s="103" t="s">
        <v>2729</v>
      </c>
    </row>
    <row r="193" spans="1:28" outlineLevel="1">
      <c r="A193" s="99">
        <v>45362</v>
      </c>
      <c r="B193" s="11"/>
      <c r="C193" s="11">
        <v>3171</v>
      </c>
      <c r="D193" s="189" t="str">
        <f>VLOOKUP(C193,台股行情!A:B,2,FALSE)</f>
        <v>炎洲流通</v>
      </c>
      <c r="E193" s="11">
        <v>1000</v>
      </c>
      <c r="F193" s="11">
        <v>31.95</v>
      </c>
      <c r="G193" s="11">
        <f t="shared" si="40"/>
        <v>31950</v>
      </c>
      <c r="H193" s="11">
        <v>45</v>
      </c>
      <c r="I193" s="104">
        <v>45380</v>
      </c>
      <c r="J193" s="16">
        <v>30.4</v>
      </c>
      <c r="K193" s="11">
        <f t="shared" si="41"/>
        <v>30400</v>
      </c>
      <c r="L193" s="17">
        <v>43</v>
      </c>
      <c r="M193" s="11">
        <v>91</v>
      </c>
      <c r="N193" s="11">
        <v>0</v>
      </c>
      <c r="O193" s="13">
        <f t="shared" si="42"/>
        <v>0</v>
      </c>
      <c r="P193" s="14">
        <f t="shared" si="39"/>
        <v>-1729</v>
      </c>
      <c r="Q193" s="14">
        <f t="shared" si="43"/>
        <v>0</v>
      </c>
      <c r="R193" s="14"/>
      <c r="S193" s="14"/>
      <c r="T193" s="14"/>
      <c r="U193" s="69">
        <f t="shared" si="26"/>
        <v>0</v>
      </c>
      <c r="V193" s="69"/>
      <c r="W193" s="70">
        <v>0.11</v>
      </c>
      <c r="X193" s="15">
        <f t="shared" si="27"/>
        <v>-5.4115805946791863E-2</v>
      </c>
      <c r="Y193" s="16">
        <f>VLOOKUP(C193,台股行情!A:D,4,FALSE)</f>
        <v>57.8</v>
      </c>
      <c r="Z193" s="38">
        <f>VLOOKUP(C193,台股行情!A:E,5,FALSE)</f>
        <v>-0.7</v>
      </c>
      <c r="AA193" s="90">
        <f t="shared" ca="1" si="28"/>
        <v>1574.5810973606394</v>
      </c>
      <c r="AB193" s="103" t="s">
        <v>2729</v>
      </c>
    </row>
    <row r="194" spans="1:28" outlineLevel="1">
      <c r="A194" s="99">
        <v>45359</v>
      </c>
      <c r="B194" s="11"/>
      <c r="C194" s="11">
        <v>6596</v>
      </c>
      <c r="D194" s="189" t="str">
        <f>VLOOKUP(C194,台股行情!A:B,2,FALSE)</f>
        <v>寬宏藝術</v>
      </c>
      <c r="E194" s="11">
        <v>1000</v>
      </c>
      <c r="F194" s="11">
        <v>60</v>
      </c>
      <c r="G194" s="11">
        <f t="shared" si="40"/>
        <v>60000</v>
      </c>
      <c r="H194" s="11">
        <v>85</v>
      </c>
      <c r="I194" s="104">
        <v>45393</v>
      </c>
      <c r="J194" s="16">
        <v>71</v>
      </c>
      <c r="K194" s="11">
        <f t="shared" si="41"/>
        <v>71000</v>
      </c>
      <c r="L194" s="17">
        <v>101</v>
      </c>
      <c r="M194" s="11">
        <v>213</v>
      </c>
      <c r="N194" s="11">
        <v>0</v>
      </c>
      <c r="O194" s="13">
        <f t="shared" si="42"/>
        <v>0</v>
      </c>
      <c r="P194" s="14">
        <f t="shared" si="39"/>
        <v>15308</v>
      </c>
      <c r="Q194" s="14">
        <f t="shared" si="43"/>
        <v>0</v>
      </c>
      <c r="R194" s="14">
        <v>5300</v>
      </c>
      <c r="S194" s="14">
        <v>10</v>
      </c>
      <c r="T194" s="14"/>
      <c r="U194" s="69">
        <f t="shared" si="26"/>
        <v>0</v>
      </c>
      <c r="V194" s="69"/>
      <c r="W194" s="70">
        <v>0.11</v>
      </c>
      <c r="X194" s="15">
        <f t="shared" si="27"/>
        <v>0.25513333333333332</v>
      </c>
      <c r="Y194" s="16">
        <f>VLOOKUP(C194,台股行情!A:D,4,FALSE)</f>
        <v>95.3</v>
      </c>
      <c r="Z194" s="38">
        <f>VLOOKUP(C194,台股行情!A:E,5,FALSE)</f>
        <v>0</v>
      </c>
      <c r="AA194" s="90">
        <f t="shared" ca="1" si="28"/>
        <v>5585.3685248056072</v>
      </c>
      <c r="AB194" s="103" t="s">
        <v>2729</v>
      </c>
    </row>
    <row r="195" spans="1:28" outlineLevel="1">
      <c r="A195" s="99">
        <v>45390</v>
      </c>
      <c r="B195" s="11"/>
      <c r="C195" s="11">
        <v>6899</v>
      </c>
      <c r="D195" s="189" t="str">
        <f>VLOOKUP(C195,台股行情!A:B,2,FALSE)</f>
        <v>創為精密</v>
      </c>
      <c r="E195" s="11">
        <v>1000</v>
      </c>
      <c r="F195" s="11">
        <v>50</v>
      </c>
      <c r="G195" s="11">
        <f t="shared" si="40"/>
        <v>50000</v>
      </c>
      <c r="H195" s="11">
        <v>50</v>
      </c>
      <c r="I195" s="104">
        <v>45393</v>
      </c>
      <c r="J195" s="16">
        <v>67.3</v>
      </c>
      <c r="K195" s="11">
        <f t="shared" si="41"/>
        <v>67300</v>
      </c>
      <c r="L195" s="17">
        <v>95</v>
      </c>
      <c r="M195" s="11">
        <v>201</v>
      </c>
      <c r="N195" s="11">
        <v>0</v>
      </c>
      <c r="O195" s="13">
        <f t="shared" si="42"/>
        <v>0</v>
      </c>
      <c r="P195" s="14">
        <f t="shared" si="39"/>
        <v>16954</v>
      </c>
      <c r="Q195" s="14">
        <f t="shared" si="43"/>
        <v>0</v>
      </c>
      <c r="R195" s="14"/>
      <c r="S195" s="14"/>
      <c r="T195" s="14"/>
      <c r="U195" s="69">
        <f t="shared" si="26"/>
        <v>0</v>
      </c>
      <c r="V195" s="69"/>
      <c r="W195" s="70">
        <v>0.11</v>
      </c>
      <c r="X195" s="15">
        <f t="shared" si="27"/>
        <v>0.33907999999999999</v>
      </c>
      <c r="Y195" s="16">
        <f>VLOOKUP(C195,台股行情!A:D,4,FALSE)</f>
        <v>48.75</v>
      </c>
      <c r="Z195" s="38">
        <f>VLOOKUP(C195,台股行情!A:E,5,FALSE)</f>
        <v>-0.1</v>
      </c>
      <c r="AA195" s="90">
        <f t="shared" ca="1" si="28"/>
        <v>410.68886211805938</v>
      </c>
      <c r="AB195" s="103" t="s">
        <v>2729</v>
      </c>
    </row>
    <row r="196" spans="1:28" outlineLevel="1">
      <c r="A196" s="99">
        <v>45383</v>
      </c>
      <c r="B196" s="11"/>
      <c r="C196" s="11">
        <v>1784</v>
      </c>
      <c r="D196" s="189" t="str">
        <f>VLOOKUP(C196,台股行情!A:B,2,FALSE)</f>
        <v>訊聯</v>
      </c>
      <c r="E196" s="11">
        <v>1000</v>
      </c>
      <c r="F196" s="11">
        <v>62.8</v>
      </c>
      <c r="G196" s="11">
        <f t="shared" si="40"/>
        <v>62800</v>
      </c>
      <c r="H196" s="11">
        <v>89</v>
      </c>
      <c r="I196" s="104">
        <v>45418</v>
      </c>
      <c r="J196" s="16">
        <v>67</v>
      </c>
      <c r="K196" s="11">
        <f t="shared" si="41"/>
        <v>67000</v>
      </c>
      <c r="L196" s="17">
        <v>95</v>
      </c>
      <c r="M196" s="11">
        <v>201</v>
      </c>
      <c r="N196" s="11">
        <v>0</v>
      </c>
      <c r="O196" s="13">
        <f t="shared" si="42"/>
        <v>0</v>
      </c>
      <c r="P196" s="14">
        <f t="shared" si="39"/>
        <v>3815</v>
      </c>
      <c r="Q196" s="14">
        <f t="shared" si="43"/>
        <v>0</v>
      </c>
      <c r="R196" s="14"/>
      <c r="S196" s="14"/>
      <c r="T196" s="14"/>
      <c r="U196" s="69">
        <f t="shared" si="26"/>
        <v>0</v>
      </c>
      <c r="V196" s="69"/>
      <c r="W196" s="70">
        <v>0.11</v>
      </c>
      <c r="X196" s="15">
        <f t="shared" si="27"/>
        <v>6.0748407643312102E-2</v>
      </c>
      <c r="Y196" s="16">
        <f>VLOOKUP(C196,台股行情!A:D,4,FALSE)</f>
        <v>56.3</v>
      </c>
      <c r="Z196" s="38">
        <f>VLOOKUP(C196,台股行情!A:E,5,FALSE)</f>
        <v>-1.5</v>
      </c>
      <c r="AA196" s="90">
        <f t="shared" ca="1" si="28"/>
        <v>6017.9607929032964</v>
      </c>
      <c r="AB196" s="103" t="s">
        <v>2729</v>
      </c>
    </row>
    <row r="197" spans="1:28" outlineLevel="1">
      <c r="A197" s="99">
        <v>45383</v>
      </c>
      <c r="B197" s="11"/>
      <c r="C197" s="11">
        <v>4175</v>
      </c>
      <c r="D197" s="189" t="str">
        <f>VLOOKUP(C197,台股行情!A:B,2,FALSE)</f>
        <v>杏一</v>
      </c>
      <c r="E197" s="11">
        <v>1000</v>
      </c>
      <c r="F197" s="11">
        <v>79.400000000000006</v>
      </c>
      <c r="G197" s="11">
        <f t="shared" si="40"/>
        <v>79400</v>
      </c>
      <c r="H197" s="11">
        <v>113</v>
      </c>
      <c r="I197" s="104">
        <v>45418</v>
      </c>
      <c r="J197" s="16">
        <v>76.8</v>
      </c>
      <c r="K197" s="11">
        <f t="shared" si="41"/>
        <v>76800</v>
      </c>
      <c r="L197" s="17">
        <v>109</v>
      </c>
      <c r="M197" s="11">
        <v>230</v>
      </c>
      <c r="N197" s="11">
        <v>0</v>
      </c>
      <c r="O197" s="13">
        <f t="shared" si="42"/>
        <v>0</v>
      </c>
      <c r="P197" s="14">
        <f t="shared" si="39"/>
        <v>-3052</v>
      </c>
      <c r="Q197" s="14">
        <f t="shared" si="43"/>
        <v>0</v>
      </c>
      <c r="R197" s="14"/>
      <c r="S197" s="14"/>
      <c r="T197" s="14"/>
      <c r="U197" s="69">
        <f t="shared" si="26"/>
        <v>0</v>
      </c>
      <c r="V197" s="69"/>
      <c r="W197" s="70">
        <v>0.11</v>
      </c>
      <c r="X197" s="15">
        <f t="shared" si="27"/>
        <v>-3.8438287153652391E-2</v>
      </c>
      <c r="Y197" s="16">
        <f>VLOOKUP(C197,台股行情!A:D,4,FALSE)</f>
        <v>50.9</v>
      </c>
      <c r="Z197" s="38">
        <f>VLOOKUP(C197,台股行情!A:E,5,FALSE)</f>
        <v>-0.1</v>
      </c>
      <c r="AA197" s="90">
        <f t="shared" ca="1" si="28"/>
        <v>7608.695652173913</v>
      </c>
      <c r="AB197" s="103" t="s">
        <v>2729</v>
      </c>
    </row>
    <row r="198" spans="1:28" outlineLevel="1">
      <c r="A198" s="99">
        <v>45383</v>
      </c>
      <c r="B198" s="11"/>
      <c r="C198" s="11">
        <v>6263</v>
      </c>
      <c r="D198" s="189" t="str">
        <f>VLOOKUP(C198,台股行情!A:B,2,FALSE)</f>
        <v>普萊德</v>
      </c>
      <c r="E198" s="11">
        <v>1000</v>
      </c>
      <c r="F198" s="11">
        <v>157</v>
      </c>
      <c r="G198" s="11">
        <f t="shared" si="40"/>
        <v>157000</v>
      </c>
      <c r="H198" s="11">
        <v>223</v>
      </c>
      <c r="I198" s="104">
        <v>45420</v>
      </c>
      <c r="J198" s="16">
        <v>159</v>
      </c>
      <c r="K198" s="11">
        <f t="shared" si="41"/>
        <v>159000</v>
      </c>
      <c r="L198" s="17">
        <v>226</v>
      </c>
      <c r="M198" s="11">
        <v>47</v>
      </c>
      <c r="N198" s="11">
        <v>0</v>
      </c>
      <c r="O198" s="13">
        <f t="shared" si="42"/>
        <v>0</v>
      </c>
      <c r="P198" s="14">
        <f t="shared" si="39"/>
        <v>1504</v>
      </c>
      <c r="Q198" s="14">
        <f t="shared" si="43"/>
        <v>0</v>
      </c>
      <c r="R198" s="14"/>
      <c r="S198" s="14"/>
      <c r="T198" s="14"/>
      <c r="U198" s="69">
        <f t="shared" si="26"/>
        <v>0</v>
      </c>
      <c r="V198" s="69"/>
      <c r="W198" s="70">
        <v>0.11</v>
      </c>
      <c r="X198" s="15">
        <f t="shared" si="27"/>
        <v>9.5796178343949042E-3</v>
      </c>
      <c r="Y198" s="16">
        <f>VLOOKUP(C198,台股行情!A:D,4,FALSE)</f>
        <v>173</v>
      </c>
      <c r="Z198" s="38">
        <f>VLOOKUP(C198,台股行情!A:E,5,FALSE)</f>
        <v>-4</v>
      </c>
      <c r="AA198" s="90">
        <f t="shared" ca="1" si="28"/>
        <v>15904.610666958712</v>
      </c>
      <c r="AB198" s="103" t="s">
        <v>2729</v>
      </c>
    </row>
    <row r="199" spans="1:28" outlineLevel="1">
      <c r="A199" s="99">
        <v>45455</v>
      </c>
      <c r="B199" s="11"/>
      <c r="C199" s="11">
        <v>4588</v>
      </c>
      <c r="D199" s="189" t="str">
        <f>VLOOKUP(C199,台股行情!A:B,2,FALSE)</f>
        <v>玖鼎電力</v>
      </c>
      <c r="E199" s="11">
        <v>1000</v>
      </c>
      <c r="F199" s="11">
        <v>110.5</v>
      </c>
      <c r="G199" s="11">
        <f t="shared" si="40"/>
        <v>110500</v>
      </c>
      <c r="H199" s="11">
        <v>157</v>
      </c>
      <c r="I199" s="104">
        <v>45461</v>
      </c>
      <c r="J199" s="16">
        <v>115</v>
      </c>
      <c r="K199" s="11">
        <f t="shared" si="41"/>
        <v>115000</v>
      </c>
      <c r="L199" s="17">
        <v>163</v>
      </c>
      <c r="M199" s="11">
        <v>345</v>
      </c>
      <c r="N199" s="11">
        <v>0</v>
      </c>
      <c r="O199" s="13">
        <f t="shared" si="42"/>
        <v>0</v>
      </c>
      <c r="P199" s="14">
        <f t="shared" si="39"/>
        <v>3835</v>
      </c>
      <c r="Q199" s="14">
        <f t="shared" si="43"/>
        <v>0</v>
      </c>
      <c r="R199" s="14"/>
      <c r="S199" s="14"/>
      <c r="T199" s="14"/>
      <c r="U199" s="69">
        <f t="shared" si="26"/>
        <v>0</v>
      </c>
      <c r="V199" s="69"/>
      <c r="W199" s="70">
        <v>0.11</v>
      </c>
      <c r="X199" s="15">
        <f t="shared" si="27"/>
        <v>3.4705882352941177E-2</v>
      </c>
      <c r="Y199" s="16">
        <f>VLOOKUP(C199,台股行情!A:D,4,FALSE)</f>
        <v>56.5</v>
      </c>
      <c r="Z199" s="38">
        <f>VLOOKUP(C199,台股行情!A:E,5,FALSE)</f>
        <v>-0.2</v>
      </c>
      <c r="AA199" s="90">
        <f t="shared" ca="1" si="28"/>
        <v>1815.2447705618224</v>
      </c>
      <c r="AB199" s="103" t="s">
        <v>2729</v>
      </c>
    </row>
    <row r="200" spans="1:28" outlineLevel="1">
      <c r="A200" s="99">
        <v>45464</v>
      </c>
      <c r="B200" s="11"/>
      <c r="C200" s="11">
        <v>6651</v>
      </c>
      <c r="D200" s="189" t="str">
        <f>VLOOKUP(C200,台股行情!A:B,2,FALSE)</f>
        <v>全宇昕</v>
      </c>
      <c r="E200" s="11">
        <v>1000</v>
      </c>
      <c r="F200" s="11">
        <v>76.8</v>
      </c>
      <c r="G200" s="11">
        <f t="shared" si="40"/>
        <v>76800</v>
      </c>
      <c r="H200" s="11">
        <v>109</v>
      </c>
      <c r="I200" s="104">
        <v>45471</v>
      </c>
      <c r="J200" s="16">
        <v>72.5</v>
      </c>
      <c r="K200" s="11">
        <f t="shared" si="41"/>
        <v>72500</v>
      </c>
      <c r="L200" s="17">
        <v>103</v>
      </c>
      <c r="M200" s="11">
        <v>271</v>
      </c>
      <c r="N200" s="11">
        <v>0</v>
      </c>
      <c r="O200" s="13">
        <f t="shared" si="42"/>
        <v>0</v>
      </c>
      <c r="P200" s="14">
        <f t="shared" si="39"/>
        <v>-1233</v>
      </c>
      <c r="Q200" s="14">
        <f t="shared" si="43"/>
        <v>0</v>
      </c>
      <c r="R200" s="14">
        <v>4000</v>
      </c>
      <c r="S200" s="14">
        <v>10</v>
      </c>
      <c r="T200" s="14"/>
      <c r="U200" s="69">
        <f t="shared" si="26"/>
        <v>0</v>
      </c>
      <c r="V200" s="69"/>
      <c r="W200" s="70">
        <v>0.11</v>
      </c>
      <c r="X200" s="15">
        <f t="shared" si="27"/>
        <v>-1.6054687500000001E-2</v>
      </c>
      <c r="Y200" s="16">
        <f>VLOOKUP(C200,台股行情!A:D,4,FALSE)</f>
        <v>141</v>
      </c>
      <c r="Z200" s="38">
        <f>VLOOKUP(C200,台股行情!A:E,5,FALSE)</f>
        <v>-3</v>
      </c>
      <c r="AA200" s="90">
        <f t="shared" ca="1" si="28"/>
        <v>1471.9088818311247</v>
      </c>
      <c r="AB200" s="103" t="s">
        <v>2729</v>
      </c>
    </row>
    <row r="201" spans="1:28" outlineLevel="1">
      <c r="A201" s="99">
        <v>45469</v>
      </c>
      <c r="B201" s="11"/>
      <c r="C201" s="11">
        <v>1473</v>
      </c>
      <c r="D201" s="189" t="str">
        <f>VLOOKUP(C201,台股行情!A:B,2,FALSE)</f>
        <v>台南</v>
      </c>
      <c r="E201" s="11">
        <v>1000</v>
      </c>
      <c r="F201" s="11">
        <v>48.75</v>
      </c>
      <c r="G201" s="11">
        <f t="shared" si="40"/>
        <v>48750</v>
      </c>
      <c r="H201" s="11">
        <v>69</v>
      </c>
      <c r="I201" s="104">
        <v>45474</v>
      </c>
      <c r="J201" s="16">
        <v>44.5</v>
      </c>
      <c r="K201" s="11">
        <f t="shared" si="41"/>
        <v>44500</v>
      </c>
      <c r="L201" s="17">
        <v>62</v>
      </c>
      <c r="M201" s="11">
        <v>132</v>
      </c>
      <c r="N201" s="11">
        <v>0</v>
      </c>
      <c r="O201" s="13">
        <f t="shared" si="42"/>
        <v>0</v>
      </c>
      <c r="P201" s="14">
        <f t="shared" si="39"/>
        <v>-3455</v>
      </c>
      <c r="Q201" s="14">
        <f t="shared" si="43"/>
        <v>0</v>
      </c>
      <c r="R201" s="14">
        <v>1200</v>
      </c>
      <c r="S201" s="14">
        <v>10</v>
      </c>
      <c r="T201" s="14"/>
      <c r="U201" s="69">
        <f t="shared" si="26"/>
        <v>0</v>
      </c>
      <c r="V201" s="69"/>
      <c r="W201" s="70">
        <v>0.11</v>
      </c>
      <c r="X201" s="15">
        <f t="shared" si="27"/>
        <v>-7.0871794871794874E-2</v>
      </c>
      <c r="Y201" s="16">
        <f>VLOOKUP(C201,台股行情!A:D,4,FALSE)</f>
        <v>18.850000000000001</v>
      </c>
      <c r="Z201" s="38">
        <f>VLOOKUP(C201,台股行情!A:E,5,FALSE)</f>
        <v>-0.15</v>
      </c>
      <c r="AA201" s="90">
        <f t="shared" ca="1" si="28"/>
        <v>667.36940094184649</v>
      </c>
      <c r="AB201" s="103" t="s">
        <v>2729</v>
      </c>
    </row>
    <row r="202" spans="1:28" outlineLevel="1">
      <c r="A202" s="99">
        <v>45455</v>
      </c>
      <c r="B202" s="11"/>
      <c r="C202" s="11">
        <v>6589</v>
      </c>
      <c r="D202" s="189" t="str">
        <f>VLOOKUP(C202,台股行情!A:B,2,FALSE)</f>
        <v>台康生技</v>
      </c>
      <c r="E202" s="11">
        <v>1000</v>
      </c>
      <c r="F202" s="11">
        <v>87.1</v>
      </c>
      <c r="G202" s="11">
        <f t="shared" si="40"/>
        <v>87100</v>
      </c>
      <c r="H202" s="11">
        <v>124</v>
      </c>
      <c r="I202" s="228">
        <v>45482</v>
      </c>
      <c r="J202" s="16">
        <v>90.2</v>
      </c>
      <c r="K202" s="11">
        <f t="shared" si="41"/>
        <v>90200</v>
      </c>
      <c r="L202" s="17">
        <v>128</v>
      </c>
      <c r="M202" s="11">
        <v>270</v>
      </c>
      <c r="N202" s="11">
        <v>0</v>
      </c>
      <c r="O202" s="13">
        <f t="shared" si="42"/>
        <v>0</v>
      </c>
      <c r="P202" s="14">
        <f t="shared" si="39"/>
        <v>2578</v>
      </c>
      <c r="Q202" s="14">
        <f t="shared" si="43"/>
        <v>0</v>
      </c>
      <c r="R202" s="14"/>
      <c r="S202" s="14"/>
      <c r="T202" s="14"/>
      <c r="U202" s="69">
        <f t="shared" si="26"/>
        <v>0</v>
      </c>
      <c r="V202" s="69"/>
      <c r="W202" s="70">
        <v>0.11</v>
      </c>
      <c r="X202" s="15">
        <f t="shared" si="27"/>
        <v>2.9598163030998853E-2</v>
      </c>
      <c r="Y202" s="16">
        <f>VLOOKUP(C202,台股行情!A:D,4,FALSE)</f>
        <v>49.85</v>
      </c>
      <c r="Z202" s="38">
        <f>VLOOKUP(C202,台股行情!A:E,5,FALSE)</f>
        <v>-0.05</v>
      </c>
      <c r="AA202" s="90">
        <f t="shared" ca="1" si="28"/>
        <v>6438.779980286934</v>
      </c>
      <c r="AB202" s="103" t="s">
        <v>2729</v>
      </c>
    </row>
    <row r="203" spans="1:28" outlineLevel="1">
      <c r="A203" s="99">
        <v>45455</v>
      </c>
      <c r="B203" s="11"/>
      <c r="C203" s="11">
        <v>1325</v>
      </c>
      <c r="D203" s="189" t="str">
        <f>VLOOKUP(C203,台股行情!A:B,2,FALSE)</f>
        <v>恆大</v>
      </c>
      <c r="E203" s="11">
        <v>2000</v>
      </c>
      <c r="F203" s="11">
        <v>30.6</v>
      </c>
      <c r="G203" s="11">
        <f t="shared" si="40"/>
        <v>61200</v>
      </c>
      <c r="H203" s="11">
        <v>87</v>
      </c>
      <c r="I203" s="228">
        <v>45482</v>
      </c>
      <c r="J203" s="16">
        <v>32.1</v>
      </c>
      <c r="K203" s="11">
        <f t="shared" si="41"/>
        <v>64200</v>
      </c>
      <c r="L203" s="17">
        <v>91</v>
      </c>
      <c r="M203" s="11">
        <v>192</v>
      </c>
      <c r="N203" s="11">
        <v>0</v>
      </c>
      <c r="O203" s="13">
        <f t="shared" si="42"/>
        <v>0</v>
      </c>
      <c r="P203" s="14">
        <f t="shared" si="39"/>
        <v>2630</v>
      </c>
      <c r="Q203" s="14">
        <f t="shared" si="43"/>
        <v>0</v>
      </c>
      <c r="R203" s="14"/>
      <c r="S203" s="14"/>
      <c r="T203" s="14"/>
      <c r="U203" s="69">
        <f t="shared" si="26"/>
        <v>0</v>
      </c>
      <c r="V203" s="69"/>
      <c r="W203" s="70">
        <v>0.11</v>
      </c>
      <c r="X203" s="15">
        <f t="shared" si="27"/>
        <v>4.2973856209150327E-2</v>
      </c>
      <c r="Y203" s="16">
        <f>VLOOKUP(C203,台股行情!A:D,4,FALSE)</f>
        <v>28.65</v>
      </c>
      <c r="Z203" s="38">
        <f>VLOOKUP(C203,台股行情!A:E,5,FALSE)</f>
        <v>-0.35</v>
      </c>
      <c r="AA203" s="90">
        <f t="shared" ca="1" si="28"/>
        <v>4524.1485050925421</v>
      </c>
      <c r="AB203" s="103" t="s">
        <v>2729</v>
      </c>
    </row>
    <row r="204" spans="1:28" outlineLevel="1">
      <c r="A204" s="99">
        <v>45463</v>
      </c>
      <c r="B204" s="11"/>
      <c r="C204" s="11">
        <v>2316</v>
      </c>
      <c r="D204" s="189" t="str">
        <f>VLOOKUP(C204,台股行情!A:B,2,FALSE)</f>
        <v>楠梓電</v>
      </c>
      <c r="E204" s="11">
        <v>1000</v>
      </c>
      <c r="F204" s="11">
        <v>54.8</v>
      </c>
      <c r="G204" s="11">
        <f t="shared" si="40"/>
        <v>54800</v>
      </c>
      <c r="H204" s="11">
        <v>78</v>
      </c>
      <c r="I204" s="104">
        <v>45488</v>
      </c>
      <c r="J204" s="16">
        <v>53.9</v>
      </c>
      <c r="K204" s="11">
        <f t="shared" si="41"/>
        <v>53900</v>
      </c>
      <c r="L204" s="17">
        <v>76</v>
      </c>
      <c r="M204" s="11">
        <v>161</v>
      </c>
      <c r="N204" s="11">
        <v>0</v>
      </c>
      <c r="O204" s="13">
        <f t="shared" si="42"/>
        <v>0</v>
      </c>
      <c r="P204" s="14">
        <f t="shared" si="39"/>
        <v>-780</v>
      </c>
      <c r="Q204" s="14">
        <f t="shared" si="43"/>
        <v>0</v>
      </c>
      <c r="R204" s="14">
        <v>500</v>
      </c>
      <c r="S204" s="14">
        <v>10</v>
      </c>
      <c r="T204" s="14"/>
      <c r="U204" s="69">
        <f t="shared" si="26"/>
        <v>0</v>
      </c>
      <c r="V204" s="69"/>
      <c r="W204" s="70">
        <v>0.11</v>
      </c>
      <c r="X204" s="15">
        <f t="shared" si="27"/>
        <v>-1.4233576642335766E-2</v>
      </c>
      <c r="Y204" s="16">
        <f>VLOOKUP(C204,台股行情!A:D,4,FALSE)</f>
        <v>162.5</v>
      </c>
      <c r="Z204" s="38">
        <f>VLOOKUP(C204,台股行情!A:E,5,FALSE)</f>
        <v>-7</v>
      </c>
      <c r="AA204" s="90">
        <f t="shared" ca="1" si="28"/>
        <v>3750.9582740116089</v>
      </c>
      <c r="AB204" s="103" t="s">
        <v>2729</v>
      </c>
    </row>
    <row r="205" spans="1:28" outlineLevel="1">
      <c r="A205" s="99">
        <v>45482</v>
      </c>
      <c r="B205" s="11"/>
      <c r="C205" s="11">
        <v>9905</v>
      </c>
      <c r="D205" s="189" t="str">
        <f>VLOOKUP(C205,台股行情!A:B,2,FALSE)</f>
        <v>大華</v>
      </c>
      <c r="E205" s="11">
        <v>2000</v>
      </c>
      <c r="F205" s="11">
        <v>24.55</v>
      </c>
      <c r="G205" s="11">
        <f t="shared" si="40"/>
        <v>49100</v>
      </c>
      <c r="H205" s="11">
        <v>69</v>
      </c>
      <c r="I205" s="104">
        <v>45490</v>
      </c>
      <c r="J205" s="16">
        <v>24</v>
      </c>
      <c r="K205" s="11">
        <f t="shared" si="41"/>
        <v>48000</v>
      </c>
      <c r="L205" s="17">
        <v>68</v>
      </c>
      <c r="M205" s="11">
        <v>144</v>
      </c>
      <c r="N205" s="11">
        <v>0</v>
      </c>
      <c r="O205" s="13">
        <f t="shared" si="42"/>
        <v>0</v>
      </c>
      <c r="P205" s="14">
        <f t="shared" si="39"/>
        <v>567</v>
      </c>
      <c r="Q205" s="14">
        <f t="shared" si="43"/>
        <v>0</v>
      </c>
      <c r="R205" s="14">
        <v>2200</v>
      </c>
      <c r="S205" s="14">
        <v>10</v>
      </c>
      <c r="T205" s="14"/>
      <c r="U205" s="69">
        <f t="shared" si="26"/>
        <v>0</v>
      </c>
      <c r="V205" s="69"/>
      <c r="W205" s="70">
        <v>0.11</v>
      </c>
      <c r="X205" s="15">
        <f t="shared" si="27"/>
        <v>1.1547861507128309E-2</v>
      </c>
      <c r="Y205" s="16">
        <f>VLOOKUP(C205,台股行情!A:D,4,FALSE)</f>
        <v>21.3</v>
      </c>
      <c r="Z205" s="38">
        <f>VLOOKUP(C205,台股行情!A:E,5,FALSE)</f>
        <v>0</v>
      </c>
      <c r="AA205" s="90">
        <f t="shared" ca="1" si="28"/>
        <v>1075.4572335998248</v>
      </c>
      <c r="AB205" s="103" t="s">
        <v>2729</v>
      </c>
    </row>
    <row r="206" spans="1:28" outlineLevel="1">
      <c r="A206" s="99">
        <v>45484</v>
      </c>
      <c r="B206" s="11"/>
      <c r="C206" s="11">
        <v>2392</v>
      </c>
      <c r="D206" s="189" t="str">
        <f>VLOOKUP(C206,台股行情!A:B,2,FALSE)</f>
        <v>正崴</v>
      </c>
      <c r="E206" s="11">
        <v>1000</v>
      </c>
      <c r="F206" s="11">
        <v>91.5</v>
      </c>
      <c r="G206" s="11">
        <f t="shared" si="40"/>
        <v>91500</v>
      </c>
      <c r="H206" s="11">
        <v>130</v>
      </c>
      <c r="I206" s="104">
        <v>45490</v>
      </c>
      <c r="J206" s="16">
        <v>83.7</v>
      </c>
      <c r="K206" s="11">
        <f t="shared" si="41"/>
        <v>83700</v>
      </c>
      <c r="L206" s="17">
        <v>119</v>
      </c>
      <c r="M206" s="11">
        <v>251</v>
      </c>
      <c r="N206" s="11">
        <v>0</v>
      </c>
      <c r="O206" s="13">
        <f t="shared" si="42"/>
        <v>0</v>
      </c>
      <c r="P206" s="14">
        <f t="shared" si="39"/>
        <v>-8300</v>
      </c>
      <c r="Q206" s="14">
        <f t="shared" si="43"/>
        <v>0</v>
      </c>
      <c r="R206" s="14"/>
      <c r="S206" s="14"/>
      <c r="T206" s="14"/>
      <c r="U206" s="69">
        <f t="shared" si="26"/>
        <v>0</v>
      </c>
      <c r="V206" s="69"/>
      <c r="W206" s="70">
        <v>0.11</v>
      </c>
      <c r="X206" s="15">
        <f t="shared" si="27"/>
        <v>-9.0710382513661203E-2</v>
      </c>
      <c r="Y206" s="16">
        <f>VLOOKUP(C206,台股行情!A:D,4,FALSE)</f>
        <v>39.75</v>
      </c>
      <c r="Z206" s="38">
        <f>VLOOKUP(C206,台股行情!A:E,5,FALSE)</f>
        <v>-1.35</v>
      </c>
      <c r="AA206" s="90">
        <f t="shared" ca="1" si="28"/>
        <v>1503.1212353520973</v>
      </c>
      <c r="AB206" s="103" t="s">
        <v>2729</v>
      </c>
    </row>
    <row r="207" spans="1:28" outlineLevel="1">
      <c r="A207" s="99">
        <v>45485</v>
      </c>
      <c r="B207" s="11"/>
      <c r="C207" s="11">
        <v>6689</v>
      </c>
      <c r="D207" s="189" t="str">
        <f>VLOOKUP(C207,台股行情!A:B,2,FALSE)</f>
        <v>伊雲谷</v>
      </c>
      <c r="E207" s="11">
        <v>1000</v>
      </c>
      <c r="F207" s="11">
        <v>121.5</v>
      </c>
      <c r="G207" s="11">
        <f t="shared" si="40"/>
        <v>121500</v>
      </c>
      <c r="H207" s="11">
        <v>173</v>
      </c>
      <c r="I207" s="104">
        <v>45506</v>
      </c>
      <c r="J207" s="16">
        <v>108.5</v>
      </c>
      <c r="K207" s="11">
        <f t="shared" si="41"/>
        <v>108500</v>
      </c>
      <c r="L207" s="239">
        <v>154</v>
      </c>
      <c r="M207" s="221">
        <v>325</v>
      </c>
      <c r="N207" s="11">
        <v>0</v>
      </c>
      <c r="O207" s="13">
        <f t="shared" si="42"/>
        <v>0</v>
      </c>
      <c r="P207" s="14">
        <f t="shared" si="39"/>
        <v>-11882</v>
      </c>
      <c r="Q207" s="14">
        <f t="shared" si="43"/>
        <v>0</v>
      </c>
      <c r="R207" s="14">
        <v>2000</v>
      </c>
      <c r="S207" s="14">
        <v>10</v>
      </c>
      <c r="T207" s="14"/>
      <c r="U207" s="69">
        <f t="shared" si="26"/>
        <v>0</v>
      </c>
      <c r="V207" s="69"/>
      <c r="W207" s="70">
        <v>0.11</v>
      </c>
      <c r="X207" s="15">
        <f t="shared" si="27"/>
        <v>-9.7794238683127574E-2</v>
      </c>
      <c r="Y207" s="16">
        <f>VLOOKUP(C207,台股行情!A:D,4,FALSE)</f>
        <v>64.099999999999994</v>
      </c>
      <c r="Z207" s="38">
        <f>VLOOKUP(C207,台股行情!A:E,5,FALSE)</f>
        <v>-0.6</v>
      </c>
      <c r="AA207" s="90">
        <f t="shared" ca="1" si="28"/>
        <v>6985.8175446281894</v>
      </c>
      <c r="AB207" s="103" t="s">
        <v>2729</v>
      </c>
    </row>
    <row r="208" spans="1:28" outlineLevel="1">
      <c r="A208" s="99">
        <v>45482</v>
      </c>
      <c r="B208" s="11"/>
      <c r="C208" s="11">
        <v>2459</v>
      </c>
      <c r="D208" s="189" t="str">
        <f>VLOOKUP(C208,台股行情!A:B,2,FALSE)</f>
        <v>敦吉</v>
      </c>
      <c r="E208" s="11">
        <v>1000</v>
      </c>
      <c r="F208" s="11">
        <v>77</v>
      </c>
      <c r="G208" s="11">
        <f t="shared" si="40"/>
        <v>77000</v>
      </c>
      <c r="H208" s="11">
        <v>109</v>
      </c>
      <c r="I208" s="104">
        <v>45519</v>
      </c>
      <c r="J208" s="16">
        <v>72</v>
      </c>
      <c r="K208" s="11">
        <f t="shared" si="41"/>
        <v>72000</v>
      </c>
      <c r="L208" s="239">
        <v>102</v>
      </c>
      <c r="M208" s="221">
        <v>216</v>
      </c>
      <c r="N208" s="11">
        <v>0</v>
      </c>
      <c r="O208" s="13">
        <f t="shared" si="42"/>
        <v>0</v>
      </c>
      <c r="P208" s="14">
        <f t="shared" si="39"/>
        <v>-1877</v>
      </c>
      <c r="Q208" s="14">
        <f t="shared" si="43"/>
        <v>0</v>
      </c>
      <c r="R208" s="14">
        <v>4000</v>
      </c>
      <c r="S208" s="14">
        <v>10</v>
      </c>
      <c r="T208" s="14"/>
      <c r="U208" s="69">
        <f t="shared" si="26"/>
        <v>0</v>
      </c>
      <c r="V208" s="69"/>
      <c r="W208" s="70">
        <v>0.11</v>
      </c>
      <c r="X208" s="15">
        <f t="shared" si="27"/>
        <v>-2.4376623376623378E-2</v>
      </c>
      <c r="Y208" s="16">
        <f>VLOOKUP(C208,台股行情!A:D,4,FALSE)</f>
        <v>65.2</v>
      </c>
      <c r="Z208" s="38">
        <f>VLOOKUP(C208,台股行情!A:E,5,FALSE)</f>
        <v>-0.3</v>
      </c>
      <c r="AA208" s="90">
        <f t="shared" ca="1" si="28"/>
        <v>7800.3504544956741</v>
      </c>
      <c r="AB208" s="103" t="s">
        <v>2729</v>
      </c>
    </row>
    <row r="209" spans="1:28" outlineLevel="1">
      <c r="A209" s="99">
        <v>45485</v>
      </c>
      <c r="B209" s="11"/>
      <c r="C209" s="11">
        <v>1316</v>
      </c>
      <c r="D209" s="189" t="str">
        <f>VLOOKUP(C209,台股行情!A:B,2,FALSE)</f>
        <v>上曜</v>
      </c>
      <c r="E209" s="11">
        <v>1000</v>
      </c>
      <c r="F209" s="11">
        <v>21.6</v>
      </c>
      <c r="G209" s="11">
        <f t="shared" si="40"/>
        <v>21600</v>
      </c>
      <c r="H209" s="11">
        <v>30</v>
      </c>
      <c r="I209" s="104">
        <v>45530</v>
      </c>
      <c r="J209" s="16">
        <v>19.850000000000001</v>
      </c>
      <c r="K209" s="11">
        <f t="shared" si="41"/>
        <v>19850</v>
      </c>
      <c r="L209" s="17">
        <v>28</v>
      </c>
      <c r="M209" s="11">
        <v>59</v>
      </c>
      <c r="N209" s="11">
        <v>0</v>
      </c>
      <c r="O209" s="13">
        <f t="shared" si="42"/>
        <v>0</v>
      </c>
      <c r="P209" s="14">
        <f t="shared" si="39"/>
        <v>-1867</v>
      </c>
      <c r="Q209" s="14">
        <f t="shared" si="43"/>
        <v>0</v>
      </c>
      <c r="R209" s="14"/>
      <c r="S209" s="14"/>
      <c r="T209" s="14"/>
      <c r="U209" s="69">
        <f t="shared" si="26"/>
        <v>0</v>
      </c>
      <c r="V209" s="69"/>
      <c r="W209" s="70">
        <v>0.11</v>
      </c>
      <c r="X209" s="15">
        <f t="shared" si="27"/>
        <v>-8.6435185185185184E-2</v>
      </c>
      <c r="Y209" s="16">
        <f>VLOOKUP(C209,台股行情!A:D,4,FALSE)</f>
        <v>10.4</v>
      </c>
      <c r="Z209" s="38">
        <f>VLOOKUP(C209,台股行情!A:E,5,FALSE)</f>
        <v>-0.2</v>
      </c>
      <c r="AA209" s="90">
        <f t="shared" ca="1" si="28"/>
        <v>2661.2638265250248</v>
      </c>
      <c r="AB209" s="103" t="s">
        <v>2729</v>
      </c>
    </row>
    <row r="210" spans="1:28" outlineLevel="1">
      <c r="A210" s="99">
        <v>45490</v>
      </c>
      <c r="B210" s="11"/>
      <c r="C210" s="11">
        <v>5263</v>
      </c>
      <c r="D210" s="189" t="str">
        <f>VLOOKUP(C210,台股行情!A:B,2,FALSE)</f>
        <v>智崴</v>
      </c>
      <c r="E210" s="11">
        <v>1000</v>
      </c>
      <c r="F210" s="11">
        <v>186</v>
      </c>
      <c r="G210" s="11">
        <f t="shared" si="40"/>
        <v>186000</v>
      </c>
      <c r="H210" s="11">
        <v>265</v>
      </c>
      <c r="I210" s="104">
        <v>45534</v>
      </c>
      <c r="J210" s="16">
        <v>176.5</v>
      </c>
      <c r="K210" s="11">
        <f t="shared" si="41"/>
        <v>176500</v>
      </c>
      <c r="L210" s="17">
        <v>251</v>
      </c>
      <c r="M210" s="11">
        <v>529</v>
      </c>
      <c r="N210" s="11">
        <v>0</v>
      </c>
      <c r="O210" s="13">
        <f t="shared" si="42"/>
        <v>0</v>
      </c>
      <c r="P210" s="14">
        <f t="shared" si="39"/>
        <v>-10545</v>
      </c>
      <c r="Q210" s="14">
        <f t="shared" si="43"/>
        <v>0</v>
      </c>
      <c r="R210" s="14"/>
      <c r="S210" s="14"/>
      <c r="T210" s="14"/>
      <c r="U210" s="69">
        <f t="shared" si="26"/>
        <v>0</v>
      </c>
      <c r="V210" s="69"/>
      <c r="W210" s="70">
        <v>0.11</v>
      </c>
      <c r="X210" s="15">
        <f t="shared" si="27"/>
        <v>-5.6693548387096775E-2</v>
      </c>
      <c r="Y210" s="16">
        <f>VLOOKUP(C210,台股行情!A:D,4,FALSE)</f>
        <v>89.6</v>
      </c>
      <c r="Z210" s="38">
        <f>VLOOKUP(C210,台股行情!A:E,5,FALSE)</f>
        <v>-0.7</v>
      </c>
      <c r="AA210" s="90">
        <f t="shared" ca="1" si="28"/>
        <v>22407.184317161318</v>
      </c>
      <c r="AB210" s="103" t="s">
        <v>2729</v>
      </c>
    </row>
    <row r="211" spans="1:28" outlineLevel="1">
      <c r="A211" s="99">
        <v>45455</v>
      </c>
      <c r="B211" s="11"/>
      <c r="C211" s="11">
        <v>3374</v>
      </c>
      <c r="D211" s="189" t="str">
        <f>VLOOKUP(C211,台股行情!A:B,2,FALSE)</f>
        <v>精材</v>
      </c>
      <c r="E211" s="11">
        <v>1000</v>
      </c>
      <c r="F211" s="11">
        <v>146.5</v>
      </c>
      <c r="G211" s="11">
        <f t="shared" si="40"/>
        <v>146500</v>
      </c>
      <c r="H211" s="11">
        <v>208</v>
      </c>
      <c r="I211" s="104">
        <v>45540</v>
      </c>
      <c r="J211" s="16">
        <v>233.5</v>
      </c>
      <c r="K211" s="11">
        <f t="shared" si="41"/>
        <v>233500</v>
      </c>
      <c r="L211" s="17">
        <v>332</v>
      </c>
      <c r="M211" s="11">
        <v>700</v>
      </c>
      <c r="N211" s="11">
        <v>0</v>
      </c>
      <c r="O211" s="13">
        <f t="shared" si="42"/>
        <v>0</v>
      </c>
      <c r="P211" s="14">
        <f t="shared" si="39"/>
        <v>87530</v>
      </c>
      <c r="Q211" s="14">
        <f t="shared" si="43"/>
        <v>0</v>
      </c>
      <c r="R211" s="14">
        <v>2000</v>
      </c>
      <c r="S211" s="14">
        <v>10</v>
      </c>
      <c r="T211" s="14"/>
      <c r="U211" s="69">
        <f t="shared" si="26"/>
        <v>0</v>
      </c>
      <c r="V211" s="69"/>
      <c r="W211" s="70">
        <v>0.11</v>
      </c>
      <c r="X211" s="15">
        <f t="shared" si="27"/>
        <v>0.59747440273037544</v>
      </c>
      <c r="Y211" s="16">
        <f>VLOOKUP(C211,台股行情!A:D,4,FALSE)</f>
        <v>452.5</v>
      </c>
      <c r="Z211" s="38">
        <f>VLOOKUP(C211,台股行情!A:E,5,FALSE)</f>
        <v>-46.5</v>
      </c>
      <c r="AA211" s="90">
        <f t="shared" ca="1" si="28"/>
        <v>34094.020370167564</v>
      </c>
      <c r="AB211" s="103" t="s">
        <v>2729</v>
      </c>
    </row>
    <row r="212" spans="1:28" outlineLevel="1">
      <c r="A212" s="99">
        <v>45484</v>
      </c>
      <c r="B212" s="11"/>
      <c r="C212" s="11">
        <v>3284</v>
      </c>
      <c r="D212" s="189" t="s">
        <v>956</v>
      </c>
      <c r="E212" s="11">
        <v>2000</v>
      </c>
      <c r="F212" s="11">
        <v>45.3</v>
      </c>
      <c r="G212" s="11">
        <f t="shared" si="40"/>
        <v>90600</v>
      </c>
      <c r="H212" s="11">
        <v>129</v>
      </c>
      <c r="I212" s="104">
        <v>45544</v>
      </c>
      <c r="J212" s="16">
        <v>51.1</v>
      </c>
      <c r="K212" s="11">
        <f t="shared" si="41"/>
        <v>102200</v>
      </c>
      <c r="L212" s="17">
        <v>145</v>
      </c>
      <c r="M212" s="11">
        <v>306</v>
      </c>
      <c r="N212" s="11">
        <v>0</v>
      </c>
      <c r="O212" s="13">
        <f t="shared" si="42"/>
        <v>0</v>
      </c>
      <c r="P212" s="14">
        <f t="shared" si="39"/>
        <v>13989.72</v>
      </c>
      <c r="Q212" s="14">
        <f t="shared" si="43"/>
        <v>0</v>
      </c>
      <c r="R212" s="14">
        <f>400+2948</f>
        <v>3348</v>
      </c>
      <c r="S212" s="14">
        <v>10</v>
      </c>
      <c r="T212" s="14"/>
      <c r="U212" s="69">
        <f t="shared" si="26"/>
        <v>0</v>
      </c>
      <c r="V212" s="69"/>
      <c r="W212" s="70">
        <v>0.11</v>
      </c>
      <c r="X212" s="15">
        <f t="shared" si="27"/>
        <v>0.15441192052980132</v>
      </c>
      <c r="Y212" s="16">
        <f>VLOOKUP(C212,台股行情!A:D,4,FALSE)</f>
        <v>19.8</v>
      </c>
      <c r="Z212" s="38">
        <f>VLOOKUP(C212,台股行情!A:E,5,FALSE)</f>
        <v>-0.55000000000000004</v>
      </c>
      <c r="AA212" s="90">
        <f t="shared" ca="1" si="28"/>
        <v>14883.364363158471</v>
      </c>
      <c r="AB212" s="103" t="s">
        <v>2729</v>
      </c>
    </row>
    <row r="213" spans="1:28" outlineLevel="1">
      <c r="A213" s="99">
        <v>45499</v>
      </c>
      <c r="B213" s="11"/>
      <c r="C213" s="11">
        <v>5209</v>
      </c>
      <c r="D213" s="189" t="str">
        <f>VLOOKUP(C213,台股行情!A:B,2,FALSE)</f>
        <v>新鼎</v>
      </c>
      <c r="E213" s="11">
        <v>1000</v>
      </c>
      <c r="F213" s="11">
        <v>184</v>
      </c>
      <c r="G213" s="11">
        <f t="shared" si="40"/>
        <v>184000</v>
      </c>
      <c r="H213" s="11">
        <v>262</v>
      </c>
      <c r="I213" s="104">
        <v>45499</v>
      </c>
      <c r="J213" s="16">
        <v>183</v>
      </c>
      <c r="K213" s="11">
        <f t="shared" si="41"/>
        <v>183000</v>
      </c>
      <c r="L213" s="17">
        <v>260</v>
      </c>
      <c r="M213" s="11">
        <v>274</v>
      </c>
      <c r="N213" s="11">
        <v>0</v>
      </c>
      <c r="O213" s="13">
        <f t="shared" si="42"/>
        <v>0</v>
      </c>
      <c r="P213" s="14">
        <f t="shared" si="39"/>
        <v>-1796</v>
      </c>
      <c r="Q213" s="14">
        <f t="shared" si="43"/>
        <v>0</v>
      </c>
      <c r="R213" s="14"/>
      <c r="S213" s="14"/>
      <c r="T213" s="14"/>
      <c r="U213" s="69">
        <f t="shared" si="26"/>
        <v>0</v>
      </c>
      <c r="V213" s="69"/>
      <c r="W213" s="70">
        <v>0.11</v>
      </c>
      <c r="X213" s="15">
        <f t="shared" si="27"/>
        <v>-9.7608695652173921E-3</v>
      </c>
      <c r="Y213" s="16">
        <f>VLOOKUP(C213,台股行情!A:D,4,FALSE)</f>
        <v>185</v>
      </c>
      <c r="Z213" s="38">
        <f>VLOOKUP(C213,台股行情!A:E,5,FALSE)</f>
        <v>-0.5</v>
      </c>
      <c r="AA213" s="90">
        <f t="shared" ca="1" si="28"/>
        <v>0</v>
      </c>
      <c r="AB213" s="103" t="s">
        <v>2729</v>
      </c>
    </row>
    <row r="214" spans="1:28" outlineLevel="1">
      <c r="A214" s="99">
        <v>45499</v>
      </c>
      <c r="B214" s="11"/>
      <c r="C214" s="11">
        <v>1721</v>
      </c>
      <c r="D214" s="189" t="str">
        <f>VLOOKUP(C214,台股行情!A:B,2,FALSE)</f>
        <v>國慶科技</v>
      </c>
      <c r="E214" s="11">
        <v>1000</v>
      </c>
      <c r="F214" s="11">
        <v>25.2</v>
      </c>
      <c r="G214" s="11">
        <f t="shared" si="40"/>
        <v>25200</v>
      </c>
      <c r="H214" s="11">
        <v>35</v>
      </c>
      <c r="I214" s="104">
        <v>45607</v>
      </c>
      <c r="J214" s="16">
        <v>19.600000000000001</v>
      </c>
      <c r="K214" s="11">
        <f t="shared" si="41"/>
        <v>19600</v>
      </c>
      <c r="L214" s="17">
        <v>27</v>
      </c>
      <c r="M214" s="11">
        <v>58</v>
      </c>
      <c r="N214" s="11">
        <v>0</v>
      </c>
      <c r="O214" s="13">
        <f t="shared" si="42"/>
        <v>0</v>
      </c>
      <c r="P214" s="14">
        <f t="shared" si="39"/>
        <v>-5720</v>
      </c>
      <c r="Q214" s="14">
        <f t="shared" si="43"/>
        <v>0</v>
      </c>
      <c r="R214" s="14"/>
      <c r="S214" s="14"/>
      <c r="T214" s="14"/>
      <c r="U214" s="69">
        <f t="shared" ref="U214:U215" si="44">(V214*50%)/(1+50%*V214)</f>
        <v>0</v>
      </c>
      <c r="V214" s="69"/>
      <c r="W214" s="70">
        <v>0.11</v>
      </c>
      <c r="X214" s="15">
        <f t="shared" ref="X214:X215" si="45">(P214+Q214)/G214</f>
        <v>-0.22698412698412698</v>
      </c>
      <c r="Y214" s="16">
        <f>VLOOKUP(C214,台股行情!A:D,4,FALSE)</f>
        <v>25.4</v>
      </c>
      <c r="Z214" s="38">
        <f>VLOOKUP(C214,台股行情!A:E,5,FALSE)</f>
        <v>-1.2</v>
      </c>
      <c r="AA214" s="90">
        <f t="shared" ref="AA214:AA251" ca="1" si="46">IF(I214="",((TODAY()-A214)*G214)/365.24,((I214-A214)*G214)/365.24)</f>
        <v>7451.5387142700692</v>
      </c>
      <c r="AB214" s="103" t="s">
        <v>2729</v>
      </c>
    </row>
    <row r="215" spans="1:28" outlineLevel="1">
      <c r="A215" s="99">
        <v>45499</v>
      </c>
      <c r="B215" s="11"/>
      <c r="C215" s="11">
        <v>2436</v>
      </c>
      <c r="D215" s="189" t="str">
        <f>VLOOKUP(C215,台股行情!A:B,2,FALSE)</f>
        <v>偉詮電</v>
      </c>
      <c r="E215" s="11">
        <v>1000</v>
      </c>
      <c r="F215" s="11">
        <v>67.099999999999994</v>
      </c>
      <c r="G215" s="11">
        <f t="shared" si="40"/>
        <v>67100</v>
      </c>
      <c r="H215" s="11">
        <v>95</v>
      </c>
      <c r="I215" s="104">
        <v>45607</v>
      </c>
      <c r="J215" s="16">
        <v>53.8</v>
      </c>
      <c r="K215" s="11">
        <f t="shared" si="41"/>
        <v>53800</v>
      </c>
      <c r="L215" s="17">
        <v>76</v>
      </c>
      <c r="M215" s="11">
        <v>161</v>
      </c>
      <c r="N215" s="11">
        <v>0</v>
      </c>
      <c r="O215" s="13">
        <f t="shared" si="42"/>
        <v>0</v>
      </c>
      <c r="P215" s="14">
        <f t="shared" si="39"/>
        <v>-13632</v>
      </c>
      <c r="Q215" s="14">
        <f t="shared" si="43"/>
        <v>0</v>
      </c>
      <c r="R215" s="14"/>
      <c r="S215" s="14"/>
      <c r="T215" s="14"/>
      <c r="U215" s="69">
        <f t="shared" si="44"/>
        <v>0</v>
      </c>
      <c r="V215" s="69"/>
      <c r="W215" s="70">
        <v>0.11</v>
      </c>
      <c r="X215" s="15">
        <f t="shared" si="45"/>
        <v>-0.20315946348733235</v>
      </c>
      <c r="Y215" s="16">
        <f>VLOOKUP(C215,台股行情!A:D,4,FALSE)</f>
        <v>70</v>
      </c>
      <c r="Z215" s="38">
        <f>VLOOKUP(C215,台股行情!A:E,5,FALSE)</f>
        <v>-2</v>
      </c>
      <c r="AA215" s="90">
        <f t="shared" ref="AA215" ca="1" si="47">IF(I215="",((TODAY()-A215)*G215)/365.24,((I215-A215)*G215)/365.24)</f>
        <v>19841.200306647683</v>
      </c>
      <c r="AB215" s="103" t="s">
        <v>2729</v>
      </c>
    </row>
    <row r="216" spans="1:28" outlineLevel="1">
      <c r="A216" s="99">
        <v>45383</v>
      </c>
      <c r="B216" s="11"/>
      <c r="C216" s="11">
        <v>1522</v>
      </c>
      <c r="D216" s="189" t="str">
        <f>VLOOKUP(C216,台股行情!A:B,2,FALSE)</f>
        <v>堤維西</v>
      </c>
      <c r="E216" s="11">
        <v>1000</v>
      </c>
      <c r="F216" s="11">
        <v>59.5</v>
      </c>
      <c r="G216" s="11">
        <f>E216*F216</f>
        <v>59500</v>
      </c>
      <c r="H216" s="11">
        <v>85</v>
      </c>
      <c r="I216" s="104">
        <v>45481</v>
      </c>
      <c r="J216" s="16">
        <v>68.2</v>
      </c>
      <c r="K216" s="11">
        <f>E216*J216</f>
        <v>68200</v>
      </c>
      <c r="L216" s="11">
        <v>97</v>
      </c>
      <c r="M216" s="11">
        <v>204</v>
      </c>
      <c r="N216" s="11">
        <v>0</v>
      </c>
      <c r="O216" s="13">
        <f>IF(I216="",E216*Y216,0)</f>
        <v>0</v>
      </c>
      <c r="P216" s="14">
        <f>IF(I216="",R216-H216,(K216-H216-SUM(L216:N216)+R216-S216-T216)-G216)+(ROUND(R216*V216,0)-ROUND(R216*(1+V216),0)*W216)</f>
        <v>8314</v>
      </c>
      <c r="Q216" s="14">
        <f>IF(I216="",(O216-G216-(O216*0.1425%*0.65)-(O216*0.3%)-S216-T216),0)</f>
        <v>0</v>
      </c>
      <c r="R216" s="14"/>
      <c r="S216" s="14"/>
      <c r="T216" s="14"/>
      <c r="U216" s="69">
        <f>(V216*50%)/(1+50%*V216)</f>
        <v>0</v>
      </c>
      <c r="V216" s="69"/>
      <c r="W216" s="70">
        <v>0.11</v>
      </c>
      <c r="X216" s="15">
        <f>(P216+Q216)/G216</f>
        <v>0.13973109243697479</v>
      </c>
      <c r="Y216" s="16">
        <f>VLOOKUP(C216,台股行情!A:D,4,FALSE)</f>
        <v>26.85</v>
      </c>
      <c r="Z216" s="38">
        <f>VLOOKUP(C216,台股行情!A:E,5,FALSE)</f>
        <v>0.15</v>
      </c>
      <c r="AA216" s="90">
        <f t="shared" ca="1" si="46"/>
        <v>15964.845033402693</v>
      </c>
      <c r="AB216" s="103" t="s">
        <v>2729</v>
      </c>
    </row>
    <row r="217" spans="1:28">
      <c r="A217" s="329">
        <v>45631</v>
      </c>
      <c r="B217" s="11"/>
      <c r="C217" s="11">
        <v>7722</v>
      </c>
      <c r="D217" s="189" t="str">
        <f>VLOOKUP(C217,台股行情!A:B,2,FALSE)</f>
        <v>LINEPAY</v>
      </c>
      <c r="E217" s="11">
        <v>1000</v>
      </c>
      <c r="F217" s="11">
        <v>508</v>
      </c>
      <c r="G217" s="11">
        <f t="shared" ref="G217:G222" si="48">E217*F217</f>
        <v>508000</v>
      </c>
      <c r="H217" s="11">
        <v>70</v>
      </c>
      <c r="I217" s="328">
        <v>45663</v>
      </c>
      <c r="J217" s="16">
        <v>512</v>
      </c>
      <c r="K217" s="11">
        <f t="shared" ref="K217:K222" si="49">E217*J217</f>
        <v>512000</v>
      </c>
      <c r="L217" s="17">
        <v>729</v>
      </c>
      <c r="M217" s="11">
        <v>1536</v>
      </c>
      <c r="N217" s="11">
        <v>1</v>
      </c>
      <c r="O217" s="13">
        <f t="shared" ref="O217:O222" si="50">IF(I217="",E217*Y217,0)</f>
        <v>0</v>
      </c>
      <c r="P217" s="14">
        <f t="shared" ref="P217:P222" si="51">IF(I217="",R217-H217,(K217-H217-SUM(L217:N217)+R217-S217-T217)-G217)+(ROUND(R217*V217,0)-ROUND(R217*(1+V217),0)*W217)</f>
        <v>1664</v>
      </c>
      <c r="Q217" s="14">
        <f t="shared" ref="Q217:Q222" si="52">IF(I217="",(O217-G217-(O217*0.1425%*0.65)-(O217*0.3%)-S217-T217),0)</f>
        <v>0</v>
      </c>
      <c r="R217" s="14"/>
      <c r="S217" s="14"/>
      <c r="T217" s="14"/>
      <c r="U217" s="69">
        <f t="shared" ref="U217:U222" si="53">(V217*50%)/(1+50%*V217)</f>
        <v>0</v>
      </c>
      <c r="V217" s="69"/>
      <c r="W217" s="70">
        <v>0.11</v>
      </c>
      <c r="X217" s="15">
        <f t="shared" ref="X217:X222" si="54">(P217+Q217)/G217</f>
        <v>3.2755905511811022E-3</v>
      </c>
      <c r="Y217" s="16">
        <f>VLOOKUP(C217,台股行情!A:D,4,FALSE)</f>
        <v>258</v>
      </c>
      <c r="Z217" s="38">
        <f>VLOOKUP(C217,台股行情!A:E,5,FALSE)</f>
        <v>-2.5</v>
      </c>
      <c r="AA217" s="90">
        <f t="shared" ca="1" si="46"/>
        <v>44507.720950607822</v>
      </c>
      <c r="AB217" s="103" t="s">
        <v>2729</v>
      </c>
    </row>
    <row r="218" spans="1:28" outlineLevel="1">
      <c r="A218" s="99">
        <v>45469</v>
      </c>
      <c r="B218" s="11"/>
      <c r="C218" s="11">
        <v>5209</v>
      </c>
      <c r="D218" s="189" t="str">
        <f>VLOOKUP(C218,台股行情!A:B,2,FALSE)</f>
        <v>新鼎</v>
      </c>
      <c r="E218" s="11">
        <v>1000</v>
      </c>
      <c r="F218" s="11">
        <v>200</v>
      </c>
      <c r="G218" s="11">
        <f t="shared" si="48"/>
        <v>200000</v>
      </c>
      <c r="H218" s="11">
        <v>285</v>
      </c>
      <c r="I218" s="328">
        <v>45663</v>
      </c>
      <c r="J218" s="16">
        <v>173</v>
      </c>
      <c r="K218" s="11">
        <f t="shared" si="49"/>
        <v>173000</v>
      </c>
      <c r="L218" s="17">
        <v>246</v>
      </c>
      <c r="M218" s="11">
        <v>519</v>
      </c>
      <c r="N218" s="11">
        <v>0</v>
      </c>
      <c r="O218" s="13">
        <f t="shared" si="50"/>
        <v>0</v>
      </c>
      <c r="P218" s="14">
        <f t="shared" si="51"/>
        <v>-18705.21</v>
      </c>
      <c r="Q218" s="14">
        <f t="shared" si="52"/>
        <v>0</v>
      </c>
      <c r="R218" s="14">
        <v>10511</v>
      </c>
      <c r="S218" s="14">
        <v>10</v>
      </c>
      <c r="T218" s="14"/>
      <c r="U218" s="69">
        <f t="shared" si="53"/>
        <v>0</v>
      </c>
      <c r="V218" s="69"/>
      <c r="W218" s="70">
        <v>0.11</v>
      </c>
      <c r="X218" s="15">
        <f t="shared" si="54"/>
        <v>-9.3526049999999999E-2</v>
      </c>
      <c r="Y218" s="16">
        <f>VLOOKUP(C218,台股行情!A:D,4,FALSE)</f>
        <v>185</v>
      </c>
      <c r="Z218" s="38">
        <f>VLOOKUP(C218,台股行情!A:E,5,FALSE)</f>
        <v>-0.5</v>
      </c>
      <c r="AA218" s="90">
        <f t="shared" ca="1" si="46"/>
        <v>106231.51900120468</v>
      </c>
      <c r="AB218" s="103" t="s">
        <v>2729</v>
      </c>
    </row>
    <row r="219" spans="1:28" outlineLevel="1">
      <c r="A219" s="99">
        <v>45338</v>
      </c>
      <c r="B219" s="11"/>
      <c r="C219" s="11">
        <v>929</v>
      </c>
      <c r="D219" s="189" t="str">
        <f>VLOOKUP(C219,台股行情!A:B,2,FALSE)</f>
        <v>復華台灣科技優息</v>
      </c>
      <c r="E219" s="11">
        <v>1000</v>
      </c>
      <c r="F219" s="11">
        <v>18.95</v>
      </c>
      <c r="G219" s="11">
        <f t="shared" si="48"/>
        <v>18950</v>
      </c>
      <c r="H219" s="11">
        <v>27</v>
      </c>
      <c r="I219" s="328">
        <v>45664</v>
      </c>
      <c r="J219" s="16">
        <v>18.329999999999998</v>
      </c>
      <c r="K219" s="11">
        <f t="shared" si="49"/>
        <v>18330</v>
      </c>
      <c r="L219" s="17">
        <v>26</v>
      </c>
      <c r="M219" s="11">
        <v>18</v>
      </c>
      <c r="N219" s="11">
        <v>0</v>
      </c>
      <c r="O219" s="13">
        <f t="shared" si="50"/>
        <v>0</v>
      </c>
      <c r="P219" s="14">
        <f t="shared" si="51"/>
        <v>7945.4</v>
      </c>
      <c r="Q219" s="14">
        <f t="shared" si="52"/>
        <v>0</v>
      </c>
      <c r="R219" s="14">
        <f>1600+1600+1440+1440+1280+1120+880+400</f>
        <v>9760</v>
      </c>
      <c r="S219" s="14">
        <v>50</v>
      </c>
      <c r="T219" s="14"/>
      <c r="U219" s="69">
        <f t="shared" si="53"/>
        <v>0</v>
      </c>
      <c r="V219" s="69"/>
      <c r="W219" s="70">
        <v>0.11</v>
      </c>
      <c r="X219" s="15">
        <f t="shared" si="54"/>
        <v>0.41928232189973613</v>
      </c>
      <c r="Y219" s="16">
        <f>VLOOKUP(C219,台股行情!A:D,4,FALSE)</f>
        <v>29.72</v>
      </c>
      <c r="Z219" s="38">
        <f>VLOOKUP(C219,台股行情!A:E,5,FALSE)</f>
        <v>-0.48</v>
      </c>
      <c r="AA219" s="90">
        <f t="shared" ca="1" si="46"/>
        <v>16914.083890044902</v>
      </c>
      <c r="AB219" s="103" t="s">
        <v>2733</v>
      </c>
    </row>
    <row r="220" spans="1:28" outlineLevel="1">
      <c r="A220" s="99">
        <v>45468</v>
      </c>
      <c r="B220" s="11"/>
      <c r="C220" s="11">
        <v>2850</v>
      </c>
      <c r="D220" s="189" t="str">
        <f>VLOOKUP(C220,台股行情!A:B,2,FALSE)</f>
        <v>新產</v>
      </c>
      <c r="E220" s="11">
        <v>1000</v>
      </c>
      <c r="F220" s="11">
        <v>101</v>
      </c>
      <c r="G220" s="11">
        <f t="shared" si="48"/>
        <v>101000</v>
      </c>
      <c r="H220" s="11">
        <v>143</v>
      </c>
      <c r="I220" s="308">
        <v>45696</v>
      </c>
      <c r="J220" s="16">
        <v>102.5</v>
      </c>
      <c r="K220" s="11">
        <f t="shared" si="49"/>
        <v>102500</v>
      </c>
      <c r="L220" s="17">
        <v>146</v>
      </c>
      <c r="M220" s="11">
        <v>307</v>
      </c>
      <c r="N220" s="11">
        <v>0</v>
      </c>
      <c r="O220" s="13">
        <f t="shared" si="50"/>
        <v>0</v>
      </c>
      <c r="P220" s="14">
        <f t="shared" si="51"/>
        <v>904</v>
      </c>
      <c r="Q220" s="14">
        <f t="shared" si="52"/>
        <v>0</v>
      </c>
      <c r="R220" s="14"/>
      <c r="S220" s="14"/>
      <c r="T220" s="14"/>
      <c r="U220" s="69">
        <f t="shared" si="53"/>
        <v>0</v>
      </c>
      <c r="V220" s="69"/>
      <c r="W220" s="70">
        <v>0.11</v>
      </c>
      <c r="X220" s="15">
        <f t="shared" si="54"/>
        <v>8.9504950495049498E-3</v>
      </c>
      <c r="Y220" s="16">
        <f>VLOOKUP(C220,台股行情!A:D,4,FALSE)</f>
        <v>173</v>
      </c>
      <c r="Z220" s="38">
        <f>VLOOKUP(C220,台股行情!A:E,5,FALSE)</f>
        <v>5</v>
      </c>
      <c r="AA220" s="90">
        <f t="shared" ca="1" si="46"/>
        <v>63048.954112364474</v>
      </c>
      <c r="AB220" s="103" t="s">
        <v>2729</v>
      </c>
    </row>
    <row r="221" spans="1:28" outlineLevel="1">
      <c r="A221" s="99">
        <v>45499</v>
      </c>
      <c r="B221" s="11"/>
      <c r="C221" s="11">
        <v>2615</v>
      </c>
      <c r="D221" s="189" t="str">
        <f>VLOOKUP(C221,台股行情!A:B,2,FALSE)</f>
        <v>萬海</v>
      </c>
      <c r="E221" s="11">
        <v>1000</v>
      </c>
      <c r="F221" s="11">
        <v>100.5</v>
      </c>
      <c r="G221" s="11">
        <f t="shared" si="48"/>
        <v>100500</v>
      </c>
      <c r="H221" s="11">
        <v>143</v>
      </c>
      <c r="I221" s="308">
        <v>45721</v>
      </c>
      <c r="J221" s="16">
        <v>84.6</v>
      </c>
      <c r="K221" s="11">
        <f t="shared" si="49"/>
        <v>84600</v>
      </c>
      <c r="L221" s="11">
        <v>120</v>
      </c>
      <c r="M221" s="11">
        <v>253</v>
      </c>
      <c r="N221" s="11">
        <v>0</v>
      </c>
      <c r="O221" s="13">
        <f t="shared" si="50"/>
        <v>0</v>
      </c>
      <c r="P221" s="14">
        <f t="shared" si="51"/>
        <v>-16416</v>
      </c>
      <c r="Q221" s="14">
        <f t="shared" si="52"/>
        <v>0</v>
      </c>
      <c r="R221" s="14"/>
      <c r="S221" s="14"/>
      <c r="T221" s="14"/>
      <c r="U221" s="69">
        <f t="shared" si="53"/>
        <v>0</v>
      </c>
      <c r="V221" s="69"/>
      <c r="W221" s="70">
        <v>0.11</v>
      </c>
      <c r="X221" s="15">
        <f t="shared" si="54"/>
        <v>-0.16334328358208955</v>
      </c>
      <c r="Y221" s="16">
        <f>VLOOKUP(C221,台股行情!A:D,4,FALSE)</f>
        <v>119</v>
      </c>
      <c r="Z221" s="38">
        <f>VLOOKUP(C221,台股行情!A:E,5,FALSE)</f>
        <v>-6</v>
      </c>
      <c r="AA221" s="90">
        <f t="shared" ref="AA221:AA222" ca="1" si="55">IF(I221="",((TODAY()-A221)*G221)/365.24,((I221-A221)*G221)/365.24)</f>
        <v>61085.861351440144</v>
      </c>
      <c r="AB221" s="103" t="s">
        <v>2729</v>
      </c>
    </row>
    <row r="222" spans="1:28" outlineLevel="1">
      <c r="A222" s="99">
        <v>45469</v>
      </c>
      <c r="B222" s="11"/>
      <c r="C222" s="11">
        <v>2603</v>
      </c>
      <c r="D222" s="189" t="str">
        <f>VLOOKUP(C222,台股行情!A:B,2,FALSE)</f>
        <v>長榮</v>
      </c>
      <c r="E222" s="11">
        <v>1000</v>
      </c>
      <c r="F222" s="11">
        <v>201</v>
      </c>
      <c r="G222" s="11">
        <f t="shared" si="48"/>
        <v>201000</v>
      </c>
      <c r="H222" s="11">
        <v>286</v>
      </c>
      <c r="I222" s="308">
        <v>45868</v>
      </c>
      <c r="J222" s="16">
        <v>200</v>
      </c>
      <c r="K222" s="11">
        <f t="shared" si="49"/>
        <v>200000</v>
      </c>
      <c r="L222" s="11">
        <v>285</v>
      </c>
      <c r="M222" s="11">
        <v>600</v>
      </c>
      <c r="N222" s="11">
        <v>0</v>
      </c>
      <c r="O222" s="13">
        <f t="shared" si="50"/>
        <v>0</v>
      </c>
      <c r="P222" s="14">
        <f t="shared" si="51"/>
        <v>35602.85</v>
      </c>
      <c r="Q222" s="14">
        <f t="shared" si="52"/>
        <v>0</v>
      </c>
      <c r="R222" s="14">
        <f>9965+32500</f>
        <v>42465</v>
      </c>
      <c r="S222" s="14">
        <v>20</v>
      </c>
      <c r="T222" s="14"/>
      <c r="U222" s="69">
        <f t="shared" si="53"/>
        <v>0</v>
      </c>
      <c r="V222" s="69"/>
      <c r="W222" s="70">
        <v>0.11</v>
      </c>
      <c r="X222" s="15">
        <f t="shared" si="54"/>
        <v>0.17712860696517413</v>
      </c>
      <c r="Y222" s="16">
        <f>VLOOKUP(C222,台股行情!A:D,4,FALSE)</f>
        <v>257</v>
      </c>
      <c r="Z222" s="38">
        <f>VLOOKUP(C222,台股行情!A:E,5,FALSE)</f>
        <v>-6</v>
      </c>
      <c r="AA222" s="90">
        <f t="shared" ca="1" si="55"/>
        <v>219578.9070200416</v>
      </c>
      <c r="AB222" s="103" t="s">
        <v>2729</v>
      </c>
    </row>
    <row r="223" spans="1:28" outlineLevel="1">
      <c r="A223" s="99">
        <v>45463</v>
      </c>
      <c r="B223" s="11"/>
      <c r="C223" s="11">
        <v>2382</v>
      </c>
      <c r="D223" s="189" t="str">
        <f>VLOOKUP(C223,台股行情!A:B,2,FALSE)</f>
        <v>廣達</v>
      </c>
      <c r="E223" s="11">
        <v>1000</v>
      </c>
      <c r="F223" s="11">
        <v>320</v>
      </c>
      <c r="G223" s="11">
        <f>E223*F223</f>
        <v>320000</v>
      </c>
      <c r="H223" s="11">
        <v>456</v>
      </c>
      <c r="I223" s="308">
        <v>46090</v>
      </c>
      <c r="J223" s="16">
        <v>275</v>
      </c>
      <c r="K223" s="11">
        <f>E223*J223</f>
        <v>275000</v>
      </c>
      <c r="L223" s="11">
        <v>391</v>
      </c>
      <c r="M223" s="11">
        <v>825</v>
      </c>
      <c r="N223" s="11">
        <v>0</v>
      </c>
      <c r="O223" s="13">
        <f>IF(I223="",E223*Y223,0)</f>
        <v>0</v>
      </c>
      <c r="P223" s="14">
        <f>IF(I223="",R223-H223,(K223-H223-SUM(L223:N223)+R223-S223-T223)-G223)+(ROUND(R223*V223,0)-ROUND(R223*(1+V223),0)*W223)</f>
        <v>-35112</v>
      </c>
      <c r="Q223" s="14">
        <f>IF(I223="",(O223-G223-(O223*0.1425%*0.65)-(O223*0.3%)-S223-T223),0)</f>
        <v>0</v>
      </c>
      <c r="R223" s="14">
        <v>13000</v>
      </c>
      <c r="S223" s="14">
        <v>10</v>
      </c>
      <c r="T223" s="14"/>
      <c r="U223" s="69">
        <f>(V223*50%)/(1+50%*V223)</f>
        <v>0</v>
      </c>
      <c r="V223" s="69"/>
      <c r="W223" s="70">
        <v>0.11</v>
      </c>
      <c r="X223" s="15">
        <f>(P223+Q223)/G223</f>
        <v>-0.109725</v>
      </c>
      <c r="Y223" s="16">
        <f>VLOOKUP(C223,台股行情!A:D,4,FALSE)</f>
        <v>316.5</v>
      </c>
      <c r="Z223" s="38">
        <f>VLOOKUP(C223,台股行情!A:E,5,FALSE)</f>
        <v>-6.5</v>
      </c>
      <c r="AA223" s="90">
        <f t="shared" ca="1" si="46"/>
        <v>549337.4219691162</v>
      </c>
      <c r="AB223" s="103" t="s">
        <v>2729</v>
      </c>
    </row>
    <row r="224" spans="1:28" outlineLevel="1">
      <c r="A224" s="99">
        <v>45482</v>
      </c>
      <c r="B224" s="11"/>
      <c r="C224" s="11">
        <v>3050</v>
      </c>
      <c r="D224" s="189" t="str">
        <f>VLOOKUP(C224,台股行情!A:B,2,FALSE)</f>
        <v>鈺德</v>
      </c>
      <c r="E224" s="11">
        <v>3000</v>
      </c>
      <c r="F224" s="11">
        <v>28.7</v>
      </c>
      <c r="G224" s="11">
        <f>E224*F224</f>
        <v>86100</v>
      </c>
      <c r="H224" s="11">
        <v>122</v>
      </c>
      <c r="I224" s="308">
        <v>46133</v>
      </c>
      <c r="J224" s="16">
        <v>13.2</v>
      </c>
      <c r="K224" s="11">
        <f>E224*J224</f>
        <v>39600</v>
      </c>
      <c r="L224" s="11">
        <f>ROUND(J224*E224*0.1425%,0)</f>
        <v>56</v>
      </c>
      <c r="M224" s="11">
        <v>118</v>
      </c>
      <c r="N224" s="11">
        <v>0</v>
      </c>
      <c r="O224" s="13">
        <f>IF(I224="",E224*Y224,0)</f>
        <v>0</v>
      </c>
      <c r="P224" s="14">
        <f>IF(I224="",R224-H224,(K224-H224-SUM(L224:N224)+R224-S224-T224)-G224)+(ROUND(R224*V224,0)-ROUND(R224*(1+V224),0)*W224)</f>
        <v>-44146</v>
      </c>
      <c r="Q224" s="14">
        <f>IF(I224="",(O224-G224-(O224*0.1425%*0.65)-(O224*0.3%)-S224-T224),0)</f>
        <v>0</v>
      </c>
      <c r="R224" s="14">
        <f>1500+1500</f>
        <v>3000</v>
      </c>
      <c r="S224" s="14">
        <v>20</v>
      </c>
      <c r="T224" s="14">
        <f>IF(ROUND(R224*(1+V224),0)&gt;20000,ROUND(ROUND(R224*(1+V224),0)*2%,0),0)</f>
        <v>0</v>
      </c>
      <c r="U224" s="69">
        <f>(V224*50%)/(1+50%*V224)</f>
        <v>0</v>
      </c>
      <c r="V224" s="69"/>
      <c r="W224" s="70">
        <v>0.11</v>
      </c>
      <c r="X224" s="15">
        <f>(P224+Q224)/G224</f>
        <v>-0.51272938443670146</v>
      </c>
      <c r="Y224" s="16">
        <f>VLOOKUP(C224,台股行情!A:D,4,FALSE)</f>
        <v>11.45</v>
      </c>
      <c r="Z224" s="38">
        <f>VLOOKUP(C224,台股行情!A:E,5,FALSE)</f>
        <v>-0.25</v>
      </c>
      <c r="AA224" s="90">
        <f t="shared" ref="AA224" ca="1" si="56">IF(I224="",((TODAY()-A224)*G224)/365.24,((I224-A224)*G224)/365.24)</f>
        <v>153463.7498631037</v>
      </c>
      <c r="AB224" s="103" t="s">
        <v>2729</v>
      </c>
    </row>
    <row r="225" spans="1:28" outlineLevel="1">
      <c r="A225" s="99">
        <v>45341</v>
      </c>
      <c r="B225" s="11"/>
      <c r="C225" s="11">
        <v>4909</v>
      </c>
      <c r="D225" s="189" t="str">
        <f>VLOOKUP(C225,台股行情!A:B,2,FALSE)</f>
        <v>新復興</v>
      </c>
      <c r="E225" s="11">
        <v>1000</v>
      </c>
      <c r="F225" s="11">
        <v>52.2</v>
      </c>
      <c r="G225" s="11">
        <f>E225*F225</f>
        <v>52200</v>
      </c>
      <c r="H225" s="11">
        <v>74</v>
      </c>
      <c r="I225" s="308">
        <v>46134</v>
      </c>
      <c r="J225" s="16">
        <v>64.099999999999994</v>
      </c>
      <c r="K225" s="11">
        <f>E225*J225</f>
        <v>64099.999999999993</v>
      </c>
      <c r="L225" s="11">
        <f>ROUND(J225*E225*0.1425%,0)</f>
        <v>91</v>
      </c>
      <c r="M225" s="11">
        <f>ROUND(J225*E225*0.3%,0)</f>
        <v>192</v>
      </c>
      <c r="N225" s="11">
        <v>0</v>
      </c>
      <c r="O225" s="13">
        <f>IF(I225="",E225*Y225,0)</f>
        <v>0</v>
      </c>
      <c r="P225" s="14">
        <f>IF(I225="",R225-H225,(K225-H225-SUM(L225:N225)+R225-S225-T225)-G225)+(ROUND(R225*V225,0)-ROUND(R225*(1+V225),0)*W225)</f>
        <v>17308</v>
      </c>
      <c r="Q225" s="14">
        <f>IF(I225="",(O225-G225-(O225*0.1425%*0.65)-(O225*0.3%)-S225-T225),0)</f>
        <v>0</v>
      </c>
      <c r="R225" s="14">
        <f>500+6000</f>
        <v>6500</v>
      </c>
      <c r="S225" s="14">
        <v>20</v>
      </c>
      <c r="T225" s="14">
        <f>IF(ROUND(R225*(1+V225),0)&gt;20000,ROUND(ROUND(R225*(1+V225),0)*2%,0),0)</f>
        <v>0</v>
      </c>
      <c r="U225" s="69">
        <f>(V225*50%)/(1+50%*V225)</f>
        <v>0</v>
      </c>
      <c r="V225" s="69"/>
      <c r="W225" s="70">
        <v>0.11</v>
      </c>
      <c r="X225" s="15">
        <f>(P225+Q225)/G225</f>
        <v>0.33157088122605366</v>
      </c>
      <c r="Y225" s="16">
        <f>VLOOKUP(C225,台股行情!A:D,4,FALSE)</f>
        <v>35.4</v>
      </c>
      <c r="Z225" s="38">
        <f>VLOOKUP(C225,台股行情!A:E,5,FALSE)</f>
        <v>-1.35</v>
      </c>
      <c r="AA225" s="90">
        <f t="shared" ca="1" si="46"/>
        <v>113335.34114554813</v>
      </c>
      <c r="AB225" s="103" t="s">
        <v>2729</v>
      </c>
    </row>
    <row r="226" spans="1:28">
      <c r="A226" s="99">
        <v>45695</v>
      </c>
      <c r="B226" s="11"/>
      <c r="C226" s="11">
        <v>6438</v>
      </c>
      <c r="D226" s="189" t="s">
        <v>281</v>
      </c>
      <c r="E226" s="11">
        <v>1000</v>
      </c>
      <c r="F226" s="11">
        <v>248.5</v>
      </c>
      <c r="G226" s="11">
        <v>248500</v>
      </c>
      <c r="H226" s="11">
        <v>354</v>
      </c>
      <c r="I226" s="104">
        <v>45702</v>
      </c>
      <c r="J226" s="16">
        <v>216.5</v>
      </c>
      <c r="K226" s="11">
        <v>216500</v>
      </c>
      <c r="L226" s="11">
        <v>308</v>
      </c>
      <c r="M226" s="11">
        <v>649</v>
      </c>
      <c r="N226" s="11">
        <v>0</v>
      </c>
      <c r="O226" s="13">
        <v>0</v>
      </c>
      <c r="P226" s="14">
        <v>-33311</v>
      </c>
      <c r="Q226" s="14">
        <v>0</v>
      </c>
      <c r="R226" s="14"/>
      <c r="S226" s="14"/>
      <c r="T226" s="14"/>
      <c r="U226" s="69">
        <v>0</v>
      </c>
      <c r="V226" s="69"/>
      <c r="W226" s="70">
        <v>0.11</v>
      </c>
      <c r="X226" s="15">
        <v>-0.13404828973843058</v>
      </c>
      <c r="Y226" s="16">
        <f>VLOOKUP(C226,台股行情!A:D,4,FALSE)</f>
        <v>180</v>
      </c>
      <c r="Z226" s="38">
        <f>VLOOKUP(C226,台股行情!A:E,5,FALSE)</f>
        <v>-2</v>
      </c>
      <c r="AA226" s="90">
        <f t="shared" ca="1" si="46"/>
        <v>4762.6218376957613</v>
      </c>
      <c r="AB226" s="103" t="s">
        <v>2729</v>
      </c>
    </row>
    <row r="227" spans="1:28" outlineLevel="1">
      <c r="A227" s="99">
        <v>45696</v>
      </c>
      <c r="B227" s="11"/>
      <c r="C227" s="11">
        <v>6245</v>
      </c>
      <c r="D227" s="189" t="s">
        <v>1442</v>
      </c>
      <c r="E227" s="11">
        <v>1000</v>
      </c>
      <c r="F227" s="11">
        <v>114</v>
      </c>
      <c r="G227" s="11">
        <v>114000</v>
      </c>
      <c r="H227" s="11">
        <v>162</v>
      </c>
      <c r="I227" s="104">
        <v>45705</v>
      </c>
      <c r="J227" s="16">
        <v>108.5</v>
      </c>
      <c r="K227" s="11">
        <v>108500</v>
      </c>
      <c r="L227" s="11">
        <v>154</v>
      </c>
      <c r="M227" s="11">
        <v>325</v>
      </c>
      <c r="N227" s="11">
        <v>0</v>
      </c>
      <c r="O227" s="13">
        <v>0</v>
      </c>
      <c r="P227" s="14">
        <v>-6141</v>
      </c>
      <c r="Q227" s="14">
        <v>0</v>
      </c>
      <c r="R227" s="14"/>
      <c r="S227" s="14"/>
      <c r="T227" s="14"/>
      <c r="U227" s="69">
        <v>0</v>
      </c>
      <c r="V227" s="69"/>
      <c r="W227" s="70">
        <v>0.11</v>
      </c>
      <c r="X227" s="15">
        <v>-5.3868421052631579E-2</v>
      </c>
      <c r="Y227" s="16">
        <f>VLOOKUP(C227,台股行情!A:D,4,FALSE)</f>
        <v>87.7</v>
      </c>
      <c r="Z227" s="38">
        <f>VLOOKUP(C227,台股行情!A:E,5,FALSE)</f>
        <v>-2</v>
      </c>
      <c r="AA227" s="90">
        <f t="shared" ca="1" si="46"/>
        <v>2809.1118168875259</v>
      </c>
      <c r="AB227" s="103" t="s">
        <v>2729</v>
      </c>
    </row>
    <row r="228" spans="1:28" outlineLevel="1">
      <c r="A228" s="99">
        <v>45707</v>
      </c>
      <c r="B228" s="11"/>
      <c r="C228" s="11">
        <v>2377</v>
      </c>
      <c r="D228" s="189" t="s">
        <v>703</v>
      </c>
      <c r="E228" s="11">
        <v>1000</v>
      </c>
      <c r="F228" s="11">
        <v>202.5</v>
      </c>
      <c r="G228" s="11">
        <v>202500</v>
      </c>
      <c r="H228" s="11">
        <v>288</v>
      </c>
      <c r="I228" s="104">
        <v>45713</v>
      </c>
      <c r="J228" s="16">
        <v>195</v>
      </c>
      <c r="K228" s="11">
        <v>195000</v>
      </c>
      <c r="L228" s="11">
        <v>277</v>
      </c>
      <c r="M228" s="11">
        <v>585</v>
      </c>
      <c r="N228" s="11">
        <v>0</v>
      </c>
      <c r="O228" s="13">
        <v>0</v>
      </c>
      <c r="P228" s="14">
        <v>-8650</v>
      </c>
      <c r="Q228" s="14">
        <v>0</v>
      </c>
      <c r="R228" s="14"/>
      <c r="S228" s="14"/>
      <c r="T228" s="14"/>
      <c r="U228" s="69">
        <v>0</v>
      </c>
      <c r="V228" s="69"/>
      <c r="W228" s="70">
        <v>0.11</v>
      </c>
      <c r="X228" s="15">
        <v>-4.2716049382716052E-2</v>
      </c>
      <c r="Y228" s="16">
        <f>VLOOKUP(C228,台股行情!A:D,4,FALSE)</f>
        <v>158</v>
      </c>
      <c r="Z228" s="38">
        <f>VLOOKUP(C228,台股行情!A:E,5,FALSE)</f>
        <v>-1</v>
      </c>
      <c r="AA228" s="90">
        <f t="shared" ca="1" si="46"/>
        <v>3326.5797831562809</v>
      </c>
      <c r="AB228" s="103" t="s">
        <v>2729</v>
      </c>
    </row>
    <row r="229" spans="1:28" outlineLevel="1">
      <c r="A229" s="99">
        <v>45702</v>
      </c>
      <c r="B229" s="11"/>
      <c r="C229" s="11">
        <v>2301</v>
      </c>
      <c r="D229" s="189" t="s">
        <v>669</v>
      </c>
      <c r="E229" s="11">
        <v>1000</v>
      </c>
      <c r="F229" s="11">
        <v>110</v>
      </c>
      <c r="G229" s="11">
        <v>110000</v>
      </c>
      <c r="H229" s="11">
        <v>156</v>
      </c>
      <c r="I229" s="104">
        <v>45715</v>
      </c>
      <c r="J229" s="16">
        <v>110</v>
      </c>
      <c r="K229" s="11">
        <v>110000</v>
      </c>
      <c r="L229" s="11">
        <v>156</v>
      </c>
      <c r="M229" s="11">
        <v>330</v>
      </c>
      <c r="N229" s="11">
        <v>0</v>
      </c>
      <c r="O229" s="13">
        <v>0</v>
      </c>
      <c r="P229" s="14">
        <v>-642</v>
      </c>
      <c r="Q229" s="14">
        <v>0</v>
      </c>
      <c r="R229" s="14"/>
      <c r="S229" s="14"/>
      <c r="T229" s="14"/>
      <c r="U229" s="69">
        <v>0</v>
      </c>
      <c r="V229" s="69"/>
      <c r="W229" s="70">
        <v>0.11</v>
      </c>
      <c r="X229" s="15">
        <v>-5.8363636363636361E-3</v>
      </c>
      <c r="Y229" s="16">
        <f>VLOOKUP(C229,台股行情!A:D,4,FALSE)</f>
        <v>268</v>
      </c>
      <c r="Z229" s="38">
        <f>VLOOKUP(C229,台股行情!A:E,5,FALSE)</f>
        <v>-15</v>
      </c>
      <c r="AA229" s="90">
        <f t="shared" ca="1" si="46"/>
        <v>3915.2338188588324</v>
      </c>
      <c r="AB229" s="103" t="s">
        <v>2729</v>
      </c>
    </row>
    <row r="230" spans="1:28" outlineLevel="1">
      <c r="A230" s="99">
        <v>45696</v>
      </c>
      <c r="B230" s="11"/>
      <c r="C230" s="11">
        <v>6206</v>
      </c>
      <c r="D230" s="189" t="s">
        <v>1692</v>
      </c>
      <c r="E230" s="11">
        <v>1000</v>
      </c>
      <c r="F230" s="11">
        <v>117</v>
      </c>
      <c r="G230" s="11">
        <v>117000</v>
      </c>
      <c r="H230" s="11">
        <v>166</v>
      </c>
      <c r="I230" s="104">
        <v>45715</v>
      </c>
      <c r="J230" s="16">
        <v>162.5</v>
      </c>
      <c r="K230" s="11">
        <v>162500</v>
      </c>
      <c r="L230" s="11">
        <v>231</v>
      </c>
      <c r="M230" s="11">
        <v>487</v>
      </c>
      <c r="N230" s="11">
        <v>0</v>
      </c>
      <c r="O230" s="13">
        <v>0</v>
      </c>
      <c r="P230" s="14">
        <v>44616</v>
      </c>
      <c r="Q230" s="14">
        <v>0</v>
      </c>
      <c r="R230" s="14"/>
      <c r="S230" s="14"/>
      <c r="T230" s="14"/>
      <c r="U230" s="69">
        <v>0</v>
      </c>
      <c r="V230" s="69"/>
      <c r="W230" s="70">
        <v>0.11</v>
      </c>
      <c r="X230" s="15">
        <v>0.38133333333333336</v>
      </c>
      <c r="Y230" s="16">
        <f>VLOOKUP(C230,台股行情!A:D,4,FALSE)</f>
        <v>36.159999999999997</v>
      </c>
      <c r="Z230" s="38">
        <f>VLOOKUP(C230,台股行情!A:E,5,FALSE)</f>
        <v>-0.59</v>
      </c>
      <c r="AA230" s="90">
        <f t="shared" ca="1" si="46"/>
        <v>6086.4089365896398</v>
      </c>
      <c r="AB230" s="103" t="s">
        <v>2729</v>
      </c>
    </row>
    <row r="231" spans="1:28" outlineLevel="1">
      <c r="A231" s="99">
        <v>45702</v>
      </c>
      <c r="B231" s="11"/>
      <c r="C231" s="11">
        <v>1605</v>
      </c>
      <c r="D231" s="189" t="s">
        <v>560</v>
      </c>
      <c r="E231" s="11">
        <v>1000</v>
      </c>
      <c r="F231" s="11">
        <v>26.85</v>
      </c>
      <c r="G231" s="11">
        <v>26850</v>
      </c>
      <c r="H231" s="11">
        <v>38</v>
      </c>
      <c r="I231" s="104">
        <v>45720</v>
      </c>
      <c r="J231" s="16">
        <v>27.6</v>
      </c>
      <c r="K231" s="11">
        <v>27600</v>
      </c>
      <c r="L231" s="11">
        <v>39</v>
      </c>
      <c r="M231" s="11">
        <v>83</v>
      </c>
      <c r="N231" s="11">
        <v>0</v>
      </c>
      <c r="O231" s="13">
        <v>0</v>
      </c>
      <c r="P231" s="14">
        <v>590</v>
      </c>
      <c r="Q231" s="14">
        <v>0</v>
      </c>
      <c r="R231" s="14"/>
      <c r="S231" s="14"/>
      <c r="T231" s="14"/>
      <c r="U231" s="69">
        <v>0</v>
      </c>
      <c r="V231" s="69"/>
      <c r="W231" s="70">
        <v>0.11</v>
      </c>
      <c r="X231" s="15">
        <v>2.197392923649907E-2</v>
      </c>
      <c r="Y231" s="16">
        <f>VLOOKUP(C231,台股行情!A:D,4,FALSE)</f>
        <v>37.700000000000003</v>
      </c>
      <c r="Z231" s="38">
        <f>VLOOKUP(C231,台股行情!A:E,5,FALSE)</f>
        <v>-3</v>
      </c>
      <c r="AA231" s="90">
        <f t="shared" ca="1" si="46"/>
        <v>1323.2395137443873</v>
      </c>
      <c r="AB231" s="103" t="s">
        <v>2729</v>
      </c>
    </row>
    <row r="232" spans="1:28" outlineLevel="1">
      <c r="A232" s="99">
        <v>45702</v>
      </c>
      <c r="B232" s="11"/>
      <c r="C232" s="11">
        <v>1605</v>
      </c>
      <c r="D232" s="189" t="s">
        <v>560</v>
      </c>
      <c r="E232" s="11">
        <v>1000</v>
      </c>
      <c r="F232" s="11">
        <v>26.75</v>
      </c>
      <c r="G232" s="11">
        <v>26750</v>
      </c>
      <c r="H232" s="11">
        <v>38</v>
      </c>
      <c r="I232" s="104">
        <v>45720</v>
      </c>
      <c r="J232" s="16">
        <v>27.6</v>
      </c>
      <c r="K232" s="11">
        <v>27600</v>
      </c>
      <c r="L232" s="11">
        <v>39</v>
      </c>
      <c r="M232" s="11">
        <v>82</v>
      </c>
      <c r="N232" s="11">
        <v>0</v>
      </c>
      <c r="O232" s="13">
        <v>0</v>
      </c>
      <c r="P232" s="14">
        <v>691</v>
      </c>
      <c r="Q232" s="14">
        <v>0</v>
      </c>
      <c r="R232" s="14"/>
      <c r="S232" s="14"/>
      <c r="T232" s="14"/>
      <c r="U232" s="69">
        <v>0</v>
      </c>
      <c r="V232" s="69"/>
      <c r="W232" s="70">
        <v>0.11</v>
      </c>
      <c r="X232" s="15">
        <v>2.5831775700934579E-2</v>
      </c>
      <c r="Y232" s="16">
        <f>VLOOKUP(C232,台股行情!A:D,4,FALSE)</f>
        <v>37.700000000000003</v>
      </c>
      <c r="Z232" s="38">
        <f>VLOOKUP(C232,台股行情!A:E,5,FALSE)</f>
        <v>-3</v>
      </c>
      <c r="AA232" s="90">
        <f t="shared" ca="1" si="46"/>
        <v>1318.3112473989704</v>
      </c>
      <c r="AB232" s="103" t="s">
        <v>2729</v>
      </c>
    </row>
    <row r="233" spans="1:28" outlineLevel="1">
      <c r="A233" s="99">
        <v>45706</v>
      </c>
      <c r="B233" s="11"/>
      <c r="C233" s="11">
        <v>1536</v>
      </c>
      <c r="D233" s="189" t="s">
        <v>398</v>
      </c>
      <c r="E233" s="11">
        <v>1000</v>
      </c>
      <c r="F233" s="11">
        <v>81.400000000000006</v>
      </c>
      <c r="G233" s="11">
        <v>81400</v>
      </c>
      <c r="H233" s="11">
        <v>115</v>
      </c>
      <c r="I233" s="104">
        <v>45720</v>
      </c>
      <c r="J233" s="16">
        <v>77.900000000000006</v>
      </c>
      <c r="K233" s="11">
        <v>77900</v>
      </c>
      <c r="L233" s="11">
        <v>111</v>
      </c>
      <c r="M233" s="11">
        <v>233</v>
      </c>
      <c r="N233" s="11">
        <v>0</v>
      </c>
      <c r="O233" s="13">
        <v>0</v>
      </c>
      <c r="P233" s="14">
        <v>-3959</v>
      </c>
      <c r="Q233" s="14">
        <v>0</v>
      </c>
      <c r="R233" s="14"/>
      <c r="S233" s="14"/>
      <c r="T233" s="14"/>
      <c r="U233" s="69">
        <v>0</v>
      </c>
      <c r="V233" s="69"/>
      <c r="W233" s="70">
        <v>0.11</v>
      </c>
      <c r="X233" s="15">
        <v>-4.8636363636363637E-2</v>
      </c>
      <c r="Y233" s="16">
        <f>VLOOKUP(C233,台股行情!A:D,4,FALSE)</f>
        <v>44.3</v>
      </c>
      <c r="Z233" s="38">
        <f>VLOOKUP(C233,台股行情!A:E,5,FALSE)</f>
        <v>-0.9</v>
      </c>
      <c r="AA233" s="90">
        <f t="shared" ca="1" si="46"/>
        <v>3120.1401817982696</v>
      </c>
      <c r="AB233" s="103" t="s">
        <v>2729</v>
      </c>
    </row>
    <row r="234" spans="1:28" outlineLevel="1">
      <c r="A234" s="99">
        <v>45702</v>
      </c>
      <c r="B234" s="11"/>
      <c r="C234" s="11">
        <v>2884</v>
      </c>
      <c r="D234" s="189" t="s">
        <v>397</v>
      </c>
      <c r="E234" s="11">
        <v>2000</v>
      </c>
      <c r="F234" s="11">
        <v>29.1</v>
      </c>
      <c r="G234" s="11">
        <v>58200</v>
      </c>
      <c r="H234" s="11">
        <v>82</v>
      </c>
      <c r="I234" s="104">
        <v>45721</v>
      </c>
      <c r="J234" s="16">
        <v>29.15</v>
      </c>
      <c r="K234" s="11">
        <v>58300</v>
      </c>
      <c r="L234" s="11">
        <v>83</v>
      </c>
      <c r="M234" s="11">
        <v>174</v>
      </c>
      <c r="N234" s="11">
        <v>0</v>
      </c>
      <c r="O234" s="13">
        <v>0</v>
      </c>
      <c r="P234" s="14">
        <v>-239</v>
      </c>
      <c r="Q234" s="14">
        <v>0</v>
      </c>
      <c r="R234" s="14"/>
      <c r="S234" s="14"/>
      <c r="T234" s="14"/>
      <c r="U234" s="69">
        <v>0</v>
      </c>
      <c r="V234" s="69"/>
      <c r="W234" s="70">
        <v>0.11</v>
      </c>
      <c r="X234" s="15">
        <v>-4.1065292096219928E-3</v>
      </c>
      <c r="Y234" s="16">
        <f>VLOOKUP(C234,台股行情!A:D,4,FALSE)</f>
        <v>48.8</v>
      </c>
      <c r="Z234" s="38">
        <f>VLOOKUP(C234,台股行情!A:E,5,FALSE)</f>
        <v>1.5</v>
      </c>
      <c r="AA234" s="90">
        <f t="shared" ca="1" si="46"/>
        <v>3027.5982915343334</v>
      </c>
      <c r="AB234" s="103" t="s">
        <v>2729</v>
      </c>
    </row>
    <row r="235" spans="1:28" outlineLevel="1">
      <c r="A235" s="99">
        <v>45722</v>
      </c>
      <c r="B235" s="11"/>
      <c r="C235" s="11">
        <v>6104</v>
      </c>
      <c r="D235" s="189" t="s">
        <v>1348</v>
      </c>
      <c r="E235" s="11">
        <v>1000</v>
      </c>
      <c r="F235" s="11">
        <v>177.5</v>
      </c>
      <c r="G235" s="11">
        <v>177500</v>
      </c>
      <c r="H235" s="11">
        <v>252</v>
      </c>
      <c r="I235" s="104">
        <v>45726</v>
      </c>
      <c r="J235" s="16">
        <v>160.5</v>
      </c>
      <c r="K235" s="11">
        <v>160500</v>
      </c>
      <c r="L235" s="11">
        <v>228</v>
      </c>
      <c r="M235" s="11">
        <v>481</v>
      </c>
      <c r="N235" s="11">
        <v>0</v>
      </c>
      <c r="O235" s="13">
        <v>0</v>
      </c>
      <c r="P235" s="14">
        <v>-17961</v>
      </c>
      <c r="Q235" s="14">
        <v>0</v>
      </c>
      <c r="R235" s="14"/>
      <c r="S235" s="14"/>
      <c r="T235" s="14"/>
      <c r="U235" s="69">
        <v>0</v>
      </c>
      <c r="V235" s="69"/>
      <c r="W235" s="70">
        <v>0.11</v>
      </c>
      <c r="X235" s="15">
        <v>-0.1011887323943662</v>
      </c>
      <c r="Y235" s="16">
        <f>VLOOKUP(C235,台股行情!A:D,4,FALSE)</f>
        <v>85.9</v>
      </c>
      <c r="Z235" s="38">
        <f>VLOOKUP(C235,台股行情!A:E,5,FALSE)</f>
        <v>-2.1</v>
      </c>
      <c r="AA235" s="90">
        <f ca="1">IF(I235="",((TODAY()-A235)*G235)/365.24,((I235-A235)*G235)/365.24)</f>
        <v>1943.9272806921476</v>
      </c>
      <c r="AB235" s="103" t="s">
        <v>2729</v>
      </c>
    </row>
    <row r="236" spans="1:28" outlineLevel="1">
      <c r="A236" s="99">
        <v>45702</v>
      </c>
      <c r="B236" s="11"/>
      <c r="C236" s="11">
        <v>2606</v>
      </c>
      <c r="D236" s="189" t="s">
        <v>804</v>
      </c>
      <c r="E236" s="11">
        <v>1000</v>
      </c>
      <c r="F236" s="11">
        <v>69.5</v>
      </c>
      <c r="G236" s="11">
        <v>69500</v>
      </c>
      <c r="H236" s="11">
        <v>99</v>
      </c>
      <c r="I236" s="104">
        <v>45728</v>
      </c>
      <c r="J236" s="16">
        <v>71.3</v>
      </c>
      <c r="K236" s="11">
        <v>71300</v>
      </c>
      <c r="L236" s="11">
        <v>101</v>
      </c>
      <c r="M236" s="11">
        <v>213</v>
      </c>
      <c r="N236" s="11">
        <v>0</v>
      </c>
      <c r="O236" s="13">
        <v>0</v>
      </c>
      <c r="P236" s="14">
        <v>1387</v>
      </c>
      <c r="Q236" s="14">
        <v>0</v>
      </c>
      <c r="R236" s="14"/>
      <c r="S236" s="14"/>
      <c r="T236" s="14"/>
      <c r="U236" s="69">
        <v>0</v>
      </c>
      <c r="V236" s="69"/>
      <c r="W236" s="70">
        <v>0.11</v>
      </c>
      <c r="X236" s="15">
        <v>1.9956834532374099E-2</v>
      </c>
      <c r="Y236" s="16">
        <f>VLOOKUP(C236,台股行情!A:D,4,FALSE)</f>
        <v>76</v>
      </c>
      <c r="Z236" s="38">
        <f>VLOOKUP(C236,台股行情!A:E,5,FALSE)</f>
        <v>-2.2000000000000002</v>
      </c>
      <c r="AA236" s="90">
        <f t="shared" ca="1" si="46"/>
        <v>4947.4318256488887</v>
      </c>
      <c r="AB236" s="103" t="s">
        <v>2729</v>
      </c>
    </row>
    <row r="237" spans="1:28" outlineLevel="1">
      <c r="A237" s="99">
        <v>45713</v>
      </c>
      <c r="B237" s="11"/>
      <c r="C237" s="11">
        <v>2637</v>
      </c>
      <c r="D237" s="189" t="s">
        <v>1554</v>
      </c>
      <c r="E237" s="11">
        <v>1000</v>
      </c>
      <c r="F237" s="11">
        <v>84.4</v>
      </c>
      <c r="G237" s="11">
        <v>84400</v>
      </c>
      <c r="H237" s="11">
        <v>120</v>
      </c>
      <c r="I237" s="104">
        <v>45728</v>
      </c>
      <c r="J237" s="16">
        <v>82.8</v>
      </c>
      <c r="K237" s="11">
        <v>82800</v>
      </c>
      <c r="L237" s="11">
        <v>117</v>
      </c>
      <c r="M237" s="11">
        <v>248</v>
      </c>
      <c r="N237" s="11">
        <v>0</v>
      </c>
      <c r="O237" s="13">
        <v>0</v>
      </c>
      <c r="P237" s="14">
        <v>-2085</v>
      </c>
      <c r="Q237" s="14">
        <v>0</v>
      </c>
      <c r="R237" s="14"/>
      <c r="S237" s="14"/>
      <c r="T237" s="14"/>
      <c r="U237" s="69">
        <v>0</v>
      </c>
      <c r="V237" s="69"/>
      <c r="W237" s="70">
        <v>0.11</v>
      </c>
      <c r="X237" s="15">
        <v>-2.4703791469194311E-2</v>
      </c>
      <c r="Y237" s="16">
        <f>VLOOKUP(C237,台股行情!A:D,4,FALSE)</f>
        <v>101</v>
      </c>
      <c r="Z237" s="38">
        <f>VLOOKUP(C237,台股行情!A:E,5,FALSE)</f>
        <v>-2.5</v>
      </c>
      <c r="AA237" s="90">
        <f t="shared" ca="1" si="46"/>
        <v>3466.2139962764209</v>
      </c>
      <c r="AB237" s="103" t="s">
        <v>2729</v>
      </c>
    </row>
    <row r="238" spans="1:28" outlineLevel="1">
      <c r="A238" s="99">
        <v>45722</v>
      </c>
      <c r="B238" s="11"/>
      <c r="C238" s="11">
        <v>2014</v>
      </c>
      <c r="D238" s="189" t="s">
        <v>626</v>
      </c>
      <c r="E238" s="11">
        <v>2000</v>
      </c>
      <c r="F238" s="11">
        <v>24.9</v>
      </c>
      <c r="G238" s="11">
        <v>49800</v>
      </c>
      <c r="H238" s="11">
        <v>70</v>
      </c>
      <c r="I238" s="104">
        <v>45729</v>
      </c>
      <c r="J238" s="16">
        <v>24.2</v>
      </c>
      <c r="K238" s="11">
        <v>48400</v>
      </c>
      <c r="L238" s="11">
        <v>68</v>
      </c>
      <c r="M238" s="11">
        <v>145</v>
      </c>
      <c r="N238" s="11">
        <v>0</v>
      </c>
      <c r="O238" s="13">
        <v>0</v>
      </c>
      <c r="P238" s="14">
        <v>-1683</v>
      </c>
      <c r="Q238" s="14">
        <v>0</v>
      </c>
      <c r="R238" s="14"/>
      <c r="S238" s="14"/>
      <c r="T238" s="14"/>
      <c r="U238" s="69">
        <v>0</v>
      </c>
      <c r="V238" s="69"/>
      <c r="W238" s="70">
        <v>0.11</v>
      </c>
      <c r="X238" s="15">
        <v>-3.3795180722891567E-2</v>
      </c>
      <c r="Y238" s="16">
        <f>VLOOKUP(C238,台股行情!A:D,4,FALSE)</f>
        <v>16.850000000000001</v>
      </c>
      <c r="Z238" s="38">
        <f>VLOOKUP(C238,台股行情!A:E,5,FALSE)</f>
        <v>-0.35</v>
      </c>
      <c r="AA238" s="90">
        <f t="shared" ca="1" si="46"/>
        <v>954.44091556236992</v>
      </c>
      <c r="AB238" s="103" t="s">
        <v>2729</v>
      </c>
    </row>
    <row r="239" spans="1:28" outlineLevel="1">
      <c r="A239" s="99">
        <v>45713</v>
      </c>
      <c r="B239" s="11"/>
      <c r="C239" s="11">
        <v>9958</v>
      </c>
      <c r="D239" s="189" t="s">
        <v>2257</v>
      </c>
      <c r="E239" s="11">
        <v>1000</v>
      </c>
      <c r="F239" s="11">
        <v>187</v>
      </c>
      <c r="G239" s="11">
        <v>187000</v>
      </c>
      <c r="H239" s="11">
        <v>266</v>
      </c>
      <c r="I239" s="104">
        <v>45742</v>
      </c>
      <c r="J239" s="16">
        <v>184.5</v>
      </c>
      <c r="K239" s="11">
        <v>184500</v>
      </c>
      <c r="L239" s="11">
        <v>262</v>
      </c>
      <c r="M239" s="11">
        <v>553</v>
      </c>
      <c r="N239" s="11">
        <v>0</v>
      </c>
      <c r="O239" s="13">
        <v>0</v>
      </c>
      <c r="P239" s="14">
        <v>-3581</v>
      </c>
      <c r="Q239" s="14">
        <v>0</v>
      </c>
      <c r="R239" s="14"/>
      <c r="S239" s="14"/>
      <c r="T239" s="14"/>
      <c r="U239" s="69">
        <v>0</v>
      </c>
      <c r="V239" s="69"/>
      <c r="W239" s="70">
        <v>0.11</v>
      </c>
      <c r="X239" s="15">
        <v>-1.9149732620320856E-2</v>
      </c>
      <c r="Y239" s="16">
        <f>VLOOKUP(C239,台股行情!A:D,4,FALSE)</f>
        <v>88.5</v>
      </c>
      <c r="Z239" s="38">
        <f>VLOOKUP(C239,台股行情!A:E,5,FALSE)</f>
        <v>-2</v>
      </c>
      <c r="AA239" s="90">
        <f t="shared" ca="1" si="46"/>
        <v>14847.771328441573</v>
      </c>
      <c r="AB239" s="103" t="s">
        <v>2729</v>
      </c>
    </row>
    <row r="240" spans="1:28" outlineLevel="1">
      <c r="A240" s="99">
        <v>45835</v>
      </c>
      <c r="B240" s="11"/>
      <c r="C240" s="11">
        <v>3265</v>
      </c>
      <c r="D240" s="189" t="s">
        <v>951</v>
      </c>
      <c r="E240" s="11">
        <v>1000</v>
      </c>
      <c r="F240" s="11">
        <v>100.5</v>
      </c>
      <c r="G240" s="11">
        <v>100500</v>
      </c>
      <c r="H240" s="11">
        <v>143</v>
      </c>
      <c r="I240" s="104">
        <v>45855</v>
      </c>
      <c r="J240" s="16">
        <v>102.5</v>
      </c>
      <c r="K240" s="11">
        <v>102500</v>
      </c>
      <c r="L240" s="11">
        <v>146</v>
      </c>
      <c r="M240" s="11">
        <v>307</v>
      </c>
      <c r="N240" s="11">
        <v>0</v>
      </c>
      <c r="O240" s="13">
        <v>0</v>
      </c>
      <c r="P240" s="14">
        <v>5488</v>
      </c>
      <c r="Q240" s="14">
        <v>0</v>
      </c>
      <c r="R240" s="14">
        <v>4600</v>
      </c>
      <c r="S240" s="14">
        <v>10</v>
      </c>
      <c r="T240" s="14"/>
      <c r="U240" s="69">
        <v>0</v>
      </c>
      <c r="V240" s="69"/>
      <c r="W240" s="70">
        <v>0.11</v>
      </c>
      <c r="X240" s="15">
        <v>5.460696517412935E-2</v>
      </c>
      <c r="Y240" s="16">
        <f>VLOOKUP(C240,台股行情!A:D,4,FALSE)</f>
        <v>278</v>
      </c>
      <c r="Z240" s="38">
        <f>VLOOKUP(C240,台股行情!A:E,5,FALSE)</f>
        <v>-14.5</v>
      </c>
      <c r="AA240" s="90">
        <f t="shared" ca="1" si="46"/>
        <v>5503.2307523819954</v>
      </c>
      <c r="AB240" s="103" t="s">
        <v>2729</v>
      </c>
    </row>
    <row r="241" spans="1:28" outlineLevel="1">
      <c r="A241" s="99">
        <v>45835</v>
      </c>
      <c r="B241" s="11"/>
      <c r="C241" s="11">
        <v>2317</v>
      </c>
      <c r="D241" s="189" t="s">
        <v>245</v>
      </c>
      <c r="E241" s="11">
        <v>1000</v>
      </c>
      <c r="F241" s="11">
        <v>164.5</v>
      </c>
      <c r="G241" s="11">
        <v>164500</v>
      </c>
      <c r="H241" s="11">
        <v>234</v>
      </c>
      <c r="I241" s="104">
        <v>228482</v>
      </c>
      <c r="J241" s="16">
        <v>165.5</v>
      </c>
      <c r="K241" s="11">
        <v>165500</v>
      </c>
      <c r="L241" s="11">
        <v>235</v>
      </c>
      <c r="M241" s="11">
        <v>496</v>
      </c>
      <c r="N241" s="11">
        <v>0</v>
      </c>
      <c r="O241" s="13">
        <v>0</v>
      </c>
      <c r="P241" s="14">
        <v>5187</v>
      </c>
      <c r="Q241" s="14">
        <v>0</v>
      </c>
      <c r="R241" s="14">
        <v>5800</v>
      </c>
      <c r="S241" s="14">
        <v>10</v>
      </c>
      <c r="T241" s="14"/>
      <c r="U241" s="69">
        <v>0</v>
      </c>
      <c r="V241" s="69"/>
      <c r="W241" s="70">
        <v>0.11</v>
      </c>
      <c r="X241" s="15">
        <v>3.1531914893617022E-2</v>
      </c>
      <c r="Y241" s="16">
        <f>VLOOKUP(C241,台股行情!A:D,4,FALSE)</f>
        <v>239.5</v>
      </c>
      <c r="Z241" s="38">
        <f>VLOOKUP(C241,台股行情!A:E,5,FALSE)</f>
        <v>-3.5</v>
      </c>
      <c r="AA241" s="90">
        <f ca="1">IF(I241="",((TODAY()-A241)*G241)/365.24,((I241-A241)*G241)/365.24)</f>
        <v>82262160.497207314</v>
      </c>
      <c r="AB241" s="103" t="s">
        <v>2729</v>
      </c>
    </row>
    <row r="242" spans="1:28" outlineLevel="1">
      <c r="A242" s="99">
        <v>45835</v>
      </c>
      <c r="B242" s="11"/>
      <c r="C242" s="11">
        <v>9935</v>
      </c>
      <c r="D242" s="189" t="s">
        <v>2242</v>
      </c>
      <c r="E242" s="11">
        <v>2000</v>
      </c>
      <c r="F242" s="11">
        <v>23.95</v>
      </c>
      <c r="G242" s="11">
        <v>47900</v>
      </c>
      <c r="H242" s="11">
        <v>68</v>
      </c>
      <c r="I242" s="104">
        <v>45862</v>
      </c>
      <c r="J242" s="16">
        <v>20.75</v>
      </c>
      <c r="K242" s="11">
        <v>41500</v>
      </c>
      <c r="L242" s="11">
        <v>59</v>
      </c>
      <c r="M242" s="11">
        <v>124</v>
      </c>
      <c r="N242" s="11">
        <v>0</v>
      </c>
      <c r="O242" s="13">
        <v>0</v>
      </c>
      <c r="P242" s="14">
        <v>-3457</v>
      </c>
      <c r="Q242" s="14">
        <v>0</v>
      </c>
      <c r="R242" s="14">
        <v>3600</v>
      </c>
      <c r="S242" s="14">
        <v>10</v>
      </c>
      <c r="T242" s="14"/>
      <c r="U242" s="69">
        <v>0</v>
      </c>
      <c r="V242" s="69"/>
      <c r="W242" s="70">
        <v>0.11</v>
      </c>
      <c r="X242" s="15">
        <v>-7.2171189979123168E-2</v>
      </c>
      <c r="Y242" s="16">
        <f>VLOOKUP(C242,台股行情!A:D,4,FALSE)</f>
        <v>18.649999999999999</v>
      </c>
      <c r="Z242" s="38">
        <f>VLOOKUP(C242,台股行情!A:E,5,FALSE)</f>
        <v>-0.2</v>
      </c>
      <c r="AA242" s="90">
        <f t="shared" ca="1" si="46"/>
        <v>3540.9593691819077</v>
      </c>
      <c r="AB242" s="103" t="s">
        <v>2729</v>
      </c>
    </row>
    <row r="243" spans="1:28" outlineLevel="1">
      <c r="A243" s="99">
        <v>45747</v>
      </c>
      <c r="B243" s="11"/>
      <c r="C243" s="11">
        <v>3661</v>
      </c>
      <c r="D243" s="189" t="s">
        <v>1067</v>
      </c>
      <c r="E243" s="11">
        <v>10</v>
      </c>
      <c r="F243" s="11">
        <v>2840</v>
      </c>
      <c r="G243" s="11">
        <v>28400</v>
      </c>
      <c r="H243" s="11">
        <v>40</v>
      </c>
      <c r="I243" s="104">
        <v>45863</v>
      </c>
      <c r="J243" s="16">
        <v>3945</v>
      </c>
      <c r="K243" s="11">
        <v>39450</v>
      </c>
      <c r="L243" s="11">
        <v>56</v>
      </c>
      <c r="M243" s="11">
        <v>118</v>
      </c>
      <c r="N243" s="11">
        <v>0</v>
      </c>
      <c r="O243" s="13">
        <v>0</v>
      </c>
      <c r="P243" s="14">
        <v>10836</v>
      </c>
      <c r="Q243" s="14">
        <v>0</v>
      </c>
      <c r="R243" s="14"/>
      <c r="S243" s="14"/>
      <c r="T243" s="14"/>
      <c r="U243" s="69">
        <v>0</v>
      </c>
      <c r="V243" s="69"/>
      <c r="W243" s="70">
        <v>0.11</v>
      </c>
      <c r="X243" s="15">
        <v>0.38154929577464791</v>
      </c>
      <c r="Y243" s="16">
        <f>VLOOKUP(C243,台股行情!A:D,4,FALSE)</f>
        <v>3705</v>
      </c>
      <c r="Z243" s="38">
        <f>VLOOKUP(C243,台股行情!A:E,5,FALSE)</f>
        <v>-235</v>
      </c>
      <c r="AA243" s="90">
        <f t="shared" ca="1" si="46"/>
        <v>9019.8225824115652</v>
      </c>
      <c r="AB243" s="103" t="s">
        <v>2729</v>
      </c>
    </row>
    <row r="244" spans="1:28" outlineLevel="1">
      <c r="A244" s="99">
        <v>45849</v>
      </c>
      <c r="B244" s="11"/>
      <c r="C244" s="11">
        <v>2355</v>
      </c>
      <c r="D244" s="189" t="s">
        <v>63</v>
      </c>
      <c r="E244" s="11">
        <v>2000</v>
      </c>
      <c r="F244" s="11">
        <v>32.35</v>
      </c>
      <c r="G244" s="11">
        <v>64700</v>
      </c>
      <c r="H244" s="11">
        <v>92</v>
      </c>
      <c r="I244" s="104">
        <v>45866</v>
      </c>
      <c r="J244" s="16">
        <v>32.950000000000003</v>
      </c>
      <c r="K244" s="11">
        <v>65900</v>
      </c>
      <c r="L244" s="11">
        <v>93</v>
      </c>
      <c r="M244" s="11">
        <v>197</v>
      </c>
      <c r="N244" s="11">
        <v>0</v>
      </c>
      <c r="O244" s="13">
        <v>0</v>
      </c>
      <c r="P244" s="14">
        <v>4101</v>
      </c>
      <c r="Q244" s="14">
        <v>0</v>
      </c>
      <c r="R244" s="14">
        <v>3700</v>
      </c>
      <c r="S244" s="14">
        <v>10</v>
      </c>
      <c r="T244" s="14"/>
      <c r="U244" s="69">
        <v>0</v>
      </c>
      <c r="V244" s="69"/>
      <c r="W244" s="70">
        <v>0.11</v>
      </c>
      <c r="X244" s="15">
        <v>6.3384853168469854E-2</v>
      </c>
      <c r="Y244" s="16">
        <f>VLOOKUP(C244,台股行情!A:D,4,FALSE)</f>
        <v>53.6</v>
      </c>
      <c r="Z244" s="38">
        <f>VLOOKUP(C244,台股行情!A:E,5,FALSE)</f>
        <v>1.7</v>
      </c>
      <c r="AA244" s="90">
        <f t="shared" ca="1" si="46"/>
        <v>3011.4445296243566</v>
      </c>
      <c r="AB244" s="103" t="s">
        <v>2729</v>
      </c>
    </row>
    <row r="245" spans="1:28" outlineLevel="1">
      <c r="A245" s="99">
        <v>45849</v>
      </c>
      <c r="B245" s="11"/>
      <c r="C245" s="11">
        <v>2634</v>
      </c>
      <c r="D245" s="189" t="s">
        <v>249</v>
      </c>
      <c r="E245" s="11">
        <v>2000</v>
      </c>
      <c r="F245" s="11">
        <v>42.1</v>
      </c>
      <c r="G245" s="11">
        <v>84200</v>
      </c>
      <c r="H245" s="11">
        <v>119</v>
      </c>
      <c r="I245" s="104">
        <v>45866</v>
      </c>
      <c r="J245" s="16">
        <v>42.35</v>
      </c>
      <c r="K245" s="11">
        <v>84700</v>
      </c>
      <c r="L245" s="11">
        <v>120</v>
      </c>
      <c r="M245" s="11">
        <v>254</v>
      </c>
      <c r="N245" s="11">
        <v>0</v>
      </c>
      <c r="O245" s="13">
        <v>0</v>
      </c>
      <c r="P245" s="14">
        <v>7</v>
      </c>
      <c r="Q245" s="14">
        <v>0</v>
      </c>
      <c r="R245" s="14"/>
      <c r="S245" s="14"/>
      <c r="T245" s="14"/>
      <c r="U245" s="69">
        <v>0</v>
      </c>
      <c r="V245" s="69"/>
      <c r="W245" s="70">
        <v>0.11</v>
      </c>
      <c r="X245" s="15">
        <v>8.3135391923990504E-5</v>
      </c>
      <c r="Y245" s="16">
        <f>VLOOKUP(C245,台股行情!A:D,4,FALSE)</f>
        <v>60.7</v>
      </c>
      <c r="Z245" s="38">
        <f>VLOOKUP(C245,台股行情!A:E,5,FALSE)</f>
        <v>-1.4</v>
      </c>
      <c r="AA245" s="90">
        <f t="shared" ca="1" si="46"/>
        <v>3919.0669149052678</v>
      </c>
      <c r="AB245" s="103" t="s">
        <v>2729</v>
      </c>
    </row>
    <row r="246" spans="1:28" outlineLevel="1">
      <c r="A246" s="99">
        <v>45695</v>
      </c>
      <c r="B246" s="11"/>
      <c r="C246" s="11">
        <v>3661</v>
      </c>
      <c r="D246" s="189" t="s">
        <v>1067</v>
      </c>
      <c r="E246" s="11">
        <v>10</v>
      </c>
      <c r="F246" s="11">
        <v>3455</v>
      </c>
      <c r="G246" s="11">
        <v>34550</v>
      </c>
      <c r="H246" s="11">
        <v>49</v>
      </c>
      <c r="I246" s="104">
        <v>45869</v>
      </c>
      <c r="J246" s="16">
        <v>3870</v>
      </c>
      <c r="K246" s="11">
        <v>38700</v>
      </c>
      <c r="L246" s="11">
        <v>55</v>
      </c>
      <c r="M246" s="11">
        <v>116</v>
      </c>
      <c r="N246" s="11">
        <v>0</v>
      </c>
      <c r="O246" s="13">
        <v>0</v>
      </c>
      <c r="P246" s="14">
        <v>3930</v>
      </c>
      <c r="Q246" s="14">
        <v>0</v>
      </c>
      <c r="R246" s="14"/>
      <c r="S246" s="14"/>
      <c r="T246" s="14"/>
      <c r="U246" s="69">
        <v>0</v>
      </c>
      <c r="V246" s="69"/>
      <c r="W246" s="70">
        <v>0.11</v>
      </c>
      <c r="X246" s="15">
        <v>0.11374819102749638</v>
      </c>
      <c r="Y246" s="16">
        <f>VLOOKUP(C246,台股行情!A:D,4,FALSE)</f>
        <v>3705</v>
      </c>
      <c r="Z246" s="38">
        <f>VLOOKUP(C246,台股行情!A:E,5,FALSE)</f>
        <v>-235</v>
      </c>
      <c r="AA246" s="90">
        <f t="shared" ca="1" si="46"/>
        <v>16459.588215967582</v>
      </c>
      <c r="AB246" s="103" t="s">
        <v>2729</v>
      </c>
    </row>
    <row r="247" spans="1:28" outlineLevel="1">
      <c r="A247" s="99">
        <v>45868</v>
      </c>
      <c r="B247" s="11"/>
      <c r="C247" s="11">
        <v>3661</v>
      </c>
      <c r="D247" s="189" t="s">
        <v>1067</v>
      </c>
      <c r="E247" s="11">
        <v>10</v>
      </c>
      <c r="F247" s="11">
        <v>3760</v>
      </c>
      <c r="G247" s="11">
        <v>37600</v>
      </c>
      <c r="H247" s="11">
        <v>53</v>
      </c>
      <c r="I247" s="104">
        <v>45869</v>
      </c>
      <c r="J247" s="16">
        <v>3870</v>
      </c>
      <c r="K247" s="11">
        <v>38700</v>
      </c>
      <c r="L247" s="11">
        <v>55</v>
      </c>
      <c r="M247" s="11">
        <v>116</v>
      </c>
      <c r="N247" s="11">
        <v>0</v>
      </c>
      <c r="O247" s="13">
        <v>0</v>
      </c>
      <c r="P247" s="14">
        <v>876</v>
      </c>
      <c r="Q247" s="14">
        <v>0</v>
      </c>
      <c r="R247" s="14"/>
      <c r="S247" s="14"/>
      <c r="T247" s="14"/>
      <c r="U247" s="69">
        <v>0</v>
      </c>
      <c r="V247" s="69"/>
      <c r="W247" s="70">
        <v>0.11</v>
      </c>
      <c r="X247" s="15">
        <v>2.3297872340425532E-2</v>
      </c>
      <c r="Y247" s="16">
        <f>VLOOKUP(C247,台股行情!A:D,4,FALSE)</f>
        <v>3705</v>
      </c>
      <c r="Z247" s="38">
        <f>VLOOKUP(C247,台股行情!A:E,5,FALSE)</f>
        <v>-235</v>
      </c>
      <c r="AA247" s="90">
        <f t="shared" ca="1" si="46"/>
        <v>102.94600810426022</v>
      </c>
      <c r="AB247" s="103" t="s">
        <v>2729</v>
      </c>
    </row>
    <row r="248" spans="1:28" outlineLevel="1">
      <c r="A248" s="99">
        <v>45695</v>
      </c>
      <c r="B248" s="11"/>
      <c r="C248" s="11">
        <v>3661</v>
      </c>
      <c r="D248" s="189" t="s">
        <v>1067</v>
      </c>
      <c r="E248" s="11">
        <v>10</v>
      </c>
      <c r="F248" s="11">
        <v>3455</v>
      </c>
      <c r="G248" s="11">
        <v>34550</v>
      </c>
      <c r="H248" s="11">
        <v>49</v>
      </c>
      <c r="I248" s="104">
        <v>45881</v>
      </c>
      <c r="J248" s="16">
        <v>4055</v>
      </c>
      <c r="K248" s="11">
        <v>40550</v>
      </c>
      <c r="L248" s="11">
        <v>57</v>
      </c>
      <c r="M248" s="11">
        <v>121</v>
      </c>
      <c r="N248" s="11">
        <v>0</v>
      </c>
      <c r="O248" s="13">
        <v>0</v>
      </c>
      <c r="P248" s="14">
        <v>5773</v>
      </c>
      <c r="Q248" s="14">
        <v>0</v>
      </c>
      <c r="R248" s="14"/>
      <c r="S248" s="14"/>
      <c r="T248" s="14"/>
      <c r="U248" s="69">
        <v>0</v>
      </c>
      <c r="V248" s="69"/>
      <c r="W248" s="70">
        <v>0.11</v>
      </c>
      <c r="X248" s="15">
        <v>0.16709117221418235</v>
      </c>
      <c r="Y248" s="16">
        <f>VLOOKUP(C248,台股行情!A:D,4,FALSE)</f>
        <v>3705</v>
      </c>
      <c r="Z248" s="38">
        <f>VLOOKUP(C248,台股行情!A:E,5,FALSE)</f>
        <v>-235</v>
      </c>
      <c r="AA248" s="90">
        <f t="shared" ca="1" si="46"/>
        <v>17594.732230861897</v>
      </c>
      <c r="AB248" s="103" t="s">
        <v>2729</v>
      </c>
    </row>
    <row r="249" spans="1:28" outlineLevel="1">
      <c r="A249" s="99">
        <v>45695</v>
      </c>
      <c r="B249" s="11"/>
      <c r="C249" s="11">
        <v>3661</v>
      </c>
      <c r="D249" s="189" t="s">
        <v>1067</v>
      </c>
      <c r="E249" s="11">
        <v>20</v>
      </c>
      <c r="F249" s="11">
        <v>3455</v>
      </c>
      <c r="G249" s="11">
        <v>69100</v>
      </c>
      <c r="H249" s="11">
        <v>98</v>
      </c>
      <c r="I249" s="104">
        <v>45898</v>
      </c>
      <c r="J249" s="16">
        <v>4120</v>
      </c>
      <c r="K249" s="11">
        <v>82400</v>
      </c>
      <c r="L249" s="11">
        <v>117</v>
      </c>
      <c r="M249" s="11">
        <v>247</v>
      </c>
      <c r="N249" s="11">
        <v>0</v>
      </c>
      <c r="O249" s="13">
        <v>0</v>
      </c>
      <c r="P249" s="14">
        <v>12838</v>
      </c>
      <c r="Q249" s="14">
        <v>0</v>
      </c>
      <c r="R249" s="14"/>
      <c r="S249" s="14"/>
      <c r="T249" s="14"/>
      <c r="U249" s="69">
        <v>0</v>
      </c>
      <c r="V249" s="69"/>
      <c r="W249" s="70">
        <v>0.11</v>
      </c>
      <c r="X249" s="15">
        <v>0.18578871201157743</v>
      </c>
      <c r="Y249" s="16">
        <f>VLOOKUP(C249,台股行情!A:D,4,FALSE)</f>
        <v>3705</v>
      </c>
      <c r="Z249" s="38">
        <f>VLOOKUP(C249,台股行情!A:E,5,FALSE)</f>
        <v>-235</v>
      </c>
      <c r="AA249" s="90">
        <f t="shared" ca="1" si="46"/>
        <v>38405.705837257694</v>
      </c>
      <c r="AB249" s="103" t="s">
        <v>2729</v>
      </c>
    </row>
    <row r="250" spans="1:28" outlineLevel="1">
      <c r="A250" s="99">
        <v>45695</v>
      </c>
      <c r="B250" s="11"/>
      <c r="C250" s="11">
        <v>3661</v>
      </c>
      <c r="D250" s="189" t="s">
        <v>1067</v>
      </c>
      <c r="E250" s="11">
        <v>20</v>
      </c>
      <c r="F250" s="11">
        <v>3455</v>
      </c>
      <c r="G250" s="11">
        <v>69100</v>
      </c>
      <c r="H250" s="11">
        <v>98</v>
      </c>
      <c r="I250" s="104">
        <v>45909</v>
      </c>
      <c r="J250" s="16">
        <v>3930</v>
      </c>
      <c r="K250" s="11">
        <v>78600</v>
      </c>
      <c r="L250" s="11">
        <v>112</v>
      </c>
      <c r="M250" s="11">
        <v>235</v>
      </c>
      <c r="N250" s="11">
        <v>0</v>
      </c>
      <c r="O250" s="13">
        <v>0</v>
      </c>
      <c r="P250" s="14">
        <v>9055</v>
      </c>
      <c r="Q250" s="14">
        <v>0</v>
      </c>
      <c r="R250" s="14"/>
      <c r="S250" s="14"/>
      <c r="T250" s="14"/>
      <c r="U250" s="69">
        <v>0</v>
      </c>
      <c r="V250" s="69"/>
      <c r="W250" s="70">
        <v>0.11</v>
      </c>
      <c r="X250" s="15">
        <v>0.13104196816208394</v>
      </c>
      <c r="Y250" s="16">
        <f>VLOOKUP(C250,台股行情!A:D,4,FALSE)</f>
        <v>3705</v>
      </c>
      <c r="Z250" s="38">
        <f>VLOOKUP(C250,台股行情!A:E,5,FALSE)</f>
        <v>-235</v>
      </c>
      <c r="AA250" s="90">
        <f t="shared" ca="1" si="46"/>
        <v>40486.803197897272</v>
      </c>
      <c r="AB250" s="103" t="s">
        <v>2729</v>
      </c>
    </row>
    <row r="251" spans="1:28" outlineLevel="1">
      <c r="A251" s="99">
        <v>45695</v>
      </c>
      <c r="B251" s="11"/>
      <c r="C251" s="11">
        <v>3661</v>
      </c>
      <c r="D251" s="189" t="s">
        <v>1067</v>
      </c>
      <c r="E251" s="11">
        <v>10</v>
      </c>
      <c r="F251" s="11">
        <v>3455</v>
      </c>
      <c r="G251" s="11">
        <v>34550</v>
      </c>
      <c r="H251" s="11">
        <v>49</v>
      </c>
      <c r="I251" s="104">
        <v>45909</v>
      </c>
      <c r="J251" s="16">
        <v>3975</v>
      </c>
      <c r="K251" s="11">
        <v>39750</v>
      </c>
      <c r="L251" s="11">
        <v>56</v>
      </c>
      <c r="M251" s="11">
        <v>119</v>
      </c>
      <c r="N251" s="11">
        <v>0</v>
      </c>
      <c r="O251" s="13">
        <v>0</v>
      </c>
      <c r="P251" s="14">
        <v>4976</v>
      </c>
      <c r="Q251" s="14">
        <v>0</v>
      </c>
      <c r="R251" s="14"/>
      <c r="S251" s="14"/>
      <c r="T251" s="14"/>
      <c r="U251" s="69">
        <v>0</v>
      </c>
      <c r="V251" s="69"/>
      <c r="W251" s="70">
        <v>0.11</v>
      </c>
      <c r="X251" s="15">
        <v>0.14402315484804631</v>
      </c>
      <c r="Y251" s="16">
        <f>VLOOKUP(C251,台股行情!A:D,4,FALSE)</f>
        <v>3705</v>
      </c>
      <c r="Z251" s="38">
        <f>VLOOKUP(C251,台股行情!A:E,5,FALSE)</f>
        <v>-235</v>
      </c>
      <c r="AA251" s="90">
        <f t="shared" ca="1" si="46"/>
        <v>20243.401598948636</v>
      </c>
      <c r="AB251" s="103" t="s">
        <v>2729</v>
      </c>
    </row>
    <row r="252" spans="1:28" outlineLevel="1">
      <c r="A252" s="99">
        <v>45917</v>
      </c>
      <c r="B252" s="11"/>
      <c r="C252" s="11">
        <v>2542</v>
      </c>
      <c r="D252" s="189" t="s">
        <v>795</v>
      </c>
      <c r="E252" s="11">
        <v>2000</v>
      </c>
      <c r="F252" s="11">
        <v>46.2</v>
      </c>
      <c r="G252" s="11">
        <v>92400</v>
      </c>
      <c r="H252" s="11">
        <v>131</v>
      </c>
      <c r="I252" s="104">
        <v>45923</v>
      </c>
      <c r="J252" s="16">
        <v>44.8</v>
      </c>
      <c r="K252" s="11">
        <v>89600</v>
      </c>
      <c r="L252" s="11">
        <v>127</v>
      </c>
      <c r="M252" s="11">
        <v>268</v>
      </c>
      <c r="N252" s="11">
        <v>0</v>
      </c>
      <c r="O252" s="13">
        <v>0</v>
      </c>
      <c r="P252" s="14">
        <v>-3326</v>
      </c>
      <c r="Q252" s="14">
        <v>0</v>
      </c>
      <c r="R252" s="14"/>
      <c r="S252" s="14"/>
      <c r="T252" s="14"/>
      <c r="U252" s="69">
        <v>0</v>
      </c>
      <c r="V252" s="69"/>
      <c r="W252" s="70">
        <v>0.11</v>
      </c>
      <c r="X252" s="15">
        <v>-3.5995670995670997E-2</v>
      </c>
      <c r="Y252" s="16">
        <f>VLOOKUP(C252,台股行情!A:D,4,FALSE)</f>
        <v>39.35</v>
      </c>
      <c r="Z252" s="38">
        <f>VLOOKUP(C252,台股行情!A:E,5,FALSE)</f>
        <v>-0.35</v>
      </c>
      <c r="AA252" s="90">
        <f ca="1">IF(I252="",((TODAY()-A252)*G252)/365.24,((I252-A252)*G252)/365.24)</f>
        <v>1517.9060343883473</v>
      </c>
      <c r="AB252" s="103" t="s">
        <v>2729</v>
      </c>
    </row>
    <row r="253" spans="1:28" outlineLevel="1">
      <c r="A253" s="99">
        <v>45889</v>
      </c>
      <c r="B253" s="11"/>
      <c r="C253" s="11">
        <v>3661</v>
      </c>
      <c r="D253" s="189" t="s">
        <v>1067</v>
      </c>
      <c r="E253" s="11">
        <v>10</v>
      </c>
      <c r="F253" s="11">
        <v>3800</v>
      </c>
      <c r="G253" s="11">
        <v>38000</v>
      </c>
      <c r="H253" s="11">
        <v>54</v>
      </c>
      <c r="I253" s="104">
        <v>45939</v>
      </c>
      <c r="J253" s="16">
        <v>3485</v>
      </c>
      <c r="K253" s="11">
        <v>34850</v>
      </c>
      <c r="L253" s="11">
        <v>49</v>
      </c>
      <c r="M253" s="11">
        <v>104</v>
      </c>
      <c r="N253" s="11">
        <v>0</v>
      </c>
      <c r="O253" s="13">
        <v>0</v>
      </c>
      <c r="P253" s="14">
        <v>-3357</v>
      </c>
      <c r="Q253" s="14">
        <v>0</v>
      </c>
      <c r="R253" s="14"/>
      <c r="S253" s="14"/>
      <c r="T253" s="14"/>
      <c r="U253" s="69">
        <v>0</v>
      </c>
      <c r="V253" s="69"/>
      <c r="W253" s="70">
        <v>0.11</v>
      </c>
      <c r="X253" s="15">
        <v>-8.8342105263157888E-2</v>
      </c>
      <c r="Y253" s="16">
        <f>VLOOKUP(C253,台股行情!A:D,4,FALSE)</f>
        <v>3705</v>
      </c>
      <c r="Z253" s="38">
        <f>VLOOKUP(C253,台股行情!A:E,5,FALSE)</f>
        <v>-235</v>
      </c>
      <c r="AA253" s="90">
        <f ca="1">IF(I253="",((TODAY()-A253)*G253)/365.24,((I253-A253)*G253)/365.24)</f>
        <v>5202.0589201620851</v>
      </c>
      <c r="AB253" s="103" t="s">
        <v>2729</v>
      </c>
    </row>
    <row r="254" spans="1:28" outlineLevel="1">
      <c r="A254" s="99">
        <v>45924</v>
      </c>
      <c r="B254" s="11"/>
      <c r="C254" s="11">
        <v>3661</v>
      </c>
      <c r="D254" s="189" t="s">
        <v>1067</v>
      </c>
      <c r="E254" s="11">
        <v>20</v>
      </c>
      <c r="F254" s="11">
        <v>3415</v>
      </c>
      <c r="G254" s="11">
        <v>68300</v>
      </c>
      <c r="H254" s="11">
        <v>97</v>
      </c>
      <c r="I254" s="104">
        <v>45968</v>
      </c>
      <c r="J254" s="16">
        <v>3610</v>
      </c>
      <c r="K254" s="11">
        <v>72200</v>
      </c>
      <c r="L254" s="11">
        <v>102</v>
      </c>
      <c r="M254" s="11">
        <v>216</v>
      </c>
      <c r="N254" s="11">
        <v>0</v>
      </c>
      <c r="O254" s="13">
        <v>0</v>
      </c>
      <c r="P254" s="14">
        <v>3485</v>
      </c>
      <c r="Q254" s="14">
        <v>0</v>
      </c>
      <c r="R254" s="14"/>
      <c r="S254" s="14"/>
      <c r="T254" s="14"/>
      <c r="U254" s="69">
        <v>0</v>
      </c>
      <c r="V254" s="69"/>
      <c r="W254" s="70">
        <v>0.11</v>
      </c>
      <c r="X254" s="15">
        <v>5.102489019033675E-2</v>
      </c>
      <c r="Y254" s="16">
        <f>VLOOKUP(C254,台股行情!A:D,4,FALSE)</f>
        <v>3705</v>
      </c>
      <c r="Z254" s="38">
        <f>VLOOKUP(C254,台股行情!A:E,5,FALSE)</f>
        <v>-235</v>
      </c>
      <c r="AA254" s="90">
        <f ca="1">IF(I254="",((TODAY()-A254)*G254)/365.24,((I254-A254)*G254)/365.24)</f>
        <v>8228.0144562479472</v>
      </c>
      <c r="AB254" s="103" t="s">
        <v>2729</v>
      </c>
    </row>
    <row r="255" spans="1:28" outlineLevel="1">
      <c r="A255" s="99">
        <v>45695</v>
      </c>
      <c r="B255" s="11"/>
      <c r="C255" s="11">
        <v>3661</v>
      </c>
      <c r="D255" s="189" t="s">
        <v>1067</v>
      </c>
      <c r="E255" s="11">
        <v>10</v>
      </c>
      <c r="F255" s="11">
        <v>3455</v>
      </c>
      <c r="G255" s="11">
        <v>34550</v>
      </c>
      <c r="H255" s="11">
        <v>49</v>
      </c>
      <c r="I255" s="104">
        <v>45972</v>
      </c>
      <c r="J255" s="16">
        <v>3680</v>
      </c>
      <c r="K255" s="11">
        <v>36800</v>
      </c>
      <c r="L255" s="11">
        <v>52</v>
      </c>
      <c r="M255" s="11">
        <v>110</v>
      </c>
      <c r="N255" s="11">
        <v>0</v>
      </c>
      <c r="O255" s="13">
        <v>0</v>
      </c>
      <c r="P255" s="14">
        <v>2039</v>
      </c>
      <c r="Q255" s="14">
        <v>0</v>
      </c>
      <c r="R255" s="14"/>
      <c r="S255" s="14"/>
      <c r="T255" s="14"/>
      <c r="U255" s="69">
        <v>0</v>
      </c>
      <c r="V255" s="69"/>
      <c r="W255" s="70">
        <v>0.11</v>
      </c>
      <c r="X255" s="15">
        <v>5.9015918958031835E-2</v>
      </c>
      <c r="Y255" s="16">
        <f>VLOOKUP(C255,台股行情!A:D,4,FALSE)</f>
        <v>3705</v>
      </c>
      <c r="Z255" s="38">
        <f>VLOOKUP(C255,台股行情!A:E,5,FALSE)</f>
        <v>-235</v>
      </c>
      <c r="AA255" s="90">
        <f t="shared" ref="AA255" ca="1" si="57">IF(I255="",((TODAY()-A255)*G255)/365.24,((I255-A255)*G255)/365.24)</f>
        <v>26202.907677143794</v>
      </c>
      <c r="AB255" s="103" t="s">
        <v>2729</v>
      </c>
    </row>
    <row r="256" spans="1:28" outlineLevel="1">
      <c r="A256" s="99">
        <v>45944</v>
      </c>
      <c r="B256" s="11"/>
      <c r="C256" s="11">
        <v>3661</v>
      </c>
      <c r="D256" s="189" t="s">
        <v>1067</v>
      </c>
      <c r="E256" s="11">
        <v>10</v>
      </c>
      <c r="F256" s="11">
        <v>3170</v>
      </c>
      <c r="G256" s="11">
        <v>31700</v>
      </c>
      <c r="H256" s="11">
        <v>45</v>
      </c>
      <c r="I256" s="104">
        <v>45978</v>
      </c>
      <c r="J256" s="16">
        <v>3615</v>
      </c>
      <c r="K256" s="11">
        <v>36150</v>
      </c>
      <c r="L256" s="11">
        <v>51</v>
      </c>
      <c r="M256" s="11">
        <v>108</v>
      </c>
      <c r="N256" s="11">
        <v>0</v>
      </c>
      <c r="O256" s="13">
        <v>0</v>
      </c>
      <c r="P256" s="14">
        <v>4246</v>
      </c>
      <c r="Q256" s="14">
        <v>0</v>
      </c>
      <c r="R256" s="14"/>
      <c r="S256" s="14"/>
      <c r="T256" s="14"/>
      <c r="U256" s="69">
        <v>0</v>
      </c>
      <c r="V256" s="69"/>
      <c r="W256" s="70">
        <v>0.11</v>
      </c>
      <c r="X256" s="15">
        <v>0.13394321766561515</v>
      </c>
      <c r="Y256" s="16">
        <f>VLOOKUP(C256,台股行情!A:D,4,FALSE)</f>
        <v>3705</v>
      </c>
      <c r="Z256" s="38">
        <f>VLOOKUP(C256,台股行情!A:E,5,FALSE)</f>
        <v>-235</v>
      </c>
      <c r="AA256" s="90">
        <f ca="1">IF(I256="",((TODAY()-A256)*G256)/365.24,((I256-A256)*G256)/365.24)</f>
        <v>2950.9363706056292</v>
      </c>
      <c r="AB256" s="103" t="s">
        <v>2729</v>
      </c>
    </row>
    <row r="257" spans="1:28" outlineLevel="1">
      <c r="A257" s="99">
        <v>45695</v>
      </c>
      <c r="B257" s="11"/>
      <c r="C257" s="11">
        <v>3661</v>
      </c>
      <c r="D257" s="189" t="s">
        <v>1067</v>
      </c>
      <c r="E257" s="11">
        <v>20</v>
      </c>
      <c r="F257" s="11">
        <v>3455</v>
      </c>
      <c r="G257" s="11">
        <v>69100</v>
      </c>
      <c r="H257" s="11">
        <v>100</v>
      </c>
      <c r="I257" s="104">
        <v>46001</v>
      </c>
      <c r="J257" s="16">
        <v>3360</v>
      </c>
      <c r="K257" s="11">
        <v>67200</v>
      </c>
      <c r="L257" s="11">
        <v>96</v>
      </c>
      <c r="M257" s="11">
        <v>202</v>
      </c>
      <c r="N257" s="11">
        <v>0</v>
      </c>
      <c r="O257" s="13">
        <v>0</v>
      </c>
      <c r="P257" s="14">
        <v>-25.829999999999984</v>
      </c>
      <c r="Q257" s="14">
        <v>0</v>
      </c>
      <c r="R257" s="14">
        <v>2553</v>
      </c>
      <c r="S257" s="14"/>
      <c r="T257" s="14"/>
      <c r="U257" s="69">
        <v>0</v>
      </c>
      <c r="V257" s="69"/>
      <c r="W257" s="70">
        <v>0.11</v>
      </c>
      <c r="X257" s="15">
        <v>-3.7380607814761194E-4</v>
      </c>
      <c r="Y257" s="16">
        <f>VLOOKUP(C257,台股行情!A:D,4,FALSE)</f>
        <v>3705</v>
      </c>
      <c r="Z257" s="38">
        <f>VLOOKUP(C257,台股行情!A:E,5,FALSE)</f>
        <v>-235</v>
      </c>
      <c r="AA257" s="90">
        <f t="shared" ref="AA257" ca="1" si="58">IF(I257="",((TODAY()-A257)*G257)/365.24,((I257-A257)*G257)/365.24)</f>
        <v>57892.344759610118</v>
      </c>
      <c r="AB257" s="103" t="s">
        <v>2729</v>
      </c>
    </row>
    <row r="258" spans="1:28" outlineLevel="1">
      <c r="A258" s="99">
        <v>45666</v>
      </c>
      <c r="B258" s="11"/>
      <c r="C258" s="11">
        <v>926</v>
      </c>
      <c r="D258" s="189" t="s">
        <v>2016</v>
      </c>
      <c r="E258" s="11">
        <v>4000</v>
      </c>
      <c r="F258" s="11">
        <v>22.11</v>
      </c>
      <c r="G258" s="11">
        <v>88440</v>
      </c>
      <c r="H258" s="11">
        <v>126</v>
      </c>
      <c r="I258" s="104">
        <v>46003</v>
      </c>
      <c r="J258" s="16">
        <v>24.66</v>
      </c>
      <c r="K258" s="11">
        <v>98640</v>
      </c>
      <c r="L258" s="11">
        <v>140</v>
      </c>
      <c r="M258" s="11">
        <v>98</v>
      </c>
      <c r="N258" s="11">
        <v>0</v>
      </c>
      <c r="O258" s="13">
        <v>0</v>
      </c>
      <c r="P258" s="14">
        <v>9836</v>
      </c>
      <c r="Q258" s="14">
        <v>0</v>
      </c>
      <c r="R258" s="14"/>
      <c r="S258" s="14"/>
      <c r="T258" s="14"/>
      <c r="U258" s="69">
        <v>0</v>
      </c>
      <c r="V258" s="69"/>
      <c r="W258" s="70">
        <v>0.11</v>
      </c>
      <c r="X258" s="15">
        <v>0.11121664405246495</v>
      </c>
      <c r="Y258" s="16">
        <f>VLOOKUP(C258,台股行情!A:D,4,FALSE)</f>
        <v>27.25</v>
      </c>
      <c r="Z258" s="38">
        <f>VLOOKUP(C258,台股行情!A:E,5,FALSE)</f>
        <v>-0.22</v>
      </c>
      <c r="AA258" s="90">
        <f ca="1">IF(I258="",((TODAY()-A258)*G258)/365.24,((I258-A258)*G258)/365.24)</f>
        <v>81601.905596320226</v>
      </c>
      <c r="AB258" s="103" t="s">
        <v>2733</v>
      </c>
    </row>
    <row r="259" spans="1:28">
      <c r="A259" s="99">
        <v>45915</v>
      </c>
      <c r="B259" s="11"/>
      <c r="C259" s="11">
        <v>3661</v>
      </c>
      <c r="D259" s="189" t="s">
        <v>1067</v>
      </c>
      <c r="E259" s="11">
        <v>10</v>
      </c>
      <c r="F259" s="11">
        <v>3740</v>
      </c>
      <c r="G259" s="11">
        <v>37400</v>
      </c>
      <c r="H259" s="11">
        <v>53</v>
      </c>
      <c r="I259" s="308">
        <v>46024</v>
      </c>
      <c r="J259" s="16">
        <v>3655</v>
      </c>
      <c r="K259" s="11">
        <v>36550</v>
      </c>
      <c r="L259" s="11">
        <v>52</v>
      </c>
      <c r="M259" s="11">
        <v>109</v>
      </c>
      <c r="N259" s="11">
        <v>0</v>
      </c>
      <c r="O259" s="13">
        <v>0</v>
      </c>
      <c r="P259" s="14">
        <v>-1064</v>
      </c>
      <c r="Q259" s="14">
        <v>0</v>
      </c>
      <c r="R259" s="14"/>
      <c r="S259" s="14"/>
      <c r="T259" s="14"/>
      <c r="U259" s="69">
        <v>0</v>
      </c>
      <c r="V259" s="69"/>
      <c r="W259" s="70">
        <v>0.11</v>
      </c>
      <c r="X259" s="15">
        <v>-2.8449197860962568E-2</v>
      </c>
      <c r="Y259" s="16">
        <f>VLOOKUP(C259,台股行情!A:D,4,FALSE)</f>
        <v>3705</v>
      </c>
      <c r="Z259" s="38">
        <f>VLOOKUP(C259,台股行情!A:E,5,FALSE)</f>
        <v>-235</v>
      </c>
      <c r="AA259" s="90">
        <f ca="1">IF(I259="",((TODAY()-A259)*G259)/365.24,((I259-A259)*G259)/365.24)</f>
        <v>11161.428102069871</v>
      </c>
      <c r="AB259" s="103" t="s">
        <v>2729</v>
      </c>
    </row>
    <row r="260" spans="1:28" outlineLevel="1">
      <c r="A260" s="99">
        <v>45925</v>
      </c>
      <c r="B260" s="11"/>
      <c r="C260" s="11">
        <v>770</v>
      </c>
      <c r="D260" s="189" t="str">
        <f>VLOOKUP(C260,台股行情!A:B,2,FALSE)</f>
        <v>國泰北美科技</v>
      </c>
      <c r="E260" s="11">
        <v>185</v>
      </c>
      <c r="F260" s="11">
        <v>53.8</v>
      </c>
      <c r="G260" s="11">
        <f t="shared" ref="G260" si="59">E260*F260</f>
        <v>9953</v>
      </c>
      <c r="H260" s="11">
        <v>1</v>
      </c>
      <c r="I260" s="308">
        <v>46090</v>
      </c>
      <c r="J260" s="16">
        <v>50.2</v>
      </c>
      <c r="K260" s="11">
        <f t="shared" ref="K260:K317" si="60">E260*J260</f>
        <v>9287</v>
      </c>
      <c r="L260" s="11">
        <f t="shared" ref="L260:L269" si="61">ROUND(J260*E260*0.1425%,0)</f>
        <v>13</v>
      </c>
      <c r="M260" s="11">
        <f t="shared" ref="M260:M269" si="62">ROUND(J260*E260*0.3%,0)</f>
        <v>28</v>
      </c>
      <c r="N260" s="11">
        <v>0</v>
      </c>
      <c r="O260" s="13">
        <f t="shared" ref="O260:O300" si="63">IF(I260="",E260*Y260,0)</f>
        <v>0</v>
      </c>
      <c r="P260" s="14">
        <f t="shared" ref="P260" si="64">IF(I260="",R260-H260,(K260-H260-SUM(L260:N260)+R260-S260-T260)-G260)+(ROUND(R260*V260,0)-ROUND(R260*(1+V260),0)*W260)</f>
        <v>-16.47</v>
      </c>
      <c r="Q260" s="14">
        <f t="shared" ref="Q260:Q300" si="65">IF(I260="",(O260-G260-(O260*0.1425%*0.65)-(O260*0.3%)-S260-T260),0)</f>
        <v>0</v>
      </c>
      <c r="R260" s="14">
        <v>777</v>
      </c>
      <c r="S260" s="14"/>
      <c r="T260" s="14"/>
      <c r="U260" s="69">
        <f t="shared" ref="U260:U317" si="66">(V260*50%)/(1+50%*V260)</f>
        <v>0</v>
      </c>
      <c r="V260" s="69"/>
      <c r="W260" s="70">
        <v>0.11</v>
      </c>
      <c r="X260" s="15">
        <f t="shared" ref="X260:X300" si="67">(P260+Q260)/G260</f>
        <v>-1.6547774540339596E-3</v>
      </c>
      <c r="Y260" s="16">
        <f>VLOOKUP(C260,台股行情!A:D,4,FALSE)</f>
        <v>64.349999999999994</v>
      </c>
      <c r="Z260" s="38">
        <f>VLOOKUP(C260,台股行情!A:E,5,FALSE)</f>
        <v>-2.2000000000000002</v>
      </c>
      <c r="AA260" s="90">
        <f t="shared" ref="AA260:AA323" ca="1" si="68">IF(I260="",((TODAY()-A260)*G260)/365.24,((I260-A260)*G260)/365.24)</f>
        <v>4496.3448691271487</v>
      </c>
      <c r="AB260" s="103" t="s">
        <v>2733</v>
      </c>
    </row>
    <row r="261" spans="1:28" outlineLevel="1">
      <c r="A261" s="99">
        <v>45937</v>
      </c>
      <c r="B261" s="11"/>
      <c r="C261" s="11">
        <v>770</v>
      </c>
      <c r="D261" s="189" t="str">
        <f>VLOOKUP(C261,台股行情!A:B,2,FALSE)</f>
        <v>國泰北美科技</v>
      </c>
      <c r="E261" s="11">
        <v>181</v>
      </c>
      <c r="F261" s="11">
        <v>54.96</v>
      </c>
      <c r="G261" s="11">
        <v>9947</v>
      </c>
      <c r="H261" s="11">
        <v>1</v>
      </c>
      <c r="I261" s="308">
        <v>46090</v>
      </c>
      <c r="J261" s="16">
        <v>50.2</v>
      </c>
      <c r="K261" s="11">
        <f t="shared" si="60"/>
        <v>9086.2000000000007</v>
      </c>
      <c r="L261" s="11">
        <f t="shared" si="61"/>
        <v>13</v>
      </c>
      <c r="M261" s="11">
        <f t="shared" si="62"/>
        <v>27</v>
      </c>
      <c r="N261" s="11">
        <v>0</v>
      </c>
      <c r="O261" s="13">
        <f t="shared" si="63"/>
        <v>0</v>
      </c>
      <c r="P261" s="14">
        <f t="shared" ref="P261:P269" si="69">IF(I261="",R261-H261,(K261-H261-SUM(L261:N261)+R261-S261-T261)-G261)+(ROUND(R261*V261,0)-ROUND(R261*(1+V261),0)*W261)</f>
        <v>-225.19999999999854</v>
      </c>
      <c r="Q261" s="14">
        <f t="shared" si="65"/>
        <v>0</v>
      </c>
      <c r="R261" s="14">
        <v>760.2</v>
      </c>
      <c r="S261" s="14"/>
      <c r="T261" s="14"/>
      <c r="U261" s="69">
        <f t="shared" si="66"/>
        <v>0</v>
      </c>
      <c r="V261" s="69"/>
      <c r="W261" s="70">
        <v>0.11</v>
      </c>
      <c r="X261" s="15">
        <f t="shared" si="67"/>
        <v>-2.2639991957373935E-2</v>
      </c>
      <c r="Y261" s="16">
        <f>VLOOKUP(C261,台股行情!A:D,4,FALSE)</f>
        <v>64.349999999999994</v>
      </c>
      <c r="Z261" s="38">
        <f>VLOOKUP(C261,台股行情!A:E,5,FALSE)</f>
        <v>-2.2000000000000002</v>
      </c>
      <c r="AA261" s="90">
        <f t="shared" ca="1" si="68"/>
        <v>4166.8245537181028</v>
      </c>
      <c r="AB261" s="103" t="s">
        <v>2733</v>
      </c>
    </row>
    <row r="262" spans="1:28" outlineLevel="1">
      <c r="A262" s="99">
        <v>45945</v>
      </c>
      <c r="B262" s="11"/>
      <c r="C262" s="11">
        <v>770</v>
      </c>
      <c r="D262" s="189" t="str">
        <f>VLOOKUP(C262,台股行情!A:B,2,FALSE)</f>
        <v>國泰北美科技</v>
      </c>
      <c r="E262" s="11">
        <v>182</v>
      </c>
      <c r="F262" s="11">
        <v>54.88</v>
      </c>
      <c r="G262" s="11">
        <v>9988</v>
      </c>
      <c r="H262" s="11">
        <v>1</v>
      </c>
      <c r="I262" s="308">
        <v>46090</v>
      </c>
      <c r="J262" s="16">
        <v>50.2</v>
      </c>
      <c r="K262" s="11">
        <f t="shared" si="60"/>
        <v>9136.4</v>
      </c>
      <c r="L262" s="11">
        <f t="shared" si="61"/>
        <v>13</v>
      </c>
      <c r="M262" s="11">
        <f t="shared" si="62"/>
        <v>27</v>
      </c>
      <c r="N262" s="11">
        <v>0</v>
      </c>
      <c r="O262" s="13">
        <f t="shared" si="63"/>
        <v>0</v>
      </c>
      <c r="P262" s="14">
        <f t="shared" si="69"/>
        <v>-212.24000000000075</v>
      </c>
      <c r="Q262" s="14">
        <f t="shared" si="65"/>
        <v>0</v>
      </c>
      <c r="R262" s="14">
        <v>764.4</v>
      </c>
      <c r="S262" s="14"/>
      <c r="T262" s="14"/>
      <c r="U262" s="69">
        <f t="shared" si="66"/>
        <v>0</v>
      </c>
      <c r="V262" s="69"/>
      <c r="W262" s="70">
        <v>0.11</v>
      </c>
      <c r="X262" s="15">
        <f t="shared" si="67"/>
        <v>-2.1249499399279208E-2</v>
      </c>
      <c r="Y262" s="16">
        <f>VLOOKUP(C262,台股行情!A:D,4,FALSE)</f>
        <v>64.349999999999994</v>
      </c>
      <c r="Z262" s="38">
        <f>VLOOKUP(C262,台股行情!A:E,5,FALSE)</f>
        <v>-2.2000000000000002</v>
      </c>
      <c r="AA262" s="90">
        <f t="shared" ca="1" si="68"/>
        <v>3965.2283430073376</v>
      </c>
      <c r="AB262" s="103" t="s">
        <v>2733</v>
      </c>
    </row>
    <row r="263" spans="1:28" outlineLevel="1">
      <c r="A263" s="99">
        <v>45957</v>
      </c>
      <c r="B263" s="11"/>
      <c r="C263" s="11">
        <v>770</v>
      </c>
      <c r="D263" s="189" t="str">
        <f>VLOOKUP(C263,台股行情!A:B,2,FALSE)</f>
        <v>國泰北美科技</v>
      </c>
      <c r="E263" s="11">
        <v>174</v>
      </c>
      <c r="F263" s="11">
        <v>57.41</v>
      </c>
      <c r="G263" s="11">
        <v>9989</v>
      </c>
      <c r="H263" s="11">
        <v>1</v>
      </c>
      <c r="I263" s="308">
        <v>46090</v>
      </c>
      <c r="J263" s="16">
        <v>50.2</v>
      </c>
      <c r="K263" s="11">
        <f t="shared" si="60"/>
        <v>8734.8000000000011</v>
      </c>
      <c r="L263" s="11">
        <f t="shared" si="61"/>
        <v>12</v>
      </c>
      <c r="M263" s="11">
        <f t="shared" si="62"/>
        <v>26</v>
      </c>
      <c r="N263" s="11">
        <v>0</v>
      </c>
      <c r="O263" s="13">
        <f t="shared" si="63"/>
        <v>0</v>
      </c>
      <c r="P263" s="14">
        <f t="shared" si="69"/>
        <v>-642.8099999999996</v>
      </c>
      <c r="Q263" s="14">
        <f t="shared" si="65"/>
        <v>0</v>
      </c>
      <c r="R263" s="14">
        <v>730.80000000000007</v>
      </c>
      <c r="S263" s="14"/>
      <c r="T263" s="14"/>
      <c r="U263" s="69">
        <f t="shared" si="66"/>
        <v>0</v>
      </c>
      <c r="V263" s="69"/>
      <c r="W263" s="70">
        <v>0.11</v>
      </c>
      <c r="X263" s="15">
        <f t="shared" si="67"/>
        <v>-6.4351786965662183E-2</v>
      </c>
      <c r="Y263" s="16">
        <f>VLOOKUP(C263,台股行情!A:D,4,FALSE)</f>
        <v>64.349999999999994</v>
      </c>
      <c r="Z263" s="38">
        <f>VLOOKUP(C263,台股行情!A:E,5,FALSE)</f>
        <v>-2.2000000000000002</v>
      </c>
      <c r="AA263" s="90">
        <f t="shared" ca="1" si="68"/>
        <v>3637.4356587449347</v>
      </c>
      <c r="AB263" s="103" t="s">
        <v>2733</v>
      </c>
    </row>
    <row r="264" spans="1:28" outlineLevel="1">
      <c r="A264" s="99">
        <v>45966</v>
      </c>
      <c r="B264" s="11"/>
      <c r="C264" s="11">
        <v>770</v>
      </c>
      <c r="D264" s="189" t="str">
        <f>VLOOKUP(C264,台股行情!A:B,2,FALSE)</f>
        <v>國泰北美科技</v>
      </c>
      <c r="E264" s="11">
        <v>174</v>
      </c>
      <c r="F264" s="11">
        <v>56.6</v>
      </c>
      <c r="G264" s="11">
        <v>9961</v>
      </c>
      <c r="H264" s="11">
        <v>1</v>
      </c>
      <c r="I264" s="308">
        <v>46090</v>
      </c>
      <c r="J264" s="16">
        <v>50.2</v>
      </c>
      <c r="K264" s="11">
        <f t="shared" si="60"/>
        <v>8734.8000000000011</v>
      </c>
      <c r="L264" s="11">
        <f t="shared" si="61"/>
        <v>12</v>
      </c>
      <c r="M264" s="11">
        <f t="shared" si="62"/>
        <v>26</v>
      </c>
      <c r="N264" s="11">
        <v>0</v>
      </c>
      <c r="O264" s="13">
        <f t="shared" si="63"/>
        <v>0</v>
      </c>
      <c r="P264" s="14">
        <f t="shared" si="69"/>
        <v>-614.8099999999996</v>
      </c>
      <c r="Q264" s="14">
        <f t="shared" si="65"/>
        <v>0</v>
      </c>
      <c r="R264" s="14">
        <v>730.80000000000007</v>
      </c>
      <c r="S264" s="14"/>
      <c r="T264" s="14"/>
      <c r="U264" s="69">
        <f t="shared" si="66"/>
        <v>0</v>
      </c>
      <c r="V264" s="69"/>
      <c r="W264" s="70">
        <v>0.11</v>
      </c>
      <c r="X264" s="15">
        <f t="shared" si="67"/>
        <v>-6.1721714687280355E-2</v>
      </c>
      <c r="Y264" s="16">
        <f>VLOOKUP(C264,台股行情!A:D,4,FALSE)</f>
        <v>64.349999999999994</v>
      </c>
      <c r="Z264" s="38">
        <f>VLOOKUP(C264,台股行情!A:E,5,FALSE)</f>
        <v>-2.2000000000000002</v>
      </c>
      <c r="AA264" s="90">
        <f t="shared" ca="1" si="68"/>
        <v>3381.7873179279377</v>
      </c>
      <c r="AB264" s="103" t="s">
        <v>2733</v>
      </c>
    </row>
    <row r="265" spans="1:28" outlineLevel="1">
      <c r="A265" s="99">
        <v>45978</v>
      </c>
      <c r="B265" s="11"/>
      <c r="C265" s="11">
        <v>770</v>
      </c>
      <c r="D265" s="189" t="str">
        <f>VLOOKUP(C265,台股行情!A:B,2,FALSE)</f>
        <v>國泰北美科技</v>
      </c>
      <c r="E265" s="11">
        <v>176</v>
      </c>
      <c r="F265" s="11">
        <v>56.51</v>
      </c>
      <c r="G265" s="11">
        <v>9945</v>
      </c>
      <c r="H265" s="11">
        <v>1</v>
      </c>
      <c r="I265" s="308">
        <v>46090</v>
      </c>
      <c r="J265" s="16">
        <v>50.2</v>
      </c>
      <c r="K265" s="11">
        <f t="shared" si="60"/>
        <v>8835.2000000000007</v>
      </c>
      <c r="L265" s="11">
        <f t="shared" si="61"/>
        <v>13</v>
      </c>
      <c r="M265" s="11">
        <f t="shared" si="62"/>
        <v>27</v>
      </c>
      <c r="N265" s="11">
        <v>0</v>
      </c>
      <c r="O265" s="13">
        <f t="shared" si="63"/>
        <v>0</v>
      </c>
      <c r="P265" s="14">
        <f t="shared" si="69"/>
        <v>-492.88999999999857</v>
      </c>
      <c r="Q265" s="14">
        <f t="shared" si="65"/>
        <v>0</v>
      </c>
      <c r="R265" s="14">
        <v>739.2</v>
      </c>
      <c r="S265" s="14"/>
      <c r="T265" s="14"/>
      <c r="U265" s="69">
        <f t="shared" si="66"/>
        <v>0</v>
      </c>
      <c r="V265" s="69"/>
      <c r="W265" s="70">
        <v>0.11</v>
      </c>
      <c r="X265" s="15">
        <f t="shared" si="67"/>
        <v>-4.956158873805918E-2</v>
      </c>
      <c r="Y265" s="16">
        <f>VLOOKUP(C265,台股行情!A:D,4,FALSE)</f>
        <v>64.349999999999994</v>
      </c>
      <c r="Z265" s="38">
        <f>VLOOKUP(C265,台股行情!A:E,5,FALSE)</f>
        <v>-2.2000000000000002</v>
      </c>
      <c r="AA265" s="90">
        <f t="shared" ca="1" si="68"/>
        <v>3049.6112145438615</v>
      </c>
      <c r="AB265" s="103" t="s">
        <v>2733</v>
      </c>
    </row>
    <row r="266" spans="1:28" outlineLevel="1">
      <c r="A266" s="99">
        <v>45986</v>
      </c>
      <c r="B266" s="11"/>
      <c r="C266" s="11">
        <v>770</v>
      </c>
      <c r="D266" s="189" t="str">
        <f>VLOOKUP(C266,台股行情!A:B,2,FALSE)</f>
        <v>國泰北美科技</v>
      </c>
      <c r="E266" s="11">
        <v>176</v>
      </c>
      <c r="F266" s="11">
        <v>56.56</v>
      </c>
      <c r="G266" s="11">
        <v>9954</v>
      </c>
      <c r="H266" s="11">
        <v>1</v>
      </c>
      <c r="I266" s="308">
        <v>46090</v>
      </c>
      <c r="J266" s="16">
        <v>50.2</v>
      </c>
      <c r="K266" s="11">
        <f t="shared" si="60"/>
        <v>8835.2000000000007</v>
      </c>
      <c r="L266" s="11">
        <f t="shared" si="61"/>
        <v>13</v>
      </c>
      <c r="M266" s="11">
        <f t="shared" si="62"/>
        <v>27</v>
      </c>
      <c r="N266" s="11">
        <v>0</v>
      </c>
      <c r="O266" s="13">
        <f t="shared" si="63"/>
        <v>0</v>
      </c>
      <c r="P266" s="14">
        <f t="shared" si="69"/>
        <v>-501.88999999999857</v>
      </c>
      <c r="Q266" s="14">
        <f t="shared" si="65"/>
        <v>0</v>
      </c>
      <c r="R266" s="14">
        <v>739.2</v>
      </c>
      <c r="S266" s="14"/>
      <c r="T266" s="14"/>
      <c r="U266" s="69">
        <f t="shared" si="66"/>
        <v>0</v>
      </c>
      <c r="V266" s="69"/>
      <c r="W266" s="70">
        <v>0.11</v>
      </c>
      <c r="X266" s="15">
        <f t="shared" si="67"/>
        <v>-5.042093630701211E-2</v>
      </c>
      <c r="Y266" s="16">
        <f>VLOOKUP(C266,台股行情!A:D,4,FALSE)</f>
        <v>64.349999999999994</v>
      </c>
      <c r="Z266" s="38">
        <f>VLOOKUP(C266,台股行情!A:E,5,FALSE)</f>
        <v>-2.2000000000000002</v>
      </c>
      <c r="AA266" s="90">
        <f t="shared" ca="1" si="68"/>
        <v>2834.3445405760594</v>
      </c>
      <c r="AB266" s="103" t="s">
        <v>2733</v>
      </c>
    </row>
    <row r="267" spans="1:28" outlineLevel="1">
      <c r="A267" s="99">
        <v>45996</v>
      </c>
      <c r="B267" s="11"/>
      <c r="C267" s="11">
        <v>770</v>
      </c>
      <c r="D267" s="189" t="str">
        <f>VLOOKUP(C267,台股行情!A:B,2,FALSE)</f>
        <v>國泰北美科技</v>
      </c>
      <c r="E267" s="11">
        <v>170</v>
      </c>
      <c r="F267" s="11">
        <v>58.51</v>
      </c>
      <c r="G267" s="11">
        <v>9946</v>
      </c>
      <c r="H267" s="11">
        <v>1</v>
      </c>
      <c r="I267" s="308">
        <v>46090</v>
      </c>
      <c r="J267" s="16">
        <v>50.2</v>
      </c>
      <c r="K267" s="11">
        <f t="shared" si="60"/>
        <v>8534</v>
      </c>
      <c r="L267" s="11">
        <f t="shared" si="61"/>
        <v>12</v>
      </c>
      <c r="M267" s="11">
        <f t="shared" si="62"/>
        <v>26</v>
      </c>
      <c r="N267" s="11">
        <v>0</v>
      </c>
      <c r="O267" s="13">
        <f t="shared" si="63"/>
        <v>0</v>
      </c>
      <c r="P267" s="14">
        <f t="shared" si="69"/>
        <v>-815.54</v>
      </c>
      <c r="Q267" s="14">
        <f t="shared" si="65"/>
        <v>0</v>
      </c>
      <c r="R267" s="14">
        <v>714</v>
      </c>
      <c r="S267" s="14"/>
      <c r="T267" s="14"/>
      <c r="U267" s="69">
        <f t="shared" si="66"/>
        <v>0</v>
      </c>
      <c r="V267" s="69"/>
      <c r="W267" s="70">
        <v>0.11</v>
      </c>
      <c r="X267" s="15">
        <f t="shared" si="67"/>
        <v>-8.1996782626181375E-2</v>
      </c>
      <c r="Y267" s="16">
        <f>VLOOKUP(C267,台股行情!A:D,4,FALSE)</f>
        <v>64.349999999999994</v>
      </c>
      <c r="Z267" s="38">
        <f>VLOOKUP(C267,台股行情!A:E,5,FALSE)</f>
        <v>-2.2000000000000002</v>
      </c>
      <c r="AA267" s="90">
        <f t="shared" ca="1" si="68"/>
        <v>2559.75249151243</v>
      </c>
      <c r="AB267" s="103" t="s">
        <v>2733</v>
      </c>
    </row>
    <row r="268" spans="1:28" outlineLevel="1">
      <c r="A268" s="99">
        <v>46006</v>
      </c>
      <c r="B268" s="11"/>
      <c r="C268" s="11">
        <v>770</v>
      </c>
      <c r="D268" s="189" t="str">
        <f>VLOOKUP(C268,台股行情!A:B,2,FALSE)</f>
        <v>國泰北美科技</v>
      </c>
      <c r="E268" s="11">
        <v>173</v>
      </c>
      <c r="F268" s="11">
        <v>57.54</v>
      </c>
      <c r="G268" s="11">
        <v>9954</v>
      </c>
      <c r="H268" s="11">
        <v>1</v>
      </c>
      <c r="I268" s="308">
        <v>46090</v>
      </c>
      <c r="J268" s="16">
        <v>50.2</v>
      </c>
      <c r="K268" s="11">
        <f t="shared" si="60"/>
        <v>8684.6</v>
      </c>
      <c r="L268" s="11">
        <f t="shared" si="61"/>
        <v>12</v>
      </c>
      <c r="M268" s="11">
        <f t="shared" si="62"/>
        <v>26</v>
      </c>
      <c r="N268" s="11">
        <v>0</v>
      </c>
      <c r="O268" s="13">
        <f t="shared" si="63"/>
        <v>0</v>
      </c>
      <c r="P268" s="14">
        <f t="shared" si="69"/>
        <v>-661.7699999999993</v>
      </c>
      <c r="Q268" s="14">
        <f t="shared" si="65"/>
        <v>0</v>
      </c>
      <c r="R268" s="14">
        <v>726.6</v>
      </c>
      <c r="S268" s="14"/>
      <c r="T268" s="14"/>
      <c r="U268" s="69">
        <f t="shared" si="66"/>
        <v>0</v>
      </c>
      <c r="V268" s="69"/>
      <c r="W268" s="70">
        <v>0.11</v>
      </c>
      <c r="X268" s="15">
        <f t="shared" si="67"/>
        <v>-6.6482820976491788E-2</v>
      </c>
      <c r="Y268" s="16">
        <f>VLOOKUP(C268,台股行情!A:D,4,FALSE)</f>
        <v>64.349999999999994</v>
      </c>
      <c r="Z268" s="38">
        <f>VLOOKUP(C268,台股行情!A:E,5,FALSE)</f>
        <v>-2.2000000000000002</v>
      </c>
      <c r="AA268" s="90">
        <f t="shared" ca="1" si="68"/>
        <v>2289.2782827729711</v>
      </c>
      <c r="AB268" s="103" t="s">
        <v>2733</v>
      </c>
    </row>
    <row r="269" spans="1:28" outlineLevel="1">
      <c r="A269" s="99">
        <v>46017</v>
      </c>
      <c r="B269" s="11"/>
      <c r="C269" s="11">
        <v>770</v>
      </c>
      <c r="D269" s="189" t="str">
        <f>VLOOKUP(C269,台股行情!A:B,2,FALSE)</f>
        <v>國泰北美科技</v>
      </c>
      <c r="E269" s="11">
        <v>170</v>
      </c>
      <c r="F269" s="11">
        <v>58.61</v>
      </c>
      <c r="G269" s="11">
        <v>9963</v>
      </c>
      <c r="H269" s="11">
        <v>1</v>
      </c>
      <c r="I269" s="308">
        <v>46090</v>
      </c>
      <c r="J269" s="16">
        <v>50.2</v>
      </c>
      <c r="K269" s="11">
        <f t="shared" si="60"/>
        <v>8534</v>
      </c>
      <c r="L269" s="11">
        <f t="shared" si="61"/>
        <v>12</v>
      </c>
      <c r="M269" s="11">
        <f t="shared" si="62"/>
        <v>26</v>
      </c>
      <c r="N269" s="11">
        <v>0</v>
      </c>
      <c r="O269" s="13">
        <f t="shared" si="63"/>
        <v>0</v>
      </c>
      <c r="P269" s="14">
        <f t="shared" si="69"/>
        <v>-832.54</v>
      </c>
      <c r="Q269" s="14">
        <f t="shared" si="65"/>
        <v>0</v>
      </c>
      <c r="R269" s="14">
        <v>714</v>
      </c>
      <c r="S269" s="14"/>
      <c r="T269" s="14"/>
      <c r="U269" s="69">
        <f t="shared" si="66"/>
        <v>0</v>
      </c>
      <c r="V269" s="69"/>
      <c r="W269" s="70">
        <v>0.11</v>
      </c>
      <c r="X269" s="15">
        <f t="shared" si="67"/>
        <v>-8.356318377998595E-2</v>
      </c>
      <c r="Y269" s="16">
        <f>VLOOKUP(C269,台股行情!A:D,4,FALSE)</f>
        <v>64.349999999999994</v>
      </c>
      <c r="Z269" s="38">
        <f>VLOOKUP(C269,台股行情!A:E,5,FALSE)</f>
        <v>-2.2000000000000002</v>
      </c>
      <c r="AA269" s="90">
        <f t="shared" ca="1" si="68"/>
        <v>1991.2906581973496</v>
      </c>
      <c r="AB269" s="103" t="s">
        <v>2733</v>
      </c>
    </row>
    <row r="270" spans="1:28" outlineLevel="1">
      <c r="A270" s="99">
        <v>45882</v>
      </c>
      <c r="B270" s="11"/>
      <c r="C270" s="11">
        <v>6525</v>
      </c>
      <c r="D270" s="189" t="str">
        <f>VLOOKUP(C270,台股行情!A:B,2,FALSE)</f>
        <v>捷敏-KY</v>
      </c>
      <c r="E270" s="11">
        <v>1000</v>
      </c>
      <c r="F270" s="11">
        <v>70.8</v>
      </c>
      <c r="G270" s="11">
        <f>E270*F270</f>
        <v>70800</v>
      </c>
      <c r="H270" s="11">
        <v>100</v>
      </c>
      <c r="I270" s="308">
        <v>46139</v>
      </c>
      <c r="J270" s="16">
        <v>88.8</v>
      </c>
      <c r="K270" s="11">
        <f>E270*J270</f>
        <v>88800</v>
      </c>
      <c r="L270" s="11">
        <v>126</v>
      </c>
      <c r="M270" s="11">
        <v>266</v>
      </c>
      <c r="N270" s="11">
        <v>0</v>
      </c>
      <c r="O270" s="13">
        <f>IF(I270="",E270*Y270,0)</f>
        <v>0</v>
      </c>
      <c r="P270" s="14">
        <f>IF(I270="",R270-H270,(K270-H270-SUM(L270:N270)+R270-S270-T270)-G270)+(ROUND(R270*V270,0)-ROUND(R270*(1+V270),0)*W270)</f>
        <v>17508</v>
      </c>
      <c r="Q270" s="14">
        <f>IF(I270="",(O270-G270-(O270*0.1425%*0.65)-(O270*0.3%)-S270-T270),0)</f>
        <v>0</v>
      </c>
      <c r="R270" s="14"/>
      <c r="S270" s="14"/>
      <c r="T270" s="14">
        <f>IF(ROUND(R270*(1+V270),0)&gt;20000,ROUND(ROUND(R270*(1+V270),0)*2%,0),0)</f>
        <v>0</v>
      </c>
      <c r="U270" s="69">
        <f>(V270*50%)/(1+50%*V270)</f>
        <v>0</v>
      </c>
      <c r="V270" s="69"/>
      <c r="W270" s="70">
        <v>0.11</v>
      </c>
      <c r="X270" s="15">
        <f>(P270+Q270)/G270</f>
        <v>0.24728813559322033</v>
      </c>
      <c r="Y270" s="16">
        <f>VLOOKUP(C270,台股行情!A:D,4,FALSE)</f>
        <v>128.5</v>
      </c>
      <c r="Z270" s="38">
        <f>VLOOKUP(C270,台股行情!A:E,5,FALSE)</f>
        <v>-8.5</v>
      </c>
      <c r="AA270" s="90">
        <f ca="1">IF(I270="",((TODAY()-A270)*G270)/365.24,((I270-A270)*G270)/365.24)</f>
        <v>49818.201730369074</v>
      </c>
      <c r="AB270" s="103" t="s">
        <v>2729</v>
      </c>
    </row>
    <row r="271" spans="1:28">
      <c r="A271" s="99">
        <v>46031</v>
      </c>
      <c r="B271" s="11"/>
      <c r="C271" s="11">
        <v>919</v>
      </c>
      <c r="D271" s="189" t="str">
        <f>VLOOKUP(C271,台股行情!A:B,2,FALSE)</f>
        <v>群益台灣精選高息</v>
      </c>
      <c r="E271" s="11">
        <v>1000</v>
      </c>
      <c r="F271" s="11">
        <v>22.98</v>
      </c>
      <c r="G271" s="11">
        <f>E271*F271</f>
        <v>22980</v>
      </c>
      <c r="H271" s="11">
        <v>32</v>
      </c>
      <c r="I271" s="104">
        <v>46050</v>
      </c>
      <c r="J271" s="16">
        <v>24.41</v>
      </c>
      <c r="K271" s="11">
        <f t="shared" si="60"/>
        <v>24410</v>
      </c>
      <c r="L271" s="11">
        <v>33</v>
      </c>
      <c r="M271" s="11">
        <v>23</v>
      </c>
      <c r="N271" s="11">
        <v>0</v>
      </c>
      <c r="O271" s="13">
        <f t="shared" si="63"/>
        <v>0</v>
      </c>
      <c r="P271" s="14">
        <f t="shared" ref="P271:P284" si="70">IF(I271="",R271-H271,(K271-H271-SUM(L271:N271)+R271-S271-T271)-G271)+(ROUND(R271*V271,0)-ROUND(R271*(1+V271),0)*W271)</f>
        <v>1342</v>
      </c>
      <c r="Q271" s="14">
        <f t="shared" si="65"/>
        <v>0</v>
      </c>
      <c r="R271" s="14"/>
      <c r="S271" s="14"/>
      <c r="T271" s="14"/>
      <c r="U271" s="69">
        <f t="shared" si="66"/>
        <v>0</v>
      </c>
      <c r="V271" s="69"/>
      <c r="W271" s="70">
        <v>0.11</v>
      </c>
      <c r="X271" s="15">
        <f t="shared" si="67"/>
        <v>5.8398607484769362E-2</v>
      </c>
      <c r="Y271" s="16">
        <f>VLOOKUP(C271,台股行情!A:D,4,FALSE)</f>
        <v>32.380000000000003</v>
      </c>
      <c r="Z271" s="38">
        <f>VLOOKUP(C271,台股行情!A:E,5,FALSE)</f>
        <v>-0.11</v>
      </c>
      <c r="AA271" s="90">
        <f t="shared" ca="1" si="68"/>
        <v>1195.4331398532472</v>
      </c>
      <c r="AB271" s="103" t="s">
        <v>2733</v>
      </c>
    </row>
    <row r="272" spans="1:28" outlineLevel="1">
      <c r="A272" s="99">
        <v>46031</v>
      </c>
      <c r="B272" s="11"/>
      <c r="C272" s="11">
        <v>918</v>
      </c>
      <c r="D272" s="189" t="str">
        <f>VLOOKUP(C272,台股行情!A:B,2,FALSE)</f>
        <v>大華優利高填息30</v>
      </c>
      <c r="E272" s="11">
        <v>1000</v>
      </c>
      <c r="F272" s="11">
        <v>22.71</v>
      </c>
      <c r="G272" s="11">
        <f>E272*F272</f>
        <v>22710</v>
      </c>
      <c r="H272" s="11">
        <v>32</v>
      </c>
      <c r="I272" s="104">
        <v>46050</v>
      </c>
      <c r="J272" s="16">
        <v>23.61</v>
      </c>
      <c r="K272" s="11">
        <f t="shared" si="60"/>
        <v>23610</v>
      </c>
      <c r="L272" s="11">
        <v>34</v>
      </c>
      <c r="M272" s="11">
        <v>24</v>
      </c>
      <c r="N272" s="11">
        <v>0</v>
      </c>
      <c r="O272" s="13">
        <f t="shared" si="63"/>
        <v>0</v>
      </c>
      <c r="P272" s="14">
        <f t="shared" si="70"/>
        <v>810</v>
      </c>
      <c r="Q272" s="14">
        <f t="shared" si="65"/>
        <v>0</v>
      </c>
      <c r="R272" s="14"/>
      <c r="S272" s="14"/>
      <c r="T272" s="14"/>
      <c r="U272" s="69">
        <f t="shared" si="66"/>
        <v>0</v>
      </c>
      <c r="V272" s="69"/>
      <c r="W272" s="70">
        <v>0.11</v>
      </c>
      <c r="X272" s="15">
        <f t="shared" si="67"/>
        <v>3.5667107001321002E-2</v>
      </c>
      <c r="Y272" s="16">
        <f>VLOOKUP(C272,台股行情!A:D,4,FALSE)</f>
        <v>34.15</v>
      </c>
      <c r="Z272" s="38">
        <f>VLOOKUP(C272,台股行情!A:E,5,FALSE)</f>
        <v>-0.37</v>
      </c>
      <c r="AA272" s="90">
        <f t="shared" ca="1" si="68"/>
        <v>1181.3875807688096</v>
      </c>
      <c r="AB272" s="103" t="s">
        <v>2733</v>
      </c>
    </row>
    <row r="273" spans="1:29" outlineLevel="1">
      <c r="A273" s="99">
        <v>46027</v>
      </c>
      <c r="B273" s="11"/>
      <c r="C273" s="11">
        <v>770</v>
      </c>
      <c r="D273" s="189" t="str">
        <f>VLOOKUP(C273,台股行情!A:B,2,FALSE)</f>
        <v>國泰北美科技</v>
      </c>
      <c r="E273" s="11">
        <v>172</v>
      </c>
      <c r="F273" s="11">
        <v>57.98</v>
      </c>
      <c r="G273" s="11">
        <v>9972</v>
      </c>
      <c r="H273" s="11">
        <v>1</v>
      </c>
      <c r="I273" s="104">
        <v>46090</v>
      </c>
      <c r="J273" s="16">
        <v>50.2</v>
      </c>
      <c r="K273" s="11">
        <f t="shared" si="60"/>
        <v>8634.4</v>
      </c>
      <c r="L273" s="11">
        <f t="shared" ref="L273:L278" si="71">ROUND(J273*E273*0.1425%,0)</f>
        <v>12</v>
      </c>
      <c r="M273" s="11">
        <f t="shared" ref="M273:M278" si="72">ROUND(J273*E273*0.3%,0)</f>
        <v>26</v>
      </c>
      <c r="N273" s="11">
        <v>0</v>
      </c>
      <c r="O273" s="13">
        <f t="shared" si="63"/>
        <v>0</v>
      </c>
      <c r="P273" s="14">
        <f t="shared" si="70"/>
        <v>-733.62000000000069</v>
      </c>
      <c r="Q273" s="14">
        <f t="shared" si="65"/>
        <v>0</v>
      </c>
      <c r="R273" s="14">
        <v>722.4</v>
      </c>
      <c r="S273" s="14"/>
      <c r="T273" s="14"/>
      <c r="U273" s="69">
        <f t="shared" si="66"/>
        <v>0</v>
      </c>
      <c r="V273" s="69"/>
      <c r="W273" s="70">
        <v>0.11</v>
      </c>
      <c r="X273" s="15">
        <f t="shared" si="67"/>
        <v>-7.3567990373044595E-2</v>
      </c>
      <c r="Y273" s="16">
        <f>VLOOKUP(C273,台股行情!A:D,4,FALSE)</f>
        <v>64.349999999999994</v>
      </c>
      <c r="Z273" s="38">
        <f>VLOOKUP(C273,台股行情!A:E,5,FALSE)</f>
        <v>-2.2000000000000002</v>
      </c>
      <c r="AA273" s="90">
        <f t="shared" ca="1" si="68"/>
        <v>1720.0635198773409</v>
      </c>
      <c r="AB273" s="103" t="s">
        <v>2733</v>
      </c>
    </row>
    <row r="274" spans="1:29" outlineLevel="1">
      <c r="A274" s="99">
        <v>46037</v>
      </c>
      <c r="B274" s="11"/>
      <c r="C274" s="11">
        <v>770</v>
      </c>
      <c r="D274" s="189" t="str">
        <f>VLOOKUP(C274,台股行情!A:B,2,FALSE)</f>
        <v>國泰北美科技</v>
      </c>
      <c r="E274" s="11">
        <v>171</v>
      </c>
      <c r="F274" s="11">
        <v>58.44</v>
      </c>
      <c r="G274" s="11">
        <v>9993</v>
      </c>
      <c r="H274" s="11">
        <v>1</v>
      </c>
      <c r="I274" s="104">
        <v>46090</v>
      </c>
      <c r="J274" s="16">
        <v>50.2</v>
      </c>
      <c r="K274" s="11">
        <f t="shared" si="60"/>
        <v>8584.2000000000007</v>
      </c>
      <c r="L274" s="11">
        <f t="shared" si="71"/>
        <v>12</v>
      </c>
      <c r="M274" s="11">
        <f t="shared" si="72"/>
        <v>26</v>
      </c>
      <c r="N274" s="11">
        <v>0</v>
      </c>
      <c r="O274" s="13">
        <f t="shared" si="63"/>
        <v>0</v>
      </c>
      <c r="P274" s="14">
        <f t="shared" si="70"/>
        <v>-808.57999999999856</v>
      </c>
      <c r="Q274" s="14">
        <f t="shared" si="65"/>
        <v>0</v>
      </c>
      <c r="R274" s="14">
        <v>718.2</v>
      </c>
      <c r="S274" s="14"/>
      <c r="T274" s="14"/>
      <c r="U274" s="69">
        <f t="shared" si="66"/>
        <v>0</v>
      </c>
      <c r="V274" s="69"/>
      <c r="W274" s="70">
        <v>0.11</v>
      </c>
      <c r="X274" s="15">
        <f t="shared" si="67"/>
        <v>-8.0914640248173575E-2</v>
      </c>
      <c r="Y274" s="16">
        <f>VLOOKUP(C274,台股行情!A:D,4,FALSE)</f>
        <v>64.349999999999994</v>
      </c>
      <c r="Z274" s="38">
        <f>VLOOKUP(C274,台股行情!A:E,5,FALSE)</f>
        <v>-2.2000000000000002</v>
      </c>
      <c r="AA274" s="90">
        <f t="shared" ca="1" si="68"/>
        <v>1450.0848756981711</v>
      </c>
      <c r="AB274" s="103" t="s">
        <v>2733</v>
      </c>
    </row>
    <row r="275" spans="1:29" outlineLevel="1">
      <c r="A275" s="99">
        <v>46049</v>
      </c>
      <c r="B275" s="11"/>
      <c r="C275" s="11">
        <v>770</v>
      </c>
      <c r="D275" s="189" t="str">
        <f>VLOOKUP(C275,台股行情!A:B,2,FALSE)</f>
        <v>國泰北美科技</v>
      </c>
      <c r="E275" s="11">
        <v>186</v>
      </c>
      <c r="F275" s="11">
        <v>53.64</v>
      </c>
      <c r="G275" s="11">
        <v>9977</v>
      </c>
      <c r="H275" s="11">
        <v>1</v>
      </c>
      <c r="I275" s="104">
        <v>46090</v>
      </c>
      <c r="J275" s="16">
        <v>50.2</v>
      </c>
      <c r="K275" s="11">
        <f t="shared" si="60"/>
        <v>9337.2000000000007</v>
      </c>
      <c r="L275" s="11">
        <f t="shared" si="71"/>
        <v>13</v>
      </c>
      <c r="M275" s="11">
        <f t="shared" si="72"/>
        <v>28</v>
      </c>
      <c r="N275" s="11">
        <v>0</v>
      </c>
      <c r="O275" s="13">
        <f t="shared" si="63"/>
        <v>0</v>
      </c>
      <c r="P275" s="14">
        <f t="shared" si="70"/>
        <v>-42.579999999998549</v>
      </c>
      <c r="Q275" s="14">
        <f t="shared" si="65"/>
        <v>0</v>
      </c>
      <c r="R275" s="14">
        <v>718.2</v>
      </c>
      <c r="S275" s="14"/>
      <c r="T275" s="14"/>
      <c r="U275" s="69">
        <f t="shared" si="66"/>
        <v>0</v>
      </c>
      <c r="V275" s="69"/>
      <c r="W275" s="70">
        <v>0.11</v>
      </c>
      <c r="X275" s="15">
        <f t="shared" si="67"/>
        <v>-4.2678159767463716E-3</v>
      </c>
      <c r="Y275" s="16">
        <f>VLOOKUP(C275,台股行情!A:D,4,FALSE)</f>
        <v>64.349999999999994</v>
      </c>
      <c r="Z275" s="38">
        <f>VLOOKUP(C275,台股行情!A:E,5,FALSE)</f>
        <v>-2.2000000000000002</v>
      </c>
      <c r="AA275" s="90">
        <f t="shared" ca="1" si="68"/>
        <v>1119.96769247618</v>
      </c>
      <c r="AB275" s="103" t="s">
        <v>2733</v>
      </c>
    </row>
    <row r="276" spans="1:29" outlineLevel="1">
      <c r="A276" s="99">
        <v>46058</v>
      </c>
      <c r="B276" s="11"/>
      <c r="C276" s="11">
        <v>770</v>
      </c>
      <c r="D276" s="189" t="str">
        <f>VLOOKUP(C276,台股行情!A:B,2,FALSE)</f>
        <v>國泰北美科技</v>
      </c>
      <c r="E276" s="11">
        <v>192</v>
      </c>
      <c r="F276" s="11">
        <v>52.04</v>
      </c>
      <c r="G276" s="11">
        <v>9991</v>
      </c>
      <c r="H276" s="11">
        <v>1</v>
      </c>
      <c r="I276" s="104">
        <v>46090</v>
      </c>
      <c r="J276" s="16">
        <v>50.2</v>
      </c>
      <c r="K276" s="11">
        <f t="shared" si="60"/>
        <v>9638.4000000000015</v>
      </c>
      <c r="L276" s="11">
        <f t="shared" si="71"/>
        <v>14</v>
      </c>
      <c r="M276" s="11">
        <f t="shared" si="72"/>
        <v>29</v>
      </c>
      <c r="N276" s="11">
        <v>0</v>
      </c>
      <c r="O276" s="13">
        <f t="shared" si="63"/>
        <v>0</v>
      </c>
      <c r="P276" s="14">
        <f t="shared" si="70"/>
        <v>246.38000000000108</v>
      </c>
      <c r="Q276" s="14">
        <f t="shared" si="65"/>
        <v>0</v>
      </c>
      <c r="R276" s="14">
        <v>722.4</v>
      </c>
      <c r="S276" s="14"/>
      <c r="T276" s="14"/>
      <c r="U276" s="69">
        <f t="shared" si="66"/>
        <v>0</v>
      </c>
      <c r="V276" s="69"/>
      <c r="W276" s="70">
        <v>0.11</v>
      </c>
      <c r="X276" s="15">
        <f t="shared" si="67"/>
        <v>2.4660194174757389E-2</v>
      </c>
      <c r="Y276" s="16">
        <f>VLOOKUP(C276,台股行情!A:D,4,FALSE)</f>
        <v>64.349999999999994</v>
      </c>
      <c r="Z276" s="38">
        <f>VLOOKUP(C276,台股行情!A:E,5,FALSE)</f>
        <v>-2.2000000000000002</v>
      </c>
      <c r="AA276" s="90">
        <f t="shared" ca="1" si="68"/>
        <v>875.34771656992655</v>
      </c>
      <c r="AB276" s="103" t="s">
        <v>2733</v>
      </c>
    </row>
    <row r="277" spans="1:29" outlineLevel="1">
      <c r="A277" s="99">
        <v>46076</v>
      </c>
      <c r="B277" s="11"/>
      <c r="C277" s="11">
        <v>770</v>
      </c>
      <c r="D277" s="189" t="str">
        <f>VLOOKUP(C277,台股行情!A:B,2,FALSE)</f>
        <v>國泰北美科技</v>
      </c>
      <c r="E277" s="11">
        <v>193</v>
      </c>
      <c r="F277" s="11">
        <v>51.65</v>
      </c>
      <c r="G277" s="11">
        <v>9968</v>
      </c>
      <c r="H277" s="11">
        <v>1</v>
      </c>
      <c r="I277" s="104">
        <v>46090</v>
      </c>
      <c r="J277" s="16">
        <v>50.2</v>
      </c>
      <c r="K277" s="11">
        <f t="shared" si="60"/>
        <v>9688.6</v>
      </c>
      <c r="L277" s="11">
        <f t="shared" si="71"/>
        <v>14</v>
      </c>
      <c r="M277" s="11">
        <f t="shared" si="72"/>
        <v>29</v>
      </c>
      <c r="N277" s="11">
        <v>0</v>
      </c>
      <c r="O277" s="13">
        <f t="shared" si="63"/>
        <v>0</v>
      </c>
      <c r="P277" s="14">
        <f t="shared" si="70"/>
        <v>319.58</v>
      </c>
      <c r="Q277" s="14">
        <f t="shared" si="65"/>
        <v>0</v>
      </c>
      <c r="R277" s="14">
        <v>722.4</v>
      </c>
      <c r="S277" s="14"/>
      <c r="T277" s="14"/>
      <c r="U277" s="69">
        <f t="shared" si="66"/>
        <v>0</v>
      </c>
      <c r="V277" s="69"/>
      <c r="W277" s="70">
        <v>0.11</v>
      </c>
      <c r="X277" s="15">
        <f t="shared" si="67"/>
        <v>3.2060593900481542E-2</v>
      </c>
      <c r="Y277" s="16">
        <f>VLOOKUP(C277,台股行情!A:D,4,FALSE)</f>
        <v>64.349999999999994</v>
      </c>
      <c r="Z277" s="38">
        <f>VLOOKUP(C277,台股行情!A:E,5,FALSE)</f>
        <v>-2.2000000000000002</v>
      </c>
      <c r="AA277" s="90">
        <f t="shared" ca="1" si="68"/>
        <v>382.08301390866279</v>
      </c>
      <c r="AB277" s="103" t="s">
        <v>2733</v>
      </c>
    </row>
    <row r="278" spans="1:29" outlineLevel="1">
      <c r="A278" s="99">
        <v>46078</v>
      </c>
      <c r="B278" s="11"/>
      <c r="C278" s="11">
        <v>770</v>
      </c>
      <c r="D278" s="189" t="str">
        <f>VLOOKUP(C278,台股行情!A:B,2,FALSE)</f>
        <v>國泰北美科技</v>
      </c>
      <c r="E278" s="11">
        <v>193</v>
      </c>
      <c r="F278" s="11">
        <v>51.65</v>
      </c>
      <c r="G278" s="11">
        <v>9968</v>
      </c>
      <c r="H278" s="11">
        <v>1</v>
      </c>
      <c r="I278" s="104">
        <v>46090</v>
      </c>
      <c r="J278" s="16">
        <v>50.2</v>
      </c>
      <c r="K278" s="11">
        <f t="shared" si="60"/>
        <v>9688.6</v>
      </c>
      <c r="L278" s="11">
        <f t="shared" si="71"/>
        <v>14</v>
      </c>
      <c r="M278" s="11">
        <f t="shared" si="72"/>
        <v>29</v>
      </c>
      <c r="N278" s="11">
        <v>0</v>
      </c>
      <c r="O278" s="13">
        <f t="shared" si="63"/>
        <v>0</v>
      </c>
      <c r="P278" s="14">
        <f t="shared" si="70"/>
        <v>319.58</v>
      </c>
      <c r="Q278" s="14">
        <f t="shared" si="65"/>
        <v>0</v>
      </c>
      <c r="R278" s="14">
        <v>722.4</v>
      </c>
      <c r="S278" s="14"/>
      <c r="T278" s="14"/>
      <c r="U278" s="69">
        <f t="shared" si="66"/>
        <v>0</v>
      </c>
      <c r="V278" s="69"/>
      <c r="W278" s="70">
        <v>0.11</v>
      </c>
      <c r="X278" s="15">
        <f t="shared" si="67"/>
        <v>3.2060593900481542E-2</v>
      </c>
      <c r="Y278" s="16">
        <f>VLOOKUP(C278,台股行情!A:D,4,FALSE)</f>
        <v>64.349999999999994</v>
      </c>
      <c r="Z278" s="38">
        <f>VLOOKUP(C278,台股行情!A:E,5,FALSE)</f>
        <v>-2.2000000000000002</v>
      </c>
      <c r="AA278" s="90">
        <f t="shared" ca="1" si="68"/>
        <v>327.49972620742523</v>
      </c>
      <c r="AB278" s="103" t="s">
        <v>2733</v>
      </c>
    </row>
    <row r="279" spans="1:29" outlineLevel="1">
      <c r="A279" s="99">
        <v>46090</v>
      </c>
      <c r="B279" s="11"/>
      <c r="C279" s="348">
        <v>919</v>
      </c>
      <c r="D279" s="189" t="str">
        <f>VLOOKUP(C279,台股行情!A:B,2,FALSE)</f>
        <v>群益台灣精選高息</v>
      </c>
      <c r="E279" s="11">
        <v>436</v>
      </c>
      <c r="F279" s="11">
        <v>22.93</v>
      </c>
      <c r="G279" s="11">
        <v>9990</v>
      </c>
      <c r="H279" s="11">
        <v>1</v>
      </c>
      <c r="I279" s="104">
        <v>46129</v>
      </c>
      <c r="J279" s="16">
        <v>23.4</v>
      </c>
      <c r="K279" s="11">
        <f t="shared" si="60"/>
        <v>10202.4</v>
      </c>
      <c r="L279" s="11">
        <v>17</v>
      </c>
      <c r="M279" s="11">
        <v>12</v>
      </c>
      <c r="N279" s="11">
        <v>0</v>
      </c>
      <c r="O279" s="13">
        <f t="shared" si="63"/>
        <v>0</v>
      </c>
      <c r="P279" s="14">
        <f t="shared" si="70"/>
        <v>484.99999999999966</v>
      </c>
      <c r="Q279" s="14">
        <f t="shared" si="65"/>
        <v>0</v>
      </c>
      <c r="R279" s="14">
        <v>340</v>
      </c>
      <c r="S279" s="14"/>
      <c r="T279" s="14"/>
      <c r="U279" s="69">
        <f t="shared" si="66"/>
        <v>0</v>
      </c>
      <c r="V279" s="69"/>
      <c r="W279" s="70">
        <v>0.11</v>
      </c>
      <c r="X279" s="15">
        <f t="shared" si="67"/>
        <v>4.8548548548548516E-2</v>
      </c>
      <c r="Y279" s="16">
        <f>VLOOKUP(C279,台股行情!A:D,4,FALSE)</f>
        <v>32.380000000000003</v>
      </c>
      <c r="Z279" s="38">
        <f>VLOOKUP(C279,台股行情!A:E,5,FALSE)</f>
        <v>-0.11</v>
      </c>
      <c r="AA279" s="90">
        <f t="shared" ca="1" si="68"/>
        <v>1066.7232504654473</v>
      </c>
      <c r="AB279" s="103" t="s">
        <v>2733</v>
      </c>
    </row>
    <row r="280" spans="1:29" outlineLevel="1">
      <c r="A280" s="99">
        <v>46089</v>
      </c>
      <c r="B280" s="11"/>
      <c r="C280" s="348">
        <v>919</v>
      </c>
      <c r="D280" s="189" t="str">
        <f>VLOOKUP(C280,台股行情!A:B,2,FALSE)</f>
        <v>群益台灣精選高息</v>
      </c>
      <c r="E280" s="11">
        <v>428</v>
      </c>
      <c r="F280" s="11">
        <v>23.36</v>
      </c>
      <c r="G280" s="11">
        <v>9998</v>
      </c>
      <c r="H280" s="11">
        <v>1</v>
      </c>
      <c r="I280" s="104">
        <v>46129</v>
      </c>
      <c r="J280" s="16">
        <v>23.4</v>
      </c>
      <c r="K280" s="11">
        <f t="shared" si="60"/>
        <v>10015.199999999999</v>
      </c>
      <c r="L280" s="11">
        <v>16</v>
      </c>
      <c r="M280" s="11">
        <v>11</v>
      </c>
      <c r="N280" s="11">
        <v>0</v>
      </c>
      <c r="O280" s="13">
        <f t="shared" si="63"/>
        <v>0</v>
      </c>
      <c r="P280" s="14">
        <f t="shared" si="70"/>
        <v>-10.800000000001091</v>
      </c>
      <c r="Q280" s="14">
        <f t="shared" si="65"/>
        <v>0</v>
      </c>
      <c r="R280" s="14"/>
      <c r="S280" s="14"/>
      <c r="T280" s="14"/>
      <c r="U280" s="69">
        <f t="shared" si="66"/>
        <v>0</v>
      </c>
      <c r="V280" s="69"/>
      <c r="W280" s="70">
        <v>0.11</v>
      </c>
      <c r="X280" s="15">
        <f t="shared" si="67"/>
        <v>-1.080216043208751E-3</v>
      </c>
      <c r="Y280" s="16">
        <f>VLOOKUP(C280,台股行情!A:D,4,FALSE)</f>
        <v>32.380000000000003</v>
      </c>
      <c r="Z280" s="38">
        <f>VLOOKUP(C280,台股行情!A:E,5,FALSE)</f>
        <v>-0.11</v>
      </c>
      <c r="AA280" s="90">
        <f t="shared" ca="1" si="68"/>
        <v>1094.9512649216954</v>
      </c>
      <c r="AB280" s="103" t="s">
        <v>2733</v>
      </c>
    </row>
    <row r="281" spans="1:29" outlineLevel="1">
      <c r="A281" s="99">
        <v>46126</v>
      </c>
      <c r="B281" s="11"/>
      <c r="C281" s="348">
        <v>900</v>
      </c>
      <c r="D281" s="189" t="str">
        <f>VLOOKUP(C281,台股行情!A:B,2,FALSE)</f>
        <v>富邦特選高股息30</v>
      </c>
      <c r="E281" s="11">
        <v>1000</v>
      </c>
      <c r="F281" s="11">
        <v>14.72</v>
      </c>
      <c r="G281" s="11">
        <f>E281*F281</f>
        <v>14720</v>
      </c>
      <c r="H281" s="11">
        <v>20</v>
      </c>
      <c r="I281" s="104">
        <v>46129</v>
      </c>
      <c r="J281" s="16">
        <v>15.06</v>
      </c>
      <c r="K281" s="11">
        <f t="shared" si="60"/>
        <v>15060</v>
      </c>
      <c r="L281" s="11">
        <f>ROUND(J281*E281*0.1425%,0)</f>
        <v>21</v>
      </c>
      <c r="M281" s="11">
        <v>15</v>
      </c>
      <c r="N281" s="11">
        <v>0</v>
      </c>
      <c r="O281" s="13">
        <f t="shared" si="63"/>
        <v>0</v>
      </c>
      <c r="P281" s="14">
        <f t="shared" si="70"/>
        <v>284</v>
      </c>
      <c r="Q281" s="14">
        <f t="shared" si="65"/>
        <v>0</v>
      </c>
      <c r="R281" s="14"/>
      <c r="S281" s="14"/>
      <c r="T281" s="14"/>
      <c r="U281" s="69">
        <f t="shared" si="66"/>
        <v>0</v>
      </c>
      <c r="V281" s="69"/>
      <c r="W281" s="70">
        <v>0.11</v>
      </c>
      <c r="X281" s="15">
        <f t="shared" si="67"/>
        <v>1.9293478260869565E-2</v>
      </c>
      <c r="Y281" s="16">
        <f>VLOOKUP(C281,台股行情!A:D,4,FALSE)</f>
        <v>19.84</v>
      </c>
      <c r="Z281" s="38">
        <f>VLOOKUP(C281,台股行情!A:E,5,FALSE)</f>
        <v>-0.13</v>
      </c>
      <c r="AA281" s="90">
        <f t="shared" ca="1" si="68"/>
        <v>120.90680100755667</v>
      </c>
      <c r="AB281" s="103" t="s">
        <v>2733</v>
      </c>
    </row>
    <row r="282" spans="1:29" outlineLevel="1">
      <c r="A282" s="99">
        <v>46126</v>
      </c>
      <c r="B282" s="11"/>
      <c r="C282" s="348">
        <v>934</v>
      </c>
      <c r="D282" s="189" t="str">
        <f>VLOOKUP(C282,台股行情!A:B,2,FALSE)</f>
        <v>中信成長高股息</v>
      </c>
      <c r="E282" s="11">
        <v>1000</v>
      </c>
      <c r="F282" s="11">
        <v>22.38</v>
      </c>
      <c r="G282" s="11">
        <f>E282*F282</f>
        <v>22380</v>
      </c>
      <c r="H282" s="11">
        <v>31</v>
      </c>
      <c r="I282" s="104">
        <v>46129</v>
      </c>
      <c r="J282" s="16">
        <v>22.89</v>
      </c>
      <c r="K282" s="11">
        <f t="shared" si="60"/>
        <v>22890</v>
      </c>
      <c r="L282" s="11">
        <v>32</v>
      </c>
      <c r="M282" s="11">
        <v>22</v>
      </c>
      <c r="N282" s="11">
        <v>0</v>
      </c>
      <c r="O282" s="13">
        <f t="shared" si="63"/>
        <v>0</v>
      </c>
      <c r="P282" s="14">
        <f t="shared" si="70"/>
        <v>425</v>
      </c>
      <c r="Q282" s="14">
        <f t="shared" si="65"/>
        <v>0</v>
      </c>
      <c r="R282" s="14"/>
      <c r="S282" s="14"/>
      <c r="T282" s="14"/>
      <c r="U282" s="69">
        <f t="shared" si="66"/>
        <v>0</v>
      </c>
      <c r="V282" s="69"/>
      <c r="W282" s="70">
        <v>0.11</v>
      </c>
      <c r="X282" s="15">
        <f t="shared" si="67"/>
        <v>1.899016979445934E-2</v>
      </c>
      <c r="Y282" s="16">
        <f>VLOOKUP(C282,台股行情!A:D,4,FALSE)</f>
        <v>30.01</v>
      </c>
      <c r="Z282" s="38">
        <f>VLOOKUP(C282,台股行情!A:E,5,FALSE)</f>
        <v>-0.3</v>
      </c>
      <c r="AA282" s="90">
        <f t="shared" ca="1" si="68"/>
        <v>183.82433468404335</v>
      </c>
      <c r="AB282" s="103" t="s">
        <v>2733</v>
      </c>
    </row>
    <row r="283" spans="1:29" outlineLevel="1">
      <c r="A283" s="99">
        <v>46126</v>
      </c>
      <c r="B283" s="11"/>
      <c r="C283" s="11">
        <v>936</v>
      </c>
      <c r="D283" s="189" t="str">
        <f>VLOOKUP(C283,台股行情!A:B,2,FALSE)</f>
        <v>台新永續高息中小</v>
      </c>
      <c r="E283" s="11">
        <v>1000</v>
      </c>
      <c r="F283" s="11">
        <v>18.05</v>
      </c>
      <c r="G283" s="11">
        <f>E283*F283</f>
        <v>18050</v>
      </c>
      <c r="H283" s="11">
        <v>25</v>
      </c>
      <c r="I283" s="104">
        <v>46128</v>
      </c>
      <c r="J283" s="16">
        <v>18.37</v>
      </c>
      <c r="K283" s="11">
        <f t="shared" si="60"/>
        <v>18370</v>
      </c>
      <c r="L283" s="11">
        <f>ROUND(J283*E283*0.1425%,0)</f>
        <v>26</v>
      </c>
      <c r="M283" s="11">
        <v>18</v>
      </c>
      <c r="N283" s="11">
        <v>0</v>
      </c>
      <c r="O283" s="13">
        <f t="shared" si="63"/>
        <v>0</v>
      </c>
      <c r="P283" s="14">
        <f t="shared" si="70"/>
        <v>251</v>
      </c>
      <c r="Q283" s="14">
        <f t="shared" si="65"/>
        <v>0</v>
      </c>
      <c r="R283" s="14"/>
      <c r="S283" s="14"/>
      <c r="T283" s="14"/>
      <c r="U283" s="69">
        <f t="shared" si="66"/>
        <v>0</v>
      </c>
      <c r="V283" s="69"/>
      <c r="W283" s="70">
        <v>0.11</v>
      </c>
      <c r="X283" s="15">
        <f t="shared" si="67"/>
        <v>1.3905817174515235E-2</v>
      </c>
      <c r="Y283" s="16">
        <f>VLOOKUP(C283,台股行情!A:D,4,FALSE)</f>
        <v>21.51</v>
      </c>
      <c r="Z283" s="38">
        <f>VLOOKUP(C283,台股行情!A:E,5,FALSE)</f>
        <v>-0.3</v>
      </c>
      <c r="AA283" s="90">
        <f t="shared" ca="1" si="68"/>
        <v>98.839119483079614</v>
      </c>
      <c r="AB283" s="103" t="s">
        <v>2733</v>
      </c>
    </row>
    <row r="284" spans="1:29" outlineLevel="1">
      <c r="A284" s="99">
        <v>46126</v>
      </c>
      <c r="B284" s="11"/>
      <c r="C284" s="348">
        <v>944</v>
      </c>
      <c r="D284" s="189" t="str">
        <f>VLOOKUP(C284,台股行情!A:B,2,FALSE)</f>
        <v>野村趨勢動能高息</v>
      </c>
      <c r="E284" s="11">
        <v>1000</v>
      </c>
      <c r="F284" s="11">
        <v>16.399999999999999</v>
      </c>
      <c r="G284" s="11">
        <f>E284*F284</f>
        <v>16400</v>
      </c>
      <c r="H284" s="11">
        <v>23</v>
      </c>
      <c r="I284" s="104">
        <v>46129</v>
      </c>
      <c r="J284" s="16">
        <v>16.98</v>
      </c>
      <c r="K284" s="11">
        <f t="shared" si="60"/>
        <v>16980</v>
      </c>
      <c r="L284" s="11">
        <f>ROUND(J284*E284*0.1425%,0)</f>
        <v>24</v>
      </c>
      <c r="M284" s="11">
        <v>16</v>
      </c>
      <c r="N284" s="11">
        <v>0</v>
      </c>
      <c r="O284" s="13">
        <f t="shared" si="63"/>
        <v>0</v>
      </c>
      <c r="P284" s="14">
        <f t="shared" si="70"/>
        <v>517</v>
      </c>
      <c r="Q284" s="14">
        <f t="shared" si="65"/>
        <v>0</v>
      </c>
      <c r="R284" s="14"/>
      <c r="S284" s="14"/>
      <c r="T284" s="14"/>
      <c r="U284" s="69">
        <f t="shared" si="66"/>
        <v>0</v>
      </c>
      <c r="V284" s="69"/>
      <c r="W284" s="70">
        <v>0.11</v>
      </c>
      <c r="X284" s="15">
        <f t="shared" si="67"/>
        <v>3.1524390243902439E-2</v>
      </c>
      <c r="Y284" s="16">
        <f>VLOOKUP(C284,台股行情!A:D,4,FALSE)</f>
        <v>22.52</v>
      </c>
      <c r="Z284" s="38">
        <f>VLOOKUP(C284,台股行情!A:E,5,FALSE)</f>
        <v>-0.24</v>
      </c>
      <c r="AA284" s="90">
        <f t="shared" ca="1" si="68"/>
        <v>134.70594677472346</v>
      </c>
      <c r="AB284" s="103" t="s">
        <v>2733</v>
      </c>
    </row>
    <row r="285" spans="1:29" outlineLevel="1">
      <c r="A285" s="99">
        <v>46126</v>
      </c>
      <c r="B285" s="11"/>
      <c r="C285" s="11">
        <v>56</v>
      </c>
      <c r="D285" s="189" t="str">
        <f>VLOOKUP(C285,台股行情!A:B,2,FALSE)</f>
        <v>元大高股息</v>
      </c>
      <c r="E285" s="11">
        <v>1000</v>
      </c>
      <c r="F285" s="11">
        <v>39.96</v>
      </c>
      <c r="G285" s="11">
        <f t="shared" ref="G285" si="73">E285*F285</f>
        <v>39960</v>
      </c>
      <c r="H285" s="11">
        <v>56</v>
      </c>
      <c r="I285" s="104">
        <v>46134</v>
      </c>
      <c r="J285" s="16">
        <v>42.3</v>
      </c>
      <c r="K285" s="11">
        <f t="shared" ref="K285:K292" si="74">E285*J285</f>
        <v>42300</v>
      </c>
      <c r="L285" s="11">
        <f>ROUND(J285*E285*0.1425%,0)</f>
        <v>60</v>
      </c>
      <c r="M285" s="11">
        <v>42</v>
      </c>
      <c r="N285" s="11">
        <v>0</v>
      </c>
      <c r="O285" s="13">
        <f t="shared" ref="O285:O292" si="75">IF(I285="",E285*Y285,0)</f>
        <v>0</v>
      </c>
      <c r="P285" s="14">
        <f>IF(I285="",R285-H285,(K285-H285-SUM(L285:N285)+R285-S285-T285)-G285)+(ROUND(R285*V285,0)-ROUND(R285*(1+V285),0)*W285)</f>
        <v>2182</v>
      </c>
      <c r="Q285" s="14">
        <f t="shared" ref="Q285:Q292" si="76">IF(I285="",(O285-G285-(O285*0.1425%*0.65)-(O285*0.3%)-S285-T285),0)</f>
        <v>0</v>
      </c>
      <c r="R285" s="14"/>
      <c r="S285" s="14"/>
      <c r="T285" s="14">
        <f t="shared" ref="T285:T292" si="77">IF(ROUND(R285*(1+V285),0)&gt;20000,ROUND(ROUND(R285*(1+V285),0)*2%,0),0)</f>
        <v>0</v>
      </c>
      <c r="U285" s="69">
        <f t="shared" ref="U285:U292" si="78">(V285*50%)/(1+50%*V285)</f>
        <v>0</v>
      </c>
      <c r="V285" s="69"/>
      <c r="W285" s="70">
        <v>0.11</v>
      </c>
      <c r="X285" s="15">
        <f t="shared" ref="X285:X292" si="79">(P285+Q285)/G285</f>
        <v>5.4604604604604604E-2</v>
      </c>
      <c r="Y285" s="16">
        <f>VLOOKUP(C285,台股行情!A:D,4,FALSE)</f>
        <v>58.25</v>
      </c>
      <c r="Z285" s="38">
        <f>VLOOKUP(C285,台股行情!A:E,5,FALSE)</f>
        <v>-1.35</v>
      </c>
      <c r="AA285" s="90">
        <f t="shared" ca="1" si="68"/>
        <v>875.26010294600803</v>
      </c>
      <c r="AB285" s="103" t="s">
        <v>2733</v>
      </c>
    </row>
    <row r="286" spans="1:29" outlineLevel="1">
      <c r="A286" s="99">
        <v>46090</v>
      </c>
      <c r="B286" s="11"/>
      <c r="C286" s="11">
        <v>2603</v>
      </c>
      <c r="D286" s="189" t="str">
        <f>VLOOKUP(C286,台股行情!A:B,2,FALSE)</f>
        <v>長榮</v>
      </c>
      <c r="E286" s="11">
        <v>1000</v>
      </c>
      <c r="F286" s="11">
        <v>212</v>
      </c>
      <c r="G286" s="11">
        <f t="shared" ref="G286" si="80">E286*F286</f>
        <v>212000</v>
      </c>
      <c r="H286" s="11">
        <v>302</v>
      </c>
      <c r="I286" s="104">
        <v>46136</v>
      </c>
      <c r="J286" s="16">
        <v>200.5</v>
      </c>
      <c r="K286" s="11">
        <f t="shared" si="74"/>
        <v>200500</v>
      </c>
      <c r="L286" s="11">
        <v>285</v>
      </c>
      <c r="M286" s="11">
        <v>601</v>
      </c>
      <c r="N286" s="11">
        <v>0</v>
      </c>
      <c r="O286" s="13">
        <f t="shared" si="75"/>
        <v>0</v>
      </c>
      <c r="P286" s="14">
        <f t="shared" ref="P286" si="81">IF(I286="",R286-H286,(K286-H286-SUM(L286:N286)+R286-S286-T286)-G286)+(ROUND(R286*V286,0)-ROUND(R286*(1+V286),0)*W286)</f>
        <v>-12688</v>
      </c>
      <c r="Q286" s="14">
        <f t="shared" si="76"/>
        <v>0</v>
      </c>
      <c r="R286" s="14"/>
      <c r="S286" s="14"/>
      <c r="T286" s="14">
        <f t="shared" si="77"/>
        <v>0</v>
      </c>
      <c r="U286" s="69">
        <f t="shared" si="78"/>
        <v>0</v>
      </c>
      <c r="V286" s="69"/>
      <c r="W286" s="70">
        <v>0.11</v>
      </c>
      <c r="X286" s="15">
        <f t="shared" si="79"/>
        <v>-5.9849056603773584E-2</v>
      </c>
      <c r="Y286" s="16">
        <f>VLOOKUP(C286,台股行情!A:D,4,FALSE)</f>
        <v>257</v>
      </c>
      <c r="Z286" s="38">
        <f>VLOOKUP(C286,台股行情!A:E,5,FALSE)</f>
        <v>-6</v>
      </c>
      <c r="AA286" s="90">
        <f t="shared" ca="1" si="68"/>
        <v>26700.251889168765</v>
      </c>
      <c r="AB286" s="103" t="s">
        <v>2729</v>
      </c>
    </row>
    <row r="287" spans="1:29" outlineLevel="1">
      <c r="A287" s="99">
        <v>46104</v>
      </c>
      <c r="B287" s="11"/>
      <c r="C287" s="11">
        <v>3289</v>
      </c>
      <c r="D287" s="189" t="str">
        <f>VLOOKUP(C287,台股行情!A:B,2,FALSE)</f>
        <v>宜特</v>
      </c>
      <c r="E287" s="11">
        <v>1000</v>
      </c>
      <c r="F287" s="11">
        <v>141.5</v>
      </c>
      <c r="G287" s="11">
        <f>E287*F287</f>
        <v>141500</v>
      </c>
      <c r="H287" s="11">
        <v>201</v>
      </c>
      <c r="I287" s="104">
        <v>46139</v>
      </c>
      <c r="J287" s="16">
        <v>172.5</v>
      </c>
      <c r="K287" s="11">
        <f t="shared" si="74"/>
        <v>172500</v>
      </c>
      <c r="L287" s="11">
        <v>245</v>
      </c>
      <c r="M287" s="11">
        <v>517</v>
      </c>
      <c r="N287" s="11">
        <v>0</v>
      </c>
      <c r="O287" s="13">
        <f t="shared" si="75"/>
        <v>0</v>
      </c>
      <c r="P287" s="14">
        <f>IF(I287="",R287-H287,(K287-H287-SUM(L287:N287)+R287-S287-T287)-G287)+(ROUND(R287*V287,0)-ROUND(R287*(1+V287),0)*W287)</f>
        <v>31090.55</v>
      </c>
      <c r="Q287" s="14">
        <f t="shared" si="76"/>
        <v>0</v>
      </c>
      <c r="R287" s="14">
        <v>1195</v>
      </c>
      <c r="S287" s="14">
        <v>10</v>
      </c>
      <c r="T287" s="14">
        <f t="shared" si="77"/>
        <v>0</v>
      </c>
      <c r="U287" s="69">
        <f t="shared" si="78"/>
        <v>0</v>
      </c>
      <c r="V287" s="69"/>
      <c r="W287" s="70">
        <v>0.11</v>
      </c>
      <c r="X287" s="15">
        <f t="shared" si="79"/>
        <v>0.21972120141342755</v>
      </c>
      <c r="Y287" s="16">
        <f>VLOOKUP(C287,台股行情!A:D,4,FALSE)</f>
        <v>134.5</v>
      </c>
      <c r="Z287" s="38">
        <f>VLOOKUP(C287,台股行情!A:E,5,FALSE)</f>
        <v>-4.5</v>
      </c>
      <c r="AA287" s="90">
        <f t="shared" ca="1" si="68"/>
        <v>13559.577264264593</v>
      </c>
      <c r="AB287" s="103" t="s">
        <v>2729</v>
      </c>
    </row>
    <row r="288" spans="1:29" outlineLevel="1">
      <c r="A288" s="99">
        <v>46149</v>
      </c>
      <c r="B288" s="11"/>
      <c r="C288" s="11">
        <v>4938</v>
      </c>
      <c r="D288" s="189" t="str">
        <f>VLOOKUP(C288,台股行情!A:B,2,FALSE)</f>
        <v>和碩</v>
      </c>
      <c r="E288" s="11">
        <v>1000</v>
      </c>
      <c r="F288" s="11">
        <v>84.3</v>
      </c>
      <c r="G288" s="11">
        <f t="shared" ref="G288:G289" si="82">E288*F288</f>
        <v>84300</v>
      </c>
      <c r="H288" s="11">
        <v>120</v>
      </c>
      <c r="I288" s="104">
        <v>46156</v>
      </c>
      <c r="J288" s="16">
        <v>76.8</v>
      </c>
      <c r="K288" s="11">
        <f t="shared" si="74"/>
        <v>76800</v>
      </c>
      <c r="L288" s="11">
        <f>ROUND(J288*E288*0.1425%,0)</f>
        <v>109</v>
      </c>
      <c r="M288" s="11">
        <f>ROUND(J288*E288*0.3%,0)</f>
        <v>230</v>
      </c>
      <c r="N288" s="11">
        <v>0</v>
      </c>
      <c r="O288" s="13">
        <f t="shared" si="75"/>
        <v>0</v>
      </c>
      <c r="P288" s="14">
        <f>IF(I288="",R288-H288,(K288-H288-SUM(L288:N288)+R288-S288-T288)-G288)+(ROUND(R288*V288,0)-ROUND(R288*(1+V288),0)*W288)</f>
        <v>-7959</v>
      </c>
      <c r="Q288" s="14">
        <f t="shared" si="76"/>
        <v>0</v>
      </c>
      <c r="R288" s="14"/>
      <c r="S288" s="14"/>
      <c r="T288" s="14">
        <f t="shared" si="77"/>
        <v>0</v>
      </c>
      <c r="U288" s="69">
        <f t="shared" si="78"/>
        <v>0</v>
      </c>
      <c r="V288" s="69"/>
      <c r="W288" s="70">
        <v>0.11</v>
      </c>
      <c r="X288" s="15">
        <f t="shared" si="79"/>
        <v>-9.441281138790035E-2</v>
      </c>
      <c r="Y288" s="16">
        <f>VLOOKUP(C288,台股行情!A:D,4,FALSE)</f>
        <v>98.1</v>
      </c>
      <c r="Z288" s="38">
        <f>VLOOKUP(C288,台股行情!A:E,5,FALSE)</f>
        <v>-1.9</v>
      </c>
      <c r="AA288" s="90">
        <f t="shared" ca="1" si="68"/>
        <v>1615.6499835724455</v>
      </c>
      <c r="AB288" s="103" t="s">
        <v>2729</v>
      </c>
      <c r="AC288" s="311"/>
    </row>
    <row r="289" spans="1:28">
      <c r="A289" s="99">
        <v>46133</v>
      </c>
      <c r="B289" s="11"/>
      <c r="C289" s="11">
        <v>5347</v>
      </c>
      <c r="D289" s="189" t="str">
        <f>VLOOKUP(C289,台股行情!A:B,2,FALSE)</f>
        <v>世界</v>
      </c>
      <c r="E289" s="11">
        <v>1000</v>
      </c>
      <c r="F289" s="11">
        <v>141</v>
      </c>
      <c r="G289" s="11">
        <f t="shared" si="82"/>
        <v>141000</v>
      </c>
      <c r="H289" s="11">
        <v>200</v>
      </c>
      <c r="I289" s="104">
        <v>46164</v>
      </c>
      <c r="J289" s="16">
        <v>161</v>
      </c>
      <c r="K289" s="11">
        <f t="shared" si="74"/>
        <v>161000</v>
      </c>
      <c r="L289" s="11">
        <f>ROUND(J289*E289*0.1425%,0)</f>
        <v>229</v>
      </c>
      <c r="M289" s="11">
        <f>ROUND(J289*E289*0.3%,0)</f>
        <v>483</v>
      </c>
      <c r="N289" s="11">
        <v>0</v>
      </c>
      <c r="O289" s="13">
        <f t="shared" si="75"/>
        <v>0</v>
      </c>
      <c r="P289" s="14">
        <f>IF(I289="",R289-H289,(K289-H289-SUM(L289:N289)+R289-S289-T289)-G289)+(ROUND(R289*V289,0)-ROUND(R289*(1+V289),0)*W289)</f>
        <v>19088</v>
      </c>
      <c r="Q289" s="14">
        <f t="shared" si="76"/>
        <v>0</v>
      </c>
      <c r="R289" s="14"/>
      <c r="S289" s="14"/>
      <c r="T289" s="14">
        <f t="shared" si="77"/>
        <v>0</v>
      </c>
      <c r="U289" s="69">
        <f t="shared" si="78"/>
        <v>0</v>
      </c>
      <c r="V289" s="69"/>
      <c r="W289" s="70">
        <v>0.11</v>
      </c>
      <c r="X289" s="15">
        <f t="shared" si="79"/>
        <v>0.13537588652482269</v>
      </c>
      <c r="Y289" s="16">
        <f>VLOOKUP(C289,台股行情!A:D,4,FALSE)</f>
        <v>161.5</v>
      </c>
      <c r="Z289" s="38">
        <f>VLOOKUP(C289,台股行情!A:E,5,FALSE)</f>
        <v>-14.5</v>
      </c>
      <c r="AA289" s="90">
        <f t="shared" ca="1" si="68"/>
        <v>11967.47344212025</v>
      </c>
      <c r="AB289" s="103" t="s">
        <v>2729</v>
      </c>
    </row>
    <row r="290" spans="1:28">
      <c r="A290" s="99">
        <v>46120</v>
      </c>
      <c r="B290" s="11"/>
      <c r="C290" s="348">
        <v>919</v>
      </c>
      <c r="D290" s="189" t="str">
        <f>VLOOKUP(C290,台股行情!A:B,2,FALSE)</f>
        <v>群益台灣精選高息</v>
      </c>
      <c r="E290" s="11">
        <v>435</v>
      </c>
      <c r="F290" s="11">
        <v>22.97</v>
      </c>
      <c r="G290" s="11">
        <v>9991</v>
      </c>
      <c r="H290" s="11">
        <v>1</v>
      </c>
      <c r="I290" s="104">
        <v>46195</v>
      </c>
      <c r="J290" s="16">
        <v>30.92</v>
      </c>
      <c r="K290" s="11">
        <f t="shared" si="74"/>
        <v>13450.2</v>
      </c>
      <c r="L290" s="11">
        <v>15</v>
      </c>
      <c r="M290" s="11">
        <v>11</v>
      </c>
      <c r="N290" s="11">
        <v>0</v>
      </c>
      <c r="O290" s="13">
        <f t="shared" si="75"/>
        <v>0</v>
      </c>
      <c r="P290" s="14">
        <f>IF(I290="",R290-H290,(K290-H290-SUM(L290:N290)+R290-S290-T290)-G290)+(ROUND(R290*V290,0)-ROUND(R290*(1+V290),0)*W290)</f>
        <v>3432.2000000000007</v>
      </c>
      <c r="Q290" s="14">
        <f t="shared" si="76"/>
        <v>0</v>
      </c>
      <c r="R290" s="14"/>
      <c r="S290" s="14"/>
      <c r="T290" s="14">
        <f t="shared" si="77"/>
        <v>0</v>
      </c>
      <c r="U290" s="69">
        <f t="shared" si="78"/>
        <v>0</v>
      </c>
      <c r="V290" s="69"/>
      <c r="W290" s="70">
        <v>0.11</v>
      </c>
      <c r="X290" s="15">
        <f t="shared" si="79"/>
        <v>0.34352917625863283</v>
      </c>
      <c r="Y290" s="16">
        <f>VLOOKUP(C290,台股行情!A:D,4,FALSE)</f>
        <v>32.380000000000003</v>
      </c>
      <c r="Z290" s="38">
        <f>VLOOKUP(C290,台股行情!A:E,5,FALSE)</f>
        <v>-0.11</v>
      </c>
      <c r="AA290" s="90">
        <f t="shared" ca="1" si="68"/>
        <v>2051.5962107107653</v>
      </c>
      <c r="AB290" s="103" t="s">
        <v>2733</v>
      </c>
    </row>
    <row r="291" spans="1:28" outlineLevel="1">
      <c r="A291" s="99">
        <v>46132</v>
      </c>
      <c r="B291" s="11"/>
      <c r="C291" s="348">
        <v>919</v>
      </c>
      <c r="D291" s="189" t="str">
        <f>VLOOKUP(C291,台股行情!A:B,2,FALSE)</f>
        <v>群益台灣精選高息</v>
      </c>
      <c r="E291" s="11">
        <v>421</v>
      </c>
      <c r="F291" s="11">
        <v>23.71</v>
      </c>
      <c r="G291" s="11">
        <v>9981</v>
      </c>
      <c r="H291" s="11">
        <v>1</v>
      </c>
      <c r="I291" s="104">
        <v>46195</v>
      </c>
      <c r="J291" s="16">
        <v>30.92</v>
      </c>
      <c r="K291" s="11">
        <f t="shared" si="74"/>
        <v>13017.320000000002</v>
      </c>
      <c r="L291" s="11">
        <v>16</v>
      </c>
      <c r="M291" s="11">
        <v>11</v>
      </c>
      <c r="N291" s="11">
        <v>0</v>
      </c>
      <c r="O291" s="13">
        <f t="shared" si="75"/>
        <v>0</v>
      </c>
      <c r="P291" s="14">
        <f t="shared" ref="P291" si="83">IF(I291="",R291-H291,(K291-H291-SUM(L291:N291)+R291-S291-T291)-G291)+(ROUND(R291*V291,0)-ROUND(R291*(1+V291),0)*W291)</f>
        <v>3639.1200000000017</v>
      </c>
      <c r="Q291" s="14">
        <f t="shared" si="76"/>
        <v>0</v>
      </c>
      <c r="R291" s="14">
        <v>720</v>
      </c>
      <c r="S291" s="14">
        <v>10</v>
      </c>
      <c r="T291" s="14">
        <f t="shared" si="77"/>
        <v>0</v>
      </c>
      <c r="U291" s="69">
        <f t="shared" si="78"/>
        <v>0</v>
      </c>
      <c r="V291" s="69"/>
      <c r="W291" s="70">
        <v>0.11</v>
      </c>
      <c r="X291" s="15">
        <f t="shared" si="79"/>
        <v>0.36460474902314416</v>
      </c>
      <c r="Y291" s="16">
        <f>VLOOKUP(C291,台股行情!A:D,4,FALSE)</f>
        <v>32.380000000000003</v>
      </c>
      <c r="Z291" s="38">
        <f>VLOOKUP(C291,台股行情!A:E,5,FALSE)</f>
        <v>-0.11</v>
      </c>
      <c r="AA291" s="90">
        <f t="shared" ca="1" si="68"/>
        <v>1721.6159237761472</v>
      </c>
      <c r="AB291" s="103" t="s">
        <v>2733</v>
      </c>
    </row>
    <row r="292" spans="1:28">
      <c r="A292" s="99">
        <v>46188</v>
      </c>
      <c r="B292" s="11"/>
      <c r="C292" s="348">
        <v>692</v>
      </c>
      <c r="D292" s="189" t="str">
        <f>VLOOKUP(C292,台股行情!A:B,2,FALSE)</f>
        <v>富邦公司治理</v>
      </c>
      <c r="E292" s="11">
        <v>109</v>
      </c>
      <c r="F292" s="11">
        <v>91.14</v>
      </c>
      <c r="G292" s="11">
        <v>9934</v>
      </c>
      <c r="H292" s="11">
        <v>1</v>
      </c>
      <c r="I292" s="104">
        <v>46195</v>
      </c>
      <c r="J292" s="16">
        <v>95.75</v>
      </c>
      <c r="K292" s="11">
        <f t="shared" si="74"/>
        <v>10436.75</v>
      </c>
      <c r="L292" s="11">
        <v>14</v>
      </c>
      <c r="M292" s="11">
        <v>10</v>
      </c>
      <c r="N292" s="11">
        <v>0</v>
      </c>
      <c r="O292" s="13">
        <f t="shared" si="75"/>
        <v>0</v>
      </c>
      <c r="P292" s="14">
        <f>IF(I292="",R292-H292,(K292-H292-SUM(L292:N292)+R292-S292-T292)-G292)+(ROUND(R292*V292,0)-ROUND(R292*(1+V292),0)*W292)</f>
        <v>477.75</v>
      </c>
      <c r="Q292" s="14">
        <f t="shared" si="76"/>
        <v>0</v>
      </c>
      <c r="R292" s="14"/>
      <c r="S292" s="14"/>
      <c r="T292" s="14">
        <f t="shared" si="77"/>
        <v>0</v>
      </c>
      <c r="U292" s="69">
        <f t="shared" si="78"/>
        <v>0</v>
      </c>
      <c r="V292" s="69"/>
      <c r="W292" s="70">
        <v>0.11</v>
      </c>
      <c r="X292" s="15">
        <f t="shared" si="79"/>
        <v>4.8092409905375479E-2</v>
      </c>
      <c r="Y292" s="16">
        <f>VLOOKUP(C292,台股行情!A:D,4,FALSE)</f>
        <v>94.4</v>
      </c>
      <c r="Z292" s="38">
        <f>VLOOKUP(C292,台股行情!A:E,5,FALSE)</f>
        <v>-3.05</v>
      </c>
      <c r="AA292" s="90">
        <f t="shared" ca="1" si="68"/>
        <v>190.38988062643742</v>
      </c>
      <c r="AB292" s="103" t="s">
        <v>2733</v>
      </c>
    </row>
    <row r="293" spans="1:28">
      <c r="A293" s="275">
        <v>44280</v>
      </c>
      <c r="B293" s="11" t="s">
        <v>19</v>
      </c>
      <c r="C293" s="11">
        <v>6770</v>
      </c>
      <c r="D293" s="273" t="s">
        <v>1494</v>
      </c>
      <c r="E293" s="11">
        <v>2000</v>
      </c>
      <c r="F293" s="11">
        <v>75.099999999999994</v>
      </c>
      <c r="G293" s="11">
        <v>150200</v>
      </c>
      <c r="H293" s="11">
        <v>128</v>
      </c>
      <c r="I293" s="104"/>
      <c r="J293" s="16"/>
      <c r="K293" s="11">
        <f t="shared" si="60"/>
        <v>0</v>
      </c>
      <c r="L293" s="11">
        <f t="shared" ref="L293:L317" si="84">ROUND(J293*E293*0.1425%,0)</f>
        <v>0</v>
      </c>
      <c r="M293" s="11">
        <f t="shared" ref="M293:M317" si="85">ROUND(J293*E293*0.3%,0)</f>
        <v>0</v>
      </c>
      <c r="N293" s="11">
        <v>0</v>
      </c>
      <c r="O293" s="13">
        <f t="shared" si="63"/>
        <v>132400</v>
      </c>
      <c r="P293" s="14">
        <f t="shared" ref="P293:P302" si="86">IF(I293="",R293-H293,(K293-H293-SUM(L293:N293)+R293-S293-T293)-G293)+(ROUND(R293*V293,0)-ROUND(R293*(1+V293),0)*W293)</f>
        <v>9695.82</v>
      </c>
      <c r="Q293" s="14">
        <f t="shared" si="65"/>
        <v>-18369.835500000001</v>
      </c>
      <c r="R293" s="14">
        <f>982+1412+2568+1584+651+3841</f>
        <v>11038</v>
      </c>
      <c r="S293" s="14">
        <v>50</v>
      </c>
      <c r="T293" s="14">
        <f t="shared" ref="T293:T317" si="87">IF(ROUND(R293*(1+V293),0)&gt;20000,ROUND(ROUND(R293*(1+V293),0)*2%,0),0)</f>
        <v>0</v>
      </c>
      <c r="U293" s="69">
        <f t="shared" si="66"/>
        <v>0</v>
      </c>
      <c r="V293" s="69"/>
      <c r="W293" s="70">
        <v>0.11</v>
      </c>
      <c r="X293" s="15">
        <f t="shared" si="67"/>
        <v>-5.774977030625833E-2</v>
      </c>
      <c r="Y293" s="16">
        <f>VLOOKUP(C293,台股行情!A:D,4,FALSE)</f>
        <v>66.2</v>
      </c>
      <c r="Z293" s="38">
        <f>VLOOKUP(C293,台股行情!A:E,5,FALSE)</f>
        <v>-4.8</v>
      </c>
      <c r="AA293" s="90">
        <f t="shared" ca="1" si="68"/>
        <v>834809.98795312666</v>
      </c>
      <c r="AB293" s="103" t="s">
        <v>2729</v>
      </c>
    </row>
    <row r="294" spans="1:28" outlineLevel="1">
      <c r="A294" s="275">
        <v>44294</v>
      </c>
      <c r="B294" s="11" t="s">
        <v>19</v>
      </c>
      <c r="C294" s="11">
        <v>3034</v>
      </c>
      <c r="D294" s="189" t="str">
        <f>VLOOKUP(C294,台股行情!A:B,2,FALSE)</f>
        <v>聯詠</v>
      </c>
      <c r="E294" s="11">
        <v>1000</v>
      </c>
      <c r="F294" s="11">
        <v>619</v>
      </c>
      <c r="G294" s="11">
        <f>E294*F294</f>
        <v>619000</v>
      </c>
      <c r="H294" s="11">
        <v>882</v>
      </c>
      <c r="I294" s="104"/>
      <c r="J294" s="16"/>
      <c r="K294" s="11">
        <f t="shared" si="60"/>
        <v>0</v>
      </c>
      <c r="L294" s="11">
        <f t="shared" si="84"/>
        <v>0</v>
      </c>
      <c r="M294" s="11">
        <f t="shared" si="85"/>
        <v>0</v>
      </c>
      <c r="N294" s="11">
        <v>0</v>
      </c>
      <c r="O294" s="13">
        <f t="shared" si="63"/>
        <v>565000</v>
      </c>
      <c r="P294" s="14">
        <f t="shared" si="86"/>
        <v>145167</v>
      </c>
      <c r="Q294" s="14">
        <f t="shared" si="65"/>
        <v>-59550.331250000003</v>
      </c>
      <c r="R294" s="14">
        <f>15600+51500+37000+32000+28000</f>
        <v>164100</v>
      </c>
      <c r="S294" s="14">
        <v>50</v>
      </c>
      <c r="T294" s="14">
        <f t="shared" si="87"/>
        <v>3282</v>
      </c>
      <c r="U294" s="69">
        <f t="shared" si="66"/>
        <v>0</v>
      </c>
      <c r="V294" s="69"/>
      <c r="W294" s="70">
        <v>0.11</v>
      </c>
      <c r="X294" s="15">
        <f t="shared" si="67"/>
        <v>0.13831448909531502</v>
      </c>
      <c r="Y294" s="16">
        <f>VLOOKUP(C294,台股行情!A:D,4,FALSE)</f>
        <v>565</v>
      </c>
      <c r="Z294" s="38">
        <f>VLOOKUP(C294,台股行情!A:E,5,FALSE)</f>
        <v>5</v>
      </c>
      <c r="AA294" s="90">
        <f t="shared" ca="1" si="68"/>
        <v>3416668.4919504984</v>
      </c>
      <c r="AB294" s="103" t="s">
        <v>2729</v>
      </c>
    </row>
    <row r="295" spans="1:28" outlineLevel="1">
      <c r="A295" s="275">
        <v>44300</v>
      </c>
      <c r="B295" s="11" t="s">
        <v>19</v>
      </c>
      <c r="C295" s="11">
        <v>2458</v>
      </c>
      <c r="D295" s="189" t="str">
        <f>VLOOKUP(C295,台股行情!A:B,2,FALSE)</f>
        <v>義隆</v>
      </c>
      <c r="E295" s="11">
        <v>1000</v>
      </c>
      <c r="F295" s="11">
        <v>204.5</v>
      </c>
      <c r="G295" s="11">
        <f>E295*F295</f>
        <v>204500</v>
      </c>
      <c r="H295" s="11">
        <v>291</v>
      </c>
      <c r="I295" s="104"/>
      <c r="J295" s="16"/>
      <c r="K295" s="11">
        <f t="shared" si="60"/>
        <v>0</v>
      </c>
      <c r="L295" s="11">
        <f t="shared" si="84"/>
        <v>0</v>
      </c>
      <c r="M295" s="11">
        <f t="shared" si="85"/>
        <v>0</v>
      </c>
      <c r="N295" s="11">
        <v>0</v>
      </c>
      <c r="O295" s="13">
        <f t="shared" si="63"/>
        <v>135500</v>
      </c>
      <c r="P295" s="14">
        <f t="shared" si="86"/>
        <v>40540.42</v>
      </c>
      <c r="Q295" s="14">
        <f t="shared" si="65"/>
        <v>-70510.006875000006</v>
      </c>
      <c r="R295" s="14">
        <f>9000+13811+3069+2046+3052+4069+3763+2644+4424</f>
        <v>45878</v>
      </c>
      <c r="S295" s="14">
        <v>60</v>
      </c>
      <c r="T295" s="14">
        <f t="shared" si="87"/>
        <v>918</v>
      </c>
      <c r="U295" s="69">
        <f t="shared" si="66"/>
        <v>0</v>
      </c>
      <c r="V295" s="69"/>
      <c r="W295" s="70">
        <v>0.11</v>
      </c>
      <c r="X295" s="15">
        <f t="shared" si="67"/>
        <v>-0.1465505470660147</v>
      </c>
      <c r="Y295" s="16">
        <f>VLOOKUP(C295,台股行情!A:D,4,FALSE)</f>
        <v>135.5</v>
      </c>
      <c r="Z295" s="38">
        <f>VLOOKUP(C295,台股行情!A:E,5,FALSE)</f>
        <v>2</v>
      </c>
      <c r="AA295" s="90">
        <f t="shared" ca="1" si="68"/>
        <v>1125410.6888621179</v>
      </c>
      <c r="AB295" s="103" t="s">
        <v>2729</v>
      </c>
    </row>
    <row r="296" spans="1:28">
      <c r="A296" s="275">
        <v>44308</v>
      </c>
      <c r="B296" s="11" t="s">
        <v>19</v>
      </c>
      <c r="C296" s="11">
        <v>3481</v>
      </c>
      <c r="D296" s="189" t="str">
        <f>VLOOKUP(C296,台股行情!A:B,2,FALSE)</f>
        <v>群創</v>
      </c>
      <c r="E296" s="11">
        <v>1000</v>
      </c>
      <c r="F296" s="11">
        <v>29.1</v>
      </c>
      <c r="G296" s="183">
        <f>29100+5965</f>
        <v>35065</v>
      </c>
      <c r="H296" s="183">
        <f>41+8</f>
        <v>49</v>
      </c>
      <c r="I296" s="104"/>
      <c r="J296" s="16"/>
      <c r="K296" s="11">
        <f t="shared" si="60"/>
        <v>0</v>
      </c>
      <c r="L296" s="11">
        <f t="shared" si="84"/>
        <v>0</v>
      </c>
      <c r="M296" s="11">
        <f t="shared" si="85"/>
        <v>0</v>
      </c>
      <c r="N296" s="11">
        <v>0</v>
      </c>
      <c r="O296" s="13">
        <f t="shared" si="63"/>
        <v>48300</v>
      </c>
      <c r="P296" s="14">
        <f t="shared" si="86"/>
        <v>1915.23</v>
      </c>
      <c r="Q296" s="14">
        <f t="shared" si="65"/>
        <v>13025.362125</v>
      </c>
      <c r="R296" s="14">
        <f>398+1054+755</f>
        <v>2207</v>
      </c>
      <c r="S296" s="14">
        <v>20</v>
      </c>
      <c r="T296" s="14">
        <f t="shared" si="87"/>
        <v>0</v>
      </c>
      <c r="U296" s="69">
        <f t="shared" si="66"/>
        <v>0</v>
      </c>
      <c r="V296" s="69"/>
      <c r="W296" s="70">
        <v>0.11</v>
      </c>
      <c r="X296" s="15">
        <f t="shared" si="67"/>
        <v>0.42608276415228857</v>
      </c>
      <c r="Y296" s="16">
        <f>VLOOKUP(C296,台股行情!A:D,4,FALSE)</f>
        <v>48.3</v>
      </c>
      <c r="Z296" s="38">
        <f>VLOOKUP(C296,台股行情!A:E,5,FALSE)</f>
        <v>-2.6</v>
      </c>
      <c r="AA296" s="90">
        <f t="shared" ca="1" si="68"/>
        <v>192202.74340159894</v>
      </c>
      <c r="AB296" s="103" t="s">
        <v>2729</v>
      </c>
    </row>
    <row r="297" spans="1:28" outlineLevel="1">
      <c r="A297" s="275">
        <v>45338</v>
      </c>
      <c r="B297" s="11"/>
      <c r="C297" s="11">
        <v>6196</v>
      </c>
      <c r="D297" s="189" t="str">
        <f>VLOOKUP(C297,台股行情!A:B,2,FALSE)</f>
        <v>帆宣</v>
      </c>
      <c r="E297" s="11">
        <v>1000</v>
      </c>
      <c r="F297" s="11">
        <v>162</v>
      </c>
      <c r="G297" s="11">
        <f t="shared" ref="G297:G300" si="88">E297*F297</f>
        <v>162000</v>
      </c>
      <c r="H297" s="11">
        <v>230</v>
      </c>
      <c r="I297" s="104"/>
      <c r="J297" s="16"/>
      <c r="K297" s="11">
        <f t="shared" si="60"/>
        <v>0</v>
      </c>
      <c r="L297" s="11">
        <f t="shared" si="84"/>
        <v>0</v>
      </c>
      <c r="M297" s="11">
        <f t="shared" si="85"/>
        <v>0</v>
      </c>
      <c r="N297" s="11">
        <v>0</v>
      </c>
      <c r="O297" s="13">
        <f t="shared" si="63"/>
        <v>613000</v>
      </c>
      <c r="P297" s="14">
        <f t="shared" si="86"/>
        <v>10365.450000000001</v>
      </c>
      <c r="Q297" s="14">
        <f t="shared" si="65"/>
        <v>448573.20874999999</v>
      </c>
      <c r="R297" s="14">
        <f>6000+5905</f>
        <v>11905</v>
      </c>
      <c r="S297" s="14">
        <v>20</v>
      </c>
      <c r="T297" s="14">
        <f t="shared" si="87"/>
        <v>0</v>
      </c>
      <c r="U297" s="69">
        <f t="shared" si="66"/>
        <v>0</v>
      </c>
      <c r="V297" s="69"/>
      <c r="W297" s="70">
        <v>0.11</v>
      </c>
      <c r="X297" s="15">
        <f t="shared" si="67"/>
        <v>2.8329546836419754</v>
      </c>
      <c r="Y297" s="16">
        <f>VLOOKUP(C297,台股行情!A:D,4,FALSE)</f>
        <v>613</v>
      </c>
      <c r="Z297" s="38">
        <f>VLOOKUP(C297,台股行情!A:E,5,FALSE)</f>
        <v>-43</v>
      </c>
      <c r="AA297" s="90">
        <f t="shared" ca="1" si="68"/>
        <v>431124.73989705398</v>
      </c>
      <c r="AB297" s="103" t="s">
        <v>2729</v>
      </c>
    </row>
    <row r="298" spans="1:28" outlineLevel="1">
      <c r="A298" s="275">
        <v>45896</v>
      </c>
      <c r="B298" s="11"/>
      <c r="C298" s="11">
        <v>2233</v>
      </c>
      <c r="D298" s="189" t="str">
        <f>VLOOKUP(C298,台股行情!A:B,2,FALSE)</f>
        <v>宇隆</v>
      </c>
      <c r="E298" s="11">
        <v>1000</v>
      </c>
      <c r="F298" s="11">
        <v>266.5</v>
      </c>
      <c r="G298" s="11">
        <f t="shared" si="88"/>
        <v>266500</v>
      </c>
      <c r="H298" s="11">
        <v>379</v>
      </c>
      <c r="I298" s="104">
        <v>46198</v>
      </c>
      <c r="J298" s="16">
        <v>237</v>
      </c>
      <c r="K298" s="11">
        <f t="shared" si="60"/>
        <v>237000</v>
      </c>
      <c r="L298" s="11">
        <v>337</v>
      </c>
      <c r="M298" s="11">
        <f t="shared" si="85"/>
        <v>711</v>
      </c>
      <c r="N298" s="11">
        <v>0</v>
      </c>
      <c r="O298" s="13">
        <f t="shared" si="63"/>
        <v>0</v>
      </c>
      <c r="P298" s="14">
        <f t="shared" si="86"/>
        <v>-30927</v>
      </c>
      <c r="Q298" s="14">
        <f t="shared" si="65"/>
        <v>0</v>
      </c>
      <c r="R298" s="14"/>
      <c r="S298" s="14"/>
      <c r="T298" s="14">
        <f t="shared" si="87"/>
        <v>0</v>
      </c>
      <c r="U298" s="69">
        <f t="shared" si="66"/>
        <v>0</v>
      </c>
      <c r="V298" s="69"/>
      <c r="W298" s="70">
        <v>0.11</v>
      </c>
      <c r="X298" s="15">
        <f t="shared" si="67"/>
        <v>-0.11604878048780488</v>
      </c>
      <c r="Y298" s="16">
        <f>VLOOKUP(C298,台股行情!A:D,4,FALSE)</f>
        <v>154</v>
      </c>
      <c r="Z298" s="38">
        <f>VLOOKUP(C298,台股行情!A:E,5,FALSE)</f>
        <v>-8.5</v>
      </c>
      <c r="AA298" s="90">
        <f t="shared" ca="1" si="68"/>
        <v>220356.47793231846</v>
      </c>
      <c r="AB298" s="103" t="s">
        <v>2729</v>
      </c>
    </row>
    <row r="299" spans="1:28" outlineLevel="1">
      <c r="A299" s="99">
        <v>46050</v>
      </c>
      <c r="B299" s="11"/>
      <c r="C299" s="341" t="s">
        <v>3040</v>
      </c>
      <c r="D299" s="189" t="str">
        <f>VLOOKUP(C299,台股行情!A:B,2,FALSE)</f>
        <v>主動統一台股增長</v>
      </c>
      <c r="E299" s="11">
        <v>2000</v>
      </c>
      <c r="F299" s="11">
        <v>18.399999999999999</v>
      </c>
      <c r="G299" s="11">
        <f t="shared" si="88"/>
        <v>36800</v>
      </c>
      <c r="H299" s="11">
        <v>52</v>
      </c>
      <c r="I299" s="104"/>
      <c r="J299" s="16"/>
      <c r="K299" s="11">
        <f t="shared" si="60"/>
        <v>0</v>
      </c>
      <c r="L299" s="11">
        <f t="shared" si="84"/>
        <v>0</v>
      </c>
      <c r="M299" s="11">
        <f t="shared" si="85"/>
        <v>0</v>
      </c>
      <c r="N299" s="11">
        <v>0</v>
      </c>
      <c r="O299" s="13">
        <f t="shared" si="63"/>
        <v>58800</v>
      </c>
      <c r="P299" s="14">
        <f t="shared" si="86"/>
        <v>677.8</v>
      </c>
      <c r="Q299" s="14">
        <f t="shared" si="65"/>
        <v>21759.136499999997</v>
      </c>
      <c r="R299" s="14">
        <v>820</v>
      </c>
      <c r="S299" s="14">
        <v>10</v>
      </c>
      <c r="T299" s="14">
        <f t="shared" si="87"/>
        <v>0</v>
      </c>
      <c r="U299" s="69">
        <f t="shared" si="66"/>
        <v>0</v>
      </c>
      <c r="V299" s="69"/>
      <c r="W299" s="70">
        <v>0.11</v>
      </c>
      <c r="X299" s="15">
        <f t="shared" si="67"/>
        <v>0.60969936141304337</v>
      </c>
      <c r="Y299" s="16">
        <f>VLOOKUP(C299,台股行情!A:D,4,FALSE)</f>
        <v>29.4</v>
      </c>
      <c r="Z299" s="38">
        <f>VLOOKUP(C299,台股行情!A:E,5,FALSE)</f>
        <v>-1.79</v>
      </c>
      <c r="AA299" s="90">
        <f t="shared" ca="1" si="68"/>
        <v>26196.473551637278</v>
      </c>
      <c r="AB299" s="103" t="s">
        <v>2733</v>
      </c>
    </row>
    <row r="300" spans="1:28" outlineLevel="1">
      <c r="A300" s="99">
        <v>46051</v>
      </c>
      <c r="B300" s="11"/>
      <c r="C300" s="341" t="s">
        <v>3040</v>
      </c>
      <c r="D300" s="189" t="str">
        <f>VLOOKUP(C300,台股行情!A:B,2,FALSE)</f>
        <v>主動統一台股增長</v>
      </c>
      <c r="E300" s="11">
        <v>1000</v>
      </c>
      <c r="F300" s="11">
        <v>18.21</v>
      </c>
      <c r="G300" s="11">
        <f t="shared" si="88"/>
        <v>18210</v>
      </c>
      <c r="H300" s="11">
        <v>25</v>
      </c>
      <c r="I300" s="104"/>
      <c r="J300" s="16"/>
      <c r="K300" s="11">
        <f t="shared" si="60"/>
        <v>0</v>
      </c>
      <c r="L300" s="11">
        <f t="shared" si="84"/>
        <v>0</v>
      </c>
      <c r="M300" s="11">
        <f t="shared" si="85"/>
        <v>0</v>
      </c>
      <c r="N300" s="11">
        <v>0</v>
      </c>
      <c r="O300" s="13">
        <f t="shared" si="63"/>
        <v>29400</v>
      </c>
      <c r="P300" s="14">
        <f t="shared" si="86"/>
        <v>339.9</v>
      </c>
      <c r="Q300" s="14">
        <f t="shared" si="65"/>
        <v>11064.568249999998</v>
      </c>
      <c r="R300" s="14">
        <v>410</v>
      </c>
      <c r="S300" s="14">
        <v>10</v>
      </c>
      <c r="T300" s="14">
        <f t="shared" si="87"/>
        <v>0</v>
      </c>
      <c r="U300" s="69">
        <f t="shared" si="66"/>
        <v>0</v>
      </c>
      <c r="V300" s="69"/>
      <c r="W300" s="70">
        <v>0.11</v>
      </c>
      <c r="X300" s="15">
        <f t="shared" si="67"/>
        <v>0.6262750274574409</v>
      </c>
      <c r="Y300" s="16">
        <f>VLOOKUP(C300,台股行情!A:D,4,FALSE)</f>
        <v>29.4</v>
      </c>
      <c r="Z300" s="38">
        <f>VLOOKUP(C300,台股行情!A:E,5,FALSE)</f>
        <v>-1.79</v>
      </c>
      <c r="AA300" s="90">
        <f t="shared" ca="1" si="68"/>
        <v>12913.125616033292</v>
      </c>
      <c r="AB300" s="103" t="s">
        <v>2733</v>
      </c>
    </row>
    <row r="301" spans="1:28" outlineLevel="1">
      <c r="A301" s="99">
        <v>46076</v>
      </c>
      <c r="B301" s="11"/>
      <c r="C301" s="341" t="s">
        <v>3040</v>
      </c>
      <c r="D301" s="189" t="str">
        <f>VLOOKUP(C301,台股行情!A:B,2,FALSE)</f>
        <v>主動統一台股增長</v>
      </c>
      <c r="E301" s="11">
        <v>523</v>
      </c>
      <c r="F301" s="11">
        <v>19.11</v>
      </c>
      <c r="G301" s="11">
        <v>9994</v>
      </c>
      <c r="H301" s="11">
        <v>1</v>
      </c>
      <c r="I301" s="104"/>
      <c r="J301" s="16"/>
      <c r="K301" s="11">
        <f t="shared" si="60"/>
        <v>0</v>
      </c>
      <c r="L301" s="11">
        <f t="shared" si="84"/>
        <v>0</v>
      </c>
      <c r="M301" s="11">
        <f t="shared" si="85"/>
        <v>0</v>
      </c>
      <c r="N301" s="11">
        <v>0</v>
      </c>
      <c r="O301" s="13">
        <f>IF(I301="",E301*Y301,0)</f>
        <v>15376.199999999999</v>
      </c>
      <c r="P301" s="14">
        <f t="shared" si="86"/>
        <v>189.46</v>
      </c>
      <c r="Q301" s="14">
        <f>IF(I301="",(O301-G301-(O301*0.1425%*0.65)-(O301*0.3%)-S301-T301),0)</f>
        <v>5311.8291947499993</v>
      </c>
      <c r="R301" s="14">
        <v>214</v>
      </c>
      <c r="S301" s="14">
        <v>10</v>
      </c>
      <c r="T301" s="14">
        <f t="shared" si="87"/>
        <v>0</v>
      </c>
      <c r="U301" s="69">
        <f t="shared" si="66"/>
        <v>0</v>
      </c>
      <c r="V301" s="69"/>
      <c r="W301" s="70">
        <v>0.11</v>
      </c>
      <c r="X301" s="15">
        <f>(P301+Q301)/G301</f>
        <v>0.55045919499199514</v>
      </c>
      <c r="Y301" s="16">
        <f>VLOOKUP(C301,台股行情!A:D,4,FALSE)</f>
        <v>29.4</v>
      </c>
      <c r="Z301" s="38">
        <f>VLOOKUP(C301,台股行情!A:E,5,FALSE)</f>
        <v>-1.79</v>
      </c>
      <c r="AA301" s="90">
        <f t="shared" ca="1" si="68"/>
        <v>6402.9022012923006</v>
      </c>
      <c r="AB301" s="103" t="s">
        <v>2733</v>
      </c>
    </row>
    <row r="302" spans="1:28">
      <c r="A302" s="99">
        <v>46079</v>
      </c>
      <c r="B302" s="11"/>
      <c r="C302" s="341" t="s">
        <v>3040</v>
      </c>
      <c r="D302" s="189" t="str">
        <f>VLOOKUP(C302,台股行情!A:B,2,FALSE)</f>
        <v>主動統一台股增長</v>
      </c>
      <c r="E302" s="11">
        <v>495</v>
      </c>
      <c r="F302" s="11">
        <v>20.190000000000001</v>
      </c>
      <c r="G302" s="11">
        <v>9994</v>
      </c>
      <c r="H302" s="11">
        <v>1</v>
      </c>
      <c r="I302" s="104"/>
      <c r="J302" s="16"/>
      <c r="K302" s="11">
        <f t="shared" si="60"/>
        <v>0</v>
      </c>
      <c r="L302" s="11">
        <f t="shared" si="84"/>
        <v>0</v>
      </c>
      <c r="M302" s="11">
        <f t="shared" si="85"/>
        <v>0</v>
      </c>
      <c r="N302" s="11">
        <v>0</v>
      </c>
      <c r="O302" s="13">
        <f>IF(I302="",E302*Y302,0)</f>
        <v>14553</v>
      </c>
      <c r="P302" s="14">
        <f t="shared" si="86"/>
        <v>179.67</v>
      </c>
      <c r="Q302" s="14">
        <f>IF(I302="",(O302-G302-(O302*0.1425%*0.65)-(O302*0.3%)-S302-T302),0)</f>
        <v>4491.8612837500004</v>
      </c>
      <c r="R302" s="14">
        <v>203</v>
      </c>
      <c r="S302" s="14">
        <v>10</v>
      </c>
      <c r="T302" s="14">
        <f t="shared" si="87"/>
        <v>0</v>
      </c>
      <c r="U302" s="69">
        <f t="shared" si="66"/>
        <v>0</v>
      </c>
      <c r="V302" s="69"/>
      <c r="W302" s="70">
        <v>0.11</v>
      </c>
      <c r="X302" s="15">
        <f>(P302+Q302)/G302</f>
        <v>0.46743358852811689</v>
      </c>
      <c r="Y302" s="16">
        <f>VLOOKUP(C302,台股行情!A:D,4,FALSE)</f>
        <v>29.4</v>
      </c>
      <c r="Z302" s="38">
        <f>VLOOKUP(C302,台股行情!A:E,5,FALSE)</f>
        <v>-1.79</v>
      </c>
      <c r="AA302" s="90">
        <f t="shared" ca="1" si="68"/>
        <v>6320.8137115321433</v>
      </c>
      <c r="AB302" s="103" t="s">
        <v>2733</v>
      </c>
    </row>
    <row r="303" spans="1:28" outlineLevel="1">
      <c r="A303" s="99">
        <v>46133</v>
      </c>
      <c r="B303" s="11"/>
      <c r="C303" s="341" t="s">
        <v>3040</v>
      </c>
      <c r="D303" s="189" t="str">
        <f>VLOOKUP(C303,台股行情!A:B,2,FALSE)</f>
        <v>主動統一台股增長</v>
      </c>
      <c r="E303" s="11">
        <v>982</v>
      </c>
      <c r="F303" s="11">
        <v>26.34</v>
      </c>
      <c r="G303" s="11">
        <f>E303*F303</f>
        <v>25865.88</v>
      </c>
      <c r="H303" s="11">
        <v>36</v>
      </c>
      <c r="I303" s="104"/>
      <c r="J303" s="16"/>
      <c r="K303" s="11">
        <f>E303*J303</f>
        <v>0</v>
      </c>
      <c r="L303" s="11">
        <f>ROUND(J303*E303*0.1425%,0)</f>
        <v>0</v>
      </c>
      <c r="M303" s="11">
        <f>ROUND(J303*E303*0.3%,0)</f>
        <v>0</v>
      </c>
      <c r="N303" s="11">
        <v>0</v>
      </c>
      <c r="O303" s="13">
        <f>IF(I303="",E303*Y303,0)</f>
        <v>28870.799999999999</v>
      </c>
      <c r="P303" s="14">
        <f>IF(I303="",R303-H303,(K303-H303-SUM(L303:N303)+R303-S303-T303)-G303)+(ROUND(R303*V303,0)-ROUND(R303*(1+V303),0)*W303)</f>
        <v>3328.2</v>
      </c>
      <c r="Q303" s="14">
        <f>IF(I303="",(O303-G303-(O303*0.1425%*0.65)-(O303*0.3%)-S303-T303),0)</f>
        <v>2881.5660214999984</v>
      </c>
      <c r="R303" s="14">
        <v>3780</v>
      </c>
      <c r="S303" s="14">
        <v>10</v>
      </c>
      <c r="T303" s="14">
        <f>IF(ROUND(R303*(1+V303),0)&gt;20000,ROUND(ROUND(R303*(1+V303),0)*2%,0),0)</f>
        <v>0</v>
      </c>
      <c r="U303" s="69">
        <f>(V303*50%)/(1+50%*V303)</f>
        <v>0</v>
      </c>
      <c r="V303" s="69"/>
      <c r="W303" s="70">
        <v>0.11</v>
      </c>
      <c r="X303" s="15">
        <f>(P303+Q303)/G303</f>
        <v>0.24007557529455784</v>
      </c>
      <c r="Y303" s="16">
        <f>VLOOKUP(C303,台股行情!A:D,4,FALSE)</f>
        <v>29.4</v>
      </c>
      <c r="Z303" s="38">
        <f>VLOOKUP(C303,台股行情!A:E,5,FALSE)</f>
        <v>-1.79</v>
      </c>
      <c r="AA303" s="90">
        <f t="shared" ca="1" si="68"/>
        <v>12534.938013361078</v>
      </c>
      <c r="AB303" s="103" t="s">
        <v>2733</v>
      </c>
    </row>
    <row r="304" spans="1:28" outlineLevel="1">
      <c r="A304" s="99">
        <v>46148</v>
      </c>
      <c r="B304" s="11"/>
      <c r="C304" s="11" t="s">
        <v>2812</v>
      </c>
      <c r="D304" s="189" t="str">
        <f>VLOOKUP(C304,台股行情!A:B,2,FALSE)</f>
        <v>主動統一台股增長</v>
      </c>
      <c r="E304" s="11">
        <v>1000</v>
      </c>
      <c r="F304" s="11">
        <v>29.28</v>
      </c>
      <c r="G304" s="11">
        <f>E304*F304</f>
        <v>29280</v>
      </c>
      <c r="H304" s="11">
        <v>41</v>
      </c>
      <c r="I304" s="104"/>
      <c r="J304" s="16"/>
      <c r="K304" s="11">
        <f>E304*J304</f>
        <v>0</v>
      </c>
      <c r="L304" s="11">
        <f>ROUND(J304*E304*0.1425%,0)</f>
        <v>0</v>
      </c>
      <c r="M304" s="11">
        <f>ROUND(J304*E304*0.3%,0)</f>
        <v>0</v>
      </c>
      <c r="N304" s="11">
        <v>0</v>
      </c>
      <c r="O304" s="13">
        <f>IF(I304="",E304*Y304,0)</f>
        <v>29400</v>
      </c>
      <c r="P304" s="14">
        <f>IF(I304="",R304-H304,(K304-H304-SUM(L304:N304)+R304-S304-T304)-G304)+(ROUND(R304*V304,0)-ROUND(R304*(1+V304),0)*W304)</f>
        <v>-41</v>
      </c>
      <c r="Q304" s="14">
        <f>IF(I304="",(O304-G304-(O304*0.1425%*0.65)-(O304*0.3%)-S304-T304),0)</f>
        <v>4.5682499999999919</v>
      </c>
      <c r="R304" s="14"/>
      <c r="S304" s="14"/>
      <c r="T304" s="14">
        <f>IF(ROUND(R304*(1+V304),0)&gt;20000,ROUND(ROUND(R304*(1+V304),0)*2%,0),0)</f>
        <v>0</v>
      </c>
      <c r="U304" s="69">
        <f>(V304*50%)/(1+50%*V304)</f>
        <v>0</v>
      </c>
      <c r="V304" s="69"/>
      <c r="W304" s="70">
        <v>0.11</v>
      </c>
      <c r="X304" s="15">
        <f>(P304+Q304)/G304</f>
        <v>-1.2442537568306013E-3</v>
      </c>
      <c r="Y304" s="16">
        <f>VLOOKUP(C304,台股行情!A:D,4,FALSE)</f>
        <v>29.4</v>
      </c>
      <c r="Z304" s="38">
        <f>VLOOKUP(C304,台股行情!A:E,5,FALSE)</f>
        <v>-1.79</v>
      </c>
      <c r="AA304" s="90">
        <f t="shared" ca="1" si="68"/>
        <v>12986.967473442121</v>
      </c>
      <c r="AB304" s="103" t="s">
        <v>2733</v>
      </c>
    </row>
    <row r="305" spans="1:29" outlineLevel="1">
      <c r="A305" s="99">
        <v>46087</v>
      </c>
      <c r="B305" s="11"/>
      <c r="C305" s="348" t="s">
        <v>3071</v>
      </c>
      <c r="D305" s="189" t="str">
        <f>VLOOKUP(C305,台股行情!A:B,2,FALSE)</f>
        <v>主動復華未來50</v>
      </c>
      <c r="E305" s="11">
        <v>825</v>
      </c>
      <c r="F305" s="11">
        <v>12.11</v>
      </c>
      <c r="G305" s="11">
        <v>9990</v>
      </c>
      <c r="H305" s="11">
        <v>1</v>
      </c>
      <c r="I305" s="104"/>
      <c r="J305" s="16"/>
      <c r="K305" s="11">
        <f t="shared" si="60"/>
        <v>0</v>
      </c>
      <c r="L305" s="11">
        <f t="shared" si="84"/>
        <v>0</v>
      </c>
      <c r="M305" s="11">
        <f t="shared" si="85"/>
        <v>0</v>
      </c>
      <c r="N305" s="11">
        <v>0</v>
      </c>
      <c r="O305" s="13">
        <f t="shared" ref="O305:O317" si="89">IF(I305="",E305*Y305,0)</f>
        <v>14165.250000000002</v>
      </c>
      <c r="P305" s="14">
        <f t="shared" ref="P305:P311" si="90">IF(I305="",R305-H305,(K305-H305-SUM(L305:N305)+R305-S305-T305)-G305)+(ROUND(R305*V305,0)-ROUND(R305*(1+V305),0)*W305)</f>
        <v>-1</v>
      </c>
      <c r="Q305" s="14">
        <f t="shared" ref="Q305:Q317" si="91">IF(I305="",(O305-G305-(O305*0.1425%*0.65)-(O305*0.3%)-S305-T305),0)</f>
        <v>4119.6336871875019</v>
      </c>
      <c r="R305" s="14"/>
      <c r="S305" s="14"/>
      <c r="T305" s="14">
        <f t="shared" si="87"/>
        <v>0</v>
      </c>
      <c r="U305" s="69">
        <f t="shared" si="66"/>
        <v>0</v>
      </c>
      <c r="V305" s="69"/>
      <c r="W305" s="70">
        <v>0.11</v>
      </c>
      <c r="X305" s="15">
        <f t="shared" ref="X305:X317" si="92">(P305+Q305)/G305</f>
        <v>0.41227564436311331</v>
      </c>
      <c r="Y305" s="16">
        <f>VLOOKUP(C305,台股行情!A:D,4,FALSE)</f>
        <v>17.170000000000002</v>
      </c>
      <c r="Z305" s="38">
        <f>VLOOKUP(C305,台股行情!A:E,5,FALSE)</f>
        <v>-1.1299999999999999</v>
      </c>
      <c r="AA305" s="90">
        <f t="shared" ca="1" si="68"/>
        <v>6099.4688424049937</v>
      </c>
      <c r="AB305" s="103" t="s">
        <v>2733</v>
      </c>
    </row>
    <row r="306" spans="1:29" outlineLevel="1">
      <c r="A306" s="99">
        <v>46097</v>
      </c>
      <c r="B306" s="11"/>
      <c r="C306" s="348" t="s">
        <v>3071</v>
      </c>
      <c r="D306" s="189" t="str">
        <f>VLOOKUP(C306,台股行情!A:B,2,FALSE)</f>
        <v>主動復華未來50</v>
      </c>
      <c r="E306" s="11">
        <v>798</v>
      </c>
      <c r="F306" s="11">
        <v>12.53</v>
      </c>
      <c r="G306" s="11">
        <v>9998</v>
      </c>
      <c r="H306" s="11">
        <v>1</v>
      </c>
      <c r="I306" s="104"/>
      <c r="J306" s="16"/>
      <c r="K306" s="11">
        <f>E306*J306</f>
        <v>0</v>
      </c>
      <c r="L306" s="11">
        <f>ROUND(J306*E306*0.1425%,0)</f>
        <v>0</v>
      </c>
      <c r="M306" s="11">
        <f>ROUND(J306*E306*0.3%,0)</f>
        <v>0</v>
      </c>
      <c r="N306" s="11">
        <v>0</v>
      </c>
      <c r="O306" s="13">
        <f>IF(I306="",E306*Y306,0)</f>
        <v>13701.660000000002</v>
      </c>
      <c r="P306" s="14">
        <f t="shared" ref="P306" si="93">IF(I306="",R306-H306,(K306-H306-SUM(L306:N306)+R306-S306-T306)-G306)+(ROUND(R306*V306,0)-ROUND(R306*(1+V306),0)*W306)</f>
        <v>-1</v>
      </c>
      <c r="Q306" s="14">
        <f>IF(I306="",(O306-G306-(O306*0.1425%*0.65)-(O306*0.3%)-S306-T306),0)</f>
        <v>3649.8638574250017</v>
      </c>
      <c r="R306" s="14"/>
      <c r="S306" s="14"/>
      <c r="T306" s="14">
        <f>IF(ROUND(R306*(1+V306),0)&gt;20000,ROUND(ROUND(R306*(1+V306),0)*2%,0),0)</f>
        <v>0</v>
      </c>
      <c r="U306" s="69">
        <f>(V306*50%)/(1+50%*V306)</f>
        <v>0</v>
      </c>
      <c r="V306" s="69"/>
      <c r="W306" s="70">
        <v>0.11</v>
      </c>
      <c r="X306" s="15">
        <f>(P306+Q306)/G306</f>
        <v>0.36495937761802377</v>
      </c>
      <c r="Y306" s="16">
        <f>VLOOKUP(C306,台股行情!A:D,4,FALSE)</f>
        <v>17.170000000000002</v>
      </c>
      <c r="Z306" s="38">
        <f>VLOOKUP(C306,台股行情!A:E,5,FALSE)</f>
        <v>-1.1299999999999999</v>
      </c>
      <c r="AA306" s="90">
        <f t="shared" ca="1" si="68"/>
        <v>5830.6154857080273</v>
      </c>
      <c r="AB306" s="103" t="s">
        <v>2733</v>
      </c>
    </row>
    <row r="307" spans="1:29" outlineLevel="1">
      <c r="A307" s="99">
        <v>46119</v>
      </c>
      <c r="B307" s="11"/>
      <c r="C307" s="348" t="s">
        <v>3071</v>
      </c>
      <c r="D307" s="189" t="str">
        <f>VLOOKUP(C307,台股行情!A:B,2,FALSE)</f>
        <v>主動復華未來50</v>
      </c>
      <c r="E307" s="11">
        <v>790</v>
      </c>
      <c r="F307" s="11">
        <v>12.65</v>
      </c>
      <c r="G307" s="11">
        <v>9993</v>
      </c>
      <c r="H307" s="11">
        <v>1</v>
      </c>
      <c r="I307" s="104"/>
      <c r="J307" s="16"/>
      <c r="K307" s="11">
        <f>E307*J307</f>
        <v>0</v>
      </c>
      <c r="L307" s="11">
        <f>ROUND(J307*E307*0.1425%,0)</f>
        <v>0</v>
      </c>
      <c r="M307" s="11">
        <f>ROUND(J307*E307*0.3%,0)</f>
        <v>0</v>
      </c>
      <c r="N307" s="11">
        <v>0</v>
      </c>
      <c r="O307" s="13">
        <f>IF(I307="",E307*Y307,0)</f>
        <v>13564.300000000001</v>
      </c>
      <c r="P307" s="14">
        <f>IF(I307="",R307-H307,(K307-H307-SUM(L307:N307)+R307-S307-T307)-G307)+(ROUND(R307*V307,0)-ROUND(R307*(1+V307),0)*W307)</f>
        <v>-1</v>
      </c>
      <c r="Q307" s="14">
        <f>IF(I307="",(O307-G307-(O307*0.1425%*0.65)-(O307*0.3%)-S307-T307),0)</f>
        <v>3518.0431671250012</v>
      </c>
      <c r="R307" s="14"/>
      <c r="S307" s="14"/>
      <c r="T307" s="14">
        <f>IF(ROUND(R307*(1+V307),0)&gt;20000,ROUND(ROUND(R307*(1+V307),0)*2%,0),0)</f>
        <v>0</v>
      </c>
      <c r="U307" s="69">
        <f>(V307*50%)/(1+50%*V307)</f>
        <v>0</v>
      </c>
      <c r="V307" s="69"/>
      <c r="W307" s="70">
        <v>0.11</v>
      </c>
      <c r="X307" s="15">
        <f>(P307+Q307)/G307</f>
        <v>0.35195068219003317</v>
      </c>
      <c r="Y307" s="16">
        <f>VLOOKUP(C307,台股行情!A:D,4,FALSE)</f>
        <v>17.170000000000002</v>
      </c>
      <c r="Z307" s="38">
        <f>VLOOKUP(C307,台股行情!A:E,5,FALSE)</f>
        <v>-1.1299999999999999</v>
      </c>
      <c r="AA307" s="90">
        <f t="shared" ca="1" si="68"/>
        <v>5225.777570912277</v>
      </c>
      <c r="AB307" s="103" t="s">
        <v>2733</v>
      </c>
      <c r="AC307" s="311"/>
    </row>
    <row r="308" spans="1:29">
      <c r="A308" s="99">
        <v>46128</v>
      </c>
      <c r="B308" s="11"/>
      <c r="C308" s="348" t="s">
        <v>3071</v>
      </c>
      <c r="D308" s="189" t="str">
        <f>VLOOKUP(C308,台股行情!A:B,2,FALSE)</f>
        <v>主動復華未來50</v>
      </c>
      <c r="E308" s="11">
        <v>691</v>
      </c>
      <c r="F308" s="11">
        <v>14.47</v>
      </c>
      <c r="G308" s="11">
        <v>9998</v>
      </c>
      <c r="H308" s="11">
        <v>1</v>
      </c>
      <c r="I308" s="104"/>
      <c r="J308" s="16"/>
      <c r="K308" s="11">
        <f>E308*J308</f>
        <v>0</v>
      </c>
      <c r="L308" s="11">
        <f>ROUND(J308*E308*0.1425%,0)</f>
        <v>0</v>
      </c>
      <c r="M308" s="11">
        <f>ROUND(J308*E308*0.3%,0)</f>
        <v>0</v>
      </c>
      <c r="N308" s="11">
        <v>0</v>
      </c>
      <c r="O308" s="13">
        <f>IF(I308="",E308*Y308,0)</f>
        <v>11864.470000000001</v>
      </c>
      <c r="P308" s="14">
        <f>IF(I308="",R308-H308,(K308-H308-SUM(L308:N308)+R308-S308-T308)-G308)+(ROUND(R308*V308,0)-ROUND(R308*(1+V308),0)*W308)</f>
        <v>-1</v>
      </c>
      <c r="Q308" s="14">
        <f>IF(I308="",(O308-G308-(O308*0.1425%*0.65)-(O308*0.3%)-S308-T308),0)</f>
        <v>1819.8871246625013</v>
      </c>
      <c r="R308" s="14"/>
      <c r="S308" s="14"/>
      <c r="T308" s="14">
        <f>IF(ROUND(R308*(1+V308),0)&gt;20000,ROUND(ROUND(R308*(1+V308),0)*2%,0),0)</f>
        <v>0</v>
      </c>
      <c r="U308" s="69">
        <f>(V308*50%)/(1+50%*V308)</f>
        <v>0</v>
      </c>
      <c r="V308" s="69"/>
      <c r="W308" s="70">
        <v>0.11</v>
      </c>
      <c r="X308" s="15">
        <f>(P308+Q308)/G308</f>
        <v>0.18192509748574728</v>
      </c>
      <c r="Y308" s="16">
        <f>VLOOKUP(C308,台股行情!A:D,4,FALSE)</f>
        <v>17.170000000000002</v>
      </c>
      <c r="Z308" s="38">
        <f>VLOOKUP(C308,台股行情!A:E,5,FALSE)</f>
        <v>-1.1299999999999999</v>
      </c>
      <c r="AA308" s="90">
        <f t="shared" ca="1" si="68"/>
        <v>4982.0282553937132</v>
      </c>
      <c r="AB308" s="103" t="s">
        <v>2733</v>
      </c>
    </row>
    <row r="309" spans="1:29" outlineLevel="1">
      <c r="A309" s="99">
        <v>46148</v>
      </c>
      <c r="B309" s="11"/>
      <c r="C309" s="348" t="s">
        <v>3071</v>
      </c>
      <c r="D309" s="189" t="str">
        <f>VLOOKUP(C309,台股行情!A:B,2,FALSE)</f>
        <v>主動復華未來50</v>
      </c>
      <c r="E309" s="11">
        <v>567</v>
      </c>
      <c r="F309" s="11">
        <v>17.63</v>
      </c>
      <c r="G309" s="11">
        <v>9996</v>
      </c>
      <c r="H309" s="11">
        <v>1</v>
      </c>
      <c r="I309" s="104"/>
      <c r="J309" s="16"/>
      <c r="K309" s="11">
        <f>E309*J309</f>
        <v>0</v>
      </c>
      <c r="L309" s="11">
        <f>ROUND(J309*E309*0.1425%,0)</f>
        <v>0</v>
      </c>
      <c r="M309" s="11">
        <f>ROUND(J309*E309*0.3%,0)</f>
        <v>0</v>
      </c>
      <c r="N309" s="11">
        <v>0</v>
      </c>
      <c r="O309" s="13">
        <f>IF(I309="",E309*Y309,0)</f>
        <v>9735.3900000000012</v>
      </c>
      <c r="P309" s="14">
        <f>IF(I309="",R309-H309,(K309-H309-SUM(L309:N309)+R309-S309-T309)-G309)+(ROUND(R309*V309,0)-ROUND(R309*(1+V309),0)*W309)</f>
        <v>-1</v>
      </c>
      <c r="Q309" s="14">
        <f>IF(I309="",(O309-G309-(O309*0.1425%*0.65)-(O309*0.3%)-S309-T309),0)</f>
        <v>-298.83357498749876</v>
      </c>
      <c r="R309" s="14"/>
      <c r="S309" s="14"/>
      <c r="T309" s="14">
        <f>IF(ROUND(R309*(1+V309),0)&gt;20000,ROUND(ROUND(R309*(1+V309),0)*2%,0),0)</f>
        <v>0</v>
      </c>
      <c r="U309" s="69">
        <f>(V309*50%)/(1+50%*V309)</f>
        <v>0</v>
      </c>
      <c r="V309" s="69"/>
      <c r="W309" s="70">
        <v>0.11</v>
      </c>
      <c r="X309" s="15">
        <f>(P309+Q309)/G309</f>
        <v>-2.9995355641006281E-2</v>
      </c>
      <c r="Y309" s="16">
        <f>VLOOKUP(C309,台股行情!A:D,4,FALSE)</f>
        <v>17.170000000000002</v>
      </c>
      <c r="Z309" s="38">
        <f>VLOOKUP(C309,台股行情!A:E,5,FALSE)</f>
        <v>-1.1299999999999999</v>
      </c>
      <c r="AA309" s="90">
        <f t="shared" ca="1" si="68"/>
        <v>4433.6655349906905</v>
      </c>
      <c r="AB309" s="103" t="s">
        <v>2733</v>
      </c>
    </row>
    <row r="310" spans="1:29" outlineLevel="1">
      <c r="A310" s="99">
        <v>46160</v>
      </c>
      <c r="B310" s="11"/>
      <c r="C310" s="348" t="s">
        <v>3071</v>
      </c>
      <c r="D310" s="189" t="str">
        <f>VLOOKUP(C310,台股行情!A:B,2,FALSE)</f>
        <v>主動復華未來50</v>
      </c>
      <c r="E310" s="11">
        <v>574</v>
      </c>
      <c r="F310" s="11">
        <v>17.420000000000002</v>
      </c>
      <c r="G310" s="11">
        <v>9996</v>
      </c>
      <c r="H310" s="11">
        <v>1</v>
      </c>
      <c r="I310" s="104"/>
      <c r="J310" s="16"/>
      <c r="K310" s="11">
        <f>E310*J310</f>
        <v>0</v>
      </c>
      <c r="L310" s="11">
        <f>ROUND(J310*E310*0.1425%,0)</f>
        <v>0</v>
      </c>
      <c r="M310" s="11">
        <f>ROUND(J310*E310*0.3%,0)</f>
        <v>0</v>
      </c>
      <c r="N310" s="11">
        <v>0</v>
      </c>
      <c r="O310" s="13">
        <f>IF(I310="",E310*Y310,0)</f>
        <v>9855.5800000000017</v>
      </c>
      <c r="P310" s="14">
        <f>IF(I310="",R310-H310,(K310-H310-SUM(L310:N310)+R310-S310-T310)-G310)+(ROUND(R310*V310,0)-ROUND(R310*(1+V310),0)*W310)</f>
        <v>-1</v>
      </c>
      <c r="Q310" s="14">
        <f>IF(I310="",(O310-G310-(O310*0.1425%*0.65)-(O310*0.3%)-S310-T310),0)</f>
        <v>-179.11547097499826</v>
      </c>
      <c r="R310" s="14"/>
      <c r="S310" s="14"/>
      <c r="T310" s="14">
        <f>IF(ROUND(R310*(1+V310),0)&gt;20000,ROUND(ROUND(R310*(1+V310),0)*2%,0),0)</f>
        <v>0</v>
      </c>
      <c r="U310" s="69">
        <f>(V310*50%)/(1+50%*V310)</f>
        <v>0</v>
      </c>
      <c r="V310" s="69"/>
      <c r="W310" s="70">
        <v>0.11</v>
      </c>
      <c r="X310" s="15">
        <f>(P310+Q310)/G310</f>
        <v>-1.8018754599339562E-2</v>
      </c>
      <c r="Y310" s="16">
        <f>VLOOKUP(C310,台股行情!A:D,4,FALSE)</f>
        <v>17.170000000000002</v>
      </c>
      <c r="Z310" s="38">
        <f>VLOOKUP(C310,台股行情!A:E,5,FALSE)</f>
        <v>-1.1299999999999999</v>
      </c>
      <c r="AA310" s="90">
        <f t="shared" ca="1" si="68"/>
        <v>4105.2458657321213</v>
      </c>
      <c r="AB310" s="103" t="s">
        <v>2733</v>
      </c>
    </row>
    <row r="311" spans="1:29" outlineLevel="1">
      <c r="A311" s="99">
        <v>46090</v>
      </c>
      <c r="B311" s="11"/>
      <c r="C311" s="348">
        <v>830</v>
      </c>
      <c r="D311" s="189" t="str">
        <f>VLOOKUP(C311,台股行情!A:B,2,FALSE)</f>
        <v>國泰費城半導體</v>
      </c>
      <c r="E311" s="11">
        <v>192</v>
      </c>
      <c r="F311" s="11">
        <v>51.84</v>
      </c>
      <c r="G311" s="11">
        <v>9990</v>
      </c>
      <c r="H311" s="11">
        <v>1</v>
      </c>
      <c r="I311" s="104"/>
      <c r="J311" s="16"/>
      <c r="K311" s="11">
        <f t="shared" si="60"/>
        <v>0</v>
      </c>
      <c r="L311" s="11">
        <f t="shared" si="84"/>
        <v>0</v>
      </c>
      <c r="M311" s="11">
        <f t="shared" si="85"/>
        <v>0</v>
      </c>
      <c r="N311" s="11">
        <v>0</v>
      </c>
      <c r="O311" s="13">
        <f t="shared" si="89"/>
        <v>16003.199999999999</v>
      </c>
      <c r="P311" s="14">
        <f t="shared" si="90"/>
        <v>-1</v>
      </c>
      <c r="Q311" s="14">
        <f t="shared" si="91"/>
        <v>5950.3674359999986</v>
      </c>
      <c r="R311" s="14"/>
      <c r="S311" s="14"/>
      <c r="T311" s="14">
        <f t="shared" si="87"/>
        <v>0</v>
      </c>
      <c r="U311" s="69">
        <f t="shared" si="66"/>
        <v>0</v>
      </c>
      <c r="V311" s="69"/>
      <c r="W311" s="70">
        <v>0.11</v>
      </c>
      <c r="X311" s="15">
        <f t="shared" si="92"/>
        <v>0.59553227587587576</v>
      </c>
      <c r="Y311" s="16">
        <f>VLOOKUP(C311,台股行情!A:D,4,FALSE)</f>
        <v>83.35</v>
      </c>
      <c r="Z311" s="38">
        <f>VLOOKUP(C311,台股行情!A:E,5,FALSE)</f>
        <v>-3.75</v>
      </c>
      <c r="AA311" s="90">
        <f t="shared" ca="1" si="68"/>
        <v>6017.4132077538052</v>
      </c>
      <c r="AB311" s="103" t="s">
        <v>2733</v>
      </c>
    </row>
    <row r="312" spans="1:29" outlineLevel="1">
      <c r="A312" s="99">
        <v>46098</v>
      </c>
      <c r="B312" s="11"/>
      <c r="C312" s="348">
        <v>830</v>
      </c>
      <c r="D312" s="189" t="str">
        <f>VLOOKUP(C312,台股行情!A:B,2,FALSE)</f>
        <v>國泰費城半導體</v>
      </c>
      <c r="E312" s="11">
        <v>181</v>
      </c>
      <c r="F312" s="11">
        <v>55.1</v>
      </c>
      <c r="G312" s="11">
        <v>9973</v>
      </c>
      <c r="H312" s="11">
        <v>1</v>
      </c>
      <c r="I312" s="104"/>
      <c r="J312" s="16"/>
      <c r="K312" s="11">
        <f t="shared" si="60"/>
        <v>0</v>
      </c>
      <c r="L312" s="11">
        <f t="shared" si="84"/>
        <v>0</v>
      </c>
      <c r="M312" s="11">
        <f t="shared" si="85"/>
        <v>0</v>
      </c>
      <c r="N312" s="11">
        <v>0</v>
      </c>
      <c r="O312" s="13">
        <f t="shared" si="89"/>
        <v>15086.349999999999</v>
      </c>
      <c r="P312" s="14">
        <f t="shared" ref="P312:P317" si="94">IF(I312="",R312-H312,(K312-H312-SUM(L312:N312)+R312-S312-T312)-G312)+(ROUND(R312*V312,0)-ROUND(R312*(1+V312),0)*W312)</f>
        <v>-1</v>
      </c>
      <c r="Q312" s="14">
        <f t="shared" si="91"/>
        <v>5054.1172183124991</v>
      </c>
      <c r="R312" s="14"/>
      <c r="S312" s="14"/>
      <c r="T312" s="14">
        <f t="shared" si="87"/>
        <v>0</v>
      </c>
      <c r="U312" s="69">
        <f t="shared" si="66"/>
        <v>0</v>
      </c>
      <c r="V312" s="69"/>
      <c r="W312" s="70">
        <v>0.11</v>
      </c>
      <c r="X312" s="15">
        <f t="shared" si="92"/>
        <v>0.50667975717562408</v>
      </c>
      <c r="Y312" s="16">
        <f>VLOOKUP(C312,台股行情!A:D,4,FALSE)</f>
        <v>83.35</v>
      </c>
      <c r="Z312" s="38">
        <f>VLOOKUP(C312,台股行情!A:E,5,FALSE)</f>
        <v>-3.75</v>
      </c>
      <c r="AA312" s="90">
        <f t="shared" ca="1" si="68"/>
        <v>5788.7306976234804</v>
      </c>
      <c r="AB312" s="103" t="s">
        <v>2733</v>
      </c>
    </row>
    <row r="313" spans="1:29" outlineLevel="1">
      <c r="A313" s="99">
        <v>46119</v>
      </c>
      <c r="B313" s="11"/>
      <c r="C313" s="348">
        <v>830</v>
      </c>
      <c r="D313" s="189" t="str">
        <f>VLOOKUP(C313,台股行情!A:B,2,FALSE)</f>
        <v>國泰費城半導體</v>
      </c>
      <c r="E313" s="11">
        <v>179</v>
      </c>
      <c r="F313" s="11">
        <v>55.66</v>
      </c>
      <c r="G313" s="11">
        <v>9963</v>
      </c>
      <c r="H313" s="11">
        <v>1</v>
      </c>
      <c r="I313" s="104"/>
      <c r="J313" s="16"/>
      <c r="K313" s="11">
        <f>E313*J313</f>
        <v>0</v>
      </c>
      <c r="L313" s="11">
        <f>ROUND(J313*E313*0.1425%,0)</f>
        <v>0</v>
      </c>
      <c r="M313" s="11">
        <f>ROUND(J313*E313*0.3%,0)</f>
        <v>0</v>
      </c>
      <c r="N313" s="11">
        <v>0</v>
      </c>
      <c r="O313" s="13">
        <f>IF(I313="",E313*Y313,0)</f>
        <v>14919.65</v>
      </c>
      <c r="P313" s="14">
        <f>IF(I313="",R313-H313,(K313-H313-SUM(L313:N313)+R313-S313-T313)-G313)+(ROUND(R313*V313,0)-ROUND(R313*(1+V313),0)*W313)</f>
        <v>-1</v>
      </c>
      <c r="Q313" s="14">
        <f>IF(I313="",(O313-G313-(O313*0.1425%*0.65)-(O313*0.3%)-S313-T313),0)</f>
        <v>4898.0717241874991</v>
      </c>
      <c r="R313" s="14"/>
      <c r="S313" s="14"/>
      <c r="T313" s="14">
        <f>IF(ROUND(R313*(1+V313),0)&gt;20000,ROUND(ROUND(R313*(1+V313),0)*2%,0),0)</f>
        <v>0</v>
      </c>
      <c r="U313" s="69">
        <f>(V313*50%)/(1+50%*V313)</f>
        <v>0</v>
      </c>
      <c r="V313" s="69"/>
      <c r="W313" s="70">
        <v>0.11</v>
      </c>
      <c r="X313" s="15">
        <f>(P313+Q313)/G313</f>
        <v>0.49152581794514694</v>
      </c>
      <c r="Y313" s="16">
        <f>VLOOKUP(C313,台股行情!A:D,4,FALSE)</f>
        <v>83.35</v>
      </c>
      <c r="Z313" s="38">
        <f>VLOOKUP(C313,台股行情!A:E,5,FALSE)</f>
        <v>-3.75</v>
      </c>
      <c r="AA313" s="90">
        <f t="shared" ca="1" si="68"/>
        <v>5210.0892563793668</v>
      </c>
      <c r="AB313" s="103" t="s">
        <v>2733</v>
      </c>
      <c r="AC313" s="311"/>
    </row>
    <row r="314" spans="1:29" outlineLevel="1">
      <c r="A314" s="99">
        <v>46129</v>
      </c>
      <c r="B314" s="11"/>
      <c r="C314" s="348">
        <v>830</v>
      </c>
      <c r="D314" s="189" t="str">
        <f>VLOOKUP(C314,台股行情!A:B,2,FALSE)</f>
        <v>國泰費城半導體</v>
      </c>
      <c r="E314" s="11">
        <v>153</v>
      </c>
      <c r="F314" s="11">
        <v>65.25</v>
      </c>
      <c r="G314" s="11">
        <v>9983</v>
      </c>
      <c r="H314" s="11">
        <v>1</v>
      </c>
      <c r="I314" s="104"/>
      <c r="J314" s="16"/>
      <c r="K314" s="11">
        <f>E314*J314</f>
        <v>0</v>
      </c>
      <c r="L314" s="11">
        <f>ROUND(J314*E314*0.1425%,0)</f>
        <v>0</v>
      </c>
      <c r="M314" s="11">
        <f>ROUND(J314*E314*0.3%,0)</f>
        <v>0</v>
      </c>
      <c r="N314" s="11">
        <v>0</v>
      </c>
      <c r="O314" s="13">
        <f>IF(I314="",E314*Y314,0)</f>
        <v>12752.55</v>
      </c>
      <c r="P314" s="14">
        <f>IF(I314="",R314-H314,(K314-H314-SUM(L314:N314)+R314-S314-T314)-G314)+(ROUND(R314*V314,0)-ROUND(R314*(1+V314),0)*W314)</f>
        <v>-1</v>
      </c>
      <c r="Q314" s="14">
        <f>IF(I314="",(O314-G314-(O314*0.1425%*0.65)-(O314*0.3%)-S314-T314),0)</f>
        <v>2719.4803005624995</v>
      </c>
      <c r="R314" s="14"/>
      <c r="S314" s="14"/>
      <c r="T314" s="14">
        <f>IF(ROUND(R314*(1+V314),0)&gt;20000,ROUND(ROUND(R314*(1+V314),0)*2%,0),0)</f>
        <v>0</v>
      </c>
      <c r="U314" s="69">
        <f>(V314*50%)/(1+50%*V314)</f>
        <v>0</v>
      </c>
      <c r="V314" s="69"/>
      <c r="W314" s="70">
        <v>0.11</v>
      </c>
      <c r="X314" s="15">
        <f>(P314+Q314)/G314</f>
        <v>0.27231095868601618</v>
      </c>
      <c r="Y314" s="16">
        <f>VLOOKUP(C314,台股行情!A:D,4,FALSE)</f>
        <v>83.35</v>
      </c>
      <c r="Z314" s="38">
        <f>VLOOKUP(C314,台股行情!A:E,5,FALSE)</f>
        <v>-3.75</v>
      </c>
      <c r="AA314" s="90">
        <f t="shared" ca="1" si="68"/>
        <v>4947.2210053663348</v>
      </c>
      <c r="AB314" s="103" t="s">
        <v>2733</v>
      </c>
    </row>
    <row r="315" spans="1:29" outlineLevel="1">
      <c r="A315" s="99">
        <v>46149</v>
      </c>
      <c r="B315" s="11"/>
      <c r="C315" s="348">
        <v>830</v>
      </c>
      <c r="D315" s="189" t="str">
        <f>VLOOKUP(C315,台股行情!A:B,2,FALSE)</f>
        <v>國泰費城半導體</v>
      </c>
      <c r="E315" s="11">
        <v>125</v>
      </c>
      <c r="F315" s="11">
        <v>79.47</v>
      </c>
      <c r="G315" s="11">
        <v>9933</v>
      </c>
      <c r="H315" s="11">
        <v>1</v>
      </c>
      <c r="I315" s="104"/>
      <c r="J315" s="16"/>
      <c r="K315" s="11">
        <f>E315*J315</f>
        <v>0</v>
      </c>
      <c r="L315" s="11">
        <f>ROUND(J315*E315*0.1425%,0)</f>
        <v>0</v>
      </c>
      <c r="M315" s="11">
        <f>ROUND(J315*E315*0.3%,0)</f>
        <v>0</v>
      </c>
      <c r="N315" s="11">
        <v>0</v>
      </c>
      <c r="O315" s="13">
        <f>IF(I315="",E315*Y315,0)</f>
        <v>10418.75</v>
      </c>
      <c r="P315" s="14">
        <f t="shared" ref="P315" si="95">IF(I315="",R315-H315,(K315-H315-SUM(L315:N315)+R315-S315-T315)-G315)+(ROUND(R315*V315,0)-ROUND(R315*(1+V315),0)*W315)</f>
        <v>-1</v>
      </c>
      <c r="Q315" s="14">
        <f>IF(I315="",(O315-G315-(O315*0.1425%*0.65)-(O315*0.3%)-S315-T315),0)</f>
        <v>444.84338281249995</v>
      </c>
      <c r="R315" s="14"/>
      <c r="S315" s="14"/>
      <c r="T315" s="14">
        <f>IF(ROUND(R315*(1+V315),0)&gt;20000,ROUND(ROUND(R315*(1+V315),0)*2%,0),0)</f>
        <v>0</v>
      </c>
      <c r="U315" s="69">
        <f>(V315*50%)/(1+50%*V315)</f>
        <v>0</v>
      </c>
      <c r="V315" s="69"/>
      <c r="W315" s="70">
        <v>0.11</v>
      </c>
      <c r="X315" s="15">
        <f>(P315+Q315)/G315</f>
        <v>4.4683719199889255E-2</v>
      </c>
      <c r="Y315" s="16">
        <f>VLOOKUP(C315,台股行情!A:D,4,FALSE)</f>
        <v>83.35</v>
      </c>
      <c r="Z315" s="38">
        <f>VLOOKUP(C315,台股行情!A:E,5,FALSE)</f>
        <v>-3.75</v>
      </c>
      <c r="AA315" s="90">
        <f t="shared" ca="1" si="68"/>
        <v>4378.5264483627207</v>
      </c>
      <c r="AB315" s="103" t="s">
        <v>2733</v>
      </c>
    </row>
    <row r="316" spans="1:29" outlineLevel="1">
      <c r="A316" s="99">
        <v>46160</v>
      </c>
      <c r="B316" s="11"/>
      <c r="C316" s="348">
        <v>830</v>
      </c>
      <c r="D316" s="189" t="str">
        <f>VLOOKUP(C316,台股行情!A:B,2,FALSE)</f>
        <v>國泰費城半導體</v>
      </c>
      <c r="E316" s="11">
        <v>123</v>
      </c>
      <c r="F316" s="11">
        <v>80.87</v>
      </c>
      <c r="G316" s="11">
        <v>9933</v>
      </c>
      <c r="H316" s="11">
        <v>1</v>
      </c>
      <c r="I316" s="104"/>
      <c r="J316" s="16"/>
      <c r="K316" s="11">
        <f>E316*J316</f>
        <v>0</v>
      </c>
      <c r="L316" s="11">
        <f>ROUND(J316*E316*0.1425%,0)</f>
        <v>0</v>
      </c>
      <c r="M316" s="11">
        <f>ROUND(J316*E316*0.3%,0)</f>
        <v>0</v>
      </c>
      <c r="N316" s="11">
        <v>0</v>
      </c>
      <c r="O316" s="13">
        <f>IF(I316="",E316*Y316,0)</f>
        <v>10252.049999999999</v>
      </c>
      <c r="P316" s="14">
        <f>IF(I316="",R316-H316,(K316-H316-SUM(L316:N316)+R316-S316-T316)-G316)+(ROUND(R316*V316,0)-ROUND(R316*(1+V316),0)*W316)</f>
        <v>-1</v>
      </c>
      <c r="Q316" s="14">
        <f>IF(I316="",(O316-G316-(O316*0.1425%*0.65)-(O316*0.3%)-S316-T316),0)</f>
        <v>278.79788868749927</v>
      </c>
      <c r="R316" s="14"/>
      <c r="S316" s="14"/>
      <c r="T316" s="14">
        <f>IF(ROUND(R316*(1+V316),0)&gt;20000,ROUND(ROUND(R316*(1+V316),0)*2%,0),0)</f>
        <v>0</v>
      </c>
      <c r="U316" s="69">
        <f>(V316*50%)/(1+50%*V316)</f>
        <v>0</v>
      </c>
      <c r="V316" s="69"/>
      <c r="W316" s="70">
        <v>0.11</v>
      </c>
      <c r="X316" s="15">
        <f>(P316+Q316)/G316</f>
        <v>2.7967168900382488E-2</v>
      </c>
      <c r="Y316" s="16">
        <f>VLOOKUP(C316,台股行情!A:D,4,FALSE)</f>
        <v>83.35</v>
      </c>
      <c r="Z316" s="38">
        <f>VLOOKUP(C316,台股行情!A:E,5,FALSE)</f>
        <v>-3.75</v>
      </c>
      <c r="AA316" s="90">
        <f t="shared" ca="1" si="68"/>
        <v>4079.3724674186833</v>
      </c>
      <c r="AB316" s="103" t="s">
        <v>2733</v>
      </c>
    </row>
    <row r="317" spans="1:29">
      <c r="A317" s="99">
        <v>46098</v>
      </c>
      <c r="B317" s="11"/>
      <c r="C317" s="11">
        <v>8086</v>
      </c>
      <c r="D317" s="189" t="str">
        <f>VLOOKUP(C317,台股行情!A:B,2,FALSE)</f>
        <v>宏捷科</v>
      </c>
      <c r="E317" s="11">
        <v>1000</v>
      </c>
      <c r="F317" s="11">
        <v>129</v>
      </c>
      <c r="G317" s="11">
        <f t="shared" ref="G317" si="96">E317*F317</f>
        <v>129000</v>
      </c>
      <c r="H317" s="11">
        <v>183</v>
      </c>
      <c r="I317" s="104"/>
      <c r="J317" s="16"/>
      <c r="K317" s="11">
        <f t="shared" si="60"/>
        <v>0</v>
      </c>
      <c r="L317" s="11">
        <f t="shared" si="84"/>
        <v>0</v>
      </c>
      <c r="M317" s="11">
        <f t="shared" si="85"/>
        <v>0</v>
      </c>
      <c r="N317" s="11">
        <v>0</v>
      </c>
      <c r="O317" s="13">
        <f t="shared" si="89"/>
        <v>130000</v>
      </c>
      <c r="P317" s="14">
        <f t="shared" si="94"/>
        <v>-183</v>
      </c>
      <c r="Q317" s="14">
        <f t="shared" si="91"/>
        <v>489.58749999999998</v>
      </c>
      <c r="R317" s="14"/>
      <c r="S317" s="14"/>
      <c r="T317" s="14">
        <f t="shared" si="87"/>
        <v>0</v>
      </c>
      <c r="U317" s="69">
        <f t="shared" si="66"/>
        <v>0</v>
      </c>
      <c r="V317" s="69"/>
      <c r="W317" s="70">
        <v>0.11</v>
      </c>
      <c r="X317" s="15">
        <f t="shared" si="92"/>
        <v>2.3766472868217052E-3</v>
      </c>
      <c r="Y317" s="16">
        <f>VLOOKUP(C317,台股行情!A:D,4,FALSE)</f>
        <v>130</v>
      </c>
      <c r="Z317" s="38">
        <f>VLOOKUP(C317,台股行情!A:E,5,FALSE)</f>
        <v>-11</v>
      </c>
      <c r="AA317" s="90">
        <f t="shared" ca="1" si="68"/>
        <v>74876.793341364581</v>
      </c>
      <c r="AB317" s="103" t="s">
        <v>2729</v>
      </c>
    </row>
    <row r="318" spans="1:29" outlineLevel="1">
      <c r="A318" s="99">
        <v>46140</v>
      </c>
      <c r="B318" s="11"/>
      <c r="C318" s="341">
        <v>50</v>
      </c>
      <c r="D318" s="189" t="str">
        <f>VLOOKUP(C318,台股行情!A:B,2,FALSE)</f>
        <v>元大台灣50</v>
      </c>
      <c r="E318" s="11">
        <v>53</v>
      </c>
      <c r="F318" s="11">
        <v>92.74</v>
      </c>
      <c r="G318" s="11">
        <v>4915</v>
      </c>
      <c r="H318" s="11">
        <v>1</v>
      </c>
      <c r="I318" s="104"/>
      <c r="J318" s="16"/>
      <c r="K318" s="11">
        <f t="shared" ref="K318:K331" si="97">E318*J318</f>
        <v>0</v>
      </c>
      <c r="L318" s="11">
        <f t="shared" ref="L318:L331" si="98">ROUND(J318*E318*0.1425%,0)</f>
        <v>0</v>
      </c>
      <c r="M318" s="11">
        <f t="shared" ref="M318:M331" si="99">ROUND(J318*E318*0.3%,0)</f>
        <v>0</v>
      </c>
      <c r="N318" s="11">
        <v>0</v>
      </c>
      <c r="O318" s="13">
        <f>IF(I318="",E318*Y318,0)</f>
        <v>5771.7000000000007</v>
      </c>
      <c r="P318" s="14">
        <f t="shared" ref="P318" si="100">IF(I318="",R318-H318,(K318-H318-SUM(L318:N318)+R318-S318-T318)-G318)+(ROUND(R318*V318,0)-ROUND(R318*(1+V318),0)*W318)</f>
        <v>-1</v>
      </c>
      <c r="Q318" s="14">
        <f>IF(I318="",(O318-G318-(O318*0.1425%*0.65)-(O318*0.3%)-S318-T318),0)</f>
        <v>834.03886287500075</v>
      </c>
      <c r="R318" s="14"/>
      <c r="S318" s="14"/>
      <c r="T318" s="14">
        <f t="shared" ref="T318:T331" si="101">IF(ROUND(R318*(1+V318),0)&gt;20000,ROUND(ROUND(R318*(1+V318),0)*2%,0),0)</f>
        <v>0</v>
      </c>
      <c r="U318" s="69">
        <f t="shared" ref="U318:U331" si="102">(V318*50%)/(1+50%*V318)</f>
        <v>0</v>
      </c>
      <c r="V318" s="69"/>
      <c r="W318" s="70">
        <v>0.11</v>
      </c>
      <c r="X318" s="15">
        <f>(P318+Q318)/G318</f>
        <v>0.16948908705493404</v>
      </c>
      <c r="Y318" s="16">
        <f>VLOOKUP(C318,台股行情!A:D,4,FALSE)</f>
        <v>108.9</v>
      </c>
      <c r="Z318" s="38">
        <f>VLOOKUP(C318,台股行情!A:E,5,FALSE)</f>
        <v>-4.0999999999999996</v>
      </c>
      <c r="AA318" s="90">
        <f t="shared" ca="1" si="68"/>
        <v>2287.6738582849634</v>
      </c>
      <c r="AB318" s="103" t="s">
        <v>2733</v>
      </c>
    </row>
    <row r="319" spans="1:29" outlineLevel="1">
      <c r="A319" s="99">
        <v>46150</v>
      </c>
      <c r="B319" s="11"/>
      <c r="C319" s="348">
        <v>50</v>
      </c>
      <c r="D319" s="189" t="str">
        <f>VLOOKUP(C319,台股行情!A:B,2,FALSE)</f>
        <v>元大台灣50</v>
      </c>
      <c r="E319" s="11">
        <v>51</v>
      </c>
      <c r="F319" s="11">
        <v>97.02</v>
      </c>
      <c r="G319" s="11">
        <v>4948</v>
      </c>
      <c r="H319" s="11">
        <v>1</v>
      </c>
      <c r="I319" s="104"/>
      <c r="J319" s="16"/>
      <c r="K319" s="11">
        <f>E319*J319</f>
        <v>0</v>
      </c>
      <c r="L319" s="11">
        <f>ROUND(J319*E319*0.1425%,0)</f>
        <v>0</v>
      </c>
      <c r="M319" s="11">
        <f>ROUND(J319*E319*0.3%,0)</f>
        <v>0</v>
      </c>
      <c r="N319" s="11">
        <v>0</v>
      </c>
      <c r="O319" s="13">
        <f>IF(I319="",E319*Y319,0)</f>
        <v>5553.9000000000005</v>
      </c>
      <c r="P319" s="14">
        <f>IF(I319="",R319-H319,(K319-H319-SUM(L319:N319)+R319-S319-T319)-G319)+(ROUND(R319*V319,0)-ROUND(R319*(1+V319),0)*W319)</f>
        <v>-1</v>
      </c>
      <c r="Q319" s="14">
        <f>IF(I319="",(O319-G319-(O319*0.1425%*0.65)-(O319*0.3%)-S319-T319),0)</f>
        <v>584.09400012500055</v>
      </c>
      <c r="R319" s="14"/>
      <c r="S319" s="14"/>
      <c r="T319" s="14">
        <f>IF(ROUND(R319*(1+V319),0)&gt;20000,ROUND(ROUND(R319*(1+V319),0)*2%,0),0)</f>
        <v>0</v>
      </c>
      <c r="U319" s="69">
        <f>(V319*50%)/(1+50%*V319)</f>
        <v>0</v>
      </c>
      <c r="V319" s="69"/>
      <c r="W319" s="70">
        <v>0.11</v>
      </c>
      <c r="X319" s="15">
        <f>(P319+Q319)/G319</f>
        <v>0.11784438159357327</v>
      </c>
      <c r="Y319" s="16">
        <f>VLOOKUP(C319,台股行情!A:D,4,FALSE)</f>
        <v>108.9</v>
      </c>
      <c r="Z319" s="38">
        <f>VLOOKUP(C319,台股行情!A:E,5,FALSE)</f>
        <v>-4.0999999999999996</v>
      </c>
      <c r="AA319" s="90">
        <f t="shared" ca="1" si="68"/>
        <v>2167.5610557441682</v>
      </c>
      <c r="AB319" s="103" t="s">
        <v>2733</v>
      </c>
      <c r="AC319" s="311"/>
    </row>
    <row r="320" spans="1:29" outlineLevel="1">
      <c r="A320" s="99">
        <v>46160</v>
      </c>
      <c r="B320" s="11"/>
      <c r="C320" s="348">
        <v>50</v>
      </c>
      <c r="D320" s="189" t="str">
        <f>VLOOKUP(C320,台股行情!A:B,2,FALSE)</f>
        <v>元大台灣50</v>
      </c>
      <c r="E320" s="11">
        <v>52</v>
      </c>
      <c r="F320" s="11">
        <v>94.4</v>
      </c>
      <c r="G320" s="11">
        <v>4948</v>
      </c>
      <c r="H320" s="11">
        <v>1</v>
      </c>
      <c r="I320" s="104"/>
      <c r="J320" s="16"/>
      <c r="K320" s="11">
        <f>E320*J320</f>
        <v>0</v>
      </c>
      <c r="L320" s="11">
        <f>ROUND(J320*E320*0.1425%,0)</f>
        <v>0</v>
      </c>
      <c r="M320" s="11">
        <f>ROUND(J320*E320*0.3%,0)</f>
        <v>0</v>
      </c>
      <c r="N320" s="11">
        <v>0</v>
      </c>
      <c r="O320" s="13">
        <f>IF(I320="",E320*Y320,0)</f>
        <v>5662.8</v>
      </c>
      <c r="P320" s="14">
        <f>IF(I320="",R320-H320,(K320-H320-SUM(L320:N320)+R320-S320-T320)-G320)+(ROUND(R320*V320,0)-ROUND(R320*(1+V320),0)*W320)</f>
        <v>-1</v>
      </c>
      <c r="Q320" s="14">
        <f>IF(I320="",(O320-G320-(O320*0.1425%*0.65)-(O320*0.3%)-S320-T320),0)</f>
        <v>692.56643150000025</v>
      </c>
      <c r="R320" s="14"/>
      <c r="S320" s="14"/>
      <c r="T320" s="14">
        <f>IF(ROUND(R320*(1+V320),0)&gt;20000,ROUND(ROUND(R320*(1+V320),0)*2%,0),0)</f>
        <v>0</v>
      </c>
      <c r="U320" s="69">
        <f>(V320*50%)/(1+50%*V320)</f>
        <v>0</v>
      </c>
      <c r="V320" s="69"/>
      <c r="W320" s="70">
        <v>0.11</v>
      </c>
      <c r="X320" s="15">
        <f>(P320+Q320)/G320</f>
        <v>0.13976686166127733</v>
      </c>
      <c r="Y320" s="16">
        <f>VLOOKUP(C320,台股行情!A:D,4,FALSE)</f>
        <v>108.9</v>
      </c>
      <c r="Z320" s="38">
        <f>VLOOKUP(C320,台股行情!A:E,5,FALSE)</f>
        <v>-4.0999999999999996</v>
      </c>
      <c r="AA320" s="90">
        <f t="shared" ca="1" si="68"/>
        <v>2032.0884897601577</v>
      </c>
      <c r="AB320" s="103" t="s">
        <v>2733</v>
      </c>
      <c r="AC320" s="311"/>
    </row>
    <row r="321" spans="1:29" outlineLevel="1">
      <c r="A321" s="99">
        <v>46161</v>
      </c>
      <c r="B321" s="11"/>
      <c r="C321" s="348">
        <v>50</v>
      </c>
      <c r="D321" s="189" t="str">
        <f>VLOOKUP(C321,台股行情!A:B,2,FALSE)</f>
        <v>元大台灣50</v>
      </c>
      <c r="E321" s="11">
        <v>1000</v>
      </c>
      <c r="F321" s="11">
        <v>93.7</v>
      </c>
      <c r="G321" s="11">
        <f t="shared" ref="G321" si="103">E321*F321</f>
        <v>93700</v>
      </c>
      <c r="H321" s="11">
        <v>133</v>
      </c>
      <c r="I321" s="104"/>
      <c r="J321" s="16"/>
      <c r="K321" s="11">
        <f t="shared" ref="K321" si="104">E321*J321</f>
        <v>0</v>
      </c>
      <c r="L321" s="11">
        <f t="shared" ref="L321" si="105">ROUND(J321*E321*0.1425%,0)</f>
        <v>0</v>
      </c>
      <c r="M321" s="11">
        <f t="shared" ref="M321" si="106">ROUND(J321*E321*0.3%,0)</f>
        <v>0</v>
      </c>
      <c r="N321" s="11">
        <v>0</v>
      </c>
      <c r="O321" s="13">
        <f t="shared" ref="O321" si="107">IF(I321="",E321*Y321,0)</f>
        <v>108900</v>
      </c>
      <c r="P321" s="14">
        <f t="shared" ref="P321" si="108">IF(I321="",R321-H321,(K321-H321-SUM(L321:N321)+R321-S321-T321)-G321)+(ROUND(R321*V321,0)-ROUND(R321*(1+V321),0)*W321)</f>
        <v>-133</v>
      </c>
      <c r="Q321" s="14">
        <f t="shared" ref="Q321" si="109">IF(I321="",(O321-G321-(O321*0.1425%*0.65)-(O321*0.3%)-S321-T321),0)</f>
        <v>14772.431375</v>
      </c>
      <c r="R321" s="14"/>
      <c r="S321" s="14"/>
      <c r="T321" s="14">
        <f t="shared" ref="T321" si="110">IF(ROUND(R321*(1+V321),0)&gt;20000,ROUND(ROUND(R321*(1+V321),0)*2%,0),0)</f>
        <v>0</v>
      </c>
      <c r="U321" s="69">
        <f t="shared" ref="U321" si="111">(V321*50%)/(1+50%*V321)</f>
        <v>0</v>
      </c>
      <c r="V321" s="69"/>
      <c r="W321" s="70">
        <v>0.11</v>
      </c>
      <c r="X321" s="15">
        <f t="shared" ref="X321" si="112">(P321+Q321)/G321</f>
        <v>0.15623726120597653</v>
      </c>
      <c r="Y321" s="16">
        <f>VLOOKUP(C321,台股行情!A:D,4,FALSE)</f>
        <v>108.9</v>
      </c>
      <c r="Z321" s="38">
        <f>VLOOKUP(C321,台股行情!A:E,5,FALSE)</f>
        <v>-4.0999999999999996</v>
      </c>
      <c r="AA321" s="90">
        <f t="shared" ca="1" si="68"/>
        <v>38225.002737925744</v>
      </c>
      <c r="AB321" s="103" t="s">
        <v>2733</v>
      </c>
      <c r="AC321" s="311"/>
    </row>
    <row r="322" spans="1:29" outlineLevel="1">
      <c r="A322" s="99">
        <v>46170</v>
      </c>
      <c r="B322" s="11"/>
      <c r="C322" s="348">
        <v>50</v>
      </c>
      <c r="D322" s="189" t="str">
        <f>VLOOKUP(C322,台股行情!A:B,2,FALSE)</f>
        <v>元大台灣50</v>
      </c>
      <c r="E322" s="11">
        <v>96</v>
      </c>
      <c r="F322" s="11">
        <v>103.37</v>
      </c>
      <c r="G322" s="11">
        <v>9923</v>
      </c>
      <c r="H322" s="11">
        <v>1</v>
      </c>
      <c r="I322" s="104"/>
      <c r="J322" s="16"/>
      <c r="K322" s="11">
        <f>E322*J322</f>
        <v>0</v>
      </c>
      <c r="L322" s="11">
        <f>ROUND(J322*E322*0.1425%,0)</f>
        <v>0</v>
      </c>
      <c r="M322" s="11">
        <f>ROUND(J322*E322*0.3%,0)</f>
        <v>0</v>
      </c>
      <c r="N322" s="11">
        <v>0</v>
      </c>
      <c r="O322" s="13">
        <f>IF(I322="",E322*Y322,0)</f>
        <v>10454.400000000001</v>
      </c>
      <c r="P322" s="14">
        <f>IF(I322="",R322-H322,(K322-H322-SUM(L322:N322)+R322-S322-T322)-G322)+(ROUND(R322*V322,0)-ROUND(R322*(1+V322),0)*W322)</f>
        <v>-1</v>
      </c>
      <c r="Q322" s="14">
        <f>IF(I322="",(O322-G322-(O322*0.1425%*0.65)-(O322*0.3%)-S322-T322),0)</f>
        <v>490.35341200000141</v>
      </c>
      <c r="R322" s="14"/>
      <c r="S322" s="14"/>
      <c r="T322" s="14">
        <f>IF(ROUND(R322*(1+V322),0)&gt;20000,ROUND(ROUND(R322*(1+V322),0)*2%,0),0)</f>
        <v>0</v>
      </c>
      <c r="U322" s="69">
        <f>(V322*50%)/(1+50%*V322)</f>
        <v>0</v>
      </c>
      <c r="V322" s="69"/>
      <c r="W322" s="70">
        <v>0.11</v>
      </c>
      <c r="X322" s="15">
        <f>(P322+Q322)/G322</f>
        <v>4.9315067217575476E-2</v>
      </c>
      <c r="Y322" s="16">
        <f>VLOOKUP(C322,台股行情!A:D,4,FALSE)</f>
        <v>108.9</v>
      </c>
      <c r="Z322" s="38">
        <f>VLOOKUP(C322,台股行情!A:E,5,FALSE)</f>
        <v>-4.0999999999999996</v>
      </c>
      <c r="AA322" s="90">
        <f t="shared" ca="1" si="68"/>
        <v>3803.5812068776695</v>
      </c>
      <c r="AB322" s="103" t="s">
        <v>2733</v>
      </c>
      <c r="AC322" s="311"/>
    </row>
    <row r="323" spans="1:29" outlineLevel="1">
      <c r="A323" s="99">
        <v>46170</v>
      </c>
      <c r="B323" s="11"/>
      <c r="C323" s="348">
        <v>50</v>
      </c>
      <c r="D323" s="189" t="str">
        <f>VLOOKUP(C323,台股行情!A:B,2,FALSE)</f>
        <v>元大台灣50</v>
      </c>
      <c r="E323" s="11">
        <v>1000</v>
      </c>
      <c r="F323" s="11">
        <v>100.55</v>
      </c>
      <c r="G323" s="11">
        <f t="shared" ref="G323" si="113">E323*F323</f>
        <v>100550</v>
      </c>
      <c r="H323" s="11">
        <v>143</v>
      </c>
      <c r="I323" s="104"/>
      <c r="J323" s="16"/>
      <c r="K323" s="11">
        <f t="shared" ref="K323" si="114">E323*J323</f>
        <v>0</v>
      </c>
      <c r="L323" s="11">
        <f t="shared" ref="L323" si="115">ROUND(J323*E323*0.1425%,0)</f>
        <v>0</v>
      </c>
      <c r="M323" s="11">
        <f t="shared" ref="M323" si="116">ROUND(J323*E323*0.3%,0)</f>
        <v>0</v>
      </c>
      <c r="N323" s="11">
        <v>0</v>
      </c>
      <c r="O323" s="13">
        <f t="shared" ref="O323" si="117">IF(I323="",E323*Y323,0)</f>
        <v>108900</v>
      </c>
      <c r="P323" s="14">
        <f t="shared" ref="P323" si="118">IF(I323="",R323-H323,(K323-H323-SUM(L323:N323)+R323-S323-T323)-G323)+(ROUND(R323*V323,0)-ROUND(R323*(1+V323),0)*W323)</f>
        <v>-143</v>
      </c>
      <c r="Q323" s="14">
        <f t="shared" ref="Q323" si="119">IF(I323="",(O323-G323-(O323*0.1425%*0.65)-(O323*0.3%)-S323-T323),0)</f>
        <v>7922.431375000001</v>
      </c>
      <c r="R323" s="14"/>
      <c r="S323" s="14"/>
      <c r="T323" s="14">
        <f t="shared" ref="T323" si="120">IF(ROUND(R323*(1+V323),0)&gt;20000,ROUND(ROUND(R323*(1+V323),0)*2%,0),0)</f>
        <v>0</v>
      </c>
      <c r="U323" s="69">
        <f t="shared" ref="U323" si="121">(V323*50%)/(1+50%*V323)</f>
        <v>0</v>
      </c>
      <c r="V323" s="69"/>
      <c r="W323" s="70">
        <v>0.11</v>
      </c>
      <c r="X323" s="15">
        <f t="shared" ref="X323" si="122">(P323+Q323)/G323</f>
        <v>7.7368785430134271E-2</v>
      </c>
      <c r="Y323" s="16">
        <f>VLOOKUP(C323,台股行情!A:D,4,FALSE)</f>
        <v>108.9</v>
      </c>
      <c r="Z323" s="38">
        <f>VLOOKUP(C323,台股行情!A:E,5,FALSE)</f>
        <v>-4.0999999999999996</v>
      </c>
      <c r="AA323" s="90">
        <f t="shared" ca="1" si="68"/>
        <v>38541.780746906144</v>
      </c>
      <c r="AB323" s="103" t="s">
        <v>2733</v>
      </c>
    </row>
    <row r="324" spans="1:29" outlineLevel="1">
      <c r="A324" s="99">
        <v>46181</v>
      </c>
      <c r="B324" s="11"/>
      <c r="C324" s="348">
        <v>50</v>
      </c>
      <c r="D324" s="189" t="str">
        <f>VLOOKUP(C324,台股行情!A:B,2,FALSE)</f>
        <v>元大台灣50</v>
      </c>
      <c r="E324" s="11">
        <v>99</v>
      </c>
      <c r="F324" s="11">
        <v>100.56</v>
      </c>
      <c r="G324" s="11">
        <v>9955</v>
      </c>
      <c r="H324" s="11">
        <v>1</v>
      </c>
      <c r="I324" s="104"/>
      <c r="J324" s="16"/>
      <c r="K324" s="11">
        <f>E324*J324</f>
        <v>0</v>
      </c>
      <c r="L324" s="11">
        <f>ROUND(J324*E324*0.1425%,0)</f>
        <v>0</v>
      </c>
      <c r="M324" s="11">
        <f>ROUND(J324*E324*0.3%,0)</f>
        <v>0</v>
      </c>
      <c r="N324" s="11">
        <v>0</v>
      </c>
      <c r="O324" s="13">
        <f>IF(I324="",E324*Y324,0)</f>
        <v>10781.1</v>
      </c>
      <c r="P324" s="14">
        <f>IF(I324="",R324-H324,(K324-H324-SUM(L324:N324)+R324-S324-T324)-G324)+(ROUND(R324*V324,0)-ROUND(R324*(1+V324),0)*W324)</f>
        <v>-1</v>
      </c>
      <c r="Q324" s="14">
        <f>IF(I324="",(O324-G324-(O324*0.1425%*0.65)-(O324*0.3%)-S324-T324),0)</f>
        <v>783.7707061250004</v>
      </c>
      <c r="R324" s="14"/>
      <c r="S324" s="14"/>
      <c r="T324" s="14">
        <f>IF(ROUND(R324*(1+V324),0)&gt;20000,ROUND(ROUND(R324*(1+V324),0)*2%,0),0)</f>
        <v>0</v>
      </c>
      <c r="U324" s="69">
        <f>(V324*50%)/(1+50%*V324)</f>
        <v>0</v>
      </c>
      <c r="V324" s="69"/>
      <c r="W324" s="70">
        <v>0.11</v>
      </c>
      <c r="X324" s="15">
        <f>(P324+Q324)/G324</f>
        <v>7.8630909706177837E-2</v>
      </c>
      <c r="Y324" s="16">
        <f>VLOOKUP(C324,台股行情!A:D,4,FALSE)</f>
        <v>108.9</v>
      </c>
      <c r="Z324" s="38">
        <f>VLOOKUP(C324,台股行情!A:E,5,FALSE)</f>
        <v>-4.0999999999999996</v>
      </c>
      <c r="AA324" s="90">
        <f t="shared" ref="AA324:AA351" ca="1" si="123">IF(I324="",((TODAY()-A324)*G324)/365.24,((I324-A324)*G324)/365.24)</f>
        <v>3516.0305552513414</v>
      </c>
      <c r="AB324" s="103" t="s">
        <v>2733</v>
      </c>
      <c r="AC324" s="311"/>
    </row>
    <row r="325" spans="1:29" outlineLevel="1">
      <c r="A325" s="99">
        <v>46183</v>
      </c>
      <c r="B325" s="11"/>
      <c r="C325" s="348">
        <v>50</v>
      </c>
      <c r="D325" s="189" t="str">
        <f>VLOOKUP(C325,台股行情!A:B,2,FALSE)</f>
        <v>元大台灣50</v>
      </c>
      <c r="E325" s="11">
        <v>1000</v>
      </c>
      <c r="F325" s="11">
        <v>100.65</v>
      </c>
      <c r="G325" s="11">
        <f t="shared" ref="G325" si="124">E325*F325</f>
        <v>100650</v>
      </c>
      <c r="H325" s="11">
        <v>143</v>
      </c>
      <c r="I325" s="104"/>
      <c r="J325" s="16"/>
      <c r="K325" s="11">
        <f>E325*J325</f>
        <v>0</v>
      </c>
      <c r="L325" s="11">
        <f>ROUND(J325*E325*0.1425%,0)</f>
        <v>0</v>
      </c>
      <c r="M325" s="11">
        <f>ROUND(J325*E325*0.3%,0)</f>
        <v>0</v>
      </c>
      <c r="N325" s="11">
        <v>0</v>
      </c>
      <c r="O325" s="13">
        <f>IF(I325="",E325*Y325,0)</f>
        <v>108900</v>
      </c>
      <c r="P325" s="14">
        <f t="shared" ref="P325" si="125">IF(I325="",R325-H325,(K325-H325-SUM(L325:N325)+R325-S325-T325)-G325)+(ROUND(R325*V325,0)-ROUND(R325*(1+V325),0)*W325)</f>
        <v>-143</v>
      </c>
      <c r="Q325" s="14">
        <f>IF(I325="",(O325-G325-(O325*0.1425%*0.65)-(O325*0.3%)-S325-T325),0)</f>
        <v>7822.4313750000001</v>
      </c>
      <c r="R325" s="14"/>
      <c r="S325" s="14"/>
      <c r="T325" s="14">
        <f>IF(ROUND(R325*(1+V325),0)&gt;20000,ROUND(ROUND(R325*(1+V325),0)*2%,0),0)</f>
        <v>0</v>
      </c>
      <c r="U325" s="69">
        <f>(V325*50%)/(1+50%*V325)</f>
        <v>0</v>
      </c>
      <c r="V325" s="69"/>
      <c r="W325" s="70">
        <v>0.11</v>
      </c>
      <c r="X325" s="15">
        <f>(P325+Q325)/G325</f>
        <v>7.6298374316939893E-2</v>
      </c>
      <c r="Y325" s="16">
        <f>VLOOKUP(C325,台股行情!A:D,4,FALSE)</f>
        <v>108.9</v>
      </c>
      <c r="Z325" s="38">
        <f>VLOOKUP(C325,台股行情!A:E,5,FALSE)</f>
        <v>-4.0999999999999996</v>
      </c>
      <c r="AA325" s="90">
        <f t="shared" ca="1" si="123"/>
        <v>34997.672763114664</v>
      </c>
      <c r="AB325" s="103" t="s">
        <v>2733</v>
      </c>
      <c r="AC325" s="311"/>
    </row>
    <row r="326" spans="1:29" outlineLevel="1">
      <c r="A326" s="99">
        <v>46191</v>
      </c>
      <c r="B326" s="11"/>
      <c r="C326" s="348">
        <v>50</v>
      </c>
      <c r="D326" s="189" t="str">
        <f>VLOOKUP(C326,台股行情!A:B,2,FALSE)</f>
        <v>元大台灣50</v>
      </c>
      <c r="E326" s="11">
        <v>93</v>
      </c>
      <c r="F326" s="11">
        <v>107.13</v>
      </c>
      <c r="G326" s="11">
        <v>9963</v>
      </c>
      <c r="H326" s="11">
        <v>1</v>
      </c>
      <c r="I326" s="104"/>
      <c r="J326" s="16"/>
      <c r="K326" s="11">
        <f>E326*J326</f>
        <v>0</v>
      </c>
      <c r="L326" s="11">
        <f>ROUND(J326*E326*0.1425%,0)</f>
        <v>0</v>
      </c>
      <c r="M326" s="11">
        <f>ROUND(J326*E326*0.3%,0)</f>
        <v>0</v>
      </c>
      <c r="N326" s="11">
        <v>0</v>
      </c>
      <c r="O326" s="13">
        <f>IF(I326="",E326*Y326,0)</f>
        <v>10127.700000000001</v>
      </c>
      <c r="P326" s="14">
        <f>IF(I326="",R326-H326,(K326-H326-SUM(L326:N326)+R326-S326-T326)-G326)+(ROUND(R326*V326,0)-ROUND(R326*(1+V326),0)*W326)</f>
        <v>-1</v>
      </c>
      <c r="Q326" s="14">
        <f>IF(I326="",(O326-G326-(O326*0.1425%*0.65)-(O326*0.3%)-S326-T326),0)</f>
        <v>124.93611787500073</v>
      </c>
      <c r="R326" s="14"/>
      <c r="S326" s="14"/>
      <c r="T326" s="14">
        <f>IF(ROUND(R326*(1+V326),0)&gt;20000,ROUND(ROUND(R326*(1+V326),0)*2%,0),0)</f>
        <v>0</v>
      </c>
      <c r="U326" s="69">
        <f>(V326*50%)/(1+50%*V326)</f>
        <v>0</v>
      </c>
      <c r="V326" s="69"/>
      <c r="W326" s="70">
        <v>0.11</v>
      </c>
      <c r="X326" s="15">
        <f>(P326+Q326)/G326</f>
        <v>1.2439638449764201E-2</v>
      </c>
      <c r="Y326" s="16">
        <f>VLOOKUP(C326,台股行情!A:D,4,FALSE)</f>
        <v>108.9</v>
      </c>
      <c r="Z326" s="38">
        <f>VLOOKUP(C326,台股行情!A:E,5,FALSE)</f>
        <v>-4.0999999999999996</v>
      </c>
      <c r="AA326" s="90">
        <f t="shared" ca="1" si="123"/>
        <v>3246.0765524038989</v>
      </c>
      <c r="AB326" s="103" t="s">
        <v>2733</v>
      </c>
      <c r="AC326" s="311"/>
    </row>
    <row r="327" spans="1:29">
      <c r="A327" s="99">
        <v>46148</v>
      </c>
      <c r="B327" s="11"/>
      <c r="C327" s="11">
        <v>2855</v>
      </c>
      <c r="D327" s="189" t="str">
        <f>VLOOKUP(C327,台股行情!A:B,2,FALSE)</f>
        <v>統一證</v>
      </c>
      <c r="E327" s="11">
        <v>2000</v>
      </c>
      <c r="F327" s="11">
        <v>39.5</v>
      </c>
      <c r="G327" s="11">
        <f t="shared" ref="G327" si="126">E327*F327</f>
        <v>79000</v>
      </c>
      <c r="H327" s="11">
        <v>112</v>
      </c>
      <c r="I327" s="104"/>
      <c r="J327" s="16"/>
      <c r="K327" s="11">
        <f>E327*J327</f>
        <v>0</v>
      </c>
      <c r="L327" s="11">
        <f>ROUND(J327*E327*0.1425%,0)</f>
        <v>0</v>
      </c>
      <c r="M327" s="11">
        <f>ROUND(J327*E327*0.3%,0)</f>
        <v>0</v>
      </c>
      <c r="N327" s="11">
        <v>0</v>
      </c>
      <c r="O327" s="13">
        <f>IF(I327="",E327*Y327,0)</f>
        <v>118200</v>
      </c>
      <c r="P327" s="14">
        <f t="shared" ref="P327" si="127">IF(I327="",R327-H327,(K327-H327-SUM(L327:N327)+R327-S327-T327)-G327)+(ROUND(R327*V327,0)-ROUND(R327*(1+V327),0)*W327)</f>
        <v>-112</v>
      </c>
      <c r="Q327" s="14">
        <f>IF(I327="",(O327-G327-(O327*0.1425%*0.65)-(O327*0.3%)-S327-T327),0)</f>
        <v>38735.917249999999</v>
      </c>
      <c r="R327" s="14"/>
      <c r="S327" s="14"/>
      <c r="T327" s="14">
        <f>IF(ROUND(R327*(1+V327),0)&gt;20000,ROUND(ROUND(R327*(1+V327),0)*2%,0),0)</f>
        <v>0</v>
      </c>
      <c r="U327" s="69">
        <f>(V327*50%)/(1+50%*V327)</f>
        <v>0</v>
      </c>
      <c r="V327" s="69"/>
      <c r="W327" s="70">
        <v>0.11</v>
      </c>
      <c r="X327" s="15">
        <f>(P327+Q327)/G327</f>
        <v>0.48891034493670882</v>
      </c>
      <c r="Y327" s="16">
        <f>VLOOKUP(C327,台股行情!A:D,4,FALSE)</f>
        <v>59.1</v>
      </c>
      <c r="Z327" s="38">
        <f>VLOOKUP(C327,台股行情!A:E,5,FALSE)</f>
        <v>-1.1000000000000001</v>
      </c>
      <c r="AA327" s="90">
        <f t="shared" ca="1" si="123"/>
        <v>35039.973715912827</v>
      </c>
      <c r="AB327" s="103" t="s">
        <v>2729</v>
      </c>
    </row>
    <row r="328" spans="1:29">
      <c r="A328" s="99">
        <v>46149</v>
      </c>
      <c r="B328" s="11"/>
      <c r="C328" s="11">
        <v>2357</v>
      </c>
      <c r="D328" s="189" t="str">
        <f>VLOOKUP(C328,台股行情!A:B,2,FALSE)</f>
        <v>華碩</v>
      </c>
      <c r="E328" s="11">
        <v>1000</v>
      </c>
      <c r="F328" s="11">
        <v>639</v>
      </c>
      <c r="G328" s="11">
        <f>E328*F328</f>
        <v>639000</v>
      </c>
      <c r="H328" s="11">
        <v>910</v>
      </c>
      <c r="I328" s="104"/>
      <c r="J328" s="16"/>
      <c r="K328" s="11">
        <f t="shared" si="97"/>
        <v>0</v>
      </c>
      <c r="L328" s="11">
        <f t="shared" si="98"/>
        <v>0</v>
      </c>
      <c r="M328" s="11">
        <f t="shared" si="99"/>
        <v>0</v>
      </c>
      <c r="N328" s="11">
        <v>0</v>
      </c>
      <c r="O328" s="13">
        <f t="shared" ref="O328:O331" si="128">IF(I328="",E328*Y328,0)</f>
        <v>975000</v>
      </c>
      <c r="P328" s="14">
        <f t="shared" ref="P328" si="129">IF(I328="",R328-H328,(K328-H328-SUM(L328:N328)+R328-S328-T328)-G328)+(ROUND(R328*V328,0)-ROUND(R328*(1+V328),0)*W328)</f>
        <v>-910</v>
      </c>
      <c r="Q328" s="14">
        <f t="shared" ref="Q328:Q331" si="130">IF(I328="",(O328-G328-(O328*0.1425%*0.65)-(O328*0.3%)-S328-T328),0)</f>
        <v>332171.90625</v>
      </c>
      <c r="R328" s="14"/>
      <c r="S328" s="14"/>
      <c r="T328" s="14">
        <f t="shared" si="101"/>
        <v>0</v>
      </c>
      <c r="U328" s="69">
        <f t="shared" si="102"/>
        <v>0</v>
      </c>
      <c r="V328" s="69"/>
      <c r="W328" s="70">
        <v>0.11</v>
      </c>
      <c r="X328" s="15">
        <f t="shared" ref="X328:X331" si="131">(P328+Q328)/G328</f>
        <v>0.51840673904538337</v>
      </c>
      <c r="Y328" s="16">
        <f>VLOOKUP(C328,台股行情!A:D,4,FALSE)</f>
        <v>975</v>
      </c>
      <c r="Z328" s="38">
        <f>VLOOKUP(C328,台股行情!A:E,5,FALSE)</f>
        <v>-15</v>
      </c>
      <c r="AA328" s="90">
        <f t="shared" ca="1" si="123"/>
        <v>281675.06297229219</v>
      </c>
      <c r="AB328" s="103" t="s">
        <v>2729</v>
      </c>
    </row>
    <row r="329" spans="1:29">
      <c r="A329" s="99">
        <v>46150</v>
      </c>
      <c r="B329" s="11"/>
      <c r="C329" s="11">
        <v>3443</v>
      </c>
      <c r="D329" s="189" t="str">
        <f>VLOOKUP(C329,台股行情!A:B,2,FALSE)</f>
        <v>創意</v>
      </c>
      <c r="E329" s="11">
        <v>25</v>
      </c>
      <c r="F329" s="11">
        <v>5420</v>
      </c>
      <c r="G329" s="11">
        <f t="shared" ref="G329" si="132">E329*F329</f>
        <v>135500</v>
      </c>
      <c r="H329" s="11">
        <v>193</v>
      </c>
      <c r="I329" s="104"/>
      <c r="J329" s="16"/>
      <c r="K329" s="11">
        <f t="shared" si="97"/>
        <v>0</v>
      </c>
      <c r="L329" s="11">
        <f t="shared" si="98"/>
        <v>0</v>
      </c>
      <c r="M329" s="11">
        <f t="shared" si="99"/>
        <v>0</v>
      </c>
      <c r="N329" s="11">
        <v>0</v>
      </c>
      <c r="O329" s="13">
        <f t="shared" si="128"/>
        <v>191750</v>
      </c>
      <c r="P329" s="14">
        <f t="shared" ref="P329:P331" si="133">IF(I329="",R329-H329,(K329-H329-SUM(L329:N329)+R329-S329-T329)-G329)+(ROUND(R329*V329,0)-ROUND(R329*(1+V329),0)*W329)</f>
        <v>252</v>
      </c>
      <c r="Q329" s="14">
        <f t="shared" si="130"/>
        <v>55487.141562500001</v>
      </c>
      <c r="R329" s="14">
        <v>500</v>
      </c>
      <c r="S329" s="14">
        <v>10</v>
      </c>
      <c r="T329" s="14">
        <f t="shared" si="101"/>
        <v>0</v>
      </c>
      <c r="U329" s="69">
        <f t="shared" si="102"/>
        <v>0</v>
      </c>
      <c r="V329" s="69"/>
      <c r="W329" s="70">
        <v>0.11</v>
      </c>
      <c r="X329" s="15">
        <f t="shared" si="131"/>
        <v>0.41135897832103324</v>
      </c>
      <c r="Y329" s="16">
        <f>VLOOKUP(C329,台股行情!A:D,4,FALSE)</f>
        <v>7670</v>
      </c>
      <c r="Z329" s="38">
        <f>VLOOKUP(C329,台股行情!A:E,5,FALSE)</f>
        <v>-575</v>
      </c>
      <c r="AA329" s="90">
        <f t="shared" ca="1" si="123"/>
        <v>59358.230204796848</v>
      </c>
      <c r="AB329" s="103" t="s">
        <v>2729</v>
      </c>
    </row>
    <row r="330" spans="1:29">
      <c r="A330" s="99">
        <v>46150</v>
      </c>
      <c r="B330" s="11"/>
      <c r="C330" s="11">
        <v>3324</v>
      </c>
      <c r="D330" s="189" t="str">
        <f>VLOOKUP(C330,台股行情!A:B,2,FALSE)</f>
        <v>雙鴻</v>
      </c>
      <c r="E330" s="11">
        <v>100</v>
      </c>
      <c r="F330" s="11">
        <v>1075</v>
      </c>
      <c r="G330" s="11">
        <f>E330*F330</f>
        <v>107500</v>
      </c>
      <c r="H330" s="11">
        <v>153</v>
      </c>
      <c r="I330" s="104"/>
      <c r="J330" s="16"/>
      <c r="K330" s="11">
        <f t="shared" si="97"/>
        <v>0</v>
      </c>
      <c r="L330" s="11">
        <f t="shared" si="98"/>
        <v>0</v>
      </c>
      <c r="M330" s="11">
        <f t="shared" si="99"/>
        <v>0</v>
      </c>
      <c r="N330" s="11">
        <v>0</v>
      </c>
      <c r="O330" s="13">
        <f t="shared" si="128"/>
        <v>141000</v>
      </c>
      <c r="P330" s="14">
        <f t="shared" si="133"/>
        <v>906.1</v>
      </c>
      <c r="Q330" s="14">
        <f t="shared" si="130"/>
        <v>32936.39875</v>
      </c>
      <c r="R330" s="14">
        <v>1190</v>
      </c>
      <c r="S330" s="14">
        <v>10</v>
      </c>
      <c r="T330" s="14">
        <f t="shared" si="101"/>
        <v>0</v>
      </c>
      <c r="U330" s="69">
        <f t="shared" si="102"/>
        <v>0</v>
      </c>
      <c r="V330" s="69"/>
      <c r="W330" s="70">
        <v>0.11</v>
      </c>
      <c r="X330" s="15">
        <f t="shared" si="131"/>
        <v>0.31481394186046513</v>
      </c>
      <c r="Y330" s="16">
        <f>VLOOKUP(C330,台股行情!A:D,4,FALSE)</f>
        <v>1410</v>
      </c>
      <c r="Z330" s="38">
        <f>VLOOKUP(C330,台股行情!A:E,5,FALSE)</f>
        <v>-80</v>
      </c>
      <c r="AA330" s="90">
        <f t="shared" ca="1" si="123"/>
        <v>47092.32285620414</v>
      </c>
      <c r="AB330" s="103" t="s">
        <v>2729</v>
      </c>
    </row>
    <row r="331" spans="1:29">
      <c r="A331" s="99">
        <v>46154</v>
      </c>
      <c r="B331" s="11"/>
      <c r="C331" s="11">
        <v>3481</v>
      </c>
      <c r="D331" s="189" t="str">
        <f>VLOOKUP(C331,台股行情!A:B,2,FALSE)</f>
        <v>群創</v>
      </c>
      <c r="E331" s="11">
        <v>3000</v>
      </c>
      <c r="F331" s="11">
        <v>35</v>
      </c>
      <c r="G331" s="11">
        <f t="shared" ref="G331" si="134">E331*F331</f>
        <v>105000</v>
      </c>
      <c r="H331" s="11">
        <v>149</v>
      </c>
      <c r="I331" s="104"/>
      <c r="J331" s="16"/>
      <c r="K331" s="11">
        <f t="shared" si="97"/>
        <v>0</v>
      </c>
      <c r="L331" s="11">
        <f t="shared" si="98"/>
        <v>0</v>
      </c>
      <c r="M331" s="11">
        <f t="shared" si="99"/>
        <v>0</v>
      </c>
      <c r="N331" s="11">
        <v>0</v>
      </c>
      <c r="O331" s="13">
        <f t="shared" si="128"/>
        <v>144900</v>
      </c>
      <c r="P331" s="14">
        <f t="shared" si="133"/>
        <v>3411</v>
      </c>
      <c r="Q331" s="14">
        <f t="shared" si="130"/>
        <v>39321.086375000006</v>
      </c>
      <c r="R331" s="14">
        <v>4000</v>
      </c>
      <c r="S331" s="14">
        <v>10</v>
      </c>
      <c r="T331" s="14">
        <f t="shared" si="101"/>
        <v>0</v>
      </c>
      <c r="U331" s="69">
        <f t="shared" si="102"/>
        <v>0</v>
      </c>
      <c r="V331" s="69"/>
      <c r="W331" s="70">
        <v>0.11</v>
      </c>
      <c r="X331" s="15">
        <f t="shared" si="131"/>
        <v>0.40697225119047625</v>
      </c>
      <c r="Y331" s="16">
        <f>VLOOKUP(C331,台股行情!A:D,4,FALSE)</f>
        <v>48.3</v>
      </c>
      <c r="Z331" s="38">
        <f>VLOOKUP(C331,台股行情!A:E,5,FALSE)</f>
        <v>-2.6</v>
      </c>
      <c r="AA331" s="90">
        <f t="shared" ca="1" si="123"/>
        <v>44847.223743292081</v>
      </c>
      <c r="AB331" s="103" t="s">
        <v>2729</v>
      </c>
      <c r="AC331" s="311"/>
    </row>
    <row r="332" spans="1:29">
      <c r="A332" s="99">
        <v>46181</v>
      </c>
      <c r="B332" s="11"/>
      <c r="C332" s="348">
        <v>830</v>
      </c>
      <c r="D332" s="189" t="str">
        <f>VLOOKUP(C332,台股行情!A:B,2,FALSE)</f>
        <v>國泰費城半導體</v>
      </c>
      <c r="E332" s="11">
        <v>113</v>
      </c>
      <c r="F332" s="11">
        <v>88.08</v>
      </c>
      <c r="G332" s="11">
        <v>9953</v>
      </c>
      <c r="H332" s="11">
        <v>1</v>
      </c>
      <c r="I332" s="104"/>
      <c r="J332" s="16"/>
      <c r="K332" s="11">
        <f t="shared" ref="K332:K333" si="135">E332*J332</f>
        <v>0</v>
      </c>
      <c r="L332" s="11">
        <f t="shared" ref="L332:L333" si="136">ROUND(J332*E332*0.1425%,0)</f>
        <v>0</v>
      </c>
      <c r="M332" s="11">
        <f t="shared" ref="M332:M333" si="137">ROUND(J332*E332*0.3%,0)</f>
        <v>0</v>
      </c>
      <c r="N332" s="11">
        <v>0</v>
      </c>
      <c r="O332" s="13">
        <f t="shared" ref="O332:O333" si="138">IF(I332="",E332*Y332,0)</f>
        <v>9418.5499999999993</v>
      </c>
      <c r="P332" s="14">
        <f t="shared" ref="P332:P333" si="139">IF(I332="",R332-H332,(K332-H332-SUM(L332:N332)+R332-S332-T332)-G332)+(ROUND(R332*V332,0)-ROUND(R332*(1+V332),0)*W332)</f>
        <v>-1</v>
      </c>
      <c r="Q332" s="14">
        <f t="shared" ref="Q332:Q333" si="140">IF(I332="",(O332-G332-(O332*0.1425%*0.65)-(O332*0.3%)-S332-T332),0)</f>
        <v>-571.42958193750064</v>
      </c>
      <c r="R332" s="14"/>
      <c r="S332" s="14"/>
      <c r="T332" s="14">
        <f t="shared" ref="T332:T333" si="141">IF(ROUND(R332*(1+V332),0)&gt;20000,ROUND(ROUND(R332*(1+V332),0)*2%,0),0)</f>
        <v>0</v>
      </c>
      <c r="U332" s="69">
        <f t="shared" ref="U332:U333" si="142">(V332*50%)/(1+50%*V332)</f>
        <v>0</v>
      </c>
      <c r="V332" s="69"/>
      <c r="W332" s="70">
        <v>0.11</v>
      </c>
      <c r="X332" s="15">
        <f t="shared" ref="X332:X333" si="143">(P332+Q332)/G332</f>
        <v>-5.7513270565407476E-2</v>
      </c>
      <c r="Y332" s="16">
        <f>VLOOKUP(C332,台股行情!A:D,4,FALSE)</f>
        <v>83.35</v>
      </c>
      <c r="Z332" s="38">
        <f>VLOOKUP(C332,台股行情!A:E,5,FALSE)</f>
        <v>-3.75</v>
      </c>
      <c r="AA332" s="90">
        <f t="shared" ca="1" si="123"/>
        <v>3515.3241704084985</v>
      </c>
      <c r="AB332" s="103" t="s">
        <v>2733</v>
      </c>
      <c r="AC332" s="311"/>
    </row>
    <row r="333" spans="1:29">
      <c r="A333" s="99">
        <v>46181</v>
      </c>
      <c r="B333" s="11"/>
      <c r="C333" s="348" t="s">
        <v>3071</v>
      </c>
      <c r="D333" s="189" t="str">
        <f>VLOOKUP(C333,台股行情!A:B,2,FALSE)</f>
        <v>主動復華未來50</v>
      </c>
      <c r="E333" s="11">
        <v>542</v>
      </c>
      <c r="F333" s="11">
        <v>18.440000000000001</v>
      </c>
      <c r="G333" s="11">
        <v>9994</v>
      </c>
      <c r="H333" s="11">
        <v>1</v>
      </c>
      <c r="I333" s="104"/>
      <c r="J333" s="16"/>
      <c r="K333" s="11">
        <f t="shared" si="135"/>
        <v>0</v>
      </c>
      <c r="L333" s="11">
        <f t="shared" si="136"/>
        <v>0</v>
      </c>
      <c r="M333" s="11">
        <f t="shared" si="137"/>
        <v>0</v>
      </c>
      <c r="N333" s="11">
        <v>0</v>
      </c>
      <c r="O333" s="13">
        <f t="shared" si="138"/>
        <v>9306.1400000000012</v>
      </c>
      <c r="P333" s="14">
        <f t="shared" si="139"/>
        <v>-1</v>
      </c>
      <c r="Q333" s="14">
        <f t="shared" si="140"/>
        <v>-724.39823217499872</v>
      </c>
      <c r="R333" s="14"/>
      <c r="S333" s="14"/>
      <c r="T333" s="14">
        <f t="shared" si="141"/>
        <v>0</v>
      </c>
      <c r="U333" s="69">
        <f t="shared" si="142"/>
        <v>0</v>
      </c>
      <c r="V333" s="69"/>
      <c r="W333" s="70">
        <v>0.11</v>
      </c>
      <c r="X333" s="15">
        <f t="shared" si="143"/>
        <v>-7.2583373241444746E-2</v>
      </c>
      <c r="Y333" s="16">
        <f>VLOOKUP(C333,台股行情!A:D,4,FALSE)</f>
        <v>17.170000000000002</v>
      </c>
      <c r="Z333" s="38">
        <f>VLOOKUP(C333,台股行情!A:E,5,FALSE)</f>
        <v>-1.1299999999999999</v>
      </c>
      <c r="AA333" s="90">
        <f t="shared" ca="1" si="123"/>
        <v>3529.8050596867811</v>
      </c>
      <c r="AB333" s="103" t="s">
        <v>2733</v>
      </c>
      <c r="AC333" s="311"/>
    </row>
    <row r="334" spans="1:29">
      <c r="A334" s="99">
        <v>46202</v>
      </c>
      <c r="B334" s="11"/>
      <c r="C334" s="348">
        <v>50</v>
      </c>
      <c r="D334" s="189" t="str">
        <f>VLOOKUP(C334,台股行情!A:B,2,FALSE)</f>
        <v>元大台灣50</v>
      </c>
      <c r="E334" s="11">
        <v>95</v>
      </c>
      <c r="F334" s="11">
        <v>104.58</v>
      </c>
      <c r="G334" s="11">
        <v>9936</v>
      </c>
      <c r="H334" s="11">
        <v>1</v>
      </c>
      <c r="I334" s="104"/>
      <c r="J334" s="16"/>
      <c r="K334" s="11">
        <f>E334*J334</f>
        <v>0</v>
      </c>
      <c r="L334" s="11">
        <f>ROUND(J334*E334*0.1425%,0)</f>
        <v>0</v>
      </c>
      <c r="M334" s="11">
        <f>ROUND(J334*E334*0.3%,0)</f>
        <v>0</v>
      </c>
      <c r="N334" s="11">
        <v>0</v>
      </c>
      <c r="O334" s="13">
        <f>IF(I334="",E334*Y334,0)</f>
        <v>10345.5</v>
      </c>
      <c r="P334" s="14">
        <f>IF(I334="",R334-H334,(K334-H334-SUM(L334:N334)+R334-S334-T334)-G334)+(ROUND(R334*V334,0)-ROUND(R334*(1+V334),0)*W334)</f>
        <v>-1</v>
      </c>
      <c r="Q334" s="14">
        <f>IF(I334="",(O334-G334-(O334*0.1425%*0.65)-(O334*0.3%)-S334-T334),0)</f>
        <v>368.88098062500001</v>
      </c>
      <c r="R334" s="14"/>
      <c r="S334" s="14"/>
      <c r="T334" s="14">
        <f>IF(ROUND(R334*(1+V334),0)&gt;20000,ROUND(ROUND(R334*(1+V334),0)*2%,0),0)</f>
        <v>0</v>
      </c>
      <c r="U334" s="69">
        <f>(V334*50%)/(1+50%*V334)</f>
        <v>0</v>
      </c>
      <c r="V334" s="69"/>
      <c r="W334" s="70">
        <v>0.11</v>
      </c>
      <c r="X334" s="15">
        <f>(P334+Q334)/G334</f>
        <v>3.7025058436493556E-2</v>
      </c>
      <c r="Y334" s="16">
        <f>VLOOKUP(C334,台股行情!A:D,4,FALSE)</f>
        <v>108.9</v>
      </c>
      <c r="Z334" s="38">
        <f>VLOOKUP(C334,台股行情!A:E,5,FALSE)</f>
        <v>-4.0999999999999996</v>
      </c>
      <c r="AA334" s="90">
        <f t="shared" ca="1" si="123"/>
        <v>2938.0352644836271</v>
      </c>
      <c r="AB334" s="103" t="s">
        <v>2733</v>
      </c>
      <c r="AC334" s="311"/>
    </row>
    <row r="335" spans="1:29">
      <c r="A335" s="99">
        <v>46209</v>
      </c>
      <c r="B335" s="11"/>
      <c r="C335" s="11" t="s">
        <v>2812</v>
      </c>
      <c r="D335" s="189" t="str">
        <f>VLOOKUP(C335,台股行情!A:B,2,FALSE)</f>
        <v>主動統一台股增長</v>
      </c>
      <c r="E335" s="11">
        <v>316</v>
      </c>
      <c r="F335" s="11">
        <v>31.55</v>
      </c>
      <c r="G335" s="11">
        <v>9969</v>
      </c>
      <c r="H335" s="11">
        <v>1</v>
      </c>
      <c r="I335" s="104"/>
      <c r="J335" s="16"/>
      <c r="K335" s="11">
        <f>E335*J335</f>
        <v>0</v>
      </c>
      <c r="L335" s="11">
        <f>ROUND(J335*E335*0.1425%,0)</f>
        <v>0</v>
      </c>
      <c r="M335" s="11">
        <f>ROUND(J335*E335*0.3%,0)</f>
        <v>0</v>
      </c>
      <c r="N335" s="11">
        <v>0</v>
      </c>
      <c r="O335" s="13">
        <f>IF(I335="",E335*Y335,0)</f>
        <v>9290.4</v>
      </c>
      <c r="P335" s="14">
        <f>IF(I335="",R335-H335,(K335-H335-SUM(L335:N335)+R335-S335-T335)-G335)+(ROUND(R335*V335,0)-ROUND(R335*(1+V335),0)*W335)</f>
        <v>-1</v>
      </c>
      <c r="Q335" s="14">
        <f>IF(I335="",(O335-G335-(O335*0.1425%*0.65)-(O335*0.3%)-S335-T335),0)</f>
        <v>-715.07643300000041</v>
      </c>
      <c r="R335" s="14"/>
      <c r="S335" s="14"/>
      <c r="T335" s="14">
        <f t="shared" ref="T335:T336" si="144">IF(ROUND(R335*(1+V335),0)&gt;20000,ROUND(ROUND(R335*(1+V335),0)*2%,0),0)</f>
        <v>0</v>
      </c>
      <c r="U335" s="69">
        <f>(V335*50%)/(1+50%*V335)</f>
        <v>0</v>
      </c>
      <c r="V335" s="69"/>
      <c r="W335" s="70">
        <v>0.11</v>
      </c>
      <c r="X335" s="15">
        <f>(P335+Q335)/G335</f>
        <v>-7.1830317283579137E-2</v>
      </c>
      <c r="Y335" s="16">
        <f>VLOOKUP(C335,台股行情!A:D,4,FALSE)</f>
        <v>29.4</v>
      </c>
      <c r="Z335" s="38">
        <f>VLOOKUP(C335,台股行情!A:E,5,FALSE)</f>
        <v>-1.79</v>
      </c>
      <c r="AA335" s="90">
        <f t="shared" ca="1" si="123"/>
        <v>2756.7325594129888</v>
      </c>
      <c r="AB335" s="103" t="s">
        <v>2266</v>
      </c>
      <c r="AC335" s="311"/>
    </row>
    <row r="336" spans="1:29">
      <c r="A336" s="99">
        <v>46210</v>
      </c>
      <c r="B336" s="11"/>
      <c r="C336" s="348">
        <v>50</v>
      </c>
      <c r="D336" s="189" t="str">
        <f>VLOOKUP(C336,台股行情!A:B,2,FALSE)</f>
        <v>元大台灣50</v>
      </c>
      <c r="E336" s="11">
        <v>1000</v>
      </c>
      <c r="F336" s="11">
        <v>106.05</v>
      </c>
      <c r="G336" s="11">
        <f t="shared" ref="G336" si="145">E336*F336</f>
        <v>106050</v>
      </c>
      <c r="H336" s="11">
        <v>151</v>
      </c>
      <c r="I336" s="104"/>
      <c r="J336" s="16"/>
      <c r="K336" s="11">
        <f t="shared" ref="K336" si="146">E336*J336</f>
        <v>0</v>
      </c>
      <c r="L336" s="11">
        <f t="shared" ref="L336" si="147">ROUND(J336*E336*0.1425%,0)</f>
        <v>0</v>
      </c>
      <c r="M336" s="11">
        <f t="shared" ref="M336" si="148">ROUND(J336*E336*0.3%,0)</f>
        <v>0</v>
      </c>
      <c r="N336" s="11">
        <v>0</v>
      </c>
      <c r="O336" s="13">
        <f t="shared" ref="O336" si="149">IF(I336="",E336*Y336,0)</f>
        <v>108900</v>
      </c>
      <c r="P336" s="14">
        <f t="shared" ref="P336" si="150">IF(I336="",R336-H336,(K336-H336-SUM(L336:N336)+R336-S336-T336)-G336)+(ROUND(R336*V336,0)-ROUND(R336*(1+V336),0)*W336)</f>
        <v>-151</v>
      </c>
      <c r="Q336" s="14">
        <f t="shared" ref="Q336" si="151">IF(I336="",(O336-G336-(O336*0.1425%*0.65)-(O336*0.3%)-S336-T336),0)</f>
        <v>2422.4313750000001</v>
      </c>
      <c r="R336" s="14"/>
      <c r="S336" s="14"/>
      <c r="T336" s="14">
        <f t="shared" si="144"/>
        <v>0</v>
      </c>
      <c r="U336" s="69">
        <f t="shared" ref="U336" si="152">(V336*50%)/(1+50%*V336)</f>
        <v>0</v>
      </c>
      <c r="V336" s="69"/>
      <c r="W336" s="70">
        <v>0.11</v>
      </c>
      <c r="X336" s="15">
        <f t="shared" ref="X336" si="153">(P336+Q336)/G336</f>
        <v>2.1418494813767092E-2</v>
      </c>
      <c r="Y336" s="16">
        <f>VLOOKUP(C336,台股行情!A:D,4,FALSE)</f>
        <v>108.9</v>
      </c>
      <c r="Z336" s="38">
        <f>VLOOKUP(C336,台股行情!A:E,5,FALSE)</f>
        <v>-4.0999999999999996</v>
      </c>
      <c r="AA336" s="90">
        <f t="shared" ca="1" si="123"/>
        <v>29035.702551746796</v>
      </c>
      <c r="AB336" s="103" t="s">
        <v>2733</v>
      </c>
    </row>
    <row r="337" spans="1:29">
      <c r="A337" s="99">
        <v>46210</v>
      </c>
      <c r="B337" s="11"/>
      <c r="C337" s="348">
        <v>830</v>
      </c>
      <c r="D337" s="189" t="str">
        <f>VLOOKUP(C337,台股行情!A:B,2,FALSE)</f>
        <v>國泰費城半導體</v>
      </c>
      <c r="E337" s="11">
        <v>110</v>
      </c>
      <c r="F337" s="11">
        <v>90.76</v>
      </c>
      <c r="G337" s="11">
        <v>9983</v>
      </c>
      <c r="H337" s="11">
        <v>1</v>
      </c>
      <c r="I337" s="104"/>
      <c r="J337" s="16"/>
      <c r="K337" s="11">
        <f>E337*J337</f>
        <v>0</v>
      </c>
      <c r="L337" s="11">
        <f>ROUND(J337*E337*0.1425%,0)</f>
        <v>0</v>
      </c>
      <c r="M337" s="11">
        <f>ROUND(J337*E337*0.3%,0)</f>
        <v>0</v>
      </c>
      <c r="N337" s="11">
        <v>0</v>
      </c>
      <c r="O337" s="13">
        <f>IF(I337="",E337*Y337,0)</f>
        <v>9168.5</v>
      </c>
      <c r="P337" s="14">
        <f t="shared" ref="P337" si="154">IF(I337="",R337-H337,(K337-H337-SUM(L337:N337)+R337-S337-T337)-G337)+(ROUND(R337*V337,0)-ROUND(R337*(1+V337),0)*W337)</f>
        <v>-1</v>
      </c>
      <c r="Q337" s="14">
        <f>IF(I337="",(O337-G337-(O337*0.1425%*0.65)-(O337*0.3%)-S337-T337),0)</f>
        <v>-850.49782312499997</v>
      </c>
      <c r="R337" s="14"/>
      <c r="S337" s="14"/>
      <c r="T337" s="14">
        <f>IF(ROUND(R337*(1+V337),0)&gt;20000,ROUND(ROUND(R337*(1+V337),0)*2%,0),0)</f>
        <v>0</v>
      </c>
      <c r="U337" s="69">
        <f>(V337*50%)/(1+50%*V337)</f>
        <v>0</v>
      </c>
      <c r="V337" s="69"/>
      <c r="W337" s="70">
        <v>0.11</v>
      </c>
      <c r="X337" s="15">
        <f>(P337+Q337)/G337</f>
        <v>-8.5294783444355399E-2</v>
      </c>
      <c r="Y337" s="16">
        <f>VLOOKUP(C337,台股行情!A:D,4,FALSE)</f>
        <v>83.35</v>
      </c>
      <c r="Z337" s="38">
        <f>VLOOKUP(C337,台股行情!A:E,5,FALSE)</f>
        <v>-3.75</v>
      </c>
      <c r="AA337" s="90">
        <f t="shared" ca="1" si="123"/>
        <v>2733.2712736830576</v>
      </c>
      <c r="AB337" s="103" t="s">
        <v>2733</v>
      </c>
    </row>
    <row r="338" spans="1:29">
      <c r="A338" s="99">
        <v>46211</v>
      </c>
      <c r="B338" s="11"/>
      <c r="C338" s="348">
        <v>50</v>
      </c>
      <c r="D338" s="189" t="str">
        <f>VLOOKUP(C338,台股行情!A:B,2,FALSE)</f>
        <v>元大台灣50</v>
      </c>
      <c r="E338" s="11">
        <v>94</v>
      </c>
      <c r="F338" s="11">
        <v>105.87</v>
      </c>
      <c r="G338" s="11">
        <v>9951</v>
      </c>
      <c r="H338" s="11">
        <v>1</v>
      </c>
      <c r="I338" s="104"/>
      <c r="J338" s="16"/>
      <c r="K338" s="11">
        <f>E338*J338</f>
        <v>0</v>
      </c>
      <c r="L338" s="11">
        <f>ROUND(J338*E338*0.1425%,0)</f>
        <v>0</v>
      </c>
      <c r="M338" s="11">
        <f>ROUND(J338*E338*0.3%,0)</f>
        <v>0</v>
      </c>
      <c r="N338" s="11">
        <v>0</v>
      </c>
      <c r="O338" s="13">
        <f>IF(I338="",E338*Y338,0)</f>
        <v>10236.6</v>
      </c>
      <c r="P338" s="14">
        <f>IF(I338="",R338-H338,(K338-H338-SUM(L338:N338)+R338-S338-T338)-G338)+(ROUND(R338*V338,0)-ROUND(R338*(1+V338),0)*W338)</f>
        <v>-1</v>
      </c>
      <c r="Q338" s="14">
        <f>IF(I338="",(O338-G338-(O338*0.1425%*0.65)-(O338*0.3%)-S338-T338),0)</f>
        <v>245.40854925000039</v>
      </c>
      <c r="R338" s="14"/>
      <c r="S338" s="14"/>
      <c r="T338" s="14">
        <f>IF(ROUND(R338*(1+V338),0)&gt;20000,ROUND(ROUND(R338*(1+V338),0)*2%,0),0)</f>
        <v>0</v>
      </c>
      <c r="U338" s="69">
        <f>(V338*50%)/(1+50%*V338)</f>
        <v>0</v>
      </c>
      <c r="V338" s="69"/>
      <c r="W338" s="70">
        <v>0.11</v>
      </c>
      <c r="X338" s="15">
        <f>(P338+Q338)/G338</f>
        <v>2.4561204828660477E-2</v>
      </c>
      <c r="Y338" s="16">
        <f>VLOOKUP(C338,台股行情!A:D,4,FALSE)</f>
        <v>108.9</v>
      </c>
      <c r="Z338" s="38">
        <f>VLOOKUP(C338,台股行情!A:E,5,FALSE)</f>
        <v>-4.0999999999999996</v>
      </c>
      <c r="AA338" s="90">
        <f t="shared" ca="1" si="123"/>
        <v>2697.2648121782936</v>
      </c>
      <c r="AB338" s="103" t="s">
        <v>2733</v>
      </c>
      <c r="AC338" s="311"/>
    </row>
    <row r="339" spans="1:29">
      <c r="A339" s="99">
        <v>46220</v>
      </c>
      <c r="B339" s="11"/>
      <c r="C339" s="348">
        <v>50</v>
      </c>
      <c r="D339" s="189" t="str">
        <f>VLOOKUP(C339,台股行情!A:B,2,FALSE)</f>
        <v>元大台灣50</v>
      </c>
      <c r="E339" s="11">
        <v>1000</v>
      </c>
      <c r="F339" s="11">
        <v>100.35</v>
      </c>
      <c r="G339" s="11">
        <f t="shared" ref="G339" si="155">E339*F339</f>
        <v>100350</v>
      </c>
      <c r="H339" s="11">
        <v>142</v>
      </c>
      <c r="I339" s="104"/>
      <c r="J339" s="16"/>
      <c r="K339" s="11">
        <f t="shared" ref="K339" si="156">E339*J339</f>
        <v>0</v>
      </c>
      <c r="L339" s="11">
        <f t="shared" ref="L339" si="157">ROUND(J339*E339*0.1425%,0)</f>
        <v>0</v>
      </c>
      <c r="M339" s="11">
        <f t="shared" ref="M339" si="158">ROUND(J339*E339*0.3%,0)</f>
        <v>0</v>
      </c>
      <c r="N339" s="11">
        <v>0</v>
      </c>
      <c r="O339" s="13">
        <f t="shared" ref="O339" si="159">IF(I339="",E339*Y339,0)</f>
        <v>108900</v>
      </c>
      <c r="P339" s="14">
        <f t="shared" ref="P339:P351" si="160">IF(I339="",R339-H339,(K339-H339-SUM(L339:N339)+R339-S339-T339)-G339)+(ROUND(R339*V339,0)-ROUND(R339*(1+V339),0)*W339)</f>
        <v>-142</v>
      </c>
      <c r="Q339" s="14">
        <f t="shared" ref="Q339" si="161">IF(I339="",(O339-G339-(O339*0.1425%*0.65)-(O339*0.3%)-S339-T339),0)</f>
        <v>8122.431375000001</v>
      </c>
      <c r="R339" s="14"/>
      <c r="S339" s="14"/>
      <c r="T339" s="14">
        <f t="shared" ref="T339" si="162">IF(ROUND(R339*(1+V339),0)&gt;20000,ROUND(ROUND(R339*(1+V339),0)*2%,0),0)</f>
        <v>0</v>
      </c>
      <c r="U339" s="69">
        <f t="shared" ref="U339" si="163">(V339*50%)/(1+50%*V339)</f>
        <v>0</v>
      </c>
      <c r="V339" s="69"/>
      <c r="W339" s="70">
        <v>0.11</v>
      </c>
      <c r="X339" s="15">
        <f t="shared" ref="X339" si="164">(P339+Q339)/G339</f>
        <v>7.9525972845042356E-2</v>
      </c>
      <c r="Y339" s="16">
        <f>VLOOKUP(C339,台股行情!A:D,4,FALSE)</f>
        <v>108.9</v>
      </c>
      <c r="Z339" s="38">
        <f>VLOOKUP(C339,台股行情!A:E,5,FALSE)</f>
        <v>-4.0999999999999996</v>
      </c>
      <c r="AA339" s="90">
        <f t="shared" ca="1" si="123"/>
        <v>24727.576388128353</v>
      </c>
      <c r="AB339" s="103" t="s">
        <v>2733</v>
      </c>
    </row>
    <row r="340" spans="1:29">
      <c r="A340" s="99">
        <v>46223</v>
      </c>
      <c r="B340" s="11"/>
      <c r="C340" s="348">
        <v>50</v>
      </c>
      <c r="D340" s="189" t="str">
        <f>VLOOKUP(C340,台股行情!A:B,2,FALSE)</f>
        <v>元大台灣50</v>
      </c>
      <c r="E340" s="11">
        <v>100</v>
      </c>
      <c r="F340" s="11">
        <v>99.66</v>
      </c>
      <c r="G340" s="11">
        <v>9951</v>
      </c>
      <c r="H340" s="11">
        <v>1</v>
      </c>
      <c r="I340" s="104"/>
      <c r="J340" s="16"/>
      <c r="K340" s="11">
        <f>E340*J340</f>
        <v>0</v>
      </c>
      <c r="L340" s="11">
        <f>ROUND(J340*E340*0.1425%,0)</f>
        <v>0</v>
      </c>
      <c r="M340" s="11">
        <f>ROUND(J340*E340*0.3%,0)</f>
        <v>0</v>
      </c>
      <c r="N340" s="11">
        <v>0</v>
      </c>
      <c r="O340" s="13">
        <f>IF(I340="",E340*Y340,0)</f>
        <v>10890</v>
      </c>
      <c r="P340" s="14">
        <f t="shared" si="160"/>
        <v>-1</v>
      </c>
      <c r="Q340" s="14">
        <f>IF(I340="",(O340-G340-(O340*0.1425%*0.65)-(O340*0.3%)-S340-T340),0)</f>
        <v>896.24313749999999</v>
      </c>
      <c r="R340" s="14"/>
      <c r="S340" s="14"/>
      <c r="T340" s="14">
        <f>IF(ROUND(R340*(1+V340),0)&gt;20000,ROUND(ROUND(R340*(1+V340),0)*2%,0),0)</f>
        <v>0</v>
      </c>
      <c r="U340" s="69">
        <f>(V340*50%)/(1+50%*V340)</f>
        <v>0</v>
      </c>
      <c r="V340" s="69"/>
      <c r="W340" s="70">
        <v>0.11</v>
      </c>
      <c r="X340" s="15">
        <f>(P340+Q340)/G340</f>
        <v>8.9965142950457239E-2</v>
      </c>
      <c r="Y340" s="16">
        <f>VLOOKUP(C340,台股行情!A:D,4,FALSE)</f>
        <v>108.9</v>
      </c>
      <c r="Z340" s="38">
        <f>VLOOKUP(C340,台股行情!A:E,5,FALSE)</f>
        <v>-4.0999999999999996</v>
      </c>
      <c r="AA340" s="90">
        <f t="shared" ca="1" si="123"/>
        <v>2370.3236228233491</v>
      </c>
      <c r="AB340" s="103" t="s">
        <v>2733</v>
      </c>
      <c r="AC340" s="311"/>
    </row>
    <row r="341" spans="1:29">
      <c r="A341" s="99">
        <v>46231</v>
      </c>
      <c r="B341" s="11"/>
      <c r="C341" s="348">
        <v>50</v>
      </c>
      <c r="D341" s="189" t="str">
        <f>VLOOKUP(C341,台股行情!A:B,2,FALSE)</f>
        <v>元大台灣50</v>
      </c>
      <c r="E341" s="11">
        <v>102</v>
      </c>
      <c r="F341" s="11">
        <v>97.64</v>
      </c>
      <c r="G341" s="11">
        <v>9951</v>
      </c>
      <c r="H341" s="11">
        <v>1</v>
      </c>
      <c r="I341" s="104"/>
      <c r="J341" s="16"/>
      <c r="K341" s="11">
        <f>E341*J341</f>
        <v>0</v>
      </c>
      <c r="L341" s="11">
        <f>ROUND(J341*E341*0.1425%,0)</f>
        <v>0</v>
      </c>
      <c r="M341" s="11">
        <f>ROUND(J341*E341*0.3%,0)</f>
        <v>0</v>
      </c>
      <c r="N341" s="11">
        <v>0</v>
      </c>
      <c r="O341" s="13">
        <f>IF(I341="",E341*Y341,0)</f>
        <v>11107.800000000001</v>
      </c>
      <c r="P341" s="14">
        <f t="shared" si="160"/>
        <v>-1</v>
      </c>
      <c r="Q341" s="14">
        <f>IF(I341="",(O341-G341-(O341*0.1425%*0.65)-(O341*0.3%)-S341-T341),0)</f>
        <v>1113.1880002500011</v>
      </c>
      <c r="R341" s="14"/>
      <c r="S341" s="14"/>
      <c r="T341" s="14">
        <f>IF(ROUND(R341*(1+V341),0)&gt;20000,ROUND(ROUND(R341*(1+V341),0)*2%,0),0)</f>
        <v>0</v>
      </c>
      <c r="U341" s="69">
        <f>(V341*50%)/(1+50%*V341)</f>
        <v>0</v>
      </c>
      <c r="V341" s="69"/>
      <c r="W341" s="70">
        <v>0.11</v>
      </c>
      <c r="X341" s="15">
        <f>(P341+Q341)/G341</f>
        <v>0.11176645565772295</v>
      </c>
      <c r="Y341" s="16">
        <f>VLOOKUP(C341,台股行情!A:D,4,FALSE)</f>
        <v>108.9</v>
      </c>
      <c r="Z341" s="38">
        <f>VLOOKUP(C341,台股行情!A:E,5,FALSE)</f>
        <v>-4.0999999999999996</v>
      </c>
      <c r="AA341" s="90">
        <f t="shared" ca="1" si="123"/>
        <v>2152.3628299200527</v>
      </c>
      <c r="AB341" s="103" t="s">
        <v>2733</v>
      </c>
      <c r="AC341" s="311"/>
    </row>
    <row r="342" spans="1:29">
      <c r="A342" s="99">
        <v>46232</v>
      </c>
      <c r="B342" s="11"/>
      <c r="C342" s="348">
        <v>50</v>
      </c>
      <c r="D342" s="189" t="str">
        <f>VLOOKUP(C342,台股行情!A:B,2,FALSE)</f>
        <v>元大台灣50</v>
      </c>
      <c r="E342" s="11">
        <v>1000</v>
      </c>
      <c r="F342" s="11">
        <v>92.2</v>
      </c>
      <c r="G342" s="11">
        <f t="shared" ref="G342" si="165">E342*F342</f>
        <v>92200</v>
      </c>
      <c r="H342" s="11">
        <v>131</v>
      </c>
      <c r="I342" s="104"/>
      <c r="J342" s="16"/>
      <c r="K342" s="11">
        <f t="shared" ref="K342" si="166">E342*J342</f>
        <v>0</v>
      </c>
      <c r="L342" s="11">
        <f t="shared" ref="L342" si="167">ROUND(J342*E342*0.1425%,0)</f>
        <v>0</v>
      </c>
      <c r="M342" s="11">
        <f t="shared" ref="M342" si="168">ROUND(J342*E342*0.3%,0)</f>
        <v>0</v>
      </c>
      <c r="N342" s="11">
        <v>0</v>
      </c>
      <c r="O342" s="13">
        <f t="shared" ref="O342" si="169">IF(I342="",E342*Y342,0)</f>
        <v>108900</v>
      </c>
      <c r="P342" s="14">
        <f t="shared" si="160"/>
        <v>-131</v>
      </c>
      <c r="Q342" s="14">
        <f t="shared" ref="Q342" si="170">IF(I342="",(O342-G342-(O342*0.1425%*0.65)-(O342*0.3%)-S342-T342),0)</f>
        <v>16272.431375</v>
      </c>
      <c r="R342" s="14"/>
      <c r="S342" s="14"/>
      <c r="T342" s="14">
        <f t="shared" ref="T342:T343" si="171">IF(ROUND(R342*(1+V342),0)&gt;20000,ROUND(ROUND(R342*(1+V342),0)*2%,0),0)</f>
        <v>0</v>
      </c>
      <c r="U342" s="69">
        <f t="shared" ref="U342" si="172">(V342*50%)/(1+50%*V342)</f>
        <v>0</v>
      </c>
      <c r="V342" s="69"/>
      <c r="W342" s="70">
        <v>0.11</v>
      </c>
      <c r="X342" s="15">
        <f t="shared" ref="X342" si="173">(P342+Q342)/G342</f>
        <v>0.17506975460954446</v>
      </c>
      <c r="Y342" s="16">
        <f>VLOOKUP(C342,台股行情!A:D,4,FALSE)</f>
        <v>108.9</v>
      </c>
      <c r="Z342" s="38">
        <f>VLOOKUP(C342,台股行情!A:E,5,FALSE)</f>
        <v>-4.0999999999999996</v>
      </c>
      <c r="AA342" s="90">
        <f t="shared" ca="1" si="123"/>
        <v>19690.066805388236</v>
      </c>
      <c r="AB342" s="103" t="s">
        <v>2733</v>
      </c>
    </row>
    <row r="343" spans="1:29">
      <c r="A343" s="99">
        <v>46240</v>
      </c>
      <c r="B343" s="11"/>
      <c r="C343" s="11" t="s">
        <v>2812</v>
      </c>
      <c r="D343" s="189" t="str">
        <f>VLOOKUP(C343,台股行情!A:B,2,FALSE)</f>
        <v>主動統一台股增長</v>
      </c>
      <c r="E343" s="11">
        <v>348</v>
      </c>
      <c r="F343" s="11">
        <v>28.66</v>
      </c>
      <c r="G343" s="11">
        <v>9973</v>
      </c>
      <c r="H343" s="11">
        <v>1</v>
      </c>
      <c r="I343" s="104"/>
      <c r="J343" s="16"/>
      <c r="K343" s="11">
        <f>E343*J343</f>
        <v>0</v>
      </c>
      <c r="L343" s="11">
        <f>ROUND(J343*E343*0.1425%,0)</f>
        <v>0</v>
      </c>
      <c r="M343" s="11">
        <f>ROUND(J343*E343*0.3%,0)</f>
        <v>0</v>
      </c>
      <c r="N343" s="11">
        <v>0</v>
      </c>
      <c r="O343" s="13">
        <f>IF(I343="",E343*Y343,0)</f>
        <v>10231.199999999999</v>
      </c>
      <c r="P343" s="14">
        <f t="shared" si="160"/>
        <v>-1</v>
      </c>
      <c r="Q343" s="14">
        <f>IF(I343="",(O343-G343-(O343*0.1425%*0.65)-(O343*0.3%)-S343-T343),0)</f>
        <v>218.0297509999989</v>
      </c>
      <c r="R343" s="14"/>
      <c r="S343" s="14"/>
      <c r="T343" s="14">
        <f t="shared" si="171"/>
        <v>0</v>
      </c>
      <c r="U343" s="69">
        <f>(V343*50%)/(1+50%*V343)</f>
        <v>0</v>
      </c>
      <c r="V343" s="69"/>
      <c r="W343" s="70">
        <v>0.11</v>
      </c>
      <c r="X343" s="15">
        <f>(P343+Q343)/G343</f>
        <v>2.1761731775794536E-2</v>
      </c>
      <c r="Y343" s="16">
        <f>VLOOKUP(C343,台股行情!A:D,4,FALSE)</f>
        <v>29.4</v>
      </c>
      <c r="Z343" s="38">
        <f>VLOOKUP(C343,台股行情!A:E,5,FALSE)</f>
        <v>-1.79</v>
      </c>
      <c r="AA343" s="90">
        <f t="shared" ca="1" si="123"/>
        <v>1911.3733435549227</v>
      </c>
      <c r="AB343" s="103" t="s">
        <v>2733</v>
      </c>
      <c r="AC343" s="311"/>
    </row>
    <row r="344" spans="1:29">
      <c r="A344" s="99">
        <v>46241</v>
      </c>
      <c r="B344" s="11"/>
      <c r="C344" s="348">
        <v>830</v>
      </c>
      <c r="D344" s="189" t="str">
        <f>VLOOKUP(C344,台股行情!A:B,2,FALSE)</f>
        <v>國泰費城半導體</v>
      </c>
      <c r="E344" s="11">
        <v>115</v>
      </c>
      <c r="F344" s="11">
        <v>86.26</v>
      </c>
      <c r="G344" s="11">
        <v>9919</v>
      </c>
      <c r="H344" s="11">
        <v>1</v>
      </c>
      <c r="I344" s="104"/>
      <c r="J344" s="16"/>
      <c r="K344" s="11">
        <f>E344*J344</f>
        <v>0</v>
      </c>
      <c r="L344" s="11">
        <f>ROUND(J344*E344*0.1425%,0)</f>
        <v>0</v>
      </c>
      <c r="M344" s="11">
        <f>ROUND(J344*E344*0.3%,0)</f>
        <v>0</v>
      </c>
      <c r="N344" s="11">
        <v>0</v>
      </c>
      <c r="O344" s="13">
        <f>IF(I344="",E344*Y344,0)</f>
        <v>9585.25</v>
      </c>
      <c r="P344" s="14">
        <f t="shared" si="160"/>
        <v>-1</v>
      </c>
      <c r="Q344" s="14">
        <f>IF(I344="",(O344-G344-(O344*0.1425%*0.65)-(O344*0.3%)-S344-T344),0)</f>
        <v>-371.38408781249996</v>
      </c>
      <c r="R344" s="14"/>
      <c r="S344" s="14"/>
      <c r="T344" s="14">
        <f>IF(ROUND(R344*(1+V344),0)&gt;20000,ROUND(ROUND(R344*(1+V344),0)*2%,0),0)</f>
        <v>0</v>
      </c>
      <c r="U344" s="69">
        <f>(V344*50%)/(1+50%*V344)</f>
        <v>0</v>
      </c>
      <c r="V344" s="69"/>
      <c r="W344" s="70">
        <v>0.11</v>
      </c>
      <c r="X344" s="15">
        <f>(P344+Q344)/G344</f>
        <v>-3.7542503056003623E-2</v>
      </c>
      <c r="Y344" s="16">
        <f>VLOOKUP(C344,台股行情!A:D,4,FALSE)</f>
        <v>83.35</v>
      </c>
      <c r="Z344" s="38">
        <f>VLOOKUP(C344,台股行情!A:E,5,FALSE)</f>
        <v>-3.75</v>
      </c>
      <c r="AA344" s="90">
        <f t="shared" ca="1" si="123"/>
        <v>1873.8664987405541</v>
      </c>
      <c r="AB344" s="103" t="s">
        <v>2733</v>
      </c>
    </row>
    <row r="345" spans="1:29">
      <c r="A345" s="99">
        <v>46244</v>
      </c>
      <c r="B345" s="11"/>
      <c r="C345" s="348">
        <v>50</v>
      </c>
      <c r="D345" s="189" t="str">
        <f>VLOOKUP(C345,台股行情!A:B,2,FALSE)</f>
        <v>元大台灣50</v>
      </c>
      <c r="E345" s="11">
        <v>95</v>
      </c>
      <c r="F345" s="11">
        <v>104.37</v>
      </c>
      <c r="G345" s="11">
        <v>9915</v>
      </c>
      <c r="H345" s="11">
        <v>1</v>
      </c>
      <c r="I345" s="104"/>
      <c r="J345" s="16"/>
      <c r="K345" s="11">
        <f>E345*J345</f>
        <v>0</v>
      </c>
      <c r="L345" s="11">
        <f>ROUND(J345*E345*0.1425%,0)</f>
        <v>0</v>
      </c>
      <c r="M345" s="11">
        <f>ROUND(J345*E345*0.3%,0)</f>
        <v>0</v>
      </c>
      <c r="N345" s="11">
        <v>0</v>
      </c>
      <c r="O345" s="13">
        <f>IF(I345="",E345*Y345,0)</f>
        <v>10345.5</v>
      </c>
      <c r="P345" s="14">
        <f t="shared" si="160"/>
        <v>-1</v>
      </c>
      <c r="Q345" s="14">
        <f>IF(I345="",(O345-G345-(O345*0.1425%*0.65)-(O345*0.3%)-S345-T345),0)</f>
        <v>389.88098062500001</v>
      </c>
      <c r="R345" s="14"/>
      <c r="S345" s="14"/>
      <c r="T345" s="14">
        <f>IF(ROUND(R345*(1+V345),0)&gt;20000,ROUND(ROUND(R345*(1+V345),0)*2%,0),0)</f>
        <v>0</v>
      </c>
      <c r="U345" s="69">
        <f>(V345*50%)/(1+50%*V345)</f>
        <v>0</v>
      </c>
      <c r="V345" s="69"/>
      <c r="W345" s="70">
        <v>0.11</v>
      </c>
      <c r="X345" s="15">
        <f>(P345+Q345)/G345</f>
        <v>3.9221480648008067E-2</v>
      </c>
      <c r="Y345" s="16">
        <f>VLOOKUP(C345,台股行情!A:D,4,FALSE)</f>
        <v>108.9</v>
      </c>
      <c r="Z345" s="38">
        <f>VLOOKUP(C345,台股行情!A:E,5,FALSE)</f>
        <v>-4.0999999999999996</v>
      </c>
      <c r="AA345" s="90">
        <f t="shared" ca="1" si="123"/>
        <v>1791.6712298762457</v>
      </c>
      <c r="AB345" s="103" t="s">
        <v>2733</v>
      </c>
      <c r="AC345" s="311"/>
    </row>
    <row r="346" spans="1:29">
      <c r="A346" s="99">
        <v>46252</v>
      </c>
      <c r="B346" s="11"/>
      <c r="C346" s="348">
        <v>50</v>
      </c>
      <c r="D346" s="189" t="str">
        <f>VLOOKUP(C346,台股行情!A:B,2,FALSE)</f>
        <v>元大台灣50</v>
      </c>
      <c r="E346" s="11">
        <v>94</v>
      </c>
      <c r="F346" s="11">
        <v>105.57</v>
      </c>
      <c r="G346" s="11">
        <v>9923</v>
      </c>
      <c r="H346" s="11">
        <v>1</v>
      </c>
      <c r="I346" s="104"/>
      <c r="J346" s="16"/>
      <c r="K346" s="11">
        <f>E346*J346</f>
        <v>0</v>
      </c>
      <c r="L346" s="11">
        <f>ROUND(J346*E346*0.1425%,0)</f>
        <v>0</v>
      </c>
      <c r="M346" s="11">
        <f>ROUND(J346*E346*0.3%,0)</f>
        <v>0</v>
      </c>
      <c r="N346" s="11">
        <v>0</v>
      </c>
      <c r="O346" s="13">
        <f>IF(I346="",E346*Y346,0)</f>
        <v>10236.6</v>
      </c>
      <c r="P346" s="14">
        <f t="shared" si="160"/>
        <v>-1</v>
      </c>
      <c r="Q346" s="14">
        <f>IF(I346="",(O346-G346-(O346*0.1425%*0.65)-(O346*0.3%)-S346-T346),0)</f>
        <v>273.40854925000042</v>
      </c>
      <c r="R346" s="14"/>
      <c r="S346" s="14"/>
      <c r="T346" s="14">
        <f>IF(ROUND(R346*(1+V346),0)&gt;20000,ROUND(ROUND(R346*(1+V346),0)*2%,0),0)</f>
        <v>0</v>
      </c>
      <c r="U346" s="69">
        <f>(V346*50%)/(1+50%*V346)</f>
        <v>0</v>
      </c>
      <c r="V346" s="69"/>
      <c r="W346" s="70">
        <v>0.11</v>
      </c>
      <c r="X346" s="15">
        <f>(P346+Q346)/G346</f>
        <v>2.7452237151063229E-2</v>
      </c>
      <c r="Y346" s="16">
        <f>VLOOKUP(C346,台股行情!A:D,4,FALSE)</f>
        <v>108.9</v>
      </c>
      <c r="Z346" s="38">
        <f>VLOOKUP(C346,台股行情!A:E,5,FALSE)</f>
        <v>-4.0999999999999996</v>
      </c>
      <c r="AA346" s="90">
        <f t="shared" ca="1" si="123"/>
        <v>1575.7693571350344</v>
      </c>
      <c r="AB346" s="103" t="s">
        <v>2733</v>
      </c>
      <c r="AC346" s="311"/>
    </row>
    <row r="347" spans="1:29">
      <c r="A347" s="99">
        <v>46262</v>
      </c>
      <c r="B347" s="11"/>
      <c r="C347" s="348">
        <v>50</v>
      </c>
      <c r="D347" s="189" t="str">
        <f>VLOOKUP(C347,台股行情!A:B,2,FALSE)</f>
        <v>元大台灣50</v>
      </c>
      <c r="E347" s="11">
        <v>93</v>
      </c>
      <c r="F347" s="11">
        <v>107.06</v>
      </c>
      <c r="G347" s="11">
        <v>9956</v>
      </c>
      <c r="H347" s="11">
        <v>1</v>
      </c>
      <c r="I347" s="104"/>
      <c r="J347" s="16"/>
      <c r="K347" s="11">
        <f>E347*J347</f>
        <v>0</v>
      </c>
      <c r="L347" s="11">
        <f>ROUND(J347*E347*0.1425%,0)</f>
        <v>0</v>
      </c>
      <c r="M347" s="11">
        <f>ROUND(J347*E347*0.3%,0)</f>
        <v>0</v>
      </c>
      <c r="N347" s="11">
        <v>0</v>
      </c>
      <c r="O347" s="13">
        <f>IF(I347="",E347*Y347,0)</f>
        <v>10127.700000000001</v>
      </c>
      <c r="P347" s="14">
        <f t="shared" si="160"/>
        <v>-1</v>
      </c>
      <c r="Q347" s="14">
        <f>IF(I347="",(O347-G347-(O347*0.1425%*0.65)-(O347*0.3%)-S347-T347),0)</f>
        <v>131.93611787500072</v>
      </c>
      <c r="R347" s="14"/>
      <c r="S347" s="14"/>
      <c r="T347" s="14">
        <f>IF(ROUND(R347*(1+V347),0)&gt;20000,ROUND(ROUND(R347*(1+V347),0)*2%,0),0)</f>
        <v>0</v>
      </c>
      <c r="U347" s="69">
        <f>(V347*50%)/(1+50%*V347)</f>
        <v>0</v>
      </c>
      <c r="V347" s="69"/>
      <c r="W347" s="70">
        <v>0.11</v>
      </c>
      <c r="X347" s="15">
        <f>(P347+Q347)/G347</f>
        <v>1.3151478291984806E-2</v>
      </c>
      <c r="Y347" s="16">
        <f>VLOOKUP(C347,台股行情!A:D,4,FALSE)</f>
        <v>108.9</v>
      </c>
      <c r="Z347" s="38">
        <f>VLOOKUP(C347,台股行情!A:E,5,FALSE)</f>
        <v>-4.0999999999999996</v>
      </c>
      <c r="AA347" s="90">
        <f t="shared" ca="1" si="123"/>
        <v>1308.4218595991676</v>
      </c>
      <c r="AB347" s="103" t="s">
        <v>2733</v>
      </c>
      <c r="AC347" s="311"/>
    </row>
    <row r="348" spans="1:29">
      <c r="A348" s="99">
        <v>46269</v>
      </c>
      <c r="B348" s="11"/>
      <c r="C348" s="348">
        <v>9828</v>
      </c>
      <c r="D348" s="189" t="str">
        <f>VLOOKUP(C348,台股行情!A:B,2,FALSE)</f>
        <v>中信台日韓PCB</v>
      </c>
      <c r="E348" s="11">
        <v>2000</v>
      </c>
      <c r="F348" s="11">
        <v>9.31</v>
      </c>
      <c r="G348" s="11">
        <f t="shared" ref="G348" si="174">E348*F348</f>
        <v>18620</v>
      </c>
      <c r="H348" s="11">
        <v>26</v>
      </c>
      <c r="I348" s="104"/>
      <c r="J348" s="16"/>
      <c r="K348" s="11">
        <f t="shared" ref="K348" si="175">E348*J348</f>
        <v>0</v>
      </c>
      <c r="L348" s="11">
        <f t="shared" ref="L348" si="176">ROUND(J348*E348*0.1425%,0)</f>
        <v>0</v>
      </c>
      <c r="M348" s="11">
        <f t="shared" ref="M348" si="177">ROUND(J348*E348*0.3%,0)</f>
        <v>0</v>
      </c>
      <c r="N348" s="11">
        <v>0</v>
      </c>
      <c r="O348" s="13">
        <f t="shared" ref="O348" si="178">IF(I348="",E348*Y348,0)</f>
        <v>19980</v>
      </c>
      <c r="P348" s="14">
        <f t="shared" si="160"/>
        <v>-26</v>
      </c>
      <c r="Q348" s="14">
        <f t="shared" ref="Q348" si="179">IF(I348="",(O348-G348-(O348*0.1425%*0.65)-(O348*0.3%)-S348-T348),0)</f>
        <v>1281.553525</v>
      </c>
      <c r="R348" s="14"/>
      <c r="S348" s="14"/>
      <c r="T348" s="14">
        <f t="shared" ref="T348" si="180">IF(ROUND(R348*(1+V348),0)&gt;20000,ROUND(ROUND(R348*(1+V348),0)*2%,0),0)</f>
        <v>0</v>
      </c>
      <c r="U348" s="69">
        <f t="shared" ref="U348" si="181">(V348*50%)/(1+50%*V348)</f>
        <v>0</v>
      </c>
      <c r="V348" s="69"/>
      <c r="W348" s="70">
        <v>0.11</v>
      </c>
      <c r="X348" s="15">
        <f t="shared" ref="X348" si="182">(P348+Q348)/G348</f>
        <v>6.7430371911922665E-2</v>
      </c>
      <c r="Y348" s="16">
        <f>VLOOKUP(C348,台股行情!A:D,4,FALSE)</f>
        <v>9.99</v>
      </c>
      <c r="Z348" s="38">
        <f>VLOOKUP(C348,台股行情!A:E,5,FALSE)</f>
        <v>-0.72</v>
      </c>
      <c r="AA348" s="90">
        <f t="shared" ca="1" si="123"/>
        <v>2090.1872741211259</v>
      </c>
      <c r="AB348" s="103" t="s">
        <v>2733</v>
      </c>
      <c r="AC348" s="311"/>
    </row>
    <row r="349" spans="1:29">
      <c r="A349" s="99">
        <v>46272</v>
      </c>
      <c r="B349" s="11"/>
      <c r="C349" s="348">
        <v>830</v>
      </c>
      <c r="D349" s="189" t="str">
        <f>VLOOKUP(C349,台股行情!A:B,2,FALSE)</f>
        <v>國泰費城半導體</v>
      </c>
      <c r="E349" s="11">
        <v>121</v>
      </c>
      <c r="F349" s="11">
        <v>82.55</v>
      </c>
      <c r="G349" s="11">
        <v>9986</v>
      </c>
      <c r="H349" s="11">
        <v>1</v>
      </c>
      <c r="I349" s="104"/>
      <c r="J349" s="16"/>
      <c r="K349" s="11">
        <f>E349*J349</f>
        <v>0</v>
      </c>
      <c r="L349" s="11">
        <f>ROUND(J349*E349*0.1425%,0)</f>
        <v>0</v>
      </c>
      <c r="M349" s="11">
        <f>ROUND(J349*E349*0.3%,0)</f>
        <v>0</v>
      </c>
      <c r="N349" s="11">
        <v>0</v>
      </c>
      <c r="O349" s="13">
        <f>IF(I349="",E349*Y349,0)</f>
        <v>10085.349999999999</v>
      </c>
      <c r="P349" s="14">
        <f t="shared" si="160"/>
        <v>-1</v>
      </c>
      <c r="Q349" s="14">
        <f>IF(I349="",(O349-G349-(O349*0.1425%*0.65)-(O349*0.3%)-S349-T349),0)</f>
        <v>59.752394562498544</v>
      </c>
      <c r="R349" s="14"/>
      <c r="S349" s="14"/>
      <c r="T349" s="14">
        <f>IF(ROUND(R349*(1+V349),0)&gt;20000,ROUND(ROUND(R349*(1+V349),0)*2%,0),0)</f>
        <v>0</v>
      </c>
      <c r="U349" s="69">
        <f>(V349*50%)/(1+50%*V349)</f>
        <v>0</v>
      </c>
      <c r="V349" s="69"/>
      <c r="W349" s="70">
        <v>0.11</v>
      </c>
      <c r="X349" s="15">
        <f>(P349+Q349)/G349</f>
        <v>5.8834763231021972E-3</v>
      </c>
      <c r="Y349" s="16">
        <f>VLOOKUP(C349,台股行情!A:D,4,FALSE)</f>
        <v>83.35</v>
      </c>
      <c r="Z349" s="38">
        <f>VLOOKUP(C349,台股行情!A:E,5,FALSE)</f>
        <v>-3.75</v>
      </c>
      <c r="AA349" s="90">
        <f t="shared" ca="1" si="123"/>
        <v>1038.9552075347717</v>
      </c>
      <c r="AB349" s="103" t="s">
        <v>2733</v>
      </c>
    </row>
    <row r="350" spans="1:29">
      <c r="A350" s="99">
        <v>46272</v>
      </c>
      <c r="B350" s="11"/>
      <c r="C350" s="11" t="s">
        <v>2812</v>
      </c>
      <c r="D350" s="189" t="str">
        <f>VLOOKUP(C350,台股行情!A:B,2,FALSE)</f>
        <v>主動統一台股增長</v>
      </c>
      <c r="E350" s="11">
        <v>331</v>
      </c>
      <c r="F350" s="11">
        <v>30.2</v>
      </c>
      <c r="G350" s="11">
        <v>9996</v>
      </c>
      <c r="H350" s="11">
        <v>1</v>
      </c>
      <c r="I350" s="104"/>
      <c r="J350" s="16"/>
      <c r="K350" s="11">
        <f>E350*J350</f>
        <v>0</v>
      </c>
      <c r="L350" s="11">
        <f>ROUND(J350*E350*0.1425%,0)</f>
        <v>0</v>
      </c>
      <c r="M350" s="11">
        <f>ROUND(J350*E350*0.3%,0)</f>
        <v>0</v>
      </c>
      <c r="N350" s="11">
        <v>0</v>
      </c>
      <c r="O350" s="13">
        <f>IF(I350="",E350*Y350,0)</f>
        <v>9731.4</v>
      </c>
      <c r="P350" s="14">
        <f t="shared" si="160"/>
        <v>-1</v>
      </c>
      <c r="Q350" s="14">
        <f>IF(I350="",(O350-G350-(O350*0.1425%*0.65)-(O350*0.3%)-S350-T350),0)</f>
        <v>-302.80790925000036</v>
      </c>
      <c r="R350" s="14"/>
      <c r="S350" s="14"/>
      <c r="T350" s="14">
        <f t="shared" ref="T350" si="183">IF(ROUND(R350*(1+V350),0)&gt;20000,ROUND(ROUND(R350*(1+V350),0)*2%,0),0)</f>
        <v>0</v>
      </c>
      <c r="U350" s="69">
        <f>(V350*50%)/(1+50%*V350)</f>
        <v>0</v>
      </c>
      <c r="V350" s="69"/>
      <c r="W350" s="70">
        <v>0.11</v>
      </c>
      <c r="X350" s="15">
        <f>(P350+Q350)/G350</f>
        <v>-3.0392948104241733E-2</v>
      </c>
      <c r="Y350" s="16">
        <f>VLOOKUP(C350,台股行情!A:D,4,FALSE)</f>
        <v>29.4</v>
      </c>
      <c r="Z350" s="38">
        <f>VLOOKUP(C350,台股行情!A:E,5,FALSE)</f>
        <v>-1.79</v>
      </c>
      <c r="AA350" s="90">
        <f t="shared" ca="1" si="123"/>
        <v>1039.9956193188041</v>
      </c>
      <c r="AB350" s="103" t="s">
        <v>2733</v>
      </c>
      <c r="AC350" s="311"/>
    </row>
    <row r="351" spans="1:29">
      <c r="A351" s="99">
        <v>46273</v>
      </c>
      <c r="B351" s="11"/>
      <c r="C351" s="348">
        <v>50</v>
      </c>
      <c r="D351" s="189" t="str">
        <f>VLOOKUP(C351,台股行情!A:B,2,FALSE)</f>
        <v>元大台灣50</v>
      </c>
      <c r="E351" s="11">
        <v>90</v>
      </c>
      <c r="F351" s="11">
        <v>110.23</v>
      </c>
      <c r="G351" s="11">
        <v>9920</v>
      </c>
      <c r="H351" s="11">
        <v>1</v>
      </c>
      <c r="I351" s="104"/>
      <c r="J351" s="16"/>
      <c r="K351" s="11">
        <f>E351*J351</f>
        <v>0</v>
      </c>
      <c r="L351" s="11">
        <f>ROUND(J351*E351*0.1425%,0)</f>
        <v>0</v>
      </c>
      <c r="M351" s="11">
        <f>ROUND(J351*E351*0.3%,0)</f>
        <v>0</v>
      </c>
      <c r="N351" s="11">
        <v>0</v>
      </c>
      <c r="O351" s="13">
        <f>IF(I351="",E351*Y351,0)</f>
        <v>9801</v>
      </c>
      <c r="P351" s="14">
        <f t="shared" si="160"/>
        <v>-1</v>
      </c>
      <c r="Q351" s="14">
        <f>IF(I351="",(O351-G351-(O351*0.1425%*0.65)-(O351*0.3%)-S351-T351),0)</f>
        <v>-157.48117625</v>
      </c>
      <c r="R351" s="14"/>
      <c r="S351" s="14"/>
      <c r="T351" s="14">
        <f>IF(ROUND(R351*(1+V351),0)&gt;20000,ROUND(ROUND(R351*(1+V351),0)*2%,0),0)</f>
        <v>0</v>
      </c>
      <c r="U351" s="69">
        <f>(V351*50%)/(1+50%*V351)</f>
        <v>0</v>
      </c>
      <c r="V351" s="69"/>
      <c r="W351" s="70">
        <v>0.11</v>
      </c>
      <c r="X351" s="15">
        <f>(P351+Q351)/G351</f>
        <v>-1.5975925025201614E-2</v>
      </c>
      <c r="Y351" s="16">
        <f>VLOOKUP(C351,台股行情!A:D,4,FALSE)</f>
        <v>108.9</v>
      </c>
      <c r="Z351" s="38">
        <f>VLOOKUP(C351,台股行情!A:E,5,FALSE)</f>
        <v>-4.0999999999999996</v>
      </c>
      <c r="AA351" s="90">
        <f t="shared" ca="1" si="123"/>
        <v>1004.9282663454167</v>
      </c>
      <c r="AB351" s="103" t="s">
        <v>2733</v>
      </c>
      <c r="AC351" s="311"/>
    </row>
    <row r="352" spans="1:29">
      <c r="A352" s="99"/>
      <c r="B352" s="11"/>
      <c r="C352" s="348"/>
      <c r="D352" s="189"/>
      <c r="E352" s="11"/>
      <c r="F352" s="11"/>
      <c r="G352" s="11"/>
      <c r="H352" s="11"/>
      <c r="I352" s="104"/>
      <c r="J352" s="16"/>
      <c r="K352" s="11"/>
      <c r="L352" s="11"/>
      <c r="M352" s="11"/>
      <c r="N352" s="11"/>
      <c r="O352" s="13"/>
      <c r="P352" s="14"/>
      <c r="Q352" s="14"/>
      <c r="R352" s="14"/>
      <c r="S352" s="14"/>
      <c r="T352" s="14"/>
      <c r="U352" s="69"/>
      <c r="V352" s="69"/>
      <c r="W352" s="70"/>
      <c r="X352" s="15"/>
      <c r="Y352" s="16"/>
      <c r="Z352" s="38"/>
      <c r="AA352" s="90"/>
      <c r="AB352" s="103"/>
      <c r="AC352" s="311"/>
    </row>
    <row r="353" spans="1:28">
      <c r="A353" s="224">
        <v>45550</v>
      </c>
      <c r="B353" s="11" t="s">
        <v>19</v>
      </c>
      <c r="C353" s="376" t="s">
        <v>2874</v>
      </c>
      <c r="D353" s="189" t="str">
        <f>VLOOKUP(C353,美股行情!A:C,2,FALSE)</f>
        <v>Synopsys Inc</v>
      </c>
      <c r="E353" s="11">
        <v>1</v>
      </c>
      <c r="F353" s="11">
        <v>432.3</v>
      </c>
      <c r="G353" s="11">
        <f>E353*F353</f>
        <v>432.3</v>
      </c>
      <c r="H353" s="315">
        <f>G353*0.25%</f>
        <v>1.0807500000000001</v>
      </c>
      <c r="I353" s="104">
        <v>46087</v>
      </c>
      <c r="J353" s="16">
        <v>433.82</v>
      </c>
      <c r="K353" s="11">
        <f>E353*J353</f>
        <v>433.82</v>
      </c>
      <c r="L353" s="17">
        <v>1.08</v>
      </c>
      <c r="M353" s="11"/>
      <c r="N353" s="11">
        <v>0</v>
      </c>
      <c r="O353" s="13">
        <f>IF(I353="",E353*Y353,0)</f>
        <v>0</v>
      </c>
      <c r="P353" s="14">
        <f>IF(I353="",R353-H353,(K353-H353-SUM(L353:N353)+R353-S353-T353)-G353)+(ROUND(R353*V353,0)-ROUND(R353*(1+V353),0)*W353)</f>
        <v>-0.64075000000002547</v>
      </c>
      <c r="Q353" s="14">
        <f>IF(I353="",(O353-G353-(O353*0.1425%*0.65)-(O353*0.3%)-S353-T353),0)</f>
        <v>0</v>
      </c>
      <c r="R353" s="14"/>
      <c r="S353" s="14">
        <v>0</v>
      </c>
      <c r="T353" s="14">
        <f>IF(ROUND(R353*(1+V353),0)&gt;20000,ROUND(ROUND(R353*(1+V353),0)*2%,0),0)</f>
        <v>0</v>
      </c>
      <c r="U353" s="69">
        <f>(V353*50%)/(1+50%*V353)</f>
        <v>0</v>
      </c>
      <c r="V353" s="69"/>
      <c r="W353" s="70">
        <v>0.11</v>
      </c>
      <c r="X353" s="15">
        <f>(P353+Q353)/G353</f>
        <v>-1.4821882951654532E-3</v>
      </c>
      <c r="Y353" s="16">
        <f>VLOOKUP(C353,美股行情!A:C,3,FALSE)</f>
        <v>485.87</v>
      </c>
      <c r="Z353" s="38">
        <f>VLOOKUP(C353,美股行情!A:G,7,FALSE)</f>
        <v>-8.64</v>
      </c>
      <c r="AA353" s="90">
        <f t="shared" ref="AA353:AA354" ca="1" si="184">IF(I353="",((TODAY()-A353)*G353)/365.24,((I353-A353)*G353)/365.24)</f>
        <v>635.59604643522073</v>
      </c>
      <c r="AB353" s="349" t="s">
        <v>2731</v>
      </c>
    </row>
    <row r="354" spans="1:28">
      <c r="A354" s="224">
        <v>45442</v>
      </c>
      <c r="B354" s="11" t="s">
        <v>19</v>
      </c>
      <c r="C354" s="225" t="s">
        <v>2560</v>
      </c>
      <c r="D354" s="189" t="str">
        <f>VLOOKUP(C354,美股行情!A:C,2,FALSE)</f>
        <v>英偉達公司</v>
      </c>
      <c r="E354" s="11">
        <v>80</v>
      </c>
      <c r="F354" s="11">
        <v>114.6</v>
      </c>
      <c r="G354" s="11">
        <f>E354*F354</f>
        <v>9168</v>
      </c>
      <c r="H354" s="314">
        <f>G354*0.25%</f>
        <v>22.92</v>
      </c>
      <c r="I354" s="104"/>
      <c r="J354" s="16"/>
      <c r="K354" s="11">
        <f>E354*J354</f>
        <v>0</v>
      </c>
      <c r="L354" s="17"/>
      <c r="M354" s="11"/>
      <c r="N354" s="11">
        <v>0</v>
      </c>
      <c r="O354" s="13">
        <f>IF(I354="",E354*Y354,0)</f>
        <v>17996</v>
      </c>
      <c r="P354" s="14">
        <f>IF(I354="",R354-H354,(K354-H354-SUM(L354:N354)+R354-S354-T354)-G354)+(ROUND(R354*V354,0)-ROUND(R354*(1+V354),0)*W354)</f>
        <v>-21.46</v>
      </c>
      <c r="Q354" s="14">
        <f>IF(I354="",(O354-G354-(O354*0.1425%*0.65)-(O354*0.3%)-S354-T354),0)</f>
        <v>8757.343205000001</v>
      </c>
      <c r="R354" s="14">
        <f>0.56+0.56+0.56</f>
        <v>1.6800000000000002</v>
      </c>
      <c r="S354" s="14">
        <v>0</v>
      </c>
      <c r="T354" s="14">
        <f>IF(ROUND(R354*(1+V354),0)&gt;20000,ROUND(ROUND(R354*(1+V354),0)*2%,0),0)</f>
        <v>0</v>
      </c>
      <c r="U354" s="69">
        <f>(V354*50%)/(1+50%*V354)</f>
        <v>0</v>
      </c>
      <c r="V354" s="69"/>
      <c r="W354" s="70">
        <v>0.11</v>
      </c>
      <c r="X354" s="15">
        <f>(P354+Q354)/G354</f>
        <v>0.95286684173211189</v>
      </c>
      <c r="Y354" s="16">
        <f>VLOOKUP(C354,美股行情!A:C,3,FALSE)</f>
        <v>224.95</v>
      </c>
      <c r="Z354" s="38">
        <f>VLOOKUP(C354,美股行情!A:G,7,FALSE)</f>
        <v>-3.57</v>
      </c>
      <c r="AA354" s="90">
        <f t="shared" ca="1" si="184"/>
        <v>21787.931223305222</v>
      </c>
      <c r="AB354" s="349" t="s">
        <v>2731</v>
      </c>
    </row>
    <row r="355" spans="1:28" ht="17.25" thickBot="1">
      <c r="A355" s="48"/>
      <c r="B355" s="49"/>
      <c r="C355" s="49"/>
      <c r="D355" s="49"/>
      <c r="E355" s="49"/>
      <c r="F355" s="49"/>
      <c r="G355" s="49"/>
      <c r="H355" s="49"/>
      <c r="I355" s="50"/>
      <c r="J355" s="51"/>
      <c r="K355" s="49"/>
      <c r="L355" s="52"/>
      <c r="M355" s="49"/>
      <c r="N355" s="49"/>
      <c r="O355" s="53"/>
      <c r="P355" s="54"/>
      <c r="Q355" s="54"/>
      <c r="R355" s="54"/>
      <c r="S355" s="54"/>
      <c r="T355" s="60"/>
      <c r="U355" s="54"/>
      <c r="V355" s="54"/>
      <c r="W355" s="78"/>
      <c r="X355" s="55"/>
      <c r="Y355" s="51"/>
      <c r="Z355" s="56"/>
      <c r="AA355" s="28"/>
    </row>
    <row r="357" spans="1:28" ht="17.25" thickBot="1"/>
    <row r="358" spans="1:28" s="8" customFormat="1" ht="17.25" thickBot="1">
      <c r="A358" s="403" t="s">
        <v>2660</v>
      </c>
      <c r="B358" s="404"/>
      <c r="C358" s="405"/>
      <c r="D358" s="251" t="s">
        <v>2728</v>
      </c>
      <c r="E358" s="413"/>
      <c r="F358" s="404"/>
      <c r="G358" s="251" t="s">
        <v>2652</v>
      </c>
      <c r="H358" s="251" t="s">
        <v>25</v>
      </c>
      <c r="I358" s="415"/>
      <c r="J358" s="305"/>
      <c r="K358" s="292"/>
      <c r="L358" s="292"/>
      <c r="M358" s="292"/>
      <c r="N358" s="293"/>
      <c r="O358" s="251" t="s">
        <v>2653</v>
      </c>
      <c r="P358" s="251" t="s">
        <v>2654</v>
      </c>
      <c r="Q358" s="251" t="s">
        <v>2655</v>
      </c>
      <c r="R358" s="251" t="s">
        <v>2656</v>
      </c>
      <c r="S358" s="251" t="s">
        <v>25</v>
      </c>
      <c r="T358" s="251" t="s">
        <v>26</v>
      </c>
      <c r="U358" s="421"/>
      <c r="V358" s="246" t="s">
        <v>28</v>
      </c>
      <c r="W358" s="246" t="s">
        <v>27</v>
      </c>
      <c r="X358" s="251" t="s">
        <v>2657</v>
      </c>
      <c r="Y358" s="251" t="s">
        <v>23</v>
      </c>
      <c r="Z358" s="251" t="s">
        <v>168</v>
      </c>
      <c r="AA358" s="89"/>
      <c r="AB358" s="86"/>
    </row>
    <row r="359" spans="1:28" outlineLevel="1">
      <c r="A359" s="406"/>
      <c r="B359" s="407"/>
      <c r="C359" s="408"/>
      <c r="D359" s="246" t="s">
        <v>2732</v>
      </c>
      <c r="E359" s="414"/>
      <c r="F359" s="407"/>
      <c r="G359" s="265"/>
      <c r="H359" s="265"/>
      <c r="I359" s="416"/>
      <c r="J359" s="306"/>
      <c r="K359" s="294"/>
      <c r="L359" s="294"/>
      <c r="M359" s="294"/>
      <c r="N359" s="295"/>
      <c r="O359" s="265">
        <f>'Family-帳戶紀錄'!D697</f>
        <v>882587</v>
      </c>
      <c r="P359" s="266"/>
      <c r="Q359" s="266"/>
      <c r="R359" s="265"/>
      <c r="S359" s="304"/>
      <c r="T359" s="304"/>
      <c r="U359" s="422"/>
      <c r="V359" s="257"/>
      <c r="W359" s="257"/>
      <c r="X359" s="267"/>
      <c r="Y359" s="267"/>
      <c r="Z359" s="268"/>
      <c r="AA359" s="9">
        <f>SUMIF(AB$2:AB$354,D359,AA$2:AA$354)</f>
        <v>0</v>
      </c>
      <c r="AB359" s="28"/>
    </row>
    <row r="360" spans="1:28" outlineLevel="1">
      <c r="A360" s="406"/>
      <c r="B360" s="407"/>
      <c r="C360" s="408"/>
      <c r="D360" s="264" t="s">
        <v>2729</v>
      </c>
      <c r="E360" s="414"/>
      <c r="F360" s="407"/>
      <c r="G360" s="265">
        <f>SUMIF(AB$2:AB$354,D360,G$2:G$354)</f>
        <v>24174205</v>
      </c>
      <c r="H360" s="265">
        <f>SUMIF(AB$2:AB$354,D360,H$2:H$354)</f>
        <v>33644</v>
      </c>
      <c r="I360" s="416"/>
      <c r="J360" s="306"/>
      <c r="K360" s="294"/>
      <c r="L360" s="294"/>
      <c r="M360" s="294"/>
      <c r="N360" s="295"/>
      <c r="O360" s="265">
        <f>SUMIF(AB$2:AB$354,D360,O$2:O$354)</f>
        <v>3195050</v>
      </c>
      <c r="P360" s="266">
        <f>SUMIF(AB$2:AB$354,D360,P$2:P$354)</f>
        <v>752219.46</v>
      </c>
      <c r="Q360" s="266">
        <f>SUMIF(AB$2:AB$354,"*"&amp;D360&amp;"*",Q$2:Q$354)</f>
        <v>952643.75213438785</v>
      </c>
      <c r="R360" s="265">
        <f>SUMIF(AB$2:AB$354,D360,R$2:R$354)</f>
        <v>624610</v>
      </c>
      <c r="S360" s="257"/>
      <c r="T360" s="257"/>
      <c r="U360" s="422"/>
      <c r="V360" s="257"/>
      <c r="W360" s="257"/>
      <c r="X360" s="267">
        <f>(SUMIF(AB$2:AB$354,D360,P$2:P$354)+SUMIF(AB$2:AB$354,"*"&amp;D360&amp;"*",Q$2:Q$354))/SUMIF(AB$2:AB$354,D360,G$2:G$354)</f>
        <v>7.0524065305741707E-2</v>
      </c>
      <c r="Y360" s="267">
        <f ca="1">(P360+Q360)/(AA360)</f>
        <v>1.7412966536978634E-2</v>
      </c>
      <c r="Z360" s="268">
        <f>COUNTIFS(X$2:X$354,"&gt;0",AB$2:AB$354,D360)/COUNTIF(AB$2:AB$354,D360)</f>
        <v>0.55390334572490707</v>
      </c>
      <c r="AA360" s="9">
        <f ca="1">SUMIF(AB$2:AB$354,D360,AA$2:AA$354)</f>
        <v>97907683.249370262</v>
      </c>
      <c r="AB360" s="28"/>
    </row>
    <row r="361" spans="1:28" ht="17.25" outlineLevel="1" thickBot="1">
      <c r="A361" s="406"/>
      <c r="B361" s="407"/>
      <c r="C361" s="408"/>
      <c r="D361" s="247" t="s">
        <v>2734</v>
      </c>
      <c r="E361" s="414"/>
      <c r="F361" s="407"/>
      <c r="G361" s="265">
        <f>SUMIF(AB$2:AB$354,D361,G$2:G$354)</f>
        <v>1653111.88</v>
      </c>
      <c r="H361" s="265">
        <f>SUMIF(AB$2:AB$354,D361,H$2:H$354)</f>
        <v>1624</v>
      </c>
      <c r="I361" s="416"/>
      <c r="J361" s="306"/>
      <c r="K361" s="294"/>
      <c r="L361" s="294"/>
      <c r="M361" s="294"/>
      <c r="N361" s="295"/>
      <c r="O361" s="265">
        <f>SUMIF(AB$2:AB$354,D361,O$2:O$354)</f>
        <v>1201067.8900000001</v>
      </c>
      <c r="P361" s="266">
        <f>SUMIF(AB$2:AB$354,D361,P$2:P$354)</f>
        <v>41723.799999999996</v>
      </c>
      <c r="Q361" s="266">
        <f>SUMIF(AB$2:AB$354,"*"&amp;D361&amp;"*",Q$2:Q$354)</f>
        <v>140333.31719688751</v>
      </c>
      <c r="R361" s="265">
        <f>SUMIF(AB$2:AB$354,D361,R$2:R$354)</f>
        <v>36219.200000000012</v>
      </c>
      <c r="S361" s="303"/>
      <c r="T361" s="303"/>
      <c r="U361" s="422"/>
      <c r="V361" s="261"/>
      <c r="W361" s="261"/>
      <c r="X361" s="267">
        <f>(SUMIF(AB$2:AB$354,D361,P$2:P$354)+SUMIF(AB$2:AB$354,"*"&amp;D361&amp;"*",Q$2:Q$354))/SUMIF(AB$2:AB$354,D361,G$2:G$354)</f>
        <v>0.11012994304831171</v>
      </c>
      <c r="Y361" s="267">
        <f ca="1">(P361+Q361)/(AA361)</f>
        <v>0.26877573673049909</v>
      </c>
      <c r="Z361" s="268">
        <f>COUNTIFS(X$2:X$354,"&gt;0",AB$2:AB$354,D361)/COUNTIF(AB$2:AB$354,D361)</f>
        <v>0.71250000000000002</v>
      </c>
      <c r="AA361" s="9">
        <f ca="1">SUMIF(AB$2:AB$354,D361,AA$2:AA$354)</f>
        <v>677356.96462599898</v>
      </c>
      <c r="AB361" s="28"/>
    </row>
    <row r="362" spans="1:28" outlineLevel="1">
      <c r="A362" s="409"/>
      <c r="B362" s="407"/>
      <c r="C362" s="408"/>
      <c r="D362" s="269" t="s">
        <v>2731</v>
      </c>
      <c r="E362" s="407"/>
      <c r="F362" s="407"/>
      <c r="G362" s="265">
        <f>SUMIF(AB$2:AB$354,D362,G$2:G$354)*匯率!B3</f>
        <v>303715.09079999995</v>
      </c>
      <c r="H362" s="265">
        <f>SUMIF(AB$2:AB$354,D362,H$2:H$354)*匯率!B3</f>
        <v>759.28772700000013</v>
      </c>
      <c r="I362" s="417"/>
      <c r="J362" s="306"/>
      <c r="K362" s="294"/>
      <c r="L362" s="294"/>
      <c r="M362" s="294"/>
      <c r="N362" s="295"/>
      <c r="O362" s="265">
        <f>SUMIF(AB$2:AB$354,D362,O$2:O$354)*匯率!B13</f>
        <v>572992.64</v>
      </c>
      <c r="P362" s="266">
        <f>SUMIF(AB$2:AB$354,D362,P$2:P$354)*匯率!B3</f>
        <v>-699.17932700000085</v>
      </c>
      <c r="Q362" s="266">
        <f>SUMIF(AB$2:AB$354,"*"&amp;D362&amp;"*",Q$2:Q$354)*匯率!B3</f>
        <v>277047.30963338003</v>
      </c>
      <c r="R362" s="265">
        <f>SUMIF(AB$2:AB$354,D362,R$2:R$354)*匯率!B3</f>
        <v>53.148480000000006</v>
      </c>
      <c r="S362" s="257"/>
      <c r="T362" s="257"/>
      <c r="U362" s="423"/>
      <c r="V362" s="257"/>
      <c r="W362" s="257"/>
      <c r="X362" s="267">
        <f>(SUMIF(AB$2:AB$354,D362,P$2:P$354)+SUMIF(AB$2:AB$354,"*"&amp;D362&amp;"*",Q$2:Q$354))/SUMIF(AB$2:AB$354,D362,G$2:G$354)</f>
        <v>0.90989265491703408</v>
      </c>
      <c r="Y362" s="267">
        <f ca="1">(P362+Q362)/(AA362)</f>
        <v>12.32402587612965</v>
      </c>
      <c r="Z362" s="268">
        <f>COUNTIFS(X$2:X$354,"&gt;0",AB$2:AB$354,D362)/COUNTIF(AB$2:AB$354,D362)</f>
        <v>0.5</v>
      </c>
      <c r="AA362" s="9">
        <f ca="1">SUMIF(AB$2:AB$354,D362,AA$2:AA$354)</f>
        <v>22423.527269740443</v>
      </c>
      <c r="AB362" s="28"/>
    </row>
    <row r="363" spans="1:28" ht="17.25" outlineLevel="1" thickBot="1">
      <c r="A363" s="409"/>
      <c r="B363" s="407"/>
      <c r="C363" s="408"/>
      <c r="D363" s="248" t="s">
        <v>2781</v>
      </c>
      <c r="E363" s="407"/>
      <c r="F363" s="407"/>
      <c r="G363" s="252"/>
      <c r="H363" s="252"/>
      <c r="I363" s="417"/>
      <c r="J363" s="307"/>
      <c r="K363" s="296"/>
      <c r="L363" s="296"/>
      <c r="M363" s="296"/>
      <c r="N363" s="297"/>
      <c r="O363" s="378">
        <f>'Family-帳戶紀錄'!G697</f>
        <v>838.33999999999946</v>
      </c>
      <c r="P363" s="253"/>
      <c r="Q363" s="253"/>
      <c r="R363" s="252"/>
      <c r="S363" s="261"/>
      <c r="T363" s="261"/>
      <c r="U363" s="424"/>
      <c r="V363" s="261"/>
      <c r="W363" s="261"/>
      <c r="X363" s="254"/>
      <c r="Y363" s="254"/>
      <c r="Z363" s="255"/>
      <c r="AA363" s="9">
        <f>SUMIF(AB$2:AB$354,D363,AA$2:AA$354)</f>
        <v>0</v>
      </c>
      <c r="AB363" s="28"/>
    </row>
    <row r="364" spans="1:28" ht="17.25" outlineLevel="1" thickBot="1">
      <c r="A364" s="410"/>
      <c r="B364" s="411"/>
      <c r="C364" s="412"/>
      <c r="D364" s="248" t="s">
        <v>2860</v>
      </c>
      <c r="E364" s="411"/>
      <c r="F364" s="411"/>
      <c r="G364" s="252">
        <f>SUM(G359:G363)</f>
        <v>26131031.970799997</v>
      </c>
      <c r="H364" s="252">
        <f>SUM(H359:H363)</f>
        <v>36027.287727000003</v>
      </c>
      <c r="I364" s="418"/>
      <c r="J364" s="301"/>
      <c r="K364" s="302"/>
      <c r="L364" s="302"/>
      <c r="M364" s="302"/>
      <c r="N364" s="302"/>
      <c r="O364" s="252">
        <f t="shared" ref="O364:W364" si="185">SUM(O359:O363)</f>
        <v>5852535.8700000001</v>
      </c>
      <c r="P364" s="252">
        <f t="shared" si="185"/>
        <v>793244.08067299996</v>
      </c>
      <c r="Q364" s="252">
        <f t="shared" si="185"/>
        <v>1370024.3789646553</v>
      </c>
      <c r="R364" s="252">
        <f t="shared" si="185"/>
        <v>660882.34847999993</v>
      </c>
      <c r="S364" s="252"/>
      <c r="T364" s="252"/>
      <c r="U364" s="252">
        <f t="shared" si="185"/>
        <v>0</v>
      </c>
      <c r="V364" s="252">
        <f t="shared" si="185"/>
        <v>0</v>
      </c>
      <c r="W364" s="252">
        <f t="shared" si="185"/>
        <v>0</v>
      </c>
      <c r="X364" s="254">
        <f>(P364+Q364)/G364</f>
        <v>8.2785420111038469E-2</v>
      </c>
      <c r="Y364" s="254"/>
      <c r="Z364" s="252"/>
      <c r="AB364" s="28"/>
    </row>
  </sheetData>
  <autoFilter ref="A1:AA21" xr:uid="{00000000-0009-0000-0000-000001000000}"/>
  <mergeCells count="4">
    <mergeCell ref="A358:C364"/>
    <mergeCell ref="E358:F364"/>
    <mergeCell ref="I358:I364"/>
    <mergeCell ref="U358:U363"/>
  </mergeCells>
  <phoneticPr fontId="74" type="noConversion"/>
  <conditionalFormatting sqref="I355">
    <cfRule type="expression" dxfId="1275" priority="1423">
      <formula>$I355&gt;(TODAY()-7)</formula>
    </cfRule>
    <cfRule type="expression" dxfId="1274" priority="1424">
      <formula>$I355&gt;(TODAY()-30)</formula>
    </cfRule>
  </conditionalFormatting>
  <conditionalFormatting sqref="Z2:Z60 Z290:Z292 Z297">
    <cfRule type="containsText" dxfId="1273" priority="861" operator="containsText" text="▲">
      <formula>NOT(ISERROR(SEARCH("▲",Z2)))</formula>
    </cfRule>
    <cfRule type="containsText" dxfId="1272" priority="862" operator="containsText" text="▼">
      <formula>NOT(ISERROR(SEARCH("▼",Z2)))</formula>
    </cfRule>
  </conditionalFormatting>
  <conditionalFormatting sqref="Z2:Z141">
    <cfRule type="cellIs" dxfId="1271" priority="843" operator="lessThan">
      <formula>0</formula>
    </cfRule>
    <cfRule type="cellIs" dxfId="1270" priority="844" operator="greaterThan">
      <formula>0</formula>
    </cfRule>
  </conditionalFormatting>
  <conditionalFormatting sqref="Z61:Z135 Z358:AA363">
    <cfRule type="containsText" dxfId="1269" priority="867" operator="containsText" text="△">
      <formula>NOT(ISERROR(SEARCH("△",Z61)))</formula>
    </cfRule>
    <cfRule type="containsText" dxfId="1268" priority="868" operator="containsText" text="▽">
      <formula>NOT(ISERROR(SEARCH("▽",Z61)))</formula>
    </cfRule>
  </conditionalFormatting>
  <conditionalFormatting sqref="Z125 Z299:Z333">
    <cfRule type="containsText" dxfId="1267" priority="865" operator="containsText" text="▲">
      <formula>NOT(ISERROR(SEARCH("▲",Z125)))</formula>
    </cfRule>
    <cfRule type="containsText" dxfId="1266" priority="866" operator="containsText" text="▼">
      <formula>NOT(ISERROR(SEARCH("▼",Z125)))</formula>
    </cfRule>
  </conditionalFormatting>
  <conditionalFormatting sqref="Z127:Z138">
    <cfRule type="containsText" dxfId="1265" priority="847" operator="containsText" text="▲">
      <formula>NOT(ISERROR(SEARCH("▲",Z127)))</formula>
    </cfRule>
    <cfRule type="containsText" dxfId="1264" priority="848" operator="containsText" text="▼">
      <formula>NOT(ISERROR(SEARCH("▼",Z127)))</formula>
    </cfRule>
  </conditionalFormatting>
  <conditionalFormatting sqref="Z136:Z138">
    <cfRule type="containsText" dxfId="1263" priority="849" operator="containsText" text="△">
      <formula>NOT(ISERROR(SEARCH("△",Z136)))</formula>
    </cfRule>
    <cfRule type="containsText" dxfId="1262" priority="850" operator="containsText" text="▽">
      <formula>NOT(ISERROR(SEARCH("▽",Z136)))</formula>
    </cfRule>
  </conditionalFormatting>
  <conditionalFormatting sqref="Z139:Z141">
    <cfRule type="containsText" dxfId="1261" priority="839" operator="containsText" text="△">
      <formula>NOT(ISERROR(SEARCH("△",Z139)))</formula>
    </cfRule>
    <cfRule type="containsText" dxfId="1260" priority="840" operator="containsText" text="▽">
      <formula>NOT(ISERROR(SEARCH("▽",Z139)))</formula>
    </cfRule>
    <cfRule type="containsText" dxfId="1259" priority="841" operator="containsText" text="▲">
      <formula>NOT(ISERROR(SEARCH("▲",Z139)))</formula>
    </cfRule>
    <cfRule type="containsText" dxfId="1258" priority="842" operator="containsText" text="▼">
      <formula>NOT(ISERROR(SEARCH("▼",Z139)))</formula>
    </cfRule>
  </conditionalFormatting>
  <conditionalFormatting sqref="Z139:Z142">
    <cfRule type="cellIs" dxfId="1257" priority="831" operator="lessThan">
      <formula>0</formula>
    </cfRule>
    <cfRule type="cellIs" dxfId="1256" priority="832" operator="greaterThan">
      <formula>0</formula>
    </cfRule>
    <cfRule type="containsText" dxfId="1255" priority="833" operator="containsText" text="▲">
      <formula>NOT(ISERROR(SEARCH("▲",Z139)))</formula>
    </cfRule>
    <cfRule type="containsText" dxfId="1254" priority="834" operator="containsText" text="▼">
      <formula>NOT(ISERROR(SEARCH("▼",Z139)))</formula>
    </cfRule>
  </conditionalFormatting>
  <conditionalFormatting sqref="Z142">
    <cfRule type="containsText" dxfId="1253" priority="829" operator="containsText" text="△">
      <formula>NOT(ISERROR(SEARCH("△",Z142)))</formula>
    </cfRule>
    <cfRule type="containsText" dxfId="1252" priority="830" operator="containsText" text="▽">
      <formula>NOT(ISERROR(SEARCH("▽",Z142)))</formula>
    </cfRule>
  </conditionalFormatting>
  <conditionalFormatting sqref="Z143">
    <cfRule type="containsText" dxfId="1251" priority="827" operator="containsText" text="▲">
      <formula>NOT(ISERROR(SEARCH("▲",Z143)))</formula>
    </cfRule>
    <cfRule type="containsText" dxfId="1250" priority="828" operator="containsText" text="▼">
      <formula>NOT(ISERROR(SEARCH("▼",Z143)))</formula>
    </cfRule>
  </conditionalFormatting>
  <conditionalFormatting sqref="Z143:Z145">
    <cfRule type="containsText" dxfId="1249" priority="821" operator="containsText" text="▲">
      <formula>NOT(ISERROR(SEARCH("▲",Z143)))</formula>
    </cfRule>
    <cfRule type="containsText" dxfId="1248" priority="822" operator="containsText" text="▼">
      <formula>NOT(ISERROR(SEARCH("▼",Z143)))</formula>
    </cfRule>
  </conditionalFormatting>
  <conditionalFormatting sqref="Z143:Z152">
    <cfRule type="cellIs" dxfId="1247" priority="745" operator="lessThan">
      <formula>0</formula>
    </cfRule>
    <cfRule type="cellIs" dxfId="1246" priority="746" operator="greaterThan">
      <formula>0</formula>
    </cfRule>
  </conditionalFormatting>
  <conditionalFormatting sqref="Z144:Z146">
    <cfRule type="containsText" dxfId="1245" priority="815" operator="containsText" text="▲">
      <formula>NOT(ISERROR(SEARCH("▲",Z144)))</formula>
    </cfRule>
    <cfRule type="containsText" dxfId="1244" priority="816" operator="containsText" text="▼">
      <formula>NOT(ISERROR(SEARCH("▼",Z144)))</formula>
    </cfRule>
  </conditionalFormatting>
  <conditionalFormatting sqref="Z146:Z148">
    <cfRule type="containsText" dxfId="1243" priority="809" operator="containsText" text="▲">
      <formula>NOT(ISERROR(SEARCH("▲",Z146)))</formula>
    </cfRule>
    <cfRule type="containsText" dxfId="1242" priority="810" operator="containsText" text="▼">
      <formula>NOT(ISERROR(SEARCH("▼",Z146)))</formula>
    </cfRule>
  </conditionalFormatting>
  <conditionalFormatting sqref="Z147:Z152">
    <cfRule type="containsText" dxfId="1241" priority="747" operator="containsText" text="▲">
      <formula>NOT(ISERROR(SEARCH("▲",Z147)))</formula>
    </cfRule>
    <cfRule type="containsText" dxfId="1240" priority="748" operator="containsText" text="▼">
      <formula>NOT(ISERROR(SEARCH("▼",Z147)))</formula>
    </cfRule>
  </conditionalFormatting>
  <conditionalFormatting sqref="Z148">
    <cfRule type="cellIs" dxfId="1239" priority="243" operator="lessThan">
      <formula>0</formula>
    </cfRule>
    <cfRule type="cellIs" dxfId="1238" priority="244" operator="greaterThan">
      <formula>0</formula>
    </cfRule>
    <cfRule type="containsText" dxfId="1237" priority="245" operator="containsText" text="▲">
      <formula>NOT(ISERROR(SEARCH("▲",Z148)))</formula>
    </cfRule>
    <cfRule type="containsText" dxfId="1236" priority="246" operator="containsText" text="▼">
      <formula>NOT(ISERROR(SEARCH("▼",Z148)))</formula>
    </cfRule>
  </conditionalFormatting>
  <conditionalFormatting sqref="Z149:Z150">
    <cfRule type="containsText" dxfId="1235" priority="757" operator="containsText" text="△">
      <formula>NOT(ISERROR(SEARCH("△",Z149)))</formula>
    </cfRule>
    <cfRule type="containsText" dxfId="1234" priority="758" operator="containsText" text="▽">
      <formula>NOT(ISERROR(SEARCH("▽",Z149)))</formula>
    </cfRule>
  </conditionalFormatting>
  <conditionalFormatting sqref="Z152">
    <cfRule type="cellIs" dxfId="1233" priority="749" operator="lessThan">
      <formula>0</formula>
    </cfRule>
    <cfRule type="cellIs" dxfId="1232" priority="750" operator="greaterThan">
      <formula>0</formula>
    </cfRule>
  </conditionalFormatting>
  <conditionalFormatting sqref="Z153">
    <cfRule type="containsText" dxfId="1231" priority="785" operator="containsText" text="△">
      <formula>NOT(ISERROR(SEARCH("△",Z153)))</formula>
    </cfRule>
    <cfRule type="containsText" dxfId="1230" priority="786" operator="containsText" text="▽">
      <formula>NOT(ISERROR(SEARCH("▽",Z153)))</formula>
    </cfRule>
  </conditionalFormatting>
  <conditionalFormatting sqref="Z153:Z161 Z163:Z172">
    <cfRule type="containsText" dxfId="1229" priority="775" operator="containsText" text="▲">
      <formula>NOT(ISERROR(SEARCH("▲",Z153)))</formula>
    </cfRule>
    <cfRule type="containsText" dxfId="1228" priority="776" operator="containsText" text="▼">
      <formula>NOT(ISERROR(SEARCH("▼",Z153)))</formula>
    </cfRule>
  </conditionalFormatting>
  <conditionalFormatting sqref="Z155:Z161 Z163:Z172">
    <cfRule type="cellIs" dxfId="1227" priority="777" operator="lessThan">
      <formula>0</formula>
    </cfRule>
    <cfRule type="cellIs" dxfId="1226" priority="778" operator="greaterThan">
      <formula>0</formula>
    </cfRule>
    <cfRule type="containsText" dxfId="1225" priority="779" operator="containsText" text="▲">
      <formula>NOT(ISERROR(SEARCH("▲",Z155)))</formula>
    </cfRule>
    <cfRule type="containsText" dxfId="1224" priority="780" operator="containsText" text="▼">
      <formula>NOT(ISERROR(SEARCH("▼",Z155)))</formula>
    </cfRule>
  </conditionalFormatting>
  <conditionalFormatting sqref="Z156:Z161 Z163:Z172">
    <cfRule type="containsText" dxfId="1223" priority="763" operator="containsText" text="▲">
      <formula>NOT(ISERROR(SEARCH("▲",Z156)))</formula>
    </cfRule>
    <cfRule type="containsText" dxfId="1222" priority="764" operator="containsText" text="▼">
      <formula>NOT(ISERROR(SEARCH("▼",Z156)))</formula>
    </cfRule>
  </conditionalFormatting>
  <conditionalFormatting sqref="Z157:Z161 Z163:Z172">
    <cfRule type="containsText" dxfId="1221" priority="799" operator="containsText" text="▲">
      <formula>NOT(ISERROR(SEARCH("▲",Z157)))</formula>
    </cfRule>
    <cfRule type="containsText" dxfId="1220" priority="800" operator="containsText" text="▼">
      <formula>NOT(ISERROR(SEARCH("▼",Z157)))</formula>
    </cfRule>
  </conditionalFormatting>
  <conditionalFormatting sqref="Z158:Z161 Z163:Z172">
    <cfRule type="cellIs" dxfId="1219" priority="765" operator="lessThan">
      <formula>0</formula>
    </cfRule>
    <cfRule type="cellIs" dxfId="1218" priority="766" operator="greaterThan">
      <formula>0</formula>
    </cfRule>
    <cfRule type="containsText" dxfId="1217" priority="767" operator="containsText" text="▲">
      <formula>NOT(ISERROR(SEARCH("▲",Z158)))</formula>
    </cfRule>
    <cfRule type="containsText" dxfId="1216" priority="768" operator="containsText" text="▼">
      <formula>NOT(ISERROR(SEARCH("▼",Z158)))</formula>
    </cfRule>
  </conditionalFormatting>
  <conditionalFormatting sqref="Z159:Z161 Z163:Z172">
    <cfRule type="containsText" dxfId="1215" priority="728" operator="containsText" text="▼">
      <formula>NOT(ISERROR(SEARCH("▼",Z159)))</formula>
    </cfRule>
  </conditionalFormatting>
  <conditionalFormatting sqref="Z159:Z162">
    <cfRule type="cellIs" dxfId="1214" priority="713" operator="lessThan">
      <formula>0</formula>
    </cfRule>
    <cfRule type="cellIs" dxfId="1213" priority="714" operator="greaterThan">
      <formula>0</formula>
    </cfRule>
  </conditionalFormatting>
  <conditionalFormatting sqref="Z160:Z161 Z163:Z172">
    <cfRule type="cellIs" dxfId="1212" priority="801" operator="lessThan">
      <formula>0</formula>
    </cfRule>
    <cfRule type="cellIs" dxfId="1211" priority="802" operator="greaterThan">
      <formula>0</formula>
    </cfRule>
    <cfRule type="containsText" dxfId="1210" priority="803" operator="containsText" text="▲">
      <formula>NOT(ISERROR(SEARCH("▲",Z160)))</formula>
    </cfRule>
    <cfRule type="containsText" dxfId="1209" priority="804" operator="containsText" text="▼">
      <formula>NOT(ISERROR(SEARCH("▼",Z160)))</formula>
    </cfRule>
  </conditionalFormatting>
  <conditionalFormatting sqref="Z161 Z163:Z172">
    <cfRule type="containsText" dxfId="1208" priority="737" operator="containsText" text="▲">
      <formula>NOT(ISERROR(SEARCH("▲",Z161)))</formula>
    </cfRule>
    <cfRule type="containsText" dxfId="1207" priority="738" operator="containsText" text="▼">
      <formula>NOT(ISERROR(SEARCH("▼",Z161)))</formula>
    </cfRule>
  </conditionalFormatting>
  <conditionalFormatting sqref="Z162">
    <cfRule type="cellIs" dxfId="1206" priority="683" operator="lessThan">
      <formula>0</formula>
    </cfRule>
    <cfRule type="cellIs" dxfId="1205" priority="684" operator="greaterThan">
      <formula>0</formula>
    </cfRule>
    <cfRule type="containsText" dxfId="1204" priority="685" operator="containsText" text="▲">
      <formula>NOT(ISERROR(SEARCH("▲",Z162)))</formula>
    </cfRule>
    <cfRule type="containsText" dxfId="1203" priority="686" operator="containsText" text="▼">
      <formula>NOT(ISERROR(SEARCH("▼",Z162)))</formula>
    </cfRule>
    <cfRule type="containsText" dxfId="1202" priority="687" operator="containsText" text="▲">
      <formula>NOT(ISERROR(SEARCH("▲",Z162)))</formula>
    </cfRule>
    <cfRule type="containsText" dxfId="1201" priority="688" operator="containsText" text="▼">
      <formula>NOT(ISERROR(SEARCH("▼",Z162)))</formula>
    </cfRule>
    <cfRule type="cellIs" dxfId="1200" priority="689" operator="lessThan">
      <formula>0</formula>
    </cfRule>
    <cfRule type="cellIs" dxfId="1199" priority="690" operator="greaterThan">
      <formula>0</formula>
    </cfRule>
    <cfRule type="containsText" dxfId="1198" priority="691" operator="containsText" text="▲">
      <formula>NOT(ISERROR(SEARCH("▲",Z162)))</formula>
    </cfRule>
    <cfRule type="containsText" dxfId="1197" priority="692" operator="containsText" text="▼">
      <formula>NOT(ISERROR(SEARCH("▼",Z162)))</formula>
    </cfRule>
    <cfRule type="cellIs" dxfId="1196" priority="693" operator="lessThan">
      <formula>0</formula>
    </cfRule>
    <cfRule type="cellIs" dxfId="1195" priority="694" operator="greaterThan">
      <formula>0</formula>
    </cfRule>
    <cfRule type="containsText" dxfId="1194" priority="695" operator="containsText" text="▲">
      <formula>NOT(ISERROR(SEARCH("▲",Z162)))</formula>
    </cfRule>
    <cfRule type="containsText" dxfId="1193" priority="696" operator="containsText" text="▼">
      <formula>NOT(ISERROR(SEARCH("▼",Z162)))</formula>
    </cfRule>
    <cfRule type="cellIs" dxfId="1192" priority="697" operator="lessThan">
      <formula>0</formula>
    </cfRule>
    <cfRule type="cellIs" dxfId="1191" priority="698" operator="greaterThan">
      <formula>0</formula>
    </cfRule>
    <cfRule type="containsText" dxfId="1190" priority="699" operator="containsText" text="▲">
      <formula>NOT(ISERROR(SEARCH("▲",Z162)))</formula>
    </cfRule>
    <cfRule type="containsText" dxfId="1189" priority="700" operator="containsText" text="▼">
      <formula>NOT(ISERROR(SEARCH("▼",Z162)))</formula>
    </cfRule>
    <cfRule type="cellIs" dxfId="1188" priority="701" operator="lessThan">
      <formula>0</formula>
    </cfRule>
    <cfRule type="cellIs" dxfId="1187" priority="702" operator="greaterThan">
      <formula>0</formula>
    </cfRule>
    <cfRule type="containsText" dxfId="1186" priority="703" operator="containsText" text="▲">
      <formula>NOT(ISERROR(SEARCH("▲",Z162)))</formula>
    </cfRule>
    <cfRule type="containsText" dxfId="1185" priority="704" operator="containsText" text="▼">
      <formula>NOT(ISERROR(SEARCH("▼",Z162)))</formula>
    </cfRule>
    <cfRule type="cellIs" dxfId="1184" priority="705" operator="lessThan">
      <formula>0</formula>
    </cfRule>
    <cfRule type="cellIs" dxfId="1183" priority="706" operator="greaterThan">
      <formula>0</formula>
    </cfRule>
    <cfRule type="containsText" dxfId="1182" priority="707" operator="containsText" text="▲">
      <formula>NOT(ISERROR(SEARCH("▲",Z162)))</formula>
    </cfRule>
    <cfRule type="containsText" dxfId="1181" priority="708" operator="containsText" text="▼">
      <formula>NOT(ISERROR(SEARCH("▼",Z162)))</formula>
    </cfRule>
    <cfRule type="cellIs" dxfId="1180" priority="709" operator="lessThan">
      <formula>0</formula>
    </cfRule>
    <cfRule type="cellIs" dxfId="1179" priority="710" operator="greaterThan">
      <formula>0</formula>
    </cfRule>
    <cfRule type="containsText" dxfId="1178" priority="711" operator="containsText" text="▲">
      <formula>NOT(ISERROR(SEARCH("▲",Z162)))</formula>
    </cfRule>
    <cfRule type="containsText" dxfId="1177" priority="712" operator="containsText" text="▼">
      <formula>NOT(ISERROR(SEARCH("▼",Z162)))</formula>
    </cfRule>
  </conditionalFormatting>
  <conditionalFormatting sqref="Z163:Z172 Z153:Z161">
    <cfRule type="cellIs" dxfId="1176" priority="773" operator="lessThan">
      <formula>0</formula>
    </cfRule>
    <cfRule type="cellIs" dxfId="1175" priority="774" operator="greaterThan">
      <formula>0</formula>
    </cfRule>
  </conditionalFormatting>
  <conditionalFormatting sqref="Z163:Z172 Z156:Z161">
    <cfRule type="cellIs" dxfId="1174" priority="761" operator="lessThan">
      <formula>0</formula>
    </cfRule>
    <cfRule type="cellIs" dxfId="1173" priority="762" operator="greaterThan">
      <formula>0</formula>
    </cfRule>
  </conditionalFormatting>
  <conditionalFormatting sqref="Z163:Z172 Z157:Z161">
    <cfRule type="cellIs" dxfId="1172" priority="797" operator="lessThan">
      <formula>0</formula>
    </cfRule>
    <cfRule type="cellIs" dxfId="1171" priority="798" operator="greaterThan">
      <formula>0</formula>
    </cfRule>
  </conditionalFormatting>
  <conditionalFormatting sqref="Z163:Z172 Z159:Z161">
    <cfRule type="containsText" dxfId="1170" priority="727" operator="containsText" text="▲">
      <formula>NOT(ISERROR(SEARCH("▲",Z159)))</formula>
    </cfRule>
  </conditionalFormatting>
  <conditionalFormatting sqref="Z163:Z172 Z161">
    <cfRule type="cellIs" dxfId="1169" priority="735" operator="lessThan">
      <formula>0</formula>
    </cfRule>
    <cfRule type="cellIs" dxfId="1168" priority="736" operator="greaterThan">
      <formula>0</formula>
    </cfRule>
  </conditionalFormatting>
  <conditionalFormatting sqref="Z163:Z172">
    <cfRule type="cellIs" dxfId="1167" priority="725" operator="lessThan">
      <formula>0</formula>
    </cfRule>
    <cfRule type="cellIs" dxfId="1166" priority="726" operator="greaterThan">
      <formula>0</formula>
    </cfRule>
    <cfRule type="containsText" dxfId="1165" priority="729" operator="containsText" text="▲">
      <formula>NOT(ISERROR(SEARCH("▲",Z163)))</formula>
    </cfRule>
    <cfRule type="containsText" dxfId="1164" priority="730" operator="containsText" text="▼">
      <formula>NOT(ISERROR(SEARCH("▼",Z163)))</formula>
    </cfRule>
  </conditionalFormatting>
  <conditionalFormatting sqref="Z164:Z172">
    <cfRule type="containsText" dxfId="1163" priority="759" operator="containsText" text="▲">
      <formula>NOT(ISERROR(SEARCH("▲",Z164)))</formula>
    </cfRule>
    <cfRule type="containsText" dxfId="1162" priority="760" operator="containsText" text="▼">
      <formula>NOT(ISERROR(SEARCH("▼",Z164)))</formula>
    </cfRule>
  </conditionalFormatting>
  <conditionalFormatting sqref="Z166:Z172">
    <cfRule type="cellIs" dxfId="1161" priority="793" operator="lessThan">
      <formula>0</formula>
    </cfRule>
    <cfRule type="cellIs" dxfId="1160" priority="794" operator="greaterThan">
      <formula>0</formula>
    </cfRule>
    <cfRule type="containsText" dxfId="1159" priority="795" operator="containsText" text="▲">
      <formula>NOT(ISERROR(SEARCH("▲",Z166)))</formula>
    </cfRule>
    <cfRule type="containsText" dxfId="1158" priority="796" operator="containsText" text="▼">
      <formula>NOT(ISERROR(SEARCH("▼",Z166)))</formula>
    </cfRule>
  </conditionalFormatting>
  <conditionalFormatting sqref="Z167:Z172">
    <cfRule type="cellIs" dxfId="1157" priority="769" operator="lessThan">
      <formula>0</formula>
    </cfRule>
    <cfRule type="cellIs" dxfId="1156" priority="770" operator="greaterThan">
      <formula>0</formula>
    </cfRule>
    <cfRule type="containsText" dxfId="1155" priority="771" operator="containsText" text="▲">
      <formula>NOT(ISERROR(SEARCH("▲",Z167)))</formula>
    </cfRule>
    <cfRule type="containsText" dxfId="1154" priority="772" operator="containsText" text="▼">
      <formula>NOT(ISERROR(SEARCH("▼",Z167)))</formula>
    </cfRule>
  </conditionalFormatting>
  <conditionalFormatting sqref="Z168:Z172">
    <cfRule type="cellIs" dxfId="1153" priority="741" operator="lessThan">
      <formula>0</formula>
    </cfRule>
    <cfRule type="cellIs" dxfId="1152" priority="742" operator="greaterThan">
      <formula>0</formula>
    </cfRule>
    <cfRule type="containsText" dxfId="1151" priority="743" operator="containsText" text="▲">
      <formula>NOT(ISERROR(SEARCH("▲",Z168)))</formula>
    </cfRule>
    <cfRule type="containsText" dxfId="1150" priority="744" operator="containsText" text="▼">
      <formula>NOT(ISERROR(SEARCH("▼",Z168)))</formula>
    </cfRule>
  </conditionalFormatting>
  <conditionalFormatting sqref="Z169:Z172">
    <cfRule type="containsText" dxfId="1149" priority="739" operator="containsText" text="▲">
      <formula>NOT(ISERROR(SEARCH("▲",Z169)))</formula>
    </cfRule>
    <cfRule type="containsText" dxfId="1148" priority="740" operator="containsText" text="▼">
      <formula>NOT(ISERROR(SEARCH("▼",Z169)))</formula>
    </cfRule>
  </conditionalFormatting>
  <conditionalFormatting sqref="Z170:Z172">
    <cfRule type="cellIs" dxfId="1147" priority="731" operator="lessThan">
      <formula>0</formula>
    </cfRule>
    <cfRule type="cellIs" dxfId="1146" priority="732" operator="greaterThan">
      <formula>0</formula>
    </cfRule>
    <cfRule type="containsText" dxfId="1145" priority="733" operator="containsText" text="▲">
      <formula>NOT(ISERROR(SEARCH("▲",Z170)))</formula>
    </cfRule>
    <cfRule type="containsText" dxfId="1144" priority="734" operator="containsText" text="▼">
      <formula>NOT(ISERROR(SEARCH("▼",Z170)))</formula>
    </cfRule>
  </conditionalFormatting>
  <conditionalFormatting sqref="Z171:Z174">
    <cfRule type="cellIs" dxfId="1143" priority="311" operator="lessThan">
      <formula>0</formula>
    </cfRule>
    <cfRule type="cellIs" dxfId="1142" priority="312" operator="greaterThan">
      <formula>0</formula>
    </cfRule>
    <cfRule type="containsText" dxfId="1141" priority="315" operator="containsText" text="▲">
      <formula>NOT(ISERROR(SEARCH("▲",Z171)))</formula>
    </cfRule>
    <cfRule type="containsText" dxfId="1140" priority="316" operator="containsText" text="▼">
      <formula>NOT(ISERROR(SEARCH("▼",Z171)))</formula>
    </cfRule>
  </conditionalFormatting>
  <conditionalFormatting sqref="Z172">
    <cfRule type="cellIs" dxfId="1139" priority="721" operator="lessThan">
      <formula>0</formula>
    </cfRule>
    <cfRule type="cellIs" dxfId="1138" priority="722" operator="greaterThan">
      <formula>0</formula>
    </cfRule>
    <cfRule type="containsText" dxfId="1137" priority="723" operator="containsText" text="▲">
      <formula>NOT(ISERROR(SEARCH("▲",Z172)))</formula>
    </cfRule>
    <cfRule type="containsText" dxfId="1136" priority="724" operator="containsText" text="▼">
      <formula>NOT(ISERROR(SEARCH("▼",Z172)))</formula>
    </cfRule>
  </conditionalFormatting>
  <conditionalFormatting sqref="Z173">
    <cfRule type="containsText" dxfId="1135" priority="313" operator="containsText" text="▲">
      <formula>NOT(ISERROR(SEARCH("▲",Z173)))</formula>
    </cfRule>
    <cfRule type="containsText" dxfId="1134" priority="314" operator="containsText" text="▼">
      <formula>NOT(ISERROR(SEARCH("▼",Z173)))</formula>
    </cfRule>
  </conditionalFormatting>
  <conditionalFormatting sqref="Z174:Z189 Z289:Z295">
    <cfRule type="cellIs" dxfId="1133" priority="681" operator="lessThan">
      <formula>0</formula>
    </cfRule>
    <cfRule type="cellIs" dxfId="1132" priority="682" operator="greaterThan">
      <formula>0</formula>
    </cfRule>
  </conditionalFormatting>
  <conditionalFormatting sqref="Z174:Z189 Z292:Z295">
    <cfRule type="containsText" dxfId="1131" priority="675" operator="containsText" text="▲">
      <formula>NOT(ISERROR(SEARCH("▲",Z174)))</formula>
    </cfRule>
    <cfRule type="containsText" dxfId="1130" priority="676" operator="containsText" text="▼">
      <formula>NOT(ISERROR(SEARCH("▼",Z174)))</formula>
    </cfRule>
  </conditionalFormatting>
  <conditionalFormatting sqref="Z180:Z189">
    <cfRule type="containsText" dxfId="1129" priority="679" operator="containsText" text="▲">
      <formula>NOT(ISERROR(SEARCH("▲",Z180)))</formula>
    </cfRule>
    <cfRule type="containsText" dxfId="1128" priority="680" operator="containsText" text="▼">
      <formula>NOT(ISERROR(SEARCH("▼",Z180)))</formula>
    </cfRule>
  </conditionalFormatting>
  <conditionalFormatting sqref="Z185:Z189">
    <cfRule type="containsText" dxfId="1127" priority="677" operator="containsText" text="▲">
      <formula>NOT(ISERROR(SEARCH("▲",Z185)))</formula>
    </cfRule>
    <cfRule type="containsText" dxfId="1126" priority="678" operator="containsText" text="▼">
      <formula>NOT(ISERROR(SEARCH("▼",Z185)))</formula>
    </cfRule>
  </conditionalFormatting>
  <conditionalFormatting sqref="Z190">
    <cfRule type="containsText" dxfId="1125" priority="649" operator="containsText" text="▲">
      <formula>NOT(ISERROR(SEARCH("▲",Z190)))</formula>
    </cfRule>
    <cfRule type="containsText" dxfId="1124" priority="650" operator="containsText" text="▼">
      <formula>NOT(ISERROR(SEARCH("▼",Z190)))</formula>
    </cfRule>
    <cfRule type="containsText" dxfId="1123" priority="651" operator="containsText" text="▲">
      <formula>NOT(ISERROR(SEARCH("▲",Z190)))</formula>
    </cfRule>
    <cfRule type="containsText" dxfId="1122" priority="652" operator="containsText" text="▼">
      <formula>NOT(ISERROR(SEARCH("▼",Z190)))</formula>
    </cfRule>
    <cfRule type="containsText" dxfId="1121" priority="653" operator="containsText" text="▲">
      <formula>NOT(ISERROR(SEARCH("▲",Z190)))</formula>
    </cfRule>
    <cfRule type="containsText" dxfId="1120" priority="654" operator="containsText" text="▼">
      <formula>NOT(ISERROR(SEARCH("▼",Z190)))</formula>
    </cfRule>
    <cfRule type="containsText" dxfId="1119" priority="655" operator="containsText" text="▲">
      <formula>NOT(ISERROR(SEARCH("▲",Z190)))</formula>
    </cfRule>
    <cfRule type="containsText" dxfId="1118" priority="656" operator="containsText" text="▼">
      <formula>NOT(ISERROR(SEARCH("▼",Z190)))</formula>
    </cfRule>
    <cfRule type="cellIs" dxfId="1117" priority="657" operator="lessThan">
      <formula>0</formula>
    </cfRule>
    <cfRule type="cellIs" dxfId="1116" priority="658" operator="greaterThan">
      <formula>0</formula>
    </cfRule>
    <cfRule type="containsText" dxfId="1115" priority="659" operator="containsText" text="▲">
      <formula>NOT(ISERROR(SEARCH("▲",Z190)))</formula>
    </cfRule>
    <cfRule type="containsText" dxfId="1114" priority="660" operator="containsText" text="▼">
      <formula>NOT(ISERROR(SEARCH("▼",Z190)))</formula>
    </cfRule>
    <cfRule type="cellIs" dxfId="1113" priority="661" operator="lessThan">
      <formula>0</formula>
    </cfRule>
    <cfRule type="cellIs" dxfId="1112" priority="662" operator="greaterThan">
      <formula>0</formula>
    </cfRule>
    <cfRule type="containsText" dxfId="1111" priority="663" operator="containsText" text="△">
      <formula>NOT(ISERROR(SEARCH("△",Z190)))</formula>
    </cfRule>
    <cfRule type="containsText" dxfId="1110" priority="664" operator="containsText" text="▽">
      <formula>NOT(ISERROR(SEARCH("▽",Z190)))</formula>
    </cfRule>
  </conditionalFormatting>
  <conditionalFormatting sqref="Z190:Z216">
    <cfRule type="containsText" dxfId="1109" priority="601" operator="containsText" text="▲">
      <formula>NOT(ISERROR(SEARCH("▲",Z190)))</formula>
    </cfRule>
    <cfRule type="containsText" dxfId="1108" priority="602" operator="containsText" text="▼">
      <formula>NOT(ISERROR(SEARCH("▼",Z190)))</formula>
    </cfRule>
  </conditionalFormatting>
  <conditionalFormatting sqref="Z191">
    <cfRule type="cellIs" dxfId="1107" priority="559" operator="lessThan">
      <formula>0</formula>
    </cfRule>
    <cfRule type="cellIs" dxfId="1106" priority="560" operator="greaterThan">
      <formula>0</formula>
    </cfRule>
    <cfRule type="containsText" dxfId="1105" priority="561" operator="containsText" text="▲">
      <formula>NOT(ISERROR(SEARCH("▲",Z191)))</formula>
    </cfRule>
    <cfRule type="containsText" dxfId="1104" priority="562" operator="containsText" text="▼">
      <formula>NOT(ISERROR(SEARCH("▼",Z191)))</formula>
    </cfRule>
  </conditionalFormatting>
  <conditionalFormatting sqref="Z191:Z192">
    <cfRule type="containsText" dxfId="1103" priority="613" operator="containsText" text="△">
      <formula>NOT(ISERROR(SEARCH("△",Z191)))</formula>
    </cfRule>
    <cfRule type="containsText" dxfId="1102" priority="614" operator="containsText" text="▽">
      <formula>NOT(ISERROR(SEARCH("▽",Z191)))</formula>
    </cfRule>
  </conditionalFormatting>
  <conditionalFormatting sqref="Z191:Z216">
    <cfRule type="cellIs" dxfId="1101" priority="611" operator="lessThan">
      <formula>0</formula>
    </cfRule>
    <cfRule type="cellIs" dxfId="1100" priority="612" operator="greaterThan">
      <formula>0</formula>
    </cfRule>
  </conditionalFormatting>
  <conditionalFormatting sqref="Z194:Z216">
    <cfRule type="containsText" dxfId="1099" priority="603" operator="containsText" text="▲">
      <formula>NOT(ISERROR(SEARCH("▲",Z194)))</formula>
    </cfRule>
    <cfRule type="containsText" dxfId="1098" priority="604" operator="containsText" text="▼">
      <formula>NOT(ISERROR(SEARCH("▼",Z194)))</formula>
    </cfRule>
  </conditionalFormatting>
  <conditionalFormatting sqref="Z195:Z216">
    <cfRule type="containsText" dxfId="1097" priority="607" operator="containsText" text="▲">
      <formula>NOT(ISERROR(SEARCH("▲",Z195)))</formula>
    </cfRule>
    <cfRule type="containsText" dxfId="1096" priority="608" operator="containsText" text="▼">
      <formula>NOT(ISERROR(SEARCH("▼",Z195)))</formula>
    </cfRule>
  </conditionalFormatting>
  <conditionalFormatting sqref="Z196:Z216">
    <cfRule type="containsText" dxfId="1095" priority="597" operator="containsText" text="▲">
      <formula>NOT(ISERROR(SEARCH("▲",Z196)))</formula>
    </cfRule>
    <cfRule type="containsText" dxfId="1094" priority="598" operator="containsText" text="▼">
      <formula>NOT(ISERROR(SEARCH("▼",Z196)))</formula>
    </cfRule>
  </conditionalFormatting>
  <conditionalFormatting sqref="Z198:Z216">
    <cfRule type="containsText" dxfId="1093" priority="595" operator="containsText" text="▲">
      <formula>NOT(ISERROR(SEARCH("▲",Z198)))</formula>
    </cfRule>
    <cfRule type="containsText" dxfId="1092" priority="596" operator="containsText" text="▼">
      <formula>NOT(ISERROR(SEARCH("▼",Z198)))</formula>
    </cfRule>
  </conditionalFormatting>
  <conditionalFormatting sqref="Z199:Z216">
    <cfRule type="containsText" dxfId="1091" priority="609" operator="containsText" text="▲">
      <formula>NOT(ISERROR(SEARCH("▲",Z199)))</formula>
    </cfRule>
    <cfRule type="containsText" dxfId="1090" priority="610" operator="containsText" text="▼">
      <formula>NOT(ISERROR(SEARCH("▼",Z199)))</formula>
    </cfRule>
  </conditionalFormatting>
  <conditionalFormatting sqref="Z200:Z216">
    <cfRule type="containsText" dxfId="1089" priority="583" operator="containsText" text="▲">
      <formula>NOT(ISERROR(SEARCH("▲",Z200)))</formula>
    </cfRule>
    <cfRule type="containsText" dxfId="1088" priority="584" operator="containsText" text="▼">
      <formula>NOT(ISERROR(SEARCH("▼",Z200)))</formula>
    </cfRule>
  </conditionalFormatting>
  <conditionalFormatting sqref="Z201:Z216">
    <cfRule type="containsText" dxfId="1087" priority="585" operator="containsText" text="▲">
      <formula>NOT(ISERROR(SEARCH("▲",Z201)))</formula>
    </cfRule>
    <cfRule type="containsText" dxfId="1086" priority="586" operator="containsText" text="▼">
      <formula>NOT(ISERROR(SEARCH("▼",Z201)))</formula>
    </cfRule>
  </conditionalFormatting>
  <conditionalFormatting sqref="Z202:Z216">
    <cfRule type="containsText" dxfId="1085" priority="589" operator="containsText" text="▲">
      <formula>NOT(ISERROR(SEARCH("▲",Z202)))</formula>
    </cfRule>
    <cfRule type="containsText" dxfId="1084" priority="590" operator="containsText" text="▼">
      <formula>NOT(ISERROR(SEARCH("▼",Z202)))</formula>
    </cfRule>
  </conditionalFormatting>
  <conditionalFormatting sqref="Z204:Z216">
    <cfRule type="containsText" dxfId="1083" priority="587" operator="containsText" text="▲">
      <formula>NOT(ISERROR(SEARCH("▲",Z204)))</formula>
    </cfRule>
    <cfRule type="containsText" dxfId="1082" priority="588" operator="containsText" text="▼">
      <formula>NOT(ISERROR(SEARCH("▼",Z204)))</formula>
    </cfRule>
  </conditionalFormatting>
  <conditionalFormatting sqref="Z205:Z216">
    <cfRule type="containsText" dxfId="1081" priority="573" operator="containsText" text="▲">
      <formula>NOT(ISERROR(SEARCH("▲",Z205)))</formula>
    </cfRule>
    <cfRule type="containsText" dxfId="1080" priority="574" operator="containsText" text="▼">
      <formula>NOT(ISERROR(SEARCH("▼",Z205)))</formula>
    </cfRule>
  </conditionalFormatting>
  <conditionalFormatting sqref="Z206:Z216">
    <cfRule type="containsText" dxfId="1079" priority="567" operator="containsText" text="▲">
      <formula>NOT(ISERROR(SEARCH("▲",Z206)))</formula>
    </cfRule>
    <cfRule type="containsText" dxfId="1078" priority="568" operator="containsText" text="▼">
      <formula>NOT(ISERROR(SEARCH("▼",Z206)))</formula>
    </cfRule>
  </conditionalFormatting>
  <conditionalFormatting sqref="Z207:Z216">
    <cfRule type="containsText" dxfId="1077" priority="565" operator="containsText" text="▲">
      <formula>NOT(ISERROR(SEARCH("▲",Z207)))</formula>
    </cfRule>
    <cfRule type="containsText" dxfId="1076" priority="566" operator="containsText" text="▼">
      <formula>NOT(ISERROR(SEARCH("▼",Z207)))</formula>
    </cfRule>
  </conditionalFormatting>
  <conditionalFormatting sqref="Z208:Z216">
    <cfRule type="containsText" dxfId="1075" priority="571" operator="containsText" text="▲">
      <formula>NOT(ISERROR(SEARCH("▲",Z208)))</formula>
    </cfRule>
    <cfRule type="containsText" dxfId="1074" priority="572" operator="containsText" text="▼">
      <formula>NOT(ISERROR(SEARCH("▼",Z208)))</formula>
    </cfRule>
  </conditionalFormatting>
  <conditionalFormatting sqref="Z209">
    <cfRule type="containsText" dxfId="1073" priority="575" operator="containsText" text="▲">
      <formula>NOT(ISERROR(SEARCH("▲",Z209)))</formula>
    </cfRule>
    <cfRule type="containsText" dxfId="1072" priority="576" operator="containsText" text="▼">
      <formula>NOT(ISERROR(SEARCH("▼",Z209)))</formula>
    </cfRule>
  </conditionalFormatting>
  <conditionalFormatting sqref="Z210:Z216">
    <cfRule type="containsText" dxfId="1071" priority="579" operator="containsText" text="▲">
      <formula>NOT(ISERROR(SEARCH("▲",Z210)))</formula>
    </cfRule>
    <cfRule type="containsText" dxfId="1070" priority="580" operator="containsText" text="▼">
      <formula>NOT(ISERROR(SEARCH("▼",Z210)))</formula>
    </cfRule>
  </conditionalFormatting>
  <conditionalFormatting sqref="Z211:Z216">
    <cfRule type="containsText" dxfId="1069" priority="593" operator="containsText" text="▲">
      <formula>NOT(ISERROR(SEARCH("▲",Z211)))</formula>
    </cfRule>
    <cfRule type="containsText" dxfId="1068" priority="594" operator="containsText" text="▼">
      <formula>NOT(ISERROR(SEARCH("▼",Z211)))</formula>
    </cfRule>
  </conditionalFormatting>
  <conditionalFormatting sqref="Z212:Z216">
    <cfRule type="containsText" dxfId="1067" priority="569" operator="containsText" text="▲">
      <formula>NOT(ISERROR(SEARCH("▲",Z212)))</formula>
    </cfRule>
    <cfRule type="containsText" dxfId="1066" priority="570" operator="containsText" text="▼">
      <formula>NOT(ISERROR(SEARCH("▼",Z212)))</formula>
    </cfRule>
  </conditionalFormatting>
  <conditionalFormatting sqref="Z213:Z216">
    <cfRule type="containsText" dxfId="1065" priority="577" operator="containsText" text="▲">
      <formula>NOT(ISERROR(SEARCH("▲",Z213)))</formula>
    </cfRule>
    <cfRule type="containsText" dxfId="1064" priority="578" operator="containsText" text="▼">
      <formula>NOT(ISERROR(SEARCH("▼",Z213)))</formula>
    </cfRule>
  </conditionalFormatting>
  <conditionalFormatting sqref="Z214">
    <cfRule type="containsText" dxfId="1063" priority="581" operator="containsText" text="▲">
      <formula>NOT(ISERROR(SEARCH("▲",Z214)))</formula>
    </cfRule>
    <cfRule type="containsText" dxfId="1062" priority="582" operator="containsText" text="▼">
      <formula>NOT(ISERROR(SEARCH("▼",Z214)))</formula>
    </cfRule>
  </conditionalFormatting>
  <conditionalFormatting sqref="Z216">
    <cfRule type="containsText" dxfId="1061" priority="555" operator="containsText" text="▲">
      <formula>NOT(ISERROR(SEARCH("▲",Z216)))</formula>
    </cfRule>
    <cfRule type="containsText" dxfId="1060" priority="556" operator="containsText" text="▼">
      <formula>NOT(ISERROR(SEARCH("▼",Z216)))</formula>
    </cfRule>
    <cfRule type="cellIs" dxfId="1059" priority="557" operator="lessThan">
      <formula>0</formula>
    </cfRule>
    <cfRule type="cellIs" dxfId="1058" priority="558" operator="greaterThan">
      <formula>0</formula>
    </cfRule>
  </conditionalFormatting>
  <conditionalFormatting sqref="Z216:Z222">
    <cfRule type="containsText" dxfId="1057" priority="535" operator="containsText" text="▲">
      <formula>NOT(ISERROR(SEARCH("▲",Z216)))</formula>
    </cfRule>
    <cfRule type="containsText" dxfId="1056" priority="536" operator="containsText" text="▼">
      <formula>NOT(ISERROR(SEARCH("▼",Z216)))</formula>
    </cfRule>
  </conditionalFormatting>
  <conditionalFormatting sqref="Z217:Z222">
    <cfRule type="cellIs" dxfId="1055" priority="537" operator="lessThan">
      <formula>0</formula>
    </cfRule>
    <cfRule type="cellIs" dxfId="1054" priority="538" operator="greaterThan">
      <formula>0</formula>
    </cfRule>
    <cfRule type="containsText" dxfId="1053" priority="539" operator="containsText" text="△">
      <formula>NOT(ISERROR(SEARCH("△",Z217)))</formula>
    </cfRule>
    <cfRule type="containsText" dxfId="1052" priority="540" operator="containsText" text="▽">
      <formula>NOT(ISERROR(SEARCH("▽",Z217)))</formula>
    </cfRule>
  </conditionalFormatting>
  <conditionalFormatting sqref="Z222">
    <cfRule type="containsText" dxfId="1051" priority="531" operator="containsText" text="▲">
      <formula>NOT(ISERROR(SEARCH("▲",Z222)))</formula>
    </cfRule>
    <cfRule type="containsText" dxfId="1050" priority="532" operator="containsText" text="▼">
      <formula>NOT(ISERROR(SEARCH("▼",Z222)))</formula>
    </cfRule>
  </conditionalFormatting>
  <conditionalFormatting sqref="Z222:Z223">
    <cfRule type="containsText" dxfId="1049" priority="525" operator="containsText" text="▲">
      <formula>NOT(ISERROR(SEARCH("▲",Z222)))</formula>
    </cfRule>
    <cfRule type="containsText" dxfId="1048" priority="526" operator="containsText" text="▼">
      <formula>NOT(ISERROR(SEARCH("▼",Z222)))</formula>
    </cfRule>
  </conditionalFormatting>
  <conditionalFormatting sqref="Z223">
    <cfRule type="cellIs" dxfId="1047" priority="527" operator="lessThan">
      <formula>0</formula>
    </cfRule>
    <cfRule type="cellIs" dxfId="1046" priority="528" operator="greaterThan">
      <formula>0</formula>
    </cfRule>
  </conditionalFormatting>
  <conditionalFormatting sqref="Z223:Z224">
    <cfRule type="containsText" dxfId="1045" priority="519" operator="containsText" text="▲">
      <formula>NOT(ISERROR(SEARCH("▲",Z223)))</formula>
    </cfRule>
    <cfRule type="containsText" dxfId="1044" priority="520" operator="containsText" text="▼">
      <formula>NOT(ISERROR(SEARCH("▼",Z223)))</formula>
    </cfRule>
  </conditionalFormatting>
  <conditionalFormatting sqref="Z224">
    <cfRule type="cellIs" dxfId="1043" priority="521" operator="lessThan">
      <formula>0</formula>
    </cfRule>
    <cfRule type="cellIs" dxfId="1042" priority="522" operator="greaterThan">
      <formula>0</formula>
    </cfRule>
  </conditionalFormatting>
  <conditionalFormatting sqref="Z224:Z225">
    <cfRule type="containsText" dxfId="1041" priority="345" operator="containsText" text="▲">
      <formula>NOT(ISERROR(SEARCH("▲",Z224)))</formula>
    </cfRule>
    <cfRule type="containsText" dxfId="1040" priority="346" operator="containsText" text="▼">
      <formula>NOT(ISERROR(SEARCH("▼",Z224)))</formula>
    </cfRule>
  </conditionalFormatting>
  <conditionalFormatting sqref="Z225">
    <cfRule type="containsText" dxfId="1039" priority="343" operator="containsText" text="▲">
      <formula>NOT(ISERROR(SEARCH("▲",Z225)))</formula>
    </cfRule>
    <cfRule type="containsText" dxfId="1038" priority="344" operator="containsText" text="▼">
      <formula>NOT(ISERROR(SEARCH("▼",Z225)))</formula>
    </cfRule>
    <cfRule type="cellIs" dxfId="1037" priority="347" operator="lessThan">
      <formula>0</formula>
    </cfRule>
    <cfRule type="cellIs" dxfId="1036" priority="348" operator="greaterThan">
      <formula>0</formula>
    </cfRule>
  </conditionalFormatting>
  <conditionalFormatting sqref="Z226:Z249">
    <cfRule type="containsText" dxfId="1035" priority="515" operator="containsText" text="△">
      <formula>NOT(ISERROR(SEARCH("△",Z226)))</formula>
    </cfRule>
    <cfRule type="containsText" dxfId="1034" priority="516" operator="containsText" text="▽">
      <formula>NOT(ISERROR(SEARCH("▽",Z226)))</formula>
    </cfRule>
  </conditionalFormatting>
  <conditionalFormatting sqref="Z226:Z258">
    <cfRule type="containsText" dxfId="1033" priority="511" operator="containsText" text="▲">
      <formula>NOT(ISERROR(SEARCH("▲",Z226)))</formula>
    </cfRule>
    <cfRule type="containsText" dxfId="1032" priority="512" operator="containsText" text="▼">
      <formula>NOT(ISERROR(SEARCH("▼",Z226)))</formula>
    </cfRule>
    <cfRule type="cellIs" dxfId="1031" priority="513" operator="lessThan">
      <formula>0</formula>
    </cfRule>
    <cfRule type="cellIs" dxfId="1030" priority="514" operator="greaterThan">
      <formula>0</formula>
    </cfRule>
  </conditionalFormatting>
  <conditionalFormatting sqref="Z236">
    <cfRule type="containsText" dxfId="1029" priority="503" operator="containsText" text="▲">
      <formula>NOT(ISERROR(SEARCH("▲",Z236)))</formula>
    </cfRule>
    <cfRule type="containsText" dxfId="1028" priority="504" operator="containsText" text="▼">
      <formula>NOT(ISERROR(SEARCH("▼",Z236)))</formula>
    </cfRule>
  </conditionalFormatting>
  <conditionalFormatting sqref="Z259:Z270">
    <cfRule type="containsText" dxfId="1027" priority="491" operator="containsText" text="▲">
      <formula>NOT(ISERROR(SEARCH("▲",Z259)))</formula>
    </cfRule>
    <cfRule type="containsText" dxfId="1026" priority="492" operator="containsText" text="▼">
      <formula>NOT(ISERROR(SEARCH("▼",Z259)))</formula>
    </cfRule>
  </conditionalFormatting>
  <conditionalFormatting sqref="Z259:Z288">
    <cfRule type="cellIs" dxfId="1025" priority="493" operator="lessThan">
      <formula>0</formula>
    </cfRule>
    <cfRule type="cellIs" dxfId="1024" priority="494" operator="greaterThan">
      <formula>0</formula>
    </cfRule>
  </conditionalFormatting>
  <conditionalFormatting sqref="Z270">
    <cfRule type="cellIs" dxfId="1023" priority="257" operator="lessThan">
      <formula>0</formula>
    </cfRule>
    <cfRule type="cellIs" dxfId="1022" priority="258" operator="greaterThan">
      <formula>0</formula>
    </cfRule>
  </conditionalFormatting>
  <conditionalFormatting sqref="Z273">
    <cfRule type="containsText" dxfId="1021" priority="481" operator="containsText" text="▲">
      <formula>NOT(ISERROR(SEARCH("▲",Z273)))</formula>
    </cfRule>
    <cfRule type="containsText" dxfId="1020" priority="482" operator="containsText" text="▼">
      <formula>NOT(ISERROR(SEARCH("▼",Z273)))</formula>
    </cfRule>
    <cfRule type="cellIs" dxfId="1019" priority="483" operator="lessThan">
      <formula>0</formula>
    </cfRule>
    <cfRule type="cellIs" dxfId="1018" priority="484" operator="greaterThan">
      <formula>0</formula>
    </cfRule>
  </conditionalFormatting>
  <conditionalFormatting sqref="Z276:Z277">
    <cfRule type="containsText" dxfId="1017" priority="469" operator="containsText" text="▲">
      <formula>NOT(ISERROR(SEARCH("▲",Z276)))</formula>
    </cfRule>
    <cfRule type="containsText" dxfId="1016" priority="470" operator="containsText" text="▼">
      <formula>NOT(ISERROR(SEARCH("▼",Z276)))</formula>
    </cfRule>
  </conditionalFormatting>
  <conditionalFormatting sqref="Z281:Z283">
    <cfRule type="containsText" dxfId="1015" priority="461" operator="containsText" text="▲">
      <formula>NOT(ISERROR(SEARCH("▲",Z281)))</formula>
    </cfRule>
    <cfRule type="containsText" dxfId="1014" priority="462" operator="containsText" text="▼">
      <formula>NOT(ISERROR(SEARCH("▼",Z281)))</formula>
    </cfRule>
  </conditionalFormatting>
  <conditionalFormatting sqref="Z283">
    <cfRule type="cellIs" dxfId="1013" priority="453" operator="lessThan">
      <formula>0</formula>
    </cfRule>
    <cfRule type="cellIs" dxfId="1012" priority="454" operator="greaterThan">
      <formula>0</formula>
    </cfRule>
    <cfRule type="containsText" dxfId="1011" priority="459" operator="containsText" text="▲">
      <formula>NOT(ISERROR(SEARCH("▲",Z283)))</formula>
    </cfRule>
    <cfRule type="containsText" dxfId="1010" priority="460" operator="containsText" text="▼">
      <formula>NOT(ISERROR(SEARCH("▼",Z283)))</formula>
    </cfRule>
  </conditionalFormatting>
  <conditionalFormatting sqref="Z285:Z288">
    <cfRule type="containsText" dxfId="1009" priority="323" operator="containsText" text="▲">
      <formula>NOT(ISERROR(SEARCH("▲",Z285)))</formula>
    </cfRule>
    <cfRule type="containsText" dxfId="1008" priority="324" operator="containsText" text="▼">
      <formula>NOT(ISERROR(SEARCH("▼",Z285)))</formula>
    </cfRule>
    <cfRule type="containsText" dxfId="1007" priority="325" operator="containsText" text="▲">
      <formula>NOT(ISERROR(SEARCH("▲",Z285)))</formula>
    </cfRule>
    <cfRule type="containsText" dxfId="1006" priority="326" operator="containsText" text="▼">
      <formula>NOT(ISERROR(SEARCH("▼",Z285)))</formula>
    </cfRule>
    <cfRule type="containsText" dxfId="1005" priority="327" operator="containsText" text="▲">
      <formula>NOT(ISERROR(SEARCH("▲",Z285)))</formula>
    </cfRule>
    <cfRule type="containsText" dxfId="1004" priority="328" operator="containsText" text="▼">
      <formula>NOT(ISERROR(SEARCH("▼",Z285)))</formula>
    </cfRule>
    <cfRule type="containsText" dxfId="1003" priority="329" operator="containsText" text="▲">
      <formula>NOT(ISERROR(SEARCH("▲",Z285)))</formula>
    </cfRule>
    <cfRule type="containsText" dxfId="1002" priority="330" operator="containsText" text="▼">
      <formula>NOT(ISERROR(SEARCH("▼",Z285)))</formula>
    </cfRule>
    <cfRule type="cellIs" dxfId="1001" priority="331" operator="lessThan">
      <formula>0</formula>
    </cfRule>
    <cfRule type="cellIs" dxfId="1000" priority="332" operator="greaterThan">
      <formula>0</formula>
    </cfRule>
    <cfRule type="containsText" dxfId="999" priority="333" operator="containsText" text="▲">
      <formula>NOT(ISERROR(SEARCH("▲",Z285)))</formula>
    </cfRule>
    <cfRule type="containsText" dxfId="998" priority="334" operator="containsText" text="▼">
      <formula>NOT(ISERROR(SEARCH("▼",Z285)))</formula>
    </cfRule>
    <cfRule type="cellIs" dxfId="997" priority="335" operator="lessThan">
      <formula>0</formula>
    </cfRule>
    <cfRule type="cellIs" dxfId="996" priority="336" operator="greaterThan">
      <formula>0</formula>
    </cfRule>
    <cfRule type="containsText" dxfId="995" priority="337" operator="containsText" text="▲">
      <formula>NOT(ISERROR(SEARCH("▲",Z285)))</formula>
    </cfRule>
    <cfRule type="containsText" dxfId="994" priority="338" operator="containsText" text="▼">
      <formula>NOT(ISERROR(SEARCH("▼",Z285)))</formula>
    </cfRule>
    <cfRule type="cellIs" dxfId="993" priority="339" operator="lessThan">
      <formula>0</formula>
    </cfRule>
    <cfRule type="cellIs" dxfId="992" priority="340" operator="greaterThan">
      <formula>0</formula>
    </cfRule>
    <cfRule type="containsText" dxfId="991" priority="341" operator="containsText" text="△">
      <formula>NOT(ISERROR(SEARCH("△",Z285)))</formula>
    </cfRule>
    <cfRule type="containsText" dxfId="990" priority="342" operator="containsText" text="▽">
      <formula>NOT(ISERROR(SEARCH("▽",Z285)))</formula>
    </cfRule>
  </conditionalFormatting>
  <conditionalFormatting sqref="Z286:Z288">
    <cfRule type="containsText" dxfId="989" priority="289" operator="containsText" text="▲">
      <formula>NOT(ISERROR(SEARCH("▲",Z286)))</formula>
    </cfRule>
    <cfRule type="containsText" dxfId="988" priority="290" operator="containsText" text="▼">
      <formula>NOT(ISERROR(SEARCH("▼",Z286)))</formula>
    </cfRule>
    <cfRule type="containsText" dxfId="987" priority="291" operator="containsText" text="▲">
      <formula>NOT(ISERROR(SEARCH("▲",Z286)))</formula>
    </cfRule>
    <cfRule type="containsText" dxfId="986" priority="292" operator="containsText" text="▼">
      <formula>NOT(ISERROR(SEARCH("▼",Z286)))</formula>
    </cfRule>
    <cfRule type="containsText" dxfId="985" priority="293" operator="containsText" text="▲">
      <formula>NOT(ISERROR(SEARCH("▲",Z286)))</formula>
    </cfRule>
    <cfRule type="containsText" dxfId="984" priority="294" operator="containsText" text="▼">
      <formula>NOT(ISERROR(SEARCH("▼",Z286)))</formula>
    </cfRule>
    <cfRule type="containsText" dxfId="983" priority="295" operator="containsText" text="▲">
      <formula>NOT(ISERROR(SEARCH("▲",Z286)))</formula>
    </cfRule>
    <cfRule type="containsText" dxfId="982" priority="296" operator="containsText" text="▼">
      <formula>NOT(ISERROR(SEARCH("▼",Z286)))</formula>
    </cfRule>
    <cfRule type="containsText" dxfId="981" priority="297" operator="containsText" text="▲">
      <formula>NOT(ISERROR(SEARCH("▲",Z286)))</formula>
    </cfRule>
    <cfRule type="containsText" dxfId="980" priority="298" operator="containsText" text="▼">
      <formula>NOT(ISERROR(SEARCH("▼",Z286)))</formula>
    </cfRule>
    <cfRule type="cellIs" dxfId="979" priority="299" operator="lessThan">
      <formula>0</formula>
    </cfRule>
    <cfRule type="cellIs" dxfId="978" priority="300" operator="greaterThan">
      <formula>0</formula>
    </cfRule>
    <cfRule type="containsText" dxfId="977" priority="301" operator="containsText" text="▲">
      <formula>NOT(ISERROR(SEARCH("▲",Z286)))</formula>
    </cfRule>
    <cfRule type="containsText" dxfId="976" priority="302" operator="containsText" text="▼">
      <formula>NOT(ISERROR(SEARCH("▼",Z286)))</formula>
    </cfRule>
    <cfRule type="cellIs" dxfId="975" priority="303" operator="lessThan">
      <formula>0</formula>
    </cfRule>
    <cfRule type="cellIs" dxfId="974" priority="304" operator="greaterThan">
      <formula>0</formula>
    </cfRule>
    <cfRule type="containsText" dxfId="973" priority="305" operator="containsText" text="▲">
      <formula>NOT(ISERROR(SEARCH("▲",Z286)))</formula>
    </cfRule>
    <cfRule type="containsText" dxfId="972" priority="306" operator="containsText" text="▼">
      <formula>NOT(ISERROR(SEARCH("▼",Z286)))</formula>
    </cfRule>
    <cfRule type="cellIs" dxfId="971" priority="307" operator="lessThan">
      <formula>0</formula>
    </cfRule>
    <cfRule type="cellIs" dxfId="970" priority="308" operator="greaterThan">
      <formula>0</formula>
    </cfRule>
    <cfRule type="containsText" dxfId="969" priority="309" operator="containsText" text="△">
      <formula>NOT(ISERROR(SEARCH("△",Z286)))</formula>
    </cfRule>
    <cfRule type="containsText" dxfId="968" priority="310" operator="containsText" text="▽">
      <formula>NOT(ISERROR(SEARCH("▽",Z286)))</formula>
    </cfRule>
  </conditionalFormatting>
  <conditionalFormatting sqref="Z287:Z288">
    <cfRule type="containsText" dxfId="967" priority="259" operator="containsText" text="▲">
      <formula>NOT(ISERROR(SEARCH("▲",Z287)))</formula>
    </cfRule>
    <cfRule type="containsText" dxfId="966" priority="260" operator="containsText" text="▼">
      <formula>NOT(ISERROR(SEARCH("▼",Z287)))</formula>
    </cfRule>
    <cfRule type="containsText" dxfId="965" priority="261" operator="containsText" text="▲">
      <formula>NOT(ISERROR(SEARCH("▲",Z287)))</formula>
    </cfRule>
    <cfRule type="containsText" dxfId="964" priority="262" operator="containsText" text="▼">
      <formula>NOT(ISERROR(SEARCH("▼",Z287)))</formula>
    </cfRule>
    <cfRule type="containsText" dxfId="963" priority="263" operator="containsText" text="▲">
      <formula>NOT(ISERROR(SEARCH("▲",Z287)))</formula>
    </cfRule>
    <cfRule type="containsText" dxfId="962" priority="264" operator="containsText" text="▼">
      <formula>NOT(ISERROR(SEARCH("▼",Z287)))</formula>
    </cfRule>
    <cfRule type="containsText" dxfId="961" priority="265" operator="containsText" text="▲">
      <formula>NOT(ISERROR(SEARCH("▲",Z287)))</formula>
    </cfRule>
    <cfRule type="containsText" dxfId="960" priority="266" operator="containsText" text="▼">
      <formula>NOT(ISERROR(SEARCH("▼",Z287)))</formula>
    </cfRule>
    <cfRule type="containsText" dxfId="959" priority="267" operator="containsText" text="▲">
      <formula>NOT(ISERROR(SEARCH("▲",Z287)))</formula>
    </cfRule>
    <cfRule type="containsText" dxfId="958" priority="268" operator="containsText" text="▼">
      <formula>NOT(ISERROR(SEARCH("▼",Z287)))</formula>
    </cfRule>
    <cfRule type="containsText" dxfId="957" priority="269" operator="containsText" text="▲">
      <formula>NOT(ISERROR(SEARCH("▲",Z287)))</formula>
    </cfRule>
    <cfRule type="containsText" dxfId="956" priority="270" operator="containsText" text="▼">
      <formula>NOT(ISERROR(SEARCH("▼",Z287)))</formula>
    </cfRule>
    <cfRule type="cellIs" dxfId="955" priority="271" operator="lessThan">
      <formula>0</formula>
    </cfRule>
    <cfRule type="cellIs" dxfId="954" priority="272" operator="greaterThan">
      <formula>0</formula>
    </cfRule>
    <cfRule type="containsText" dxfId="953" priority="273" operator="containsText" text="▲">
      <formula>NOT(ISERROR(SEARCH("▲",Z287)))</formula>
    </cfRule>
    <cfRule type="containsText" dxfId="952" priority="274" operator="containsText" text="▼">
      <formula>NOT(ISERROR(SEARCH("▼",Z287)))</formula>
    </cfRule>
    <cfRule type="cellIs" dxfId="951" priority="275" operator="lessThan">
      <formula>0</formula>
    </cfRule>
    <cfRule type="cellIs" dxfId="950" priority="276" operator="greaterThan">
      <formula>0</formula>
    </cfRule>
    <cfRule type="containsText" dxfId="949" priority="277" operator="containsText" text="▲">
      <formula>NOT(ISERROR(SEARCH("▲",Z287)))</formula>
    </cfRule>
    <cfRule type="containsText" dxfId="948" priority="278" operator="containsText" text="▼">
      <formula>NOT(ISERROR(SEARCH("▼",Z287)))</formula>
    </cfRule>
    <cfRule type="cellIs" dxfId="947" priority="279" operator="lessThan">
      <formula>0</formula>
    </cfRule>
    <cfRule type="cellIs" dxfId="946" priority="280" operator="greaterThan">
      <formula>0</formula>
    </cfRule>
    <cfRule type="containsText" dxfId="945" priority="281" operator="containsText" text="△">
      <formula>NOT(ISERROR(SEARCH("△",Z287)))</formula>
    </cfRule>
    <cfRule type="containsText" dxfId="944" priority="282" operator="containsText" text="▽">
      <formula>NOT(ISERROR(SEARCH("▽",Z287)))</formula>
    </cfRule>
  </conditionalFormatting>
  <conditionalFormatting sqref="Z288">
    <cfRule type="containsText" dxfId="943" priority="195" operator="containsText" text="▲">
      <formula>NOT(ISERROR(SEARCH("▲",Z288)))</formula>
    </cfRule>
    <cfRule type="containsText" dxfId="942" priority="196" operator="containsText" text="▼">
      <formula>NOT(ISERROR(SEARCH("▼",Z288)))</formula>
    </cfRule>
    <cfRule type="containsText" dxfId="941" priority="197" operator="containsText" text="▲">
      <formula>NOT(ISERROR(SEARCH("▲",Z288)))</formula>
    </cfRule>
    <cfRule type="containsText" dxfId="940" priority="198" operator="containsText" text="▼">
      <formula>NOT(ISERROR(SEARCH("▼",Z288)))</formula>
    </cfRule>
    <cfRule type="containsText" dxfId="939" priority="199" operator="containsText" text="▲">
      <formula>NOT(ISERROR(SEARCH("▲",Z288)))</formula>
    </cfRule>
    <cfRule type="containsText" dxfId="938" priority="200" operator="containsText" text="▼">
      <formula>NOT(ISERROR(SEARCH("▼",Z288)))</formula>
    </cfRule>
    <cfRule type="containsText" dxfId="937" priority="201" operator="containsText" text="▲">
      <formula>NOT(ISERROR(SEARCH("▲",Z288)))</formula>
    </cfRule>
    <cfRule type="containsText" dxfId="936" priority="202" operator="containsText" text="▼">
      <formula>NOT(ISERROR(SEARCH("▼",Z288)))</formula>
    </cfRule>
    <cfRule type="containsText" dxfId="935" priority="203" operator="containsText" text="▲">
      <formula>NOT(ISERROR(SEARCH("▲",Z288)))</formula>
    </cfRule>
    <cfRule type="containsText" dxfId="934" priority="204" operator="containsText" text="▼">
      <formula>NOT(ISERROR(SEARCH("▼",Z288)))</formula>
    </cfRule>
    <cfRule type="containsText" dxfId="933" priority="205" operator="containsText" text="▲">
      <formula>NOT(ISERROR(SEARCH("▲",Z288)))</formula>
    </cfRule>
    <cfRule type="containsText" dxfId="932" priority="206" operator="containsText" text="▼">
      <formula>NOT(ISERROR(SEARCH("▼",Z288)))</formula>
    </cfRule>
    <cfRule type="cellIs" dxfId="931" priority="207" operator="lessThan">
      <formula>0</formula>
    </cfRule>
    <cfRule type="cellIs" dxfId="930" priority="208" operator="greaterThan">
      <formula>0</formula>
    </cfRule>
    <cfRule type="containsText" dxfId="929" priority="209" operator="containsText" text="▲">
      <formula>NOT(ISERROR(SEARCH("▲",Z288)))</formula>
    </cfRule>
    <cfRule type="containsText" dxfId="928" priority="210" operator="containsText" text="▼">
      <formula>NOT(ISERROR(SEARCH("▼",Z288)))</formula>
    </cfRule>
    <cfRule type="cellIs" dxfId="927" priority="211" operator="lessThan">
      <formula>0</formula>
    </cfRule>
    <cfRule type="cellIs" dxfId="926" priority="212" operator="greaterThan">
      <formula>0</formula>
    </cfRule>
    <cfRule type="containsText" dxfId="925" priority="213" operator="containsText" text="▲">
      <formula>NOT(ISERROR(SEARCH("▲",Z288)))</formula>
    </cfRule>
    <cfRule type="containsText" dxfId="924" priority="214" operator="containsText" text="▼">
      <formula>NOT(ISERROR(SEARCH("▼",Z288)))</formula>
    </cfRule>
    <cfRule type="cellIs" dxfId="923" priority="215" operator="lessThan">
      <formula>0</formula>
    </cfRule>
    <cfRule type="cellIs" dxfId="922" priority="216" operator="greaterThan">
      <formula>0</formula>
    </cfRule>
    <cfRule type="containsText" dxfId="921" priority="217" operator="containsText" text="△">
      <formula>NOT(ISERROR(SEARCH("△",Z288)))</formula>
    </cfRule>
    <cfRule type="containsText" dxfId="920" priority="218" operator="containsText" text="▽">
      <formula>NOT(ISERROR(SEARCH("▽",Z288)))</formula>
    </cfRule>
  </conditionalFormatting>
  <conditionalFormatting sqref="Z288:Z289">
    <cfRule type="containsText" dxfId="919" priority="177" operator="containsText" text="▲">
      <formula>NOT(ISERROR(SEARCH("▲",Z288)))</formula>
    </cfRule>
    <cfRule type="containsText" dxfId="918" priority="178" operator="containsText" text="▼">
      <formula>NOT(ISERROR(SEARCH("▼",Z288)))</formula>
    </cfRule>
  </conditionalFormatting>
  <conditionalFormatting sqref="Z289:Z292">
    <cfRule type="containsText" dxfId="917" priority="155" operator="containsText" text="▲">
      <formula>NOT(ISERROR(SEARCH("▲",Z289)))</formula>
    </cfRule>
    <cfRule type="containsText" dxfId="916" priority="156" operator="containsText" text="▼">
      <formula>NOT(ISERROR(SEARCH("▼",Z289)))</formula>
    </cfRule>
    <cfRule type="containsText" dxfId="915" priority="157" operator="containsText" text="▲">
      <formula>NOT(ISERROR(SEARCH("▲",Z289)))</formula>
    </cfRule>
    <cfRule type="containsText" dxfId="914" priority="158" operator="containsText" text="▼">
      <formula>NOT(ISERROR(SEARCH("▼",Z289)))</formula>
    </cfRule>
    <cfRule type="containsText" dxfId="913" priority="159" operator="containsText" text="▲">
      <formula>NOT(ISERROR(SEARCH("▲",Z289)))</formula>
    </cfRule>
    <cfRule type="containsText" dxfId="912" priority="160" operator="containsText" text="▼">
      <formula>NOT(ISERROR(SEARCH("▼",Z289)))</formula>
    </cfRule>
    <cfRule type="containsText" dxfId="911" priority="161" operator="containsText" text="▲">
      <formula>NOT(ISERROR(SEARCH("▲",Z289)))</formula>
    </cfRule>
    <cfRule type="containsText" dxfId="910" priority="162" operator="containsText" text="▼">
      <formula>NOT(ISERROR(SEARCH("▼",Z289)))</formula>
    </cfRule>
    <cfRule type="containsText" dxfId="909" priority="163" operator="containsText" text="▲">
      <formula>NOT(ISERROR(SEARCH("▲",Z289)))</formula>
    </cfRule>
    <cfRule type="containsText" dxfId="908" priority="164" operator="containsText" text="▼">
      <formula>NOT(ISERROR(SEARCH("▼",Z289)))</formula>
    </cfRule>
    <cfRule type="containsText" dxfId="907" priority="165" operator="containsText" text="▲">
      <formula>NOT(ISERROR(SEARCH("▲",Z289)))</formula>
    </cfRule>
    <cfRule type="containsText" dxfId="906" priority="166" operator="containsText" text="▼">
      <formula>NOT(ISERROR(SEARCH("▼",Z289)))</formula>
    </cfRule>
    <cfRule type="containsText" dxfId="905" priority="167" operator="containsText" text="▲">
      <formula>NOT(ISERROR(SEARCH("▲",Z289)))</formula>
    </cfRule>
    <cfRule type="containsText" dxfId="904" priority="168" operator="containsText" text="▼">
      <formula>NOT(ISERROR(SEARCH("▼",Z289)))</formula>
    </cfRule>
    <cfRule type="containsText" dxfId="903" priority="169" operator="containsText" text="▲">
      <formula>NOT(ISERROR(SEARCH("▲",Z289)))</formula>
    </cfRule>
    <cfRule type="containsText" dxfId="902" priority="170" operator="containsText" text="▼">
      <formula>NOT(ISERROR(SEARCH("▼",Z289)))</formula>
    </cfRule>
    <cfRule type="cellIs" dxfId="901" priority="171" operator="lessThan">
      <formula>0</formula>
    </cfRule>
    <cfRule type="cellIs" dxfId="900" priority="172" operator="greaterThan">
      <formula>0</formula>
    </cfRule>
    <cfRule type="cellIs" dxfId="899" priority="175" operator="lessThan">
      <formula>0</formula>
    </cfRule>
    <cfRule type="cellIs" dxfId="898" priority="176" operator="greaterThan">
      <formula>0</formula>
    </cfRule>
    <cfRule type="containsText" dxfId="897" priority="181" operator="containsText" text="△">
      <formula>NOT(ISERROR(SEARCH("△",Z289)))</formula>
    </cfRule>
    <cfRule type="containsText" dxfId="896" priority="182" operator="containsText" text="▽">
      <formula>NOT(ISERROR(SEARCH("▽",Z289)))</formula>
    </cfRule>
  </conditionalFormatting>
  <conditionalFormatting sqref="Z289:Z295">
    <cfRule type="containsText" dxfId="895" priority="173" operator="containsText" text="▲">
      <formula>NOT(ISERROR(SEARCH("▲",Z289)))</formula>
    </cfRule>
    <cfRule type="containsText" dxfId="894" priority="174" operator="containsText" text="▼">
      <formula>NOT(ISERROR(SEARCH("▼",Z289)))</formula>
    </cfRule>
  </conditionalFormatting>
  <conditionalFormatting sqref="Z296">
    <cfRule type="cellIs" dxfId="893" priority="121" operator="lessThan">
      <formula>0</formula>
    </cfRule>
    <cfRule type="cellIs" dxfId="892" priority="122" operator="greaterThan">
      <formula>0</formula>
    </cfRule>
    <cfRule type="containsText" dxfId="891" priority="123" operator="containsText" text="▲">
      <formula>NOT(ISERROR(SEARCH("▲",Z296)))</formula>
    </cfRule>
    <cfRule type="containsText" dxfId="890" priority="124" operator="containsText" text="▼">
      <formula>NOT(ISERROR(SEARCH("▼",Z296)))</formula>
    </cfRule>
  </conditionalFormatting>
  <conditionalFormatting sqref="Z296:Z298">
    <cfRule type="containsText" dxfId="889" priority="125" operator="containsText" text="▲">
      <formula>NOT(ISERROR(SEARCH("▲",Z296)))</formula>
    </cfRule>
    <cfRule type="containsText" dxfId="888" priority="126" operator="containsText" text="▼">
      <formula>NOT(ISERROR(SEARCH("▼",Z296)))</formula>
    </cfRule>
  </conditionalFormatting>
  <conditionalFormatting sqref="Z297:Z333">
    <cfRule type="cellIs" dxfId="887" priority="153" operator="lessThan">
      <formula>0</formula>
    </cfRule>
    <cfRule type="cellIs" dxfId="886" priority="154" operator="greaterThan">
      <formula>0</formula>
    </cfRule>
  </conditionalFormatting>
  <conditionalFormatting sqref="Z320">
    <cfRule type="containsText" dxfId="885" priority="149" operator="containsText" text="▲">
      <formula>NOT(ISERROR(SEARCH("▲",Z320)))</formula>
    </cfRule>
    <cfRule type="containsText" dxfId="884" priority="150" operator="containsText" text="▼">
      <formula>NOT(ISERROR(SEARCH("▼",Z320)))</formula>
    </cfRule>
    <cfRule type="containsText" dxfId="883" priority="151" operator="containsText" text="▲">
      <formula>NOT(ISERROR(SEARCH("▲",Z320)))</formula>
    </cfRule>
    <cfRule type="containsText" dxfId="882" priority="152" operator="containsText" text="▼">
      <formula>NOT(ISERROR(SEARCH("▼",Z320)))</formula>
    </cfRule>
  </conditionalFormatting>
  <conditionalFormatting sqref="Z322">
    <cfRule type="containsText" dxfId="881" priority="137" operator="containsText" text="▲">
      <formula>NOT(ISERROR(SEARCH("▲",Z322)))</formula>
    </cfRule>
    <cfRule type="containsText" dxfId="880" priority="138" operator="containsText" text="▼">
      <formula>NOT(ISERROR(SEARCH("▼",Z322)))</formula>
    </cfRule>
  </conditionalFormatting>
  <conditionalFormatting sqref="Z324:Z326">
    <cfRule type="containsText" dxfId="879" priority="111" operator="containsText" text="▲">
      <formula>NOT(ISERROR(SEARCH("▲",Z324)))</formula>
    </cfRule>
    <cfRule type="containsText" dxfId="878" priority="112" operator="containsText" text="▼">
      <formula>NOT(ISERROR(SEARCH("▼",Z324)))</formula>
    </cfRule>
  </conditionalFormatting>
  <conditionalFormatting sqref="Z325">
    <cfRule type="containsText" dxfId="877" priority="109" operator="containsText" text="▲">
      <formula>NOT(ISERROR(SEARCH("▲",Z325)))</formula>
    </cfRule>
    <cfRule type="containsText" dxfId="876" priority="110" operator="containsText" text="▼">
      <formula>NOT(ISERROR(SEARCH("▼",Z325)))</formula>
    </cfRule>
  </conditionalFormatting>
  <conditionalFormatting sqref="Z325:Z326">
    <cfRule type="cellIs" dxfId="875" priority="115" operator="lessThan">
      <formula>0</formula>
    </cfRule>
    <cfRule type="cellIs" dxfId="874" priority="116" operator="greaterThan">
      <formula>0</formula>
    </cfRule>
  </conditionalFormatting>
  <conditionalFormatting sqref="Z334">
    <cfRule type="containsText" dxfId="873" priority="91" operator="containsText" text="▲">
      <formula>NOT(ISERROR(SEARCH("▲",Z334)))</formula>
    </cfRule>
    <cfRule type="containsText" dxfId="872" priority="92" operator="containsText" text="▼">
      <formula>NOT(ISERROR(SEARCH("▼",Z334)))</formula>
    </cfRule>
    <cfRule type="cellIs" dxfId="871" priority="93" operator="lessThan">
      <formula>0</formula>
    </cfRule>
    <cfRule type="cellIs" dxfId="870" priority="94" operator="greaterThan">
      <formula>0</formula>
    </cfRule>
    <cfRule type="containsText" dxfId="869" priority="95" operator="containsText" text="▲">
      <formula>NOT(ISERROR(SEARCH("▲",Z334)))</formula>
    </cfRule>
    <cfRule type="containsText" dxfId="868" priority="96" operator="containsText" text="▼">
      <formula>NOT(ISERROR(SEARCH("▼",Z334)))</formula>
    </cfRule>
  </conditionalFormatting>
  <conditionalFormatting sqref="Z334:Z335">
    <cfRule type="containsText" dxfId="867" priority="85" operator="containsText" text="▲">
      <formula>NOT(ISERROR(SEARCH("▲",Z334)))</formula>
    </cfRule>
    <cfRule type="containsText" dxfId="866" priority="86" operator="containsText" text="▼">
      <formula>NOT(ISERROR(SEARCH("▼",Z334)))</formula>
    </cfRule>
  </conditionalFormatting>
  <conditionalFormatting sqref="Z335">
    <cfRule type="containsText" dxfId="865" priority="83" operator="containsText" text="▲">
      <formula>NOT(ISERROR(SEARCH("▲",Z335)))</formula>
    </cfRule>
    <cfRule type="containsText" dxfId="864" priority="84" operator="containsText" text="▼">
      <formula>NOT(ISERROR(SEARCH("▼",Z335)))</formula>
    </cfRule>
    <cfRule type="cellIs" dxfId="863" priority="87" operator="lessThan">
      <formula>0</formula>
    </cfRule>
    <cfRule type="cellIs" dxfId="862" priority="88" operator="greaterThan">
      <formula>0</formula>
    </cfRule>
  </conditionalFormatting>
  <conditionalFormatting sqref="Z335:Z338">
    <cfRule type="containsText" dxfId="861" priority="71" operator="containsText" text="▲">
      <formula>NOT(ISERROR(SEARCH("▲",Z335)))</formula>
    </cfRule>
    <cfRule type="containsText" dxfId="860" priority="72" operator="containsText" text="▼">
      <formula>NOT(ISERROR(SEARCH("▼",Z335)))</formula>
    </cfRule>
  </conditionalFormatting>
  <conditionalFormatting sqref="Z336:Z338">
    <cfRule type="cellIs" dxfId="859" priority="69" operator="lessThan">
      <formula>0</formula>
    </cfRule>
    <cfRule type="cellIs" dxfId="858" priority="70" operator="greaterThan">
      <formula>0</formula>
    </cfRule>
  </conditionalFormatting>
  <conditionalFormatting sqref="Z338:Z342">
    <cfRule type="containsText" dxfId="857" priority="59" operator="containsText" text="▲">
      <formula>NOT(ISERROR(SEARCH("▲",Z338)))</formula>
    </cfRule>
    <cfRule type="containsText" dxfId="856" priority="60" operator="containsText" text="▼">
      <formula>NOT(ISERROR(SEARCH("▼",Z338)))</formula>
    </cfRule>
  </conditionalFormatting>
  <conditionalFormatting sqref="Z339:Z343">
    <cfRule type="cellIs" dxfId="855" priority="47" operator="lessThan">
      <formula>0</formula>
    </cfRule>
    <cfRule type="cellIs" dxfId="854" priority="48" operator="greaterThan">
      <formula>0</formula>
    </cfRule>
  </conditionalFormatting>
  <conditionalFormatting sqref="Z340:Z341">
    <cfRule type="containsText" dxfId="853" priority="55" operator="containsText" text="▲">
      <formula>NOT(ISERROR(SEARCH("▲",Z340)))</formula>
    </cfRule>
    <cfRule type="containsText" dxfId="852" priority="56" operator="containsText" text="▼">
      <formula>NOT(ISERROR(SEARCH("▼",Z340)))</formula>
    </cfRule>
  </conditionalFormatting>
  <conditionalFormatting sqref="Z343">
    <cfRule type="containsText" dxfId="851" priority="43" operator="containsText" text="▲">
      <formula>NOT(ISERROR(SEARCH("▲",Z343)))</formula>
    </cfRule>
    <cfRule type="containsText" dxfId="850" priority="44" operator="containsText" text="▼">
      <formula>NOT(ISERROR(SEARCH("▼",Z343)))</formula>
    </cfRule>
    <cfRule type="containsText" dxfId="849" priority="45" operator="containsText" text="▲">
      <formula>NOT(ISERROR(SEARCH("▲",Z343)))</formula>
    </cfRule>
    <cfRule type="containsText" dxfId="848" priority="46" operator="containsText" text="▼">
      <formula>NOT(ISERROR(SEARCH("▼",Z343)))</formula>
    </cfRule>
  </conditionalFormatting>
  <conditionalFormatting sqref="Z343:Z345">
    <cfRule type="containsText" dxfId="847" priority="35" operator="containsText" text="▲">
      <formula>NOT(ISERROR(SEARCH("▲",Z343)))</formula>
    </cfRule>
    <cfRule type="containsText" dxfId="846" priority="36" operator="containsText" text="▼">
      <formula>NOT(ISERROR(SEARCH("▼",Z343)))</formula>
    </cfRule>
  </conditionalFormatting>
  <conditionalFormatting sqref="Z344:Z347">
    <cfRule type="cellIs" dxfId="845" priority="33" operator="lessThan">
      <formula>0</formula>
    </cfRule>
    <cfRule type="cellIs" dxfId="844" priority="34" operator="greaterThan">
      <formula>0</formula>
    </cfRule>
  </conditionalFormatting>
  <conditionalFormatting sqref="Z345:Z347">
    <cfRule type="containsText" dxfId="843" priority="29" operator="containsText" text="▲">
      <formula>NOT(ISERROR(SEARCH("▲",Z345)))</formula>
    </cfRule>
    <cfRule type="containsText" dxfId="842" priority="30" operator="containsText" text="▼">
      <formula>NOT(ISERROR(SEARCH("▼",Z345)))</formula>
    </cfRule>
  </conditionalFormatting>
  <conditionalFormatting sqref="Z346:Z349">
    <cfRule type="containsText" dxfId="841" priority="17" operator="containsText" text="▲">
      <formula>NOT(ISERROR(SEARCH("▲",Z346)))</formula>
    </cfRule>
    <cfRule type="containsText" dxfId="840" priority="18" operator="containsText" text="▼">
      <formula>NOT(ISERROR(SEARCH("▼",Z346)))</formula>
    </cfRule>
  </conditionalFormatting>
  <conditionalFormatting sqref="Z348:Z350">
    <cfRule type="cellIs" dxfId="839" priority="13" operator="lessThan">
      <formula>0</formula>
    </cfRule>
    <cfRule type="cellIs" dxfId="838" priority="14" operator="greaterThan">
      <formula>0</formula>
    </cfRule>
  </conditionalFormatting>
  <conditionalFormatting sqref="Z350">
    <cfRule type="containsText" dxfId="837" priority="9" operator="containsText" text="▲">
      <formula>NOT(ISERROR(SEARCH("▲",Z350)))</formula>
    </cfRule>
    <cfRule type="containsText" dxfId="836" priority="10" operator="containsText" text="▼">
      <formula>NOT(ISERROR(SEARCH("▼",Z350)))</formula>
    </cfRule>
    <cfRule type="containsText" dxfId="835" priority="11" operator="containsText" text="▲">
      <formula>NOT(ISERROR(SEARCH("▲",Z350)))</formula>
    </cfRule>
    <cfRule type="containsText" dxfId="834" priority="12" operator="containsText" text="▼">
      <formula>NOT(ISERROR(SEARCH("▼",Z350)))</formula>
    </cfRule>
  </conditionalFormatting>
  <conditionalFormatting sqref="Z350:Z351">
    <cfRule type="containsText" dxfId="833" priority="5" operator="containsText" text="▲">
      <formula>NOT(ISERROR(SEARCH("▲",Z350)))</formula>
    </cfRule>
    <cfRule type="containsText" dxfId="832" priority="6" operator="containsText" text="▼">
      <formula>NOT(ISERROR(SEARCH("▼",Z350)))</formula>
    </cfRule>
  </conditionalFormatting>
  <conditionalFormatting sqref="Z351">
    <cfRule type="containsText" dxfId="831" priority="1" operator="containsText" text="▲">
      <formula>NOT(ISERROR(SEARCH("▲",Z351)))</formula>
    </cfRule>
    <cfRule type="containsText" dxfId="830" priority="2" operator="containsText" text="▼">
      <formula>NOT(ISERROR(SEARCH("▼",Z351)))</formula>
    </cfRule>
  </conditionalFormatting>
  <conditionalFormatting sqref="Z351:Z352">
    <cfRule type="cellIs" dxfId="829" priority="3" operator="lessThan">
      <formula>0</formula>
    </cfRule>
    <cfRule type="cellIs" dxfId="828" priority="4" operator="greaterThan">
      <formula>0</formula>
    </cfRule>
  </conditionalFormatting>
  <conditionalFormatting sqref="Z352:Z354">
    <cfRule type="containsText" dxfId="827" priority="351" operator="containsText" text="▲">
      <formula>NOT(ISERROR(SEARCH("▲",Z352)))</formula>
    </cfRule>
    <cfRule type="containsText" dxfId="826" priority="352" operator="containsText" text="▼">
      <formula>NOT(ISERROR(SEARCH("▼",Z352)))</formula>
    </cfRule>
  </conditionalFormatting>
  <conditionalFormatting sqref="Z353">
    <cfRule type="containsText" dxfId="825" priority="349" operator="containsText" text="△">
      <formula>NOT(ISERROR(SEARCH("△",Z353)))</formula>
    </cfRule>
    <cfRule type="containsText" dxfId="824" priority="350" operator="containsText" text="▽">
      <formula>NOT(ISERROR(SEARCH("▽",Z353)))</formula>
    </cfRule>
  </conditionalFormatting>
  <conditionalFormatting sqref="Z353:Z354">
    <cfRule type="cellIs" dxfId="823" priority="353" operator="lessThan">
      <formula>0</formula>
    </cfRule>
    <cfRule type="cellIs" dxfId="822" priority="354" operator="greaterThan">
      <formula>0</formula>
    </cfRule>
  </conditionalFormatting>
  <conditionalFormatting sqref="Z355">
    <cfRule type="containsText" dxfId="821" priority="1425" operator="containsText" text="△">
      <formula>NOT(ISERROR(SEARCH("△",Z355)))</formula>
    </cfRule>
    <cfRule type="containsText" dxfId="820" priority="1426" operator="containsText" text="▽">
      <formula>NOT(ISERROR(SEARCH("▽",Z355)))</formula>
    </cfRule>
    <cfRule type="cellIs" dxfId="819" priority="1427" operator="lessThan">
      <formula>0</formula>
    </cfRule>
    <cfRule type="cellIs" dxfId="818" priority="1428" operator="greaterThan">
      <formula>0</formula>
    </cfRule>
  </conditionalFormatting>
  <conditionalFormatting sqref="Z1:AA1 Z271:AA271 Z272:Z288 AA272:AA339 Z356:AB357 Z365:AB1048576">
    <cfRule type="containsText" dxfId="817" priority="2354" operator="containsText" text="▽">
      <formula>NOT(ISERROR(SEARCH("▽",Z1)))</formula>
    </cfRule>
  </conditionalFormatting>
  <conditionalFormatting sqref="Z148:AA148">
    <cfRule type="containsText" dxfId="816" priority="247" operator="containsText" text="▲">
      <formula>NOT(ISERROR(SEARCH("▲",Z148)))</formula>
    </cfRule>
    <cfRule type="containsText" dxfId="815" priority="248" operator="containsText" text="▼">
      <formula>NOT(ISERROR(SEARCH("▼",Z148)))</formula>
    </cfRule>
  </conditionalFormatting>
  <conditionalFormatting sqref="Z152:AA152">
    <cfRule type="containsText" dxfId="814" priority="751" operator="containsText" text="▲">
      <formula>NOT(ISERROR(SEARCH("▲",Z152)))</formula>
    </cfRule>
    <cfRule type="containsText" dxfId="813" priority="752" operator="containsText" text="▼">
      <formula>NOT(ISERROR(SEARCH("▼",Z152)))</formula>
    </cfRule>
  </conditionalFormatting>
  <conditionalFormatting sqref="Z162:AA162">
    <cfRule type="containsText" dxfId="812" priority="715" operator="containsText" text="▲">
      <formula>NOT(ISERROR(SEARCH("▲",Z162)))</formula>
    </cfRule>
    <cfRule type="containsText" dxfId="811" priority="716" operator="containsText" text="▼">
      <formula>NOT(ISERROR(SEARCH("▼",Z162)))</formula>
    </cfRule>
  </conditionalFormatting>
  <conditionalFormatting sqref="Z174:AA174">
    <cfRule type="containsText" dxfId="810" priority="669" operator="containsText" text="△">
      <formula>NOT(ISERROR(SEARCH("△",Z174)))</formula>
    </cfRule>
    <cfRule type="containsText" dxfId="809" priority="670" operator="containsText" text="▽">
      <formula>NOT(ISERROR(SEARCH("▽",Z174)))</formula>
    </cfRule>
  </conditionalFormatting>
  <conditionalFormatting sqref="Z186:AA187">
    <cfRule type="containsText" dxfId="808" priority="671" operator="containsText" text="▲">
      <formula>NOT(ISERROR(SEARCH("▲",Z186)))</formula>
    </cfRule>
    <cfRule type="containsText" dxfId="807" priority="672" operator="containsText" text="▼">
      <formula>NOT(ISERROR(SEARCH("▼",Z186)))</formula>
    </cfRule>
  </conditionalFormatting>
  <conditionalFormatting sqref="Z191:AA191">
    <cfRule type="containsText" dxfId="806" priority="563" operator="containsText" text="△">
      <formula>NOT(ISERROR(SEARCH("△",Z191)))</formula>
    </cfRule>
    <cfRule type="containsText" dxfId="805" priority="564" operator="containsText" text="▽">
      <formula>NOT(ISERROR(SEARCH("▽",Z191)))</formula>
    </cfRule>
  </conditionalFormatting>
  <conditionalFormatting sqref="Z222:AA222">
    <cfRule type="containsText" dxfId="804" priority="533" operator="containsText" text="▲">
      <formula>NOT(ISERROR(SEARCH("▲",Z222)))</formula>
    </cfRule>
    <cfRule type="containsText" dxfId="803" priority="534" operator="containsText" text="▼">
      <formula>NOT(ISERROR(SEARCH("▼",Z222)))</formula>
    </cfRule>
  </conditionalFormatting>
  <conditionalFormatting sqref="Z232:AA232">
    <cfRule type="containsText" dxfId="802" priority="501" operator="containsText" text="▲">
      <formula>NOT(ISERROR(SEARCH("▲",Z232)))</formula>
    </cfRule>
    <cfRule type="containsText" dxfId="801" priority="502" operator="containsText" text="▼">
      <formula>NOT(ISERROR(SEARCH("▼",Z232)))</formula>
    </cfRule>
  </conditionalFormatting>
  <conditionalFormatting sqref="Z236:AA236">
    <cfRule type="containsText" dxfId="800" priority="505" operator="containsText" text="▲">
      <formula>NOT(ISERROR(SEARCH("▲",Z236)))</formula>
    </cfRule>
    <cfRule type="containsText" dxfId="799" priority="506" operator="containsText" text="▼">
      <formula>NOT(ISERROR(SEARCH("▼",Z236)))</formula>
    </cfRule>
  </conditionalFormatting>
  <conditionalFormatting sqref="Z243:AA249">
    <cfRule type="containsText" dxfId="798" priority="497" operator="containsText" text="▲">
      <formula>NOT(ISERROR(SEARCH("▲",Z243)))</formula>
    </cfRule>
    <cfRule type="containsText" dxfId="797" priority="498" operator="containsText" text="▼">
      <formula>NOT(ISERROR(SEARCH("▼",Z243)))</formula>
    </cfRule>
  </conditionalFormatting>
  <conditionalFormatting sqref="Z244:AA249">
    <cfRule type="containsText" dxfId="796" priority="499" operator="containsText" text="▲">
      <formula>NOT(ISERROR(SEARCH("▲",Z244)))</formula>
    </cfRule>
    <cfRule type="containsText" dxfId="795" priority="500" operator="containsText" text="▼">
      <formula>NOT(ISERROR(SEARCH("▼",Z244)))</formula>
    </cfRule>
  </conditionalFormatting>
  <conditionalFormatting sqref="Z246:AA249">
    <cfRule type="containsText" dxfId="794" priority="509" operator="containsText" text="▲">
      <formula>NOT(ISERROR(SEARCH("▲",Z246)))</formula>
    </cfRule>
    <cfRule type="containsText" dxfId="793" priority="510" operator="containsText" text="▼">
      <formula>NOT(ISERROR(SEARCH("▼",Z246)))</formula>
    </cfRule>
  </conditionalFormatting>
  <conditionalFormatting sqref="Z247:AA249">
    <cfRule type="containsText" dxfId="792" priority="495" operator="containsText" text="▲">
      <formula>NOT(ISERROR(SEARCH("▲",Z247)))</formula>
    </cfRule>
    <cfRule type="containsText" dxfId="791" priority="496" operator="containsText" text="▼">
      <formula>NOT(ISERROR(SEARCH("▼",Z247)))</formula>
    </cfRule>
  </conditionalFormatting>
  <conditionalFormatting sqref="Z270:AA270">
    <cfRule type="containsText" dxfId="790" priority="255" operator="containsText" text="▲">
      <formula>NOT(ISERROR(SEARCH("▲",Z270)))</formula>
    </cfRule>
    <cfRule type="containsText" dxfId="789" priority="256" operator="containsText" text="▼">
      <formula>NOT(ISERROR(SEARCH("▼",Z270)))</formula>
    </cfRule>
  </conditionalFormatting>
  <conditionalFormatting sqref="Z271:AA271 Z272:Z288 AA272:AA339 Z1:AA1 Z356:AB357 Z365:AB1048576">
    <cfRule type="containsText" dxfId="788" priority="2353" operator="containsText" text="△">
      <formula>NOT(ISERROR(SEARCH("△",Z1)))</formula>
    </cfRule>
  </conditionalFormatting>
  <conditionalFormatting sqref="AA2:AA8">
    <cfRule type="containsText" dxfId="787" priority="2337" operator="containsText" text="△">
      <formula>NOT(ISERROR(SEARCH("△",AA2)))</formula>
    </cfRule>
    <cfRule type="containsText" dxfId="786" priority="2338" operator="containsText" text="▽">
      <formula>NOT(ISERROR(SEARCH("▽",AA2)))</formula>
    </cfRule>
  </conditionalFormatting>
  <conditionalFormatting sqref="AA3:AA4">
    <cfRule type="containsText" dxfId="785" priority="2347" operator="containsText" text="△">
      <formula>NOT(ISERROR(SEARCH("△",AA3)))</formula>
    </cfRule>
    <cfRule type="containsText" dxfId="784" priority="2348" operator="containsText" text="▽">
      <formula>NOT(ISERROR(SEARCH("▽",AA3)))</formula>
    </cfRule>
  </conditionalFormatting>
  <conditionalFormatting sqref="AA4">
    <cfRule type="containsText" dxfId="783" priority="2349" operator="containsText" text="△">
      <formula>NOT(ISERROR(SEARCH("△",AA4)))</formula>
    </cfRule>
    <cfRule type="containsText" dxfId="782" priority="2350" operator="containsText" text="▽">
      <formula>NOT(ISERROR(SEARCH("▽",AA4)))</formula>
    </cfRule>
  </conditionalFormatting>
  <conditionalFormatting sqref="AA6:AA21">
    <cfRule type="containsText" dxfId="781" priority="2333" operator="containsText" text="△">
      <formula>NOT(ISERROR(SEARCH("△",AA6)))</formula>
    </cfRule>
    <cfRule type="containsText" dxfId="780" priority="2334" operator="containsText" text="▽">
      <formula>NOT(ISERROR(SEARCH("▽",AA6)))</formula>
    </cfRule>
  </conditionalFormatting>
  <conditionalFormatting sqref="AA7:AA8">
    <cfRule type="containsText" dxfId="779" priority="2345" operator="containsText" text="△">
      <formula>NOT(ISERROR(SEARCH("△",AA7)))</formula>
    </cfRule>
    <cfRule type="containsText" dxfId="778" priority="2346" operator="containsText" text="▽">
      <formula>NOT(ISERROR(SEARCH("▽",AA7)))</formula>
    </cfRule>
  </conditionalFormatting>
  <conditionalFormatting sqref="AA8">
    <cfRule type="containsText" dxfId="777" priority="2341" operator="containsText" text="△">
      <formula>NOT(ISERROR(SEARCH("△",AA8)))</formula>
    </cfRule>
    <cfRule type="containsText" dxfId="776" priority="2342" operator="containsText" text="▽">
      <formula>NOT(ISERROR(SEARCH("▽",AA8)))</formula>
    </cfRule>
  </conditionalFormatting>
  <conditionalFormatting sqref="AA10">
    <cfRule type="containsText" dxfId="775" priority="2331" operator="containsText" text="△">
      <formula>NOT(ISERROR(SEARCH("△",AA10)))</formula>
    </cfRule>
    <cfRule type="containsText" dxfId="774" priority="2332" operator="containsText" text="▽">
      <formula>NOT(ISERROR(SEARCH("▽",AA10)))</formula>
    </cfRule>
  </conditionalFormatting>
  <conditionalFormatting sqref="AA11:AA21">
    <cfRule type="containsText" dxfId="773" priority="2339" operator="containsText" text="△">
      <formula>NOT(ISERROR(SEARCH("△",AA11)))</formula>
    </cfRule>
    <cfRule type="containsText" dxfId="772" priority="2340" operator="containsText" text="▽">
      <formula>NOT(ISERROR(SEARCH("▽",AA11)))</formula>
    </cfRule>
  </conditionalFormatting>
  <conditionalFormatting sqref="AA12:AA21">
    <cfRule type="containsText" dxfId="771" priority="2329" operator="containsText" text="△">
      <formula>NOT(ISERROR(SEARCH("△",AA12)))</formula>
    </cfRule>
    <cfRule type="containsText" dxfId="770" priority="2330" operator="containsText" text="▽">
      <formula>NOT(ISERROR(SEARCH("▽",AA12)))</formula>
    </cfRule>
  </conditionalFormatting>
  <conditionalFormatting sqref="AA13:AA21">
    <cfRule type="containsText" dxfId="769" priority="2325" operator="containsText" text="△">
      <formula>NOT(ISERROR(SEARCH("△",AA13)))</formula>
    </cfRule>
    <cfRule type="containsText" dxfId="768" priority="2326" operator="containsText" text="▽">
      <formula>NOT(ISERROR(SEARCH("▽",AA13)))</formula>
    </cfRule>
  </conditionalFormatting>
  <conditionalFormatting sqref="AA15:AA21">
    <cfRule type="containsText" dxfId="767" priority="2317" operator="containsText" text="△">
      <formula>NOT(ISERROR(SEARCH("△",AA15)))</formula>
    </cfRule>
    <cfRule type="containsText" dxfId="766" priority="2318" operator="containsText" text="▽">
      <formula>NOT(ISERROR(SEARCH("▽",AA15)))</formula>
    </cfRule>
  </conditionalFormatting>
  <conditionalFormatting sqref="AA16:AA21">
    <cfRule type="containsText" dxfId="765" priority="2323" operator="containsText" text="△">
      <formula>NOT(ISERROR(SEARCH("△",AA16)))</formula>
    </cfRule>
    <cfRule type="containsText" dxfId="764" priority="2324" operator="containsText" text="▽">
      <formula>NOT(ISERROR(SEARCH("▽",AA16)))</formula>
    </cfRule>
  </conditionalFormatting>
  <conditionalFormatting sqref="AA17:AA21">
    <cfRule type="containsText" dxfId="763" priority="2315" operator="containsText" text="△">
      <formula>NOT(ISERROR(SEARCH("△",AA17)))</formula>
    </cfRule>
    <cfRule type="containsText" dxfId="762" priority="2316" operator="containsText" text="▽">
      <formula>NOT(ISERROR(SEARCH("▽",AA17)))</formula>
    </cfRule>
  </conditionalFormatting>
  <conditionalFormatting sqref="AA18:AA21">
    <cfRule type="containsText" dxfId="761" priority="2321" operator="containsText" text="△">
      <formula>NOT(ISERROR(SEARCH("△",AA18)))</formula>
    </cfRule>
    <cfRule type="containsText" dxfId="760" priority="2322" operator="containsText" text="▽">
      <formula>NOT(ISERROR(SEARCH("▽",AA18)))</formula>
    </cfRule>
  </conditionalFormatting>
  <conditionalFormatting sqref="AA19:AA21">
    <cfRule type="containsText" dxfId="759" priority="2319" operator="containsText" text="△">
      <formula>NOT(ISERROR(SEARCH("△",AA19)))</formula>
    </cfRule>
    <cfRule type="containsText" dxfId="758" priority="2320" operator="containsText" text="▽">
      <formula>NOT(ISERROR(SEARCH("▽",AA19)))</formula>
    </cfRule>
  </conditionalFormatting>
  <conditionalFormatting sqref="AA20:AA23 AA31:AA40">
    <cfRule type="containsText" dxfId="757" priority="2305" operator="containsText" text="△">
      <formula>NOT(ISERROR(SEARCH("△",AA20)))</formula>
    </cfRule>
    <cfRule type="containsText" dxfId="756" priority="2306" operator="containsText" text="▽">
      <formula>NOT(ISERROR(SEARCH("▽",AA20)))</formula>
    </cfRule>
  </conditionalFormatting>
  <conditionalFormatting sqref="AA21">
    <cfRule type="containsText" dxfId="755" priority="2313" operator="containsText" text="△">
      <formula>NOT(ISERROR(SEARCH("△",AA21)))</formula>
    </cfRule>
    <cfRule type="containsText" dxfId="754" priority="2314" operator="containsText" text="▽">
      <formula>NOT(ISERROR(SEARCH("▽",AA21)))</formula>
    </cfRule>
  </conditionalFormatting>
  <conditionalFormatting sqref="AA22:AA23">
    <cfRule type="containsText" dxfId="753" priority="2303" operator="containsText" text="△">
      <formula>NOT(ISERROR(SEARCH("△",AA22)))</formula>
    </cfRule>
    <cfRule type="containsText" dxfId="752" priority="2304" operator="containsText" text="▽">
      <formula>NOT(ISERROR(SEARCH("▽",AA22)))</formula>
    </cfRule>
  </conditionalFormatting>
  <conditionalFormatting sqref="AA22:AA40">
    <cfRule type="containsText" dxfId="751" priority="2291" operator="containsText" text="△">
      <formula>NOT(ISERROR(SEARCH("△",AA22)))</formula>
    </cfRule>
    <cfRule type="containsText" dxfId="750" priority="2292" operator="containsText" text="▽">
      <formula>NOT(ISERROR(SEARCH("▽",AA22)))</formula>
    </cfRule>
    <cfRule type="containsText" dxfId="749" priority="2295" operator="containsText" text="△">
      <formula>NOT(ISERROR(SEARCH("△",AA22)))</formula>
    </cfRule>
    <cfRule type="containsText" dxfId="748" priority="2296" operator="containsText" text="▽">
      <formula>NOT(ISERROR(SEARCH("▽",AA22)))</formula>
    </cfRule>
    <cfRule type="containsText" dxfId="747" priority="2297" operator="containsText" text="△">
      <formula>NOT(ISERROR(SEARCH("△",AA22)))</formula>
    </cfRule>
    <cfRule type="containsText" dxfId="746" priority="2298" operator="containsText" text="▽">
      <formula>NOT(ISERROR(SEARCH("▽",AA22)))</formula>
    </cfRule>
  </conditionalFormatting>
  <conditionalFormatting sqref="AA23">
    <cfRule type="containsText" dxfId="745" priority="2301" operator="containsText" text="△">
      <formula>NOT(ISERROR(SEARCH("△",AA23)))</formula>
    </cfRule>
    <cfRule type="containsText" dxfId="744" priority="2302" operator="containsText" text="▽">
      <formula>NOT(ISERROR(SEARCH("▽",AA23)))</formula>
    </cfRule>
  </conditionalFormatting>
  <conditionalFormatting sqref="AA27:AA40">
    <cfRule type="containsText" dxfId="743" priority="2289" operator="containsText" text="△">
      <formula>NOT(ISERROR(SEARCH("△",AA27)))</formula>
    </cfRule>
    <cfRule type="containsText" dxfId="742" priority="2290" operator="containsText" text="▽">
      <formula>NOT(ISERROR(SEARCH("▽",AA27)))</formula>
    </cfRule>
  </conditionalFormatting>
  <conditionalFormatting sqref="AA28:AA40">
    <cfRule type="containsText" dxfId="741" priority="2293" operator="containsText" text="△">
      <formula>NOT(ISERROR(SEARCH("△",AA28)))</formula>
    </cfRule>
    <cfRule type="containsText" dxfId="740" priority="2294" operator="containsText" text="▽">
      <formula>NOT(ISERROR(SEARCH("▽",AA28)))</formula>
    </cfRule>
  </conditionalFormatting>
  <conditionalFormatting sqref="AA29:AA40">
    <cfRule type="containsText" dxfId="739" priority="2299" operator="containsText" text="△">
      <formula>NOT(ISERROR(SEARCH("△",AA29)))</formula>
    </cfRule>
    <cfRule type="containsText" dxfId="738" priority="2300" operator="containsText" text="▽">
      <formula>NOT(ISERROR(SEARCH("▽",AA29)))</formula>
    </cfRule>
  </conditionalFormatting>
  <conditionalFormatting sqref="AA30:AA40">
    <cfRule type="containsText" dxfId="737" priority="2287" operator="containsText" text="△">
      <formula>NOT(ISERROR(SEARCH("△",AA30)))</formula>
    </cfRule>
    <cfRule type="containsText" dxfId="736" priority="2288" operator="containsText" text="▽">
      <formula>NOT(ISERROR(SEARCH("▽",AA30)))</formula>
    </cfRule>
  </conditionalFormatting>
  <conditionalFormatting sqref="AA31:AA40">
    <cfRule type="containsText" dxfId="735" priority="2281" operator="containsText" text="△">
      <formula>NOT(ISERROR(SEARCH("△",AA31)))</formula>
    </cfRule>
    <cfRule type="containsText" dxfId="734" priority="2282" operator="containsText" text="▽">
      <formula>NOT(ISERROR(SEARCH("▽",AA31)))</formula>
    </cfRule>
  </conditionalFormatting>
  <conditionalFormatting sqref="AA32:AA40">
    <cfRule type="containsText" dxfId="733" priority="2279" operator="containsText" text="△">
      <formula>NOT(ISERROR(SEARCH("△",AA32)))</formula>
    </cfRule>
    <cfRule type="containsText" dxfId="732" priority="2280" operator="containsText" text="▽">
      <formula>NOT(ISERROR(SEARCH("▽",AA32)))</formula>
    </cfRule>
  </conditionalFormatting>
  <conditionalFormatting sqref="AA34:AA40">
    <cfRule type="containsText" dxfId="731" priority="2285" operator="containsText" text="△">
      <formula>NOT(ISERROR(SEARCH("△",AA34)))</formula>
    </cfRule>
    <cfRule type="containsText" dxfId="730" priority="2286" operator="containsText" text="▽">
      <formula>NOT(ISERROR(SEARCH("▽",AA34)))</formula>
    </cfRule>
  </conditionalFormatting>
  <conditionalFormatting sqref="AA35:AA40">
    <cfRule type="containsText" dxfId="729" priority="2283" operator="containsText" text="△">
      <formula>NOT(ISERROR(SEARCH("△",AA35)))</formula>
    </cfRule>
    <cfRule type="containsText" dxfId="728" priority="2284" operator="containsText" text="▽">
      <formula>NOT(ISERROR(SEARCH("▽",AA35)))</formula>
    </cfRule>
  </conditionalFormatting>
  <conditionalFormatting sqref="AA36:AA40">
    <cfRule type="containsText" dxfId="727" priority="2277" operator="containsText" text="△">
      <formula>NOT(ISERROR(SEARCH("△",AA36)))</formula>
    </cfRule>
    <cfRule type="containsText" dxfId="726" priority="2278" operator="containsText" text="▽">
      <formula>NOT(ISERROR(SEARCH("▽",AA36)))</formula>
    </cfRule>
  </conditionalFormatting>
  <conditionalFormatting sqref="AA37:AA40">
    <cfRule type="containsText" dxfId="725" priority="2265" operator="containsText" text="△">
      <formula>NOT(ISERROR(SEARCH("△",AA37)))</formula>
    </cfRule>
    <cfRule type="containsText" dxfId="724" priority="2266" operator="containsText" text="▽">
      <formula>NOT(ISERROR(SEARCH("▽",AA37)))</formula>
    </cfRule>
    <cfRule type="containsText" dxfId="723" priority="2267" operator="containsText" text="△">
      <formula>NOT(ISERROR(SEARCH("△",AA37)))</formula>
    </cfRule>
    <cfRule type="containsText" dxfId="722" priority="2268" operator="containsText" text="▽">
      <formula>NOT(ISERROR(SEARCH("▽",AA37)))</formula>
    </cfRule>
  </conditionalFormatting>
  <conditionalFormatting sqref="AA38:AA40">
    <cfRule type="containsText" dxfId="721" priority="2273" operator="containsText" text="△">
      <formula>NOT(ISERROR(SEARCH("△",AA38)))</formula>
    </cfRule>
    <cfRule type="containsText" dxfId="720" priority="2274" operator="containsText" text="▽">
      <formula>NOT(ISERROR(SEARCH("▽",AA38)))</formula>
    </cfRule>
    <cfRule type="containsText" dxfId="719" priority="2275" operator="containsText" text="△">
      <formula>NOT(ISERROR(SEARCH("△",AA38)))</formula>
    </cfRule>
    <cfRule type="containsText" dxfId="718" priority="2276" operator="containsText" text="▽">
      <formula>NOT(ISERROR(SEARCH("▽",AA38)))</formula>
    </cfRule>
  </conditionalFormatting>
  <conditionalFormatting sqref="AA39:AA40">
    <cfRule type="containsText" dxfId="717" priority="2269" operator="containsText" text="△">
      <formula>NOT(ISERROR(SEARCH("△",AA39)))</formula>
    </cfRule>
    <cfRule type="containsText" dxfId="716" priority="2270" operator="containsText" text="▽">
      <formula>NOT(ISERROR(SEARCH("▽",AA39)))</formula>
    </cfRule>
    <cfRule type="containsText" dxfId="715" priority="2271" operator="containsText" text="△">
      <formula>NOT(ISERROR(SEARCH("△",AA39)))</formula>
    </cfRule>
    <cfRule type="containsText" dxfId="714" priority="2272" operator="containsText" text="▽">
      <formula>NOT(ISERROR(SEARCH("▽",AA39)))</formula>
    </cfRule>
  </conditionalFormatting>
  <conditionalFormatting sqref="AA40">
    <cfRule type="containsText" dxfId="713" priority="2263" operator="containsText" text="△">
      <formula>NOT(ISERROR(SEARCH("△",AA40)))</formula>
    </cfRule>
    <cfRule type="containsText" dxfId="712" priority="2264" operator="containsText" text="▽">
      <formula>NOT(ISERROR(SEARCH("▽",AA40)))</formula>
    </cfRule>
  </conditionalFormatting>
  <conditionalFormatting sqref="AA40:AA57">
    <cfRule type="containsText" dxfId="711" priority="2019" operator="containsText" text="△">
      <formula>NOT(ISERROR(SEARCH("△",AA40)))</formula>
    </cfRule>
    <cfRule type="containsText" dxfId="710" priority="2020" operator="containsText" text="▽">
      <formula>NOT(ISERROR(SEARCH("▽",AA40)))</formula>
    </cfRule>
  </conditionalFormatting>
  <conditionalFormatting sqref="AA41:AA57">
    <cfRule type="containsText" dxfId="709" priority="1933" operator="containsText" text="△">
      <formula>NOT(ISERROR(SEARCH("△",AA41)))</formula>
    </cfRule>
    <cfRule type="containsText" dxfId="708" priority="1934" operator="containsText" text="▽">
      <formula>NOT(ISERROR(SEARCH("▽",AA41)))</formula>
    </cfRule>
    <cfRule type="containsText" dxfId="707" priority="1935" operator="containsText" text="△">
      <formula>NOT(ISERROR(SEARCH("△",AA41)))</formula>
    </cfRule>
    <cfRule type="containsText" dxfId="706" priority="1936" operator="containsText" text="▽">
      <formula>NOT(ISERROR(SEARCH("▽",AA41)))</formula>
    </cfRule>
    <cfRule type="containsText" dxfId="705" priority="1957" operator="containsText" text="△">
      <formula>NOT(ISERROR(SEARCH("△",AA41)))</formula>
    </cfRule>
    <cfRule type="containsText" dxfId="704" priority="1958" operator="containsText" text="▽">
      <formula>NOT(ISERROR(SEARCH("▽",AA41)))</formula>
    </cfRule>
    <cfRule type="containsText" dxfId="703" priority="1959" operator="containsText" text="△">
      <formula>NOT(ISERROR(SEARCH("△",AA41)))</formula>
    </cfRule>
    <cfRule type="containsText" dxfId="702" priority="1960" operator="containsText" text="▽">
      <formula>NOT(ISERROR(SEARCH("▽",AA41)))</formula>
    </cfRule>
    <cfRule type="containsText" dxfId="701" priority="1961" operator="containsText" text="△">
      <formula>NOT(ISERROR(SEARCH("△",AA41)))</formula>
    </cfRule>
    <cfRule type="containsText" dxfId="700" priority="1962" operator="containsText" text="▽">
      <formula>NOT(ISERROR(SEARCH("▽",AA41)))</formula>
    </cfRule>
    <cfRule type="containsText" dxfId="699" priority="1963" operator="containsText" text="△">
      <formula>NOT(ISERROR(SEARCH("△",AA41)))</formula>
    </cfRule>
    <cfRule type="containsText" dxfId="698" priority="1964" operator="containsText" text="▽">
      <formula>NOT(ISERROR(SEARCH("▽",AA41)))</formula>
    </cfRule>
    <cfRule type="containsText" dxfId="697" priority="1965" operator="containsText" text="△">
      <formula>NOT(ISERROR(SEARCH("△",AA41)))</formula>
    </cfRule>
    <cfRule type="containsText" dxfId="696" priority="1966" operator="containsText" text="▽">
      <formula>NOT(ISERROR(SEARCH("▽",AA41)))</formula>
    </cfRule>
    <cfRule type="containsText" dxfId="695" priority="1967" operator="containsText" text="△">
      <formula>NOT(ISERROR(SEARCH("△",AA41)))</formula>
    </cfRule>
    <cfRule type="containsText" dxfId="694" priority="1968" operator="containsText" text="▽">
      <formula>NOT(ISERROR(SEARCH("▽",AA41)))</formula>
    </cfRule>
    <cfRule type="containsText" dxfId="693" priority="1981" operator="containsText" text="△">
      <formula>NOT(ISERROR(SEARCH("△",AA41)))</formula>
    </cfRule>
    <cfRule type="containsText" dxfId="692" priority="1982" operator="containsText" text="▽">
      <formula>NOT(ISERROR(SEARCH("▽",AA41)))</formula>
    </cfRule>
    <cfRule type="containsText" dxfId="691" priority="1985" operator="containsText" text="△">
      <formula>NOT(ISERROR(SEARCH("△",AA41)))</formula>
    </cfRule>
    <cfRule type="containsText" dxfId="690" priority="1986" operator="containsText" text="▽">
      <formula>NOT(ISERROR(SEARCH("▽",AA41)))</formula>
    </cfRule>
    <cfRule type="containsText" dxfId="689" priority="1987" operator="containsText" text="△">
      <formula>NOT(ISERROR(SEARCH("△",AA41)))</formula>
    </cfRule>
    <cfRule type="containsText" dxfId="688" priority="1988" operator="containsText" text="▽">
      <formula>NOT(ISERROR(SEARCH("▽",AA41)))</formula>
    </cfRule>
    <cfRule type="containsText" dxfId="687" priority="1993" operator="containsText" text="△">
      <formula>NOT(ISERROR(SEARCH("△",AA41)))</formula>
    </cfRule>
    <cfRule type="containsText" dxfId="686" priority="1994" operator="containsText" text="▽">
      <formula>NOT(ISERROR(SEARCH("▽",AA41)))</formula>
    </cfRule>
    <cfRule type="containsText" dxfId="685" priority="1995" operator="containsText" text="△">
      <formula>NOT(ISERROR(SEARCH("△",AA41)))</formula>
    </cfRule>
    <cfRule type="containsText" dxfId="684" priority="1996" operator="containsText" text="▽">
      <formula>NOT(ISERROR(SEARCH("▽",AA41)))</formula>
    </cfRule>
    <cfRule type="containsText" dxfId="683" priority="1999" operator="containsText" text="△">
      <formula>NOT(ISERROR(SEARCH("△",AA41)))</formula>
    </cfRule>
    <cfRule type="containsText" dxfId="682" priority="2000" operator="containsText" text="▽">
      <formula>NOT(ISERROR(SEARCH("▽",AA41)))</formula>
    </cfRule>
    <cfRule type="containsText" dxfId="681" priority="2003" operator="containsText" text="△">
      <formula>NOT(ISERROR(SEARCH("△",AA41)))</formula>
    </cfRule>
    <cfRule type="containsText" dxfId="680" priority="2004" operator="containsText" text="▽">
      <formula>NOT(ISERROR(SEARCH("▽",AA41)))</formula>
    </cfRule>
    <cfRule type="containsText" dxfId="679" priority="2005" operator="containsText" text="△">
      <formula>NOT(ISERROR(SEARCH("△",AA41)))</formula>
    </cfRule>
    <cfRule type="containsText" dxfId="678" priority="2006" operator="containsText" text="▽">
      <formula>NOT(ISERROR(SEARCH("▽",AA41)))</formula>
    </cfRule>
    <cfRule type="containsText" dxfId="677" priority="2007" operator="containsText" text="△">
      <formula>NOT(ISERROR(SEARCH("△",AA41)))</formula>
    </cfRule>
    <cfRule type="containsText" dxfId="676" priority="2008" operator="containsText" text="▽">
      <formula>NOT(ISERROR(SEARCH("▽",AA41)))</formula>
    </cfRule>
    <cfRule type="containsText" dxfId="675" priority="2009" operator="containsText" text="△">
      <formula>NOT(ISERROR(SEARCH("△",AA41)))</formula>
    </cfRule>
    <cfRule type="containsText" dxfId="674" priority="2010" operator="containsText" text="▽">
      <formula>NOT(ISERROR(SEARCH("▽",AA41)))</formula>
    </cfRule>
    <cfRule type="containsText" dxfId="673" priority="2011" operator="containsText" text="△">
      <formula>NOT(ISERROR(SEARCH("△",AA41)))</formula>
    </cfRule>
    <cfRule type="containsText" dxfId="672" priority="2012" operator="containsText" text="▽">
      <formula>NOT(ISERROR(SEARCH("▽",AA41)))</formula>
    </cfRule>
    <cfRule type="containsText" dxfId="671" priority="2013" operator="containsText" text="△">
      <formula>NOT(ISERROR(SEARCH("△",AA41)))</formula>
    </cfRule>
    <cfRule type="containsText" dxfId="670" priority="2014" operator="containsText" text="▽">
      <formula>NOT(ISERROR(SEARCH("▽",AA41)))</formula>
    </cfRule>
    <cfRule type="containsText" dxfId="669" priority="2015" operator="containsText" text="△">
      <formula>NOT(ISERROR(SEARCH("△",AA41)))</formula>
    </cfRule>
    <cfRule type="containsText" dxfId="668" priority="2016" operator="containsText" text="▽">
      <formula>NOT(ISERROR(SEARCH("▽",AA41)))</formula>
    </cfRule>
  </conditionalFormatting>
  <conditionalFormatting sqref="AA43:AA57">
    <cfRule type="containsText" dxfId="667" priority="1949" operator="containsText" text="△">
      <formula>NOT(ISERROR(SEARCH("△",AA43)))</formula>
    </cfRule>
    <cfRule type="containsText" dxfId="666" priority="1950" operator="containsText" text="▽">
      <formula>NOT(ISERROR(SEARCH("▽",AA43)))</formula>
    </cfRule>
    <cfRule type="containsText" dxfId="665" priority="1951" operator="containsText" text="△">
      <formula>NOT(ISERROR(SEARCH("△",AA43)))</formula>
    </cfRule>
    <cfRule type="containsText" dxfId="664" priority="1952" operator="containsText" text="▽">
      <formula>NOT(ISERROR(SEARCH("▽",AA43)))</formula>
    </cfRule>
  </conditionalFormatting>
  <conditionalFormatting sqref="AA44:AA57">
    <cfRule type="containsText" dxfId="663" priority="1991" operator="containsText" text="△">
      <formula>NOT(ISERROR(SEARCH("△",AA44)))</formula>
    </cfRule>
    <cfRule type="containsText" dxfId="662" priority="1992" operator="containsText" text="▽">
      <formula>NOT(ISERROR(SEARCH("▽",AA44)))</formula>
    </cfRule>
  </conditionalFormatting>
  <conditionalFormatting sqref="AA45:AA57">
    <cfRule type="containsText" dxfId="661" priority="1983" operator="containsText" text="△">
      <formula>NOT(ISERROR(SEARCH("△",AA45)))</formula>
    </cfRule>
    <cfRule type="containsText" dxfId="660" priority="1984" operator="containsText" text="▽">
      <formula>NOT(ISERROR(SEARCH("▽",AA45)))</formula>
    </cfRule>
  </conditionalFormatting>
  <conditionalFormatting sqref="AA46:AA57">
    <cfRule type="containsText" dxfId="659" priority="1945" operator="containsText" text="△">
      <formula>NOT(ISERROR(SEARCH("△",AA46)))</formula>
    </cfRule>
    <cfRule type="containsText" dxfId="658" priority="1946" operator="containsText" text="▽">
      <formula>NOT(ISERROR(SEARCH("▽",AA46)))</formula>
    </cfRule>
    <cfRule type="containsText" dxfId="657" priority="1947" operator="containsText" text="△">
      <formula>NOT(ISERROR(SEARCH("△",AA46)))</formula>
    </cfRule>
    <cfRule type="containsText" dxfId="656" priority="1948" operator="containsText" text="▽">
      <formula>NOT(ISERROR(SEARCH("▽",AA46)))</formula>
    </cfRule>
  </conditionalFormatting>
  <conditionalFormatting sqref="AA47">
    <cfRule type="containsText" dxfId="655" priority="1941" operator="containsText" text="△">
      <formula>NOT(ISERROR(SEARCH("△",AA47)))</formula>
    </cfRule>
    <cfRule type="containsText" dxfId="654" priority="1942" operator="containsText" text="▽">
      <formula>NOT(ISERROR(SEARCH("▽",AA47)))</formula>
    </cfRule>
    <cfRule type="containsText" dxfId="653" priority="1943" operator="containsText" text="△">
      <formula>NOT(ISERROR(SEARCH("△",AA47)))</formula>
    </cfRule>
    <cfRule type="containsText" dxfId="652" priority="1944" operator="containsText" text="▽">
      <formula>NOT(ISERROR(SEARCH("▽",AA47)))</formula>
    </cfRule>
  </conditionalFormatting>
  <conditionalFormatting sqref="AA48:AA57">
    <cfRule type="containsText" dxfId="651" priority="1929" operator="containsText" text="△">
      <formula>NOT(ISERROR(SEARCH("△",AA48)))</formula>
    </cfRule>
    <cfRule type="containsText" dxfId="650" priority="1930" operator="containsText" text="▽">
      <formula>NOT(ISERROR(SEARCH("▽",AA48)))</formula>
    </cfRule>
    <cfRule type="containsText" dxfId="649" priority="1931" operator="containsText" text="△">
      <formula>NOT(ISERROR(SEARCH("△",AA48)))</formula>
    </cfRule>
    <cfRule type="containsText" dxfId="648" priority="1932" operator="containsText" text="▽">
      <formula>NOT(ISERROR(SEARCH("▽",AA48)))</formula>
    </cfRule>
  </conditionalFormatting>
  <conditionalFormatting sqref="AA49:AA57">
    <cfRule type="containsText" dxfId="647" priority="1977" operator="containsText" text="△">
      <formula>NOT(ISERROR(SEARCH("△",AA49)))</formula>
    </cfRule>
    <cfRule type="containsText" dxfId="646" priority="1978" operator="containsText" text="▽">
      <formula>NOT(ISERROR(SEARCH("▽",AA49)))</formula>
    </cfRule>
    <cfRule type="containsText" dxfId="645" priority="1979" operator="containsText" text="△">
      <formula>NOT(ISERROR(SEARCH("△",AA49)))</formula>
    </cfRule>
    <cfRule type="containsText" dxfId="644" priority="1980" operator="containsText" text="▽">
      <formula>NOT(ISERROR(SEARCH("▽",AA49)))</formula>
    </cfRule>
  </conditionalFormatting>
  <conditionalFormatting sqref="AA50:AA57">
    <cfRule type="containsText" dxfId="643" priority="2017" operator="containsText" text="△">
      <formula>NOT(ISERROR(SEARCH("△",AA50)))</formula>
    </cfRule>
    <cfRule type="containsText" dxfId="642" priority="2018" operator="containsText" text="▽">
      <formula>NOT(ISERROR(SEARCH("▽",AA50)))</formula>
    </cfRule>
  </conditionalFormatting>
  <conditionalFormatting sqref="AA51:AA57">
    <cfRule type="containsText" dxfId="641" priority="1997" operator="containsText" text="△">
      <formula>NOT(ISERROR(SEARCH("△",AA51)))</formula>
    </cfRule>
    <cfRule type="containsText" dxfId="640" priority="1998" operator="containsText" text="▽">
      <formula>NOT(ISERROR(SEARCH("▽",AA51)))</formula>
    </cfRule>
  </conditionalFormatting>
  <conditionalFormatting sqref="AA52:AA57">
    <cfRule type="containsText" dxfId="639" priority="2001" operator="containsText" text="△">
      <formula>NOT(ISERROR(SEARCH("△",AA52)))</formula>
    </cfRule>
    <cfRule type="containsText" dxfId="638" priority="2002" operator="containsText" text="▽">
      <formula>NOT(ISERROR(SEARCH("▽",AA52)))</formula>
    </cfRule>
  </conditionalFormatting>
  <conditionalFormatting sqref="AA53">
    <cfRule type="containsText" dxfId="637" priority="1969" operator="containsText" text="△">
      <formula>NOT(ISERROR(SEARCH("△",AA53)))</formula>
    </cfRule>
    <cfRule type="containsText" dxfId="636" priority="1970" operator="containsText" text="▽">
      <formula>NOT(ISERROR(SEARCH("▽",AA53)))</formula>
    </cfRule>
    <cfRule type="containsText" dxfId="635" priority="1971" operator="containsText" text="△">
      <formula>NOT(ISERROR(SEARCH("△",AA53)))</formula>
    </cfRule>
    <cfRule type="containsText" dxfId="634" priority="1972" operator="containsText" text="▽">
      <formula>NOT(ISERROR(SEARCH("▽",AA53)))</formula>
    </cfRule>
  </conditionalFormatting>
  <conditionalFormatting sqref="AA54">
    <cfRule type="containsText" dxfId="633" priority="1953" operator="containsText" text="△">
      <formula>NOT(ISERROR(SEARCH("△",AA54)))</formula>
    </cfRule>
    <cfRule type="containsText" dxfId="632" priority="1954" operator="containsText" text="▽">
      <formula>NOT(ISERROR(SEARCH("▽",AA54)))</formula>
    </cfRule>
    <cfRule type="containsText" dxfId="631" priority="1955" operator="containsText" text="△">
      <formula>NOT(ISERROR(SEARCH("△",AA54)))</formula>
    </cfRule>
    <cfRule type="containsText" dxfId="630" priority="1956" operator="containsText" text="▽">
      <formula>NOT(ISERROR(SEARCH("▽",AA54)))</formula>
    </cfRule>
  </conditionalFormatting>
  <conditionalFormatting sqref="AA55">
    <cfRule type="containsText" dxfId="629" priority="1937" operator="containsText" text="△">
      <formula>NOT(ISERROR(SEARCH("△",AA55)))</formula>
    </cfRule>
    <cfRule type="containsText" dxfId="628" priority="1938" operator="containsText" text="▽">
      <formula>NOT(ISERROR(SEARCH("▽",AA55)))</formula>
    </cfRule>
    <cfRule type="containsText" dxfId="627" priority="1939" operator="containsText" text="△">
      <formula>NOT(ISERROR(SEARCH("△",AA55)))</formula>
    </cfRule>
    <cfRule type="containsText" dxfId="626" priority="1940" operator="containsText" text="▽">
      <formula>NOT(ISERROR(SEARCH("▽",AA55)))</formula>
    </cfRule>
  </conditionalFormatting>
  <conditionalFormatting sqref="AA56">
    <cfRule type="containsText" dxfId="625" priority="1921" operator="containsText" text="△">
      <formula>NOT(ISERROR(SEARCH("△",AA56)))</formula>
    </cfRule>
    <cfRule type="containsText" dxfId="624" priority="1922" operator="containsText" text="▽">
      <formula>NOT(ISERROR(SEARCH("▽",AA56)))</formula>
    </cfRule>
  </conditionalFormatting>
  <conditionalFormatting sqref="AA56:AA57">
    <cfRule type="containsText" dxfId="623" priority="1923" operator="containsText" text="△">
      <formula>NOT(ISERROR(SEARCH("△",AA56)))</formula>
    </cfRule>
    <cfRule type="containsText" dxfId="622" priority="1924" operator="containsText" text="▽">
      <formula>NOT(ISERROR(SEARCH("▽",AA56)))</formula>
    </cfRule>
  </conditionalFormatting>
  <conditionalFormatting sqref="AA57">
    <cfRule type="containsText" dxfId="621" priority="1927" operator="containsText" text="△">
      <formula>NOT(ISERROR(SEARCH("△",AA57)))</formula>
    </cfRule>
    <cfRule type="containsText" dxfId="620" priority="1928" operator="containsText" text="▽">
      <formula>NOT(ISERROR(SEARCH("▽",AA57)))</formula>
    </cfRule>
  </conditionalFormatting>
  <conditionalFormatting sqref="AA58:AA59">
    <cfRule type="containsText" dxfId="619" priority="1919" operator="containsText" text="△">
      <formula>NOT(ISERROR(SEARCH("△",AA58)))</formula>
    </cfRule>
    <cfRule type="containsText" dxfId="618" priority="1920" operator="containsText" text="▽">
      <formula>NOT(ISERROR(SEARCH("▽",AA58)))</formula>
    </cfRule>
  </conditionalFormatting>
  <conditionalFormatting sqref="AA58:AA60">
    <cfRule type="containsText" dxfId="617" priority="1915" operator="containsText" text="△">
      <formula>NOT(ISERROR(SEARCH("△",AA58)))</formula>
    </cfRule>
    <cfRule type="containsText" dxfId="616" priority="1916" operator="containsText" text="▽">
      <formula>NOT(ISERROR(SEARCH("▽",AA58)))</formula>
    </cfRule>
  </conditionalFormatting>
  <conditionalFormatting sqref="AA59">
    <cfRule type="containsText" dxfId="615" priority="1973" operator="containsText" text="△">
      <formula>NOT(ISERROR(SEARCH("△",AA59)))</formula>
    </cfRule>
    <cfRule type="containsText" dxfId="614" priority="1974" operator="containsText" text="▽">
      <formula>NOT(ISERROR(SEARCH("▽",AA59)))</formula>
    </cfRule>
    <cfRule type="containsText" dxfId="613" priority="1975" operator="containsText" text="△">
      <formula>NOT(ISERROR(SEARCH("△",AA59)))</formula>
    </cfRule>
    <cfRule type="containsText" dxfId="612" priority="1976" operator="containsText" text="▽">
      <formula>NOT(ISERROR(SEARCH("▽",AA59)))</formula>
    </cfRule>
  </conditionalFormatting>
  <conditionalFormatting sqref="AA60">
    <cfRule type="containsText" dxfId="611" priority="1913" operator="containsText" text="△">
      <formula>NOT(ISERROR(SEARCH("△",AA60)))</formula>
    </cfRule>
    <cfRule type="containsText" dxfId="610" priority="1914" operator="containsText" text="▽">
      <formula>NOT(ISERROR(SEARCH("▽",AA60)))</formula>
    </cfRule>
  </conditionalFormatting>
  <conditionalFormatting sqref="AA61:AA62">
    <cfRule type="containsText" dxfId="609" priority="2249" operator="containsText" text="△">
      <formula>NOT(ISERROR(SEARCH("△",AA61)))</formula>
    </cfRule>
    <cfRule type="containsText" dxfId="608" priority="2250" operator="containsText" text="▽">
      <formula>NOT(ISERROR(SEARCH("▽",AA61)))</formula>
    </cfRule>
    <cfRule type="containsText" dxfId="607" priority="2251" operator="containsText" text="△">
      <formula>NOT(ISERROR(SEARCH("△",AA61)))</formula>
    </cfRule>
    <cfRule type="containsText" dxfId="606" priority="2252" operator="containsText" text="▽">
      <formula>NOT(ISERROR(SEARCH("▽",AA61)))</formula>
    </cfRule>
    <cfRule type="containsText" dxfId="605" priority="2253" operator="containsText" text="△">
      <formula>NOT(ISERROR(SEARCH("△",AA61)))</formula>
    </cfRule>
    <cfRule type="containsText" dxfId="604" priority="2254" operator="containsText" text="▽">
      <formula>NOT(ISERROR(SEARCH("▽",AA61)))</formula>
    </cfRule>
  </conditionalFormatting>
  <conditionalFormatting sqref="AA62">
    <cfRule type="containsText" dxfId="603" priority="2247" operator="containsText" text="△">
      <formula>NOT(ISERROR(SEARCH("△",AA62)))</formula>
    </cfRule>
    <cfRule type="containsText" dxfId="602" priority="2248" operator="containsText" text="▽">
      <formula>NOT(ISERROR(SEARCH("▽",AA62)))</formula>
    </cfRule>
  </conditionalFormatting>
  <conditionalFormatting sqref="AA62:AA63">
    <cfRule type="containsText" dxfId="601" priority="2243" operator="containsText" text="△">
      <formula>NOT(ISERROR(SEARCH("△",AA62)))</formula>
    </cfRule>
    <cfRule type="containsText" dxfId="600" priority="2244" operator="containsText" text="▽">
      <formula>NOT(ISERROR(SEARCH("▽",AA62)))</formula>
    </cfRule>
  </conditionalFormatting>
  <conditionalFormatting sqref="AA63:AA135">
    <cfRule type="containsText" dxfId="599" priority="2239" operator="containsText" text="△">
      <formula>NOT(ISERROR(SEARCH("△",AA63)))</formula>
    </cfRule>
    <cfRule type="containsText" dxfId="598" priority="2240" operator="containsText" text="▽">
      <formula>NOT(ISERROR(SEARCH("▽",AA63)))</formula>
    </cfRule>
  </conditionalFormatting>
  <conditionalFormatting sqref="AA64:AA110">
    <cfRule type="containsText" dxfId="597" priority="2237" operator="containsText" text="△">
      <formula>NOT(ISERROR(SEARCH("△",AA64)))</formula>
    </cfRule>
    <cfRule type="containsText" dxfId="596" priority="2238" operator="containsText" text="▽">
      <formula>NOT(ISERROR(SEARCH("▽",AA64)))</formula>
    </cfRule>
  </conditionalFormatting>
  <conditionalFormatting sqref="AA65:AA110">
    <cfRule type="containsText" dxfId="595" priority="2221" operator="containsText" text="△">
      <formula>NOT(ISERROR(SEARCH("△",AA65)))</formula>
    </cfRule>
    <cfRule type="containsText" dxfId="594" priority="2222" operator="containsText" text="▽">
      <formula>NOT(ISERROR(SEARCH("▽",AA65)))</formula>
    </cfRule>
    <cfRule type="containsText" dxfId="593" priority="2223" operator="containsText" text="△">
      <formula>NOT(ISERROR(SEARCH("△",AA65)))</formula>
    </cfRule>
    <cfRule type="containsText" dxfId="592" priority="2224" operator="containsText" text="▽">
      <formula>NOT(ISERROR(SEARCH("▽",AA65)))</formula>
    </cfRule>
  </conditionalFormatting>
  <conditionalFormatting sqref="AA66:AA67">
    <cfRule type="containsText" dxfId="591" priority="2177" operator="containsText" text="△">
      <formula>NOT(ISERROR(SEARCH("△",AA66)))</formula>
    </cfRule>
    <cfRule type="containsText" dxfId="590" priority="2178" operator="containsText" text="▽">
      <formula>NOT(ISERROR(SEARCH("▽",AA66)))</formula>
    </cfRule>
  </conditionalFormatting>
  <conditionalFormatting sqref="AA66:AA110">
    <cfRule type="containsText" dxfId="589" priority="2179" operator="containsText" text="△">
      <formula>NOT(ISERROR(SEARCH("△",AA66)))</formula>
    </cfRule>
    <cfRule type="containsText" dxfId="588" priority="2180" operator="containsText" text="▽">
      <formula>NOT(ISERROR(SEARCH("▽",AA66)))</formula>
    </cfRule>
  </conditionalFormatting>
  <conditionalFormatting sqref="AA67">
    <cfRule type="containsText" dxfId="587" priority="2215" operator="containsText" text="△">
      <formula>NOT(ISERROR(SEARCH("△",AA67)))</formula>
    </cfRule>
    <cfRule type="containsText" dxfId="586" priority="2216" operator="containsText" text="▽">
      <formula>NOT(ISERROR(SEARCH("▽",AA67)))</formula>
    </cfRule>
  </conditionalFormatting>
  <conditionalFormatting sqref="AA67:AA110">
    <cfRule type="containsText" dxfId="585" priority="2183" operator="containsText" text="△">
      <formula>NOT(ISERROR(SEARCH("△",AA67)))</formula>
    </cfRule>
    <cfRule type="containsText" dxfId="584" priority="2184" operator="containsText" text="▽">
      <formula>NOT(ISERROR(SEARCH("▽",AA67)))</formula>
    </cfRule>
  </conditionalFormatting>
  <conditionalFormatting sqref="AA69:AA110">
    <cfRule type="containsText" dxfId="583" priority="2229" operator="containsText" text="△">
      <formula>NOT(ISERROR(SEARCH("△",AA69)))</formula>
    </cfRule>
    <cfRule type="containsText" dxfId="582" priority="2230" operator="containsText" text="▽">
      <formula>NOT(ISERROR(SEARCH("▽",AA69)))</formula>
    </cfRule>
    <cfRule type="containsText" dxfId="581" priority="2231" operator="containsText" text="△">
      <formula>NOT(ISERROR(SEARCH("△",AA69)))</formula>
    </cfRule>
    <cfRule type="containsText" dxfId="580" priority="2232" operator="containsText" text="▽">
      <formula>NOT(ISERROR(SEARCH("▽",AA69)))</formula>
    </cfRule>
  </conditionalFormatting>
  <conditionalFormatting sqref="AA70">
    <cfRule type="containsText" dxfId="579" priority="2225" operator="containsText" text="△">
      <formula>NOT(ISERROR(SEARCH("△",AA70)))</formula>
    </cfRule>
    <cfRule type="containsText" dxfId="578" priority="2226" operator="containsText" text="▽">
      <formula>NOT(ISERROR(SEARCH("▽",AA70)))</formula>
    </cfRule>
    <cfRule type="containsText" dxfId="577" priority="2227" operator="containsText" text="△">
      <formula>NOT(ISERROR(SEARCH("△",AA70)))</formula>
    </cfRule>
    <cfRule type="containsText" dxfId="576" priority="2228" operator="containsText" text="▽">
      <formula>NOT(ISERROR(SEARCH("▽",AA70)))</formula>
    </cfRule>
  </conditionalFormatting>
  <conditionalFormatting sqref="AA71">
    <cfRule type="containsText" dxfId="575" priority="2233" operator="containsText" text="△">
      <formula>NOT(ISERROR(SEARCH("△",AA71)))</formula>
    </cfRule>
    <cfRule type="containsText" dxfId="574" priority="2234" operator="containsText" text="▽">
      <formula>NOT(ISERROR(SEARCH("▽",AA71)))</formula>
    </cfRule>
    <cfRule type="containsText" dxfId="573" priority="2235" operator="containsText" text="△">
      <formula>NOT(ISERROR(SEARCH("△",AA71)))</formula>
    </cfRule>
    <cfRule type="containsText" dxfId="572" priority="2236" operator="containsText" text="▽">
      <formula>NOT(ISERROR(SEARCH("▽",AA71)))</formula>
    </cfRule>
  </conditionalFormatting>
  <conditionalFormatting sqref="AA72">
    <cfRule type="containsText" dxfId="571" priority="2217" operator="containsText" text="△">
      <formula>NOT(ISERROR(SEARCH("△",AA72)))</formula>
    </cfRule>
    <cfRule type="containsText" dxfId="570" priority="2218" operator="containsText" text="▽">
      <formula>NOT(ISERROR(SEARCH("▽",AA72)))</formula>
    </cfRule>
    <cfRule type="containsText" dxfId="569" priority="2219" operator="containsText" text="△">
      <formula>NOT(ISERROR(SEARCH("△",AA72)))</formula>
    </cfRule>
    <cfRule type="containsText" dxfId="568" priority="2220" operator="containsText" text="▽">
      <formula>NOT(ISERROR(SEARCH("▽",AA72)))</formula>
    </cfRule>
  </conditionalFormatting>
  <conditionalFormatting sqref="AA73">
    <cfRule type="containsText" dxfId="567" priority="2173" operator="containsText" text="△">
      <formula>NOT(ISERROR(SEARCH("△",AA73)))</formula>
    </cfRule>
    <cfRule type="containsText" dxfId="566" priority="2174" operator="containsText" text="▽">
      <formula>NOT(ISERROR(SEARCH("▽",AA73)))</formula>
    </cfRule>
    <cfRule type="containsText" dxfId="565" priority="2175" operator="containsText" text="△">
      <formula>NOT(ISERROR(SEARCH("△",AA73)))</formula>
    </cfRule>
    <cfRule type="containsText" dxfId="564" priority="2176" operator="containsText" text="▽">
      <formula>NOT(ISERROR(SEARCH("▽",AA73)))</formula>
    </cfRule>
  </conditionalFormatting>
  <conditionalFormatting sqref="AA74">
    <cfRule type="containsText" dxfId="563" priority="2185" operator="containsText" text="△">
      <formula>NOT(ISERROR(SEARCH("△",AA74)))</formula>
    </cfRule>
    <cfRule type="containsText" dxfId="562" priority="2186" operator="containsText" text="▽">
      <formula>NOT(ISERROR(SEARCH("▽",AA74)))</formula>
    </cfRule>
  </conditionalFormatting>
  <conditionalFormatting sqref="AA74:AA75">
    <cfRule type="containsText" dxfId="561" priority="2187" operator="containsText" text="△">
      <formula>NOT(ISERROR(SEARCH("△",AA74)))</formula>
    </cfRule>
    <cfRule type="containsText" dxfId="560" priority="2188" operator="containsText" text="▽">
      <formula>NOT(ISERROR(SEARCH("▽",AA74)))</formula>
    </cfRule>
  </conditionalFormatting>
  <conditionalFormatting sqref="AA75">
    <cfRule type="containsText" dxfId="559" priority="2191" operator="containsText" text="△">
      <formula>NOT(ISERROR(SEARCH("△",AA75)))</formula>
    </cfRule>
    <cfRule type="containsText" dxfId="558" priority="2192" operator="containsText" text="▽">
      <formula>NOT(ISERROR(SEARCH("▽",AA75)))</formula>
    </cfRule>
  </conditionalFormatting>
  <conditionalFormatting sqref="AA76">
    <cfRule type="containsText" dxfId="557" priority="2169" operator="containsText" text="△">
      <formula>NOT(ISERROR(SEARCH("△",AA76)))</formula>
    </cfRule>
    <cfRule type="containsText" dxfId="556" priority="2170" operator="containsText" text="▽">
      <formula>NOT(ISERROR(SEARCH("▽",AA76)))</formula>
    </cfRule>
    <cfRule type="containsText" dxfId="555" priority="2171" operator="containsText" text="△">
      <formula>NOT(ISERROR(SEARCH("△",AA76)))</formula>
    </cfRule>
    <cfRule type="containsText" dxfId="554" priority="2172" operator="containsText" text="▽">
      <formula>NOT(ISERROR(SEARCH("▽",AA76)))</formula>
    </cfRule>
  </conditionalFormatting>
  <conditionalFormatting sqref="AA77:AA110">
    <cfRule type="containsText" dxfId="553" priority="2193" operator="containsText" text="△">
      <formula>NOT(ISERROR(SEARCH("△",AA77)))</formula>
    </cfRule>
    <cfRule type="containsText" dxfId="552" priority="2194" operator="containsText" text="▽">
      <formula>NOT(ISERROR(SEARCH("▽",AA77)))</formula>
    </cfRule>
    <cfRule type="containsText" dxfId="551" priority="2195" operator="containsText" text="△">
      <formula>NOT(ISERROR(SEARCH("△",AA77)))</formula>
    </cfRule>
    <cfRule type="containsText" dxfId="550" priority="2196" operator="containsText" text="▽">
      <formula>NOT(ISERROR(SEARCH("▽",AA77)))</formula>
    </cfRule>
  </conditionalFormatting>
  <conditionalFormatting sqref="AA78">
    <cfRule type="containsText" dxfId="549" priority="2197" operator="containsText" text="△">
      <formula>NOT(ISERROR(SEARCH("△",AA78)))</formula>
    </cfRule>
    <cfRule type="containsText" dxfId="548" priority="2198" operator="containsText" text="▽">
      <formula>NOT(ISERROR(SEARCH("▽",AA78)))</formula>
    </cfRule>
    <cfRule type="containsText" dxfId="547" priority="2199" operator="containsText" text="△">
      <formula>NOT(ISERROR(SEARCH("△",AA78)))</formula>
    </cfRule>
    <cfRule type="containsText" dxfId="546" priority="2200" operator="containsText" text="▽">
      <formula>NOT(ISERROR(SEARCH("▽",AA78)))</formula>
    </cfRule>
  </conditionalFormatting>
  <conditionalFormatting sqref="AA79:AA110">
    <cfRule type="containsText" dxfId="545" priority="2165" operator="containsText" text="△">
      <formula>NOT(ISERROR(SEARCH("△",AA79)))</formula>
    </cfRule>
    <cfRule type="containsText" dxfId="544" priority="2166" operator="containsText" text="▽">
      <formula>NOT(ISERROR(SEARCH("▽",AA79)))</formula>
    </cfRule>
    <cfRule type="containsText" dxfId="543" priority="2167" operator="containsText" text="△">
      <formula>NOT(ISERROR(SEARCH("△",AA79)))</formula>
    </cfRule>
    <cfRule type="containsText" dxfId="542" priority="2168" operator="containsText" text="▽">
      <formula>NOT(ISERROR(SEARCH("▽",AA79)))</formula>
    </cfRule>
  </conditionalFormatting>
  <conditionalFormatting sqref="AA80">
    <cfRule type="containsText" dxfId="541" priority="2201" operator="containsText" text="△">
      <formula>NOT(ISERROR(SEARCH("△",AA80)))</formula>
    </cfRule>
    <cfRule type="containsText" dxfId="540" priority="2202" operator="containsText" text="▽">
      <formula>NOT(ISERROR(SEARCH("▽",AA80)))</formula>
    </cfRule>
  </conditionalFormatting>
  <conditionalFormatting sqref="AA80:AA81">
    <cfRule type="containsText" dxfId="539" priority="2203" operator="containsText" text="△">
      <formula>NOT(ISERROR(SEARCH("△",AA80)))</formula>
    </cfRule>
    <cfRule type="containsText" dxfId="538" priority="2204" operator="containsText" text="▽">
      <formula>NOT(ISERROR(SEARCH("▽",AA80)))</formula>
    </cfRule>
  </conditionalFormatting>
  <conditionalFormatting sqref="AA81">
    <cfRule type="containsText" dxfId="537" priority="2207" operator="containsText" text="△">
      <formula>NOT(ISERROR(SEARCH("△",AA81)))</formula>
    </cfRule>
    <cfRule type="containsText" dxfId="536" priority="2208" operator="containsText" text="▽">
      <formula>NOT(ISERROR(SEARCH("▽",AA81)))</formula>
    </cfRule>
  </conditionalFormatting>
  <conditionalFormatting sqref="AA82">
    <cfRule type="containsText" dxfId="535" priority="2157" operator="containsText" text="△">
      <formula>NOT(ISERROR(SEARCH("△",AA82)))</formula>
    </cfRule>
    <cfRule type="containsText" dxfId="534" priority="2158" operator="containsText" text="▽">
      <formula>NOT(ISERROR(SEARCH("▽",AA82)))</formula>
    </cfRule>
  </conditionalFormatting>
  <conditionalFormatting sqref="AA82:AA83">
    <cfRule type="containsText" dxfId="533" priority="2159" operator="containsText" text="△">
      <formula>NOT(ISERROR(SEARCH("△",AA82)))</formula>
    </cfRule>
    <cfRule type="containsText" dxfId="532" priority="2160" operator="containsText" text="▽">
      <formula>NOT(ISERROR(SEARCH("▽",AA82)))</formula>
    </cfRule>
  </conditionalFormatting>
  <conditionalFormatting sqref="AA83">
    <cfRule type="containsText" dxfId="531" priority="2163" operator="containsText" text="△">
      <formula>NOT(ISERROR(SEARCH("△",AA83)))</formula>
    </cfRule>
    <cfRule type="containsText" dxfId="530" priority="2164" operator="containsText" text="▽">
      <formula>NOT(ISERROR(SEARCH("▽",AA83)))</formula>
    </cfRule>
  </conditionalFormatting>
  <conditionalFormatting sqref="AA84:AA110">
    <cfRule type="containsText" dxfId="529" priority="2209" operator="containsText" text="△">
      <formula>NOT(ISERROR(SEARCH("△",AA84)))</formula>
    </cfRule>
    <cfRule type="containsText" dxfId="528" priority="2210" operator="containsText" text="▽">
      <formula>NOT(ISERROR(SEARCH("▽",AA84)))</formula>
    </cfRule>
    <cfRule type="containsText" dxfId="527" priority="2211" operator="containsText" text="△">
      <formula>NOT(ISERROR(SEARCH("△",AA84)))</formula>
    </cfRule>
    <cfRule type="containsText" dxfId="526" priority="2212" operator="containsText" text="▽">
      <formula>NOT(ISERROR(SEARCH("▽",AA84)))</formula>
    </cfRule>
  </conditionalFormatting>
  <conditionalFormatting sqref="AA85:AA110">
    <cfRule type="containsText" dxfId="525" priority="2145" operator="containsText" text="△">
      <formula>NOT(ISERROR(SEARCH("△",AA85)))</formula>
    </cfRule>
    <cfRule type="containsText" dxfId="524" priority="2146" operator="containsText" text="▽">
      <formula>NOT(ISERROR(SEARCH("▽",AA85)))</formula>
    </cfRule>
    <cfRule type="containsText" dxfId="523" priority="2147" operator="containsText" text="△">
      <formula>NOT(ISERROR(SEARCH("△",AA85)))</formula>
    </cfRule>
    <cfRule type="containsText" dxfId="522" priority="2148" operator="containsText" text="▽">
      <formula>NOT(ISERROR(SEARCH("▽",AA85)))</formula>
    </cfRule>
  </conditionalFormatting>
  <conditionalFormatting sqref="AA86:AA110">
    <cfRule type="containsText" dxfId="521" priority="2149" operator="containsText" text="△">
      <formula>NOT(ISERROR(SEARCH("△",AA86)))</formula>
    </cfRule>
    <cfRule type="containsText" dxfId="520" priority="2150" operator="containsText" text="▽">
      <formula>NOT(ISERROR(SEARCH("▽",AA86)))</formula>
    </cfRule>
    <cfRule type="containsText" dxfId="519" priority="2151" operator="containsText" text="△">
      <formula>NOT(ISERROR(SEARCH("△",AA86)))</formula>
    </cfRule>
    <cfRule type="containsText" dxfId="518" priority="2152" operator="containsText" text="▽">
      <formula>NOT(ISERROR(SEARCH("▽",AA86)))</formula>
    </cfRule>
  </conditionalFormatting>
  <conditionalFormatting sqref="AA87:AA110">
    <cfRule type="containsText" dxfId="517" priority="2129" operator="containsText" text="△">
      <formula>NOT(ISERROR(SEARCH("△",AA87)))</formula>
    </cfRule>
    <cfRule type="containsText" dxfId="516" priority="2130" operator="containsText" text="▽">
      <formula>NOT(ISERROR(SEARCH("▽",AA87)))</formula>
    </cfRule>
    <cfRule type="containsText" dxfId="515" priority="2131" operator="containsText" text="△">
      <formula>NOT(ISERROR(SEARCH("△",AA87)))</formula>
    </cfRule>
    <cfRule type="containsText" dxfId="514" priority="2132" operator="containsText" text="▽">
      <formula>NOT(ISERROR(SEARCH("▽",AA87)))</formula>
    </cfRule>
  </conditionalFormatting>
  <conditionalFormatting sqref="AA88:AA110">
    <cfRule type="containsText" dxfId="513" priority="2125" operator="containsText" text="△">
      <formula>NOT(ISERROR(SEARCH("△",AA88)))</formula>
    </cfRule>
    <cfRule type="containsText" dxfId="512" priority="2126" operator="containsText" text="▽">
      <formula>NOT(ISERROR(SEARCH("▽",AA88)))</formula>
    </cfRule>
    <cfRule type="containsText" dxfId="511" priority="2127" operator="containsText" text="△">
      <formula>NOT(ISERROR(SEARCH("△",AA88)))</formula>
    </cfRule>
    <cfRule type="containsText" dxfId="510" priority="2128" operator="containsText" text="▽">
      <formula>NOT(ISERROR(SEARCH("▽",AA88)))</formula>
    </cfRule>
  </conditionalFormatting>
  <conditionalFormatting sqref="AA89:AA110">
    <cfRule type="containsText" dxfId="509" priority="2153" operator="containsText" text="△">
      <formula>NOT(ISERROR(SEARCH("△",AA89)))</formula>
    </cfRule>
    <cfRule type="containsText" dxfId="508" priority="2154" operator="containsText" text="▽">
      <formula>NOT(ISERROR(SEARCH("▽",AA89)))</formula>
    </cfRule>
    <cfRule type="containsText" dxfId="507" priority="2155" operator="containsText" text="△">
      <formula>NOT(ISERROR(SEARCH("△",AA89)))</formula>
    </cfRule>
    <cfRule type="containsText" dxfId="506" priority="2156" operator="containsText" text="▽">
      <formula>NOT(ISERROR(SEARCH("▽",AA89)))</formula>
    </cfRule>
  </conditionalFormatting>
  <conditionalFormatting sqref="AA90:AA110">
    <cfRule type="containsText" dxfId="505" priority="2109" operator="containsText" text="△">
      <formula>NOT(ISERROR(SEARCH("△",AA90)))</formula>
    </cfRule>
    <cfRule type="containsText" dxfId="504" priority="2110" operator="containsText" text="▽">
      <formula>NOT(ISERROR(SEARCH("▽",AA90)))</formula>
    </cfRule>
    <cfRule type="containsText" dxfId="503" priority="2111" operator="containsText" text="△">
      <formula>NOT(ISERROR(SEARCH("△",AA90)))</formula>
    </cfRule>
    <cfRule type="containsText" dxfId="502" priority="2112" operator="containsText" text="▽">
      <formula>NOT(ISERROR(SEARCH("▽",AA90)))</formula>
    </cfRule>
  </conditionalFormatting>
  <conditionalFormatting sqref="AA91:AA110">
    <cfRule type="containsText" dxfId="501" priority="2133" operator="containsText" text="△">
      <formula>NOT(ISERROR(SEARCH("△",AA91)))</formula>
    </cfRule>
    <cfRule type="containsText" dxfId="500" priority="2134" operator="containsText" text="▽">
      <formula>NOT(ISERROR(SEARCH("▽",AA91)))</formula>
    </cfRule>
    <cfRule type="containsText" dxfId="499" priority="2135" operator="containsText" text="△">
      <formula>NOT(ISERROR(SEARCH("△",AA91)))</formula>
    </cfRule>
    <cfRule type="containsText" dxfId="498" priority="2136" operator="containsText" text="▽">
      <formula>NOT(ISERROR(SEARCH("▽",AA91)))</formula>
    </cfRule>
  </conditionalFormatting>
  <conditionalFormatting sqref="AA92">
    <cfRule type="containsText" dxfId="497" priority="2137" operator="containsText" text="△">
      <formula>NOT(ISERROR(SEARCH("△",AA92)))</formula>
    </cfRule>
    <cfRule type="containsText" dxfId="496" priority="2138" operator="containsText" text="▽">
      <formula>NOT(ISERROR(SEARCH("▽",AA92)))</formula>
    </cfRule>
    <cfRule type="containsText" dxfId="495" priority="2139" operator="containsText" text="△">
      <formula>NOT(ISERROR(SEARCH("△",AA92)))</formula>
    </cfRule>
    <cfRule type="containsText" dxfId="494" priority="2140" operator="containsText" text="▽">
      <formula>NOT(ISERROR(SEARCH("▽",AA92)))</formula>
    </cfRule>
  </conditionalFormatting>
  <conditionalFormatting sqref="AA93:AA110">
    <cfRule type="containsText" dxfId="493" priority="2121" operator="containsText" text="△">
      <formula>NOT(ISERROR(SEARCH("△",AA93)))</formula>
    </cfRule>
    <cfRule type="containsText" dxfId="492" priority="2122" operator="containsText" text="▽">
      <formula>NOT(ISERROR(SEARCH("▽",AA93)))</formula>
    </cfRule>
    <cfRule type="containsText" dxfId="491" priority="2123" operator="containsText" text="△">
      <formula>NOT(ISERROR(SEARCH("△",AA93)))</formula>
    </cfRule>
    <cfRule type="containsText" dxfId="490" priority="2124" operator="containsText" text="▽">
      <formula>NOT(ISERROR(SEARCH("▽",AA93)))</formula>
    </cfRule>
  </conditionalFormatting>
  <conditionalFormatting sqref="AA94:AA110">
    <cfRule type="containsText" dxfId="489" priority="2093" operator="containsText" text="△">
      <formula>NOT(ISERROR(SEARCH("△",AA94)))</formula>
    </cfRule>
    <cfRule type="containsText" dxfId="488" priority="2094" operator="containsText" text="▽">
      <formula>NOT(ISERROR(SEARCH("▽",AA94)))</formula>
    </cfRule>
    <cfRule type="containsText" dxfId="487" priority="2095" operator="containsText" text="△">
      <formula>NOT(ISERROR(SEARCH("△",AA94)))</formula>
    </cfRule>
    <cfRule type="containsText" dxfId="486" priority="2096" operator="containsText" text="▽">
      <formula>NOT(ISERROR(SEARCH("▽",AA94)))</formula>
    </cfRule>
  </conditionalFormatting>
  <conditionalFormatting sqref="AA95:AA110">
    <cfRule type="containsText" dxfId="485" priority="2097" operator="containsText" text="△">
      <formula>NOT(ISERROR(SEARCH("△",AA95)))</formula>
    </cfRule>
    <cfRule type="containsText" dxfId="484" priority="2098" operator="containsText" text="▽">
      <formula>NOT(ISERROR(SEARCH("▽",AA95)))</formula>
    </cfRule>
    <cfRule type="containsText" dxfId="483" priority="2099" operator="containsText" text="△">
      <formula>NOT(ISERROR(SEARCH("△",AA95)))</formula>
    </cfRule>
    <cfRule type="containsText" dxfId="482" priority="2100" operator="containsText" text="▽">
      <formula>NOT(ISERROR(SEARCH("▽",AA95)))</formula>
    </cfRule>
  </conditionalFormatting>
  <conditionalFormatting sqref="AA96:AA110">
    <cfRule type="containsText" dxfId="481" priority="2141" operator="containsText" text="△">
      <formula>NOT(ISERROR(SEARCH("△",AA96)))</formula>
    </cfRule>
    <cfRule type="containsText" dxfId="480" priority="2142" operator="containsText" text="▽">
      <formula>NOT(ISERROR(SEARCH("▽",AA96)))</formula>
    </cfRule>
    <cfRule type="containsText" dxfId="479" priority="2143" operator="containsText" text="△">
      <formula>NOT(ISERROR(SEARCH("△",AA96)))</formula>
    </cfRule>
    <cfRule type="containsText" dxfId="478" priority="2144" operator="containsText" text="▽">
      <formula>NOT(ISERROR(SEARCH("▽",AA96)))</formula>
    </cfRule>
  </conditionalFormatting>
  <conditionalFormatting sqref="AA97:AA110">
    <cfRule type="containsText" dxfId="477" priority="2089" operator="containsText" text="△">
      <formula>NOT(ISERROR(SEARCH("△",AA97)))</formula>
    </cfRule>
    <cfRule type="containsText" dxfId="476" priority="2090" operator="containsText" text="▽">
      <formula>NOT(ISERROR(SEARCH("▽",AA97)))</formula>
    </cfRule>
    <cfRule type="containsText" dxfId="475" priority="2091" operator="containsText" text="△">
      <formula>NOT(ISERROR(SEARCH("△",AA97)))</formula>
    </cfRule>
    <cfRule type="containsText" dxfId="474" priority="2092" operator="containsText" text="▽">
      <formula>NOT(ISERROR(SEARCH("▽",AA97)))</formula>
    </cfRule>
  </conditionalFormatting>
  <conditionalFormatting sqref="AA98:AA110">
    <cfRule type="containsText" dxfId="473" priority="2101" operator="containsText" text="△">
      <formula>NOT(ISERROR(SEARCH("△",AA98)))</formula>
    </cfRule>
    <cfRule type="containsText" dxfId="472" priority="2102" operator="containsText" text="▽">
      <formula>NOT(ISERROR(SEARCH("▽",AA98)))</formula>
    </cfRule>
    <cfRule type="containsText" dxfId="471" priority="2103" operator="containsText" text="△">
      <formula>NOT(ISERROR(SEARCH("△",AA98)))</formula>
    </cfRule>
    <cfRule type="containsText" dxfId="470" priority="2104" operator="containsText" text="▽">
      <formula>NOT(ISERROR(SEARCH("▽",AA98)))</formula>
    </cfRule>
  </conditionalFormatting>
  <conditionalFormatting sqref="AA99:AA110">
    <cfRule type="containsText" dxfId="469" priority="2117" operator="containsText" text="△">
      <formula>NOT(ISERROR(SEARCH("△",AA99)))</formula>
    </cfRule>
    <cfRule type="containsText" dxfId="468" priority="2118" operator="containsText" text="▽">
      <formula>NOT(ISERROR(SEARCH("▽",AA99)))</formula>
    </cfRule>
    <cfRule type="containsText" dxfId="467" priority="2119" operator="containsText" text="△">
      <formula>NOT(ISERROR(SEARCH("△",AA99)))</formula>
    </cfRule>
    <cfRule type="containsText" dxfId="466" priority="2120" operator="containsText" text="▽">
      <formula>NOT(ISERROR(SEARCH("▽",AA99)))</formula>
    </cfRule>
  </conditionalFormatting>
  <conditionalFormatting sqref="AA100:AA110">
    <cfRule type="containsText" dxfId="465" priority="2105" operator="containsText" text="△">
      <formula>NOT(ISERROR(SEARCH("△",AA100)))</formula>
    </cfRule>
    <cfRule type="containsText" dxfId="464" priority="2106" operator="containsText" text="▽">
      <formula>NOT(ISERROR(SEARCH("▽",AA100)))</formula>
    </cfRule>
    <cfRule type="containsText" dxfId="463" priority="2107" operator="containsText" text="△">
      <formula>NOT(ISERROR(SEARCH("△",AA100)))</formula>
    </cfRule>
    <cfRule type="containsText" dxfId="462" priority="2108" operator="containsText" text="▽">
      <formula>NOT(ISERROR(SEARCH("▽",AA100)))</formula>
    </cfRule>
  </conditionalFormatting>
  <conditionalFormatting sqref="AA101:AA110">
    <cfRule type="containsText" dxfId="461" priority="2079" operator="containsText" text="△">
      <formula>NOT(ISERROR(SEARCH("△",AA101)))</formula>
    </cfRule>
    <cfRule type="containsText" dxfId="460" priority="2080" operator="containsText" text="▽">
      <formula>NOT(ISERROR(SEARCH("▽",AA101)))</formula>
    </cfRule>
    <cfRule type="containsText" dxfId="459" priority="2081" operator="containsText" text="△">
      <formula>NOT(ISERROR(SEARCH("△",AA101)))</formula>
    </cfRule>
    <cfRule type="containsText" dxfId="458" priority="2082" operator="containsText" text="▽">
      <formula>NOT(ISERROR(SEARCH("▽",AA101)))</formula>
    </cfRule>
  </conditionalFormatting>
  <conditionalFormatting sqref="AA102:AA110">
    <cfRule type="containsText" dxfId="457" priority="2071" operator="containsText" text="△">
      <formula>NOT(ISERROR(SEARCH("△",AA102)))</formula>
    </cfRule>
    <cfRule type="containsText" dxfId="456" priority="2072" operator="containsText" text="▽">
      <formula>NOT(ISERROR(SEARCH("▽",AA102)))</formula>
    </cfRule>
    <cfRule type="containsText" dxfId="455" priority="2073" operator="containsText" text="△">
      <formula>NOT(ISERROR(SEARCH("△",AA102)))</formula>
    </cfRule>
    <cfRule type="containsText" dxfId="454" priority="2074" operator="containsText" text="▽">
      <formula>NOT(ISERROR(SEARCH("▽",AA102)))</formula>
    </cfRule>
  </conditionalFormatting>
  <conditionalFormatting sqref="AA103:AA110">
    <cfRule type="containsText" dxfId="453" priority="2085" operator="containsText" text="△">
      <formula>NOT(ISERROR(SEARCH("△",AA103)))</formula>
    </cfRule>
    <cfRule type="containsText" dxfId="452" priority="2086" operator="containsText" text="▽">
      <formula>NOT(ISERROR(SEARCH("▽",AA103)))</formula>
    </cfRule>
    <cfRule type="containsText" dxfId="451" priority="2087" operator="containsText" text="△">
      <formula>NOT(ISERROR(SEARCH("△",AA103)))</formula>
    </cfRule>
    <cfRule type="containsText" dxfId="450" priority="2088" operator="containsText" text="▽">
      <formula>NOT(ISERROR(SEARCH("▽",AA103)))</formula>
    </cfRule>
  </conditionalFormatting>
  <conditionalFormatting sqref="AA104:AA110">
    <cfRule type="containsText" dxfId="449" priority="2067" operator="containsText" text="△">
      <formula>NOT(ISERROR(SEARCH("△",AA104)))</formula>
    </cfRule>
    <cfRule type="containsText" dxfId="448" priority="2068" operator="containsText" text="▽">
      <formula>NOT(ISERROR(SEARCH("▽",AA104)))</formula>
    </cfRule>
    <cfRule type="containsText" dxfId="447" priority="2069" operator="containsText" text="△">
      <formula>NOT(ISERROR(SEARCH("△",AA104)))</formula>
    </cfRule>
    <cfRule type="containsText" dxfId="446" priority="2070" operator="containsText" text="▽">
      <formula>NOT(ISERROR(SEARCH("▽",AA104)))</formula>
    </cfRule>
  </conditionalFormatting>
  <conditionalFormatting sqref="AA105">
    <cfRule type="containsText" dxfId="445" priority="2061" operator="containsText" text="△">
      <formula>NOT(ISERROR(SEARCH("△",AA105)))</formula>
    </cfRule>
    <cfRule type="containsText" dxfId="444" priority="2062" operator="containsText" text="▽">
      <formula>NOT(ISERROR(SEARCH("▽",AA105)))</formula>
    </cfRule>
  </conditionalFormatting>
  <conditionalFormatting sqref="AA105:AA110">
    <cfRule type="containsText" dxfId="443" priority="2053" operator="containsText" text="△">
      <formula>NOT(ISERROR(SEARCH("△",AA105)))</formula>
    </cfRule>
    <cfRule type="containsText" dxfId="442" priority="2054" operator="containsText" text="▽">
      <formula>NOT(ISERROR(SEARCH("▽",AA105)))</formula>
    </cfRule>
  </conditionalFormatting>
  <conditionalFormatting sqref="AA106">
    <cfRule type="containsText" dxfId="441" priority="2051" operator="containsText" text="△">
      <formula>NOT(ISERROR(SEARCH("△",AA106)))</formula>
    </cfRule>
    <cfRule type="containsText" dxfId="440" priority="2052" operator="containsText" text="▽">
      <formula>NOT(ISERROR(SEARCH("▽",AA106)))</formula>
    </cfRule>
  </conditionalFormatting>
  <conditionalFormatting sqref="AA107:AA110">
    <cfRule type="containsText" dxfId="439" priority="2057" operator="containsText" text="△">
      <formula>NOT(ISERROR(SEARCH("△",AA107)))</formula>
    </cfRule>
    <cfRule type="containsText" dxfId="438" priority="2058" operator="containsText" text="▽">
      <formula>NOT(ISERROR(SEARCH("▽",AA107)))</formula>
    </cfRule>
  </conditionalFormatting>
  <conditionalFormatting sqref="AA108">
    <cfRule type="containsText" dxfId="437" priority="2049" operator="containsText" text="△">
      <formula>NOT(ISERROR(SEARCH("△",AA108)))</formula>
    </cfRule>
    <cfRule type="containsText" dxfId="436" priority="2050" operator="containsText" text="▽">
      <formula>NOT(ISERROR(SEARCH("▽",AA108)))</formula>
    </cfRule>
  </conditionalFormatting>
  <conditionalFormatting sqref="AA108:AA110">
    <cfRule type="containsText" dxfId="435" priority="2045" operator="containsText" text="△">
      <formula>NOT(ISERROR(SEARCH("△",AA108)))</formula>
    </cfRule>
    <cfRule type="containsText" dxfId="434" priority="2046" operator="containsText" text="▽">
      <formula>NOT(ISERROR(SEARCH("▽",AA108)))</formula>
    </cfRule>
  </conditionalFormatting>
  <conditionalFormatting sqref="AA109:AA110">
    <cfRule type="containsText" dxfId="433" priority="2043" operator="containsText" text="△">
      <formula>NOT(ISERROR(SEARCH("△",AA109)))</formula>
    </cfRule>
    <cfRule type="containsText" dxfId="432" priority="2044" operator="containsText" text="▽">
      <formula>NOT(ISERROR(SEARCH("▽",AA109)))</formula>
    </cfRule>
  </conditionalFormatting>
  <conditionalFormatting sqref="AA110">
    <cfRule type="containsText" dxfId="431" priority="2063" operator="containsText" text="△">
      <formula>NOT(ISERROR(SEARCH("△",AA110)))</formula>
    </cfRule>
    <cfRule type="containsText" dxfId="430" priority="2064" operator="containsText" text="▽">
      <formula>NOT(ISERROR(SEARCH("▽",AA110)))</formula>
    </cfRule>
    <cfRule type="containsText" dxfId="429" priority="2065" operator="containsText" text="△">
      <formula>NOT(ISERROR(SEARCH("△",AA110)))</formula>
    </cfRule>
    <cfRule type="containsText" dxfId="428" priority="2066" operator="containsText" text="▽">
      <formula>NOT(ISERROR(SEARCH("▽",AA110)))</formula>
    </cfRule>
  </conditionalFormatting>
  <conditionalFormatting sqref="AA116">
    <cfRule type="containsText" dxfId="427" priority="2113" operator="containsText" text="△">
      <formula>NOT(ISERROR(SEARCH("△",AA116)))</formula>
    </cfRule>
    <cfRule type="containsText" dxfId="426" priority="2114" operator="containsText" text="▽">
      <formula>NOT(ISERROR(SEARCH("▽",AA116)))</formula>
    </cfRule>
    <cfRule type="containsText" dxfId="425" priority="2115" operator="containsText" text="△">
      <formula>NOT(ISERROR(SEARCH("△",AA116)))</formula>
    </cfRule>
    <cfRule type="containsText" dxfId="424" priority="2116" operator="containsText" text="▽">
      <formula>NOT(ISERROR(SEARCH("▽",AA116)))</formula>
    </cfRule>
  </conditionalFormatting>
  <conditionalFormatting sqref="AA125">
    <cfRule type="containsText" dxfId="423" priority="2035" operator="containsText" text="△">
      <formula>NOT(ISERROR(SEARCH("△",AA125)))</formula>
    </cfRule>
    <cfRule type="containsText" dxfId="422" priority="2036" operator="containsText" text="▽">
      <formula>NOT(ISERROR(SEARCH("▽",AA125)))</formula>
    </cfRule>
    <cfRule type="containsText" dxfId="421" priority="2037" operator="containsText" text="△">
      <formula>NOT(ISERROR(SEARCH("△",AA125)))</formula>
    </cfRule>
    <cfRule type="containsText" dxfId="420" priority="2038" operator="containsText" text="▽">
      <formula>NOT(ISERROR(SEARCH("▽",AA125)))</formula>
    </cfRule>
  </conditionalFormatting>
  <conditionalFormatting sqref="AA130:AA131">
    <cfRule type="containsText" dxfId="419" priority="2075" operator="containsText" text="△">
      <formula>NOT(ISERROR(SEARCH("△",AA130)))</formula>
    </cfRule>
    <cfRule type="containsText" dxfId="418" priority="2076" operator="containsText" text="▽">
      <formula>NOT(ISERROR(SEARCH("▽",AA130)))</formula>
    </cfRule>
    <cfRule type="containsText" dxfId="417" priority="2077" operator="containsText" text="△">
      <formula>NOT(ISERROR(SEARCH("△",AA130)))</formula>
    </cfRule>
    <cfRule type="containsText" dxfId="416" priority="2078" operator="containsText" text="▽">
      <formula>NOT(ISERROR(SEARCH("▽",AA130)))</formula>
    </cfRule>
  </conditionalFormatting>
  <conditionalFormatting sqref="AA131">
    <cfRule type="containsText" dxfId="415" priority="2041" operator="containsText" text="△">
      <formula>NOT(ISERROR(SEARCH("△",AA131)))</formula>
    </cfRule>
    <cfRule type="containsText" dxfId="414" priority="2042" operator="containsText" text="▽">
      <formula>NOT(ISERROR(SEARCH("▽",AA131)))</formula>
    </cfRule>
  </conditionalFormatting>
  <conditionalFormatting sqref="AA131:AA132">
    <cfRule type="containsText" dxfId="413" priority="2033" operator="containsText" text="△">
      <formula>NOT(ISERROR(SEARCH("△",AA131)))</formula>
    </cfRule>
    <cfRule type="containsText" dxfId="412" priority="2034" operator="containsText" text="▽">
      <formula>NOT(ISERROR(SEARCH("▽",AA131)))</formula>
    </cfRule>
  </conditionalFormatting>
  <conditionalFormatting sqref="AA132:AA134">
    <cfRule type="containsText" dxfId="411" priority="2023" operator="containsText" text="△">
      <formula>NOT(ISERROR(SEARCH("△",AA132)))</formula>
    </cfRule>
    <cfRule type="containsText" dxfId="410" priority="2024" operator="containsText" text="▽">
      <formula>NOT(ISERROR(SEARCH("▽",AA132)))</formula>
    </cfRule>
  </conditionalFormatting>
  <conditionalFormatting sqref="AA133">
    <cfRule type="containsText" dxfId="409" priority="2021" operator="containsText" text="△">
      <formula>NOT(ISERROR(SEARCH("△",AA133)))</formula>
    </cfRule>
    <cfRule type="containsText" dxfId="408" priority="2022" operator="containsText" text="▽">
      <formula>NOT(ISERROR(SEARCH("▽",AA133)))</formula>
    </cfRule>
  </conditionalFormatting>
  <conditionalFormatting sqref="AA134">
    <cfRule type="containsText" dxfId="407" priority="2029" operator="containsText" text="△">
      <formula>NOT(ISERROR(SEARCH("△",AA134)))</formula>
    </cfRule>
    <cfRule type="containsText" dxfId="406" priority="2030" operator="containsText" text="▽">
      <formula>NOT(ISERROR(SEARCH("▽",AA134)))</formula>
    </cfRule>
  </conditionalFormatting>
  <conditionalFormatting sqref="AA136:AA138">
    <cfRule type="containsText" dxfId="405" priority="1901" operator="containsText" text="△">
      <formula>NOT(ISERROR(SEARCH("△",AA136)))</formula>
    </cfRule>
    <cfRule type="containsText" dxfId="404" priority="1902" operator="containsText" text="▽">
      <formula>NOT(ISERROR(SEARCH("▽",AA136)))</formula>
    </cfRule>
    <cfRule type="containsText" dxfId="403" priority="1903" operator="containsText" text="△">
      <formula>NOT(ISERROR(SEARCH("△",AA136)))</formula>
    </cfRule>
    <cfRule type="containsText" dxfId="402" priority="1904" operator="containsText" text="▽">
      <formula>NOT(ISERROR(SEARCH("▽",AA136)))</formula>
    </cfRule>
    <cfRule type="containsText" dxfId="401" priority="1907" operator="containsText" text="△">
      <formula>NOT(ISERROR(SEARCH("△",AA136)))</formula>
    </cfRule>
    <cfRule type="containsText" dxfId="400" priority="1908" operator="containsText" text="▽">
      <formula>NOT(ISERROR(SEARCH("▽",AA136)))</formula>
    </cfRule>
  </conditionalFormatting>
  <conditionalFormatting sqref="AA137:AA138">
    <cfRule type="containsText" dxfId="399" priority="1897" operator="containsText" text="△">
      <formula>NOT(ISERROR(SEARCH("△",AA137)))</formula>
    </cfRule>
    <cfRule type="containsText" dxfId="398" priority="1898" operator="containsText" text="▽">
      <formula>NOT(ISERROR(SEARCH("▽",AA137)))</formula>
    </cfRule>
    <cfRule type="containsText" dxfId="397" priority="1899" operator="containsText" text="△">
      <formula>NOT(ISERROR(SEARCH("△",AA137)))</formula>
    </cfRule>
    <cfRule type="containsText" dxfId="396" priority="1900" operator="containsText" text="▽">
      <formula>NOT(ISERROR(SEARCH("▽",AA137)))</formula>
    </cfRule>
  </conditionalFormatting>
  <conditionalFormatting sqref="AA138">
    <cfRule type="containsText" dxfId="395" priority="1895" operator="containsText" text="△">
      <formula>NOT(ISERROR(SEARCH("△",AA138)))</formula>
    </cfRule>
    <cfRule type="containsText" dxfId="394" priority="1896" operator="containsText" text="▽">
      <formula>NOT(ISERROR(SEARCH("▽",AA138)))</formula>
    </cfRule>
  </conditionalFormatting>
  <conditionalFormatting sqref="AA138:AA141">
    <cfRule type="containsText" dxfId="393" priority="1889" operator="containsText" text="△">
      <formula>NOT(ISERROR(SEARCH("△",AA138)))</formula>
    </cfRule>
    <cfRule type="containsText" dxfId="392" priority="1890" operator="containsText" text="▽">
      <formula>NOT(ISERROR(SEARCH("▽",AA138)))</formula>
    </cfRule>
  </conditionalFormatting>
  <conditionalFormatting sqref="AA139:AA141 Z271:AA271 Z272:Z288">
    <cfRule type="containsText" dxfId="391" priority="1885" operator="containsText" text="▲">
      <formula>NOT(ISERROR(SEARCH("▲",Z139)))</formula>
    </cfRule>
    <cfRule type="containsText" dxfId="390" priority="1886" operator="containsText" text="▼">
      <formula>NOT(ISERROR(SEARCH("▼",Z139)))</formula>
    </cfRule>
  </conditionalFormatting>
  <conditionalFormatting sqref="AA139:AA141">
    <cfRule type="containsText" dxfId="389" priority="1863" operator="containsText" text="△">
      <formula>NOT(ISERROR(SEARCH("△",AA139)))</formula>
    </cfRule>
    <cfRule type="containsText" dxfId="388" priority="1864" operator="containsText" text="▽">
      <formula>NOT(ISERROR(SEARCH("▽",AA139)))</formula>
    </cfRule>
    <cfRule type="containsText" dxfId="387" priority="1865" operator="containsText" text="△">
      <formula>NOT(ISERROR(SEARCH("△",AA139)))</formula>
    </cfRule>
    <cfRule type="containsText" dxfId="386" priority="1866" operator="containsText" text="▽">
      <formula>NOT(ISERROR(SEARCH("▽",AA139)))</formula>
    </cfRule>
    <cfRule type="containsText" dxfId="385" priority="1867" operator="containsText" text="△">
      <formula>NOT(ISERROR(SEARCH("△",AA139)))</formula>
    </cfRule>
    <cfRule type="containsText" dxfId="384" priority="1868" operator="containsText" text="▽">
      <formula>NOT(ISERROR(SEARCH("▽",AA139)))</formula>
    </cfRule>
    <cfRule type="containsText" dxfId="383" priority="1873" operator="containsText" text="△">
      <formula>NOT(ISERROR(SEARCH("△",AA139)))</formula>
    </cfRule>
    <cfRule type="containsText" dxfId="382" priority="1874" operator="containsText" text="▽">
      <formula>NOT(ISERROR(SEARCH("▽",AA139)))</formula>
    </cfRule>
    <cfRule type="containsText" dxfId="381" priority="1875" operator="containsText" text="△">
      <formula>NOT(ISERROR(SEARCH("△",AA139)))</formula>
    </cfRule>
    <cfRule type="containsText" dxfId="380" priority="1876" operator="containsText" text="▽">
      <formula>NOT(ISERROR(SEARCH("▽",AA139)))</formula>
    </cfRule>
    <cfRule type="containsText" dxfId="379" priority="1877" operator="containsText" text="△">
      <formula>NOT(ISERROR(SEARCH("△",AA139)))</formula>
    </cfRule>
    <cfRule type="containsText" dxfId="378" priority="1878" operator="containsText" text="▽">
      <formula>NOT(ISERROR(SEARCH("▽",AA139)))</formula>
    </cfRule>
    <cfRule type="containsText" dxfId="377" priority="1879" operator="containsText" text="△">
      <formula>NOT(ISERROR(SEARCH("△",AA139)))</formula>
    </cfRule>
    <cfRule type="containsText" dxfId="376" priority="1880" operator="containsText" text="▽">
      <formula>NOT(ISERROR(SEARCH("▽",AA139)))</formula>
    </cfRule>
    <cfRule type="containsText" dxfId="375" priority="1883" operator="containsText" text="△">
      <formula>NOT(ISERROR(SEARCH("△",AA139)))</formula>
    </cfRule>
    <cfRule type="containsText" dxfId="374" priority="1884" operator="containsText" text="▽">
      <formula>NOT(ISERROR(SEARCH("▽",AA139)))</formula>
    </cfRule>
  </conditionalFormatting>
  <conditionalFormatting sqref="AA139:AA142">
    <cfRule type="containsText" dxfId="373" priority="1855" operator="containsText" text="△">
      <formula>NOT(ISERROR(SEARCH("△",AA139)))</formula>
    </cfRule>
    <cfRule type="containsText" dxfId="372" priority="1856" operator="containsText" text="▽">
      <formula>NOT(ISERROR(SEARCH("▽",AA139)))</formula>
    </cfRule>
  </conditionalFormatting>
  <conditionalFormatting sqref="AA141">
    <cfRule type="containsText" dxfId="371" priority="1869" operator="containsText" text="△">
      <formula>NOT(ISERROR(SEARCH("△",AA141)))</formula>
    </cfRule>
    <cfRule type="containsText" dxfId="370" priority="1870" operator="containsText" text="▽">
      <formula>NOT(ISERROR(SEARCH("▽",AA141)))</formula>
    </cfRule>
    <cfRule type="containsText" dxfId="369" priority="1871" operator="containsText" text="△">
      <formula>NOT(ISERROR(SEARCH("△",AA141)))</formula>
    </cfRule>
    <cfRule type="containsText" dxfId="368" priority="1872" operator="containsText" text="▽">
      <formula>NOT(ISERROR(SEARCH("▽",AA141)))</formula>
    </cfRule>
  </conditionalFormatting>
  <conditionalFormatting sqref="AA142">
    <cfRule type="containsText" dxfId="367" priority="1833" operator="containsText" text="△">
      <formula>NOT(ISERROR(SEARCH("△",AA142)))</formula>
    </cfRule>
    <cfRule type="containsText" dxfId="366" priority="1834" operator="containsText" text="▽">
      <formula>NOT(ISERROR(SEARCH("▽",AA142)))</formula>
    </cfRule>
    <cfRule type="containsText" dxfId="365" priority="1835" operator="containsText" text="△">
      <formula>NOT(ISERROR(SEARCH("△",AA142)))</formula>
    </cfRule>
    <cfRule type="containsText" dxfId="364" priority="1836" operator="containsText" text="▽">
      <formula>NOT(ISERROR(SEARCH("▽",AA142)))</formula>
    </cfRule>
    <cfRule type="containsText" dxfId="363" priority="1837" operator="containsText" text="△">
      <formula>NOT(ISERROR(SEARCH("△",AA142)))</formula>
    </cfRule>
    <cfRule type="containsText" dxfId="362" priority="1838" operator="containsText" text="▽">
      <formula>NOT(ISERROR(SEARCH("▽",AA142)))</formula>
    </cfRule>
    <cfRule type="containsText" dxfId="361" priority="1839" operator="containsText" text="△">
      <formula>NOT(ISERROR(SEARCH("△",AA142)))</formula>
    </cfRule>
    <cfRule type="containsText" dxfId="360" priority="1840" operator="containsText" text="▽">
      <formula>NOT(ISERROR(SEARCH("▽",AA142)))</formula>
    </cfRule>
    <cfRule type="containsText" dxfId="359" priority="1841" operator="containsText" text="△">
      <formula>NOT(ISERROR(SEARCH("△",AA142)))</formula>
    </cfRule>
    <cfRule type="containsText" dxfId="358" priority="1842" operator="containsText" text="▽">
      <formula>NOT(ISERROR(SEARCH("▽",AA142)))</formula>
    </cfRule>
    <cfRule type="containsText" dxfId="357" priority="1843" operator="containsText" text="△">
      <formula>NOT(ISERROR(SEARCH("△",AA142)))</formula>
    </cfRule>
    <cfRule type="containsText" dxfId="356" priority="1844" operator="containsText" text="▽">
      <formula>NOT(ISERROR(SEARCH("▽",AA142)))</formula>
    </cfRule>
    <cfRule type="containsText" dxfId="355" priority="1845" operator="containsText" text="△">
      <formula>NOT(ISERROR(SEARCH("△",AA142)))</formula>
    </cfRule>
    <cfRule type="containsText" dxfId="354" priority="1846" operator="containsText" text="▽">
      <formula>NOT(ISERROR(SEARCH("▽",AA142)))</formula>
    </cfRule>
    <cfRule type="containsText" dxfId="353" priority="1847" operator="containsText" text="△">
      <formula>NOT(ISERROR(SEARCH("△",AA142)))</formula>
    </cfRule>
    <cfRule type="containsText" dxfId="352" priority="1848" operator="containsText" text="▽">
      <formula>NOT(ISERROR(SEARCH("▽",AA142)))</formula>
    </cfRule>
    <cfRule type="containsText" dxfId="351" priority="1849" operator="containsText" text="△">
      <formula>NOT(ISERROR(SEARCH("△",AA142)))</formula>
    </cfRule>
    <cfRule type="containsText" dxfId="350" priority="1850" operator="containsText" text="▽">
      <formula>NOT(ISERROR(SEARCH("▽",AA142)))</formula>
    </cfRule>
    <cfRule type="containsText" dxfId="349" priority="1851" operator="containsText" text="△">
      <formula>NOT(ISERROR(SEARCH("△",AA142)))</formula>
    </cfRule>
    <cfRule type="containsText" dxfId="348" priority="1852" operator="containsText" text="▽">
      <formula>NOT(ISERROR(SEARCH("▽",AA142)))</formula>
    </cfRule>
    <cfRule type="containsText" dxfId="347" priority="1853" operator="containsText" text="△">
      <formula>NOT(ISERROR(SEARCH("△",AA142)))</formula>
    </cfRule>
    <cfRule type="containsText" dxfId="346" priority="1854" operator="containsText" text="▽">
      <formula>NOT(ISERROR(SEARCH("▽",AA142)))</formula>
    </cfRule>
  </conditionalFormatting>
  <conditionalFormatting sqref="AA142:AA143">
    <cfRule type="containsText" dxfId="345" priority="1823" operator="containsText" text="△">
      <formula>NOT(ISERROR(SEARCH("△",AA142)))</formula>
    </cfRule>
    <cfRule type="containsText" dxfId="344" priority="1824" operator="containsText" text="▽">
      <formula>NOT(ISERROR(SEARCH("▽",AA142)))</formula>
    </cfRule>
  </conditionalFormatting>
  <conditionalFormatting sqref="AA143">
    <cfRule type="containsText" dxfId="343" priority="1827" operator="containsText" text="▲">
      <formula>NOT(ISERROR(SEARCH("▲",AA143)))</formula>
    </cfRule>
    <cfRule type="containsText" dxfId="342" priority="1828" operator="containsText" text="▼">
      <formula>NOT(ISERROR(SEARCH("▼",AA143)))</formula>
    </cfRule>
  </conditionalFormatting>
  <conditionalFormatting sqref="AA143:AA145">
    <cfRule type="containsText" dxfId="341" priority="853" operator="containsText" text="△">
      <formula>NOT(ISERROR(SEARCH("△",AA143)))</formula>
    </cfRule>
    <cfRule type="containsText" dxfId="340" priority="854" operator="containsText" text="▽">
      <formula>NOT(ISERROR(SEARCH("▽",AA143)))</formula>
    </cfRule>
  </conditionalFormatting>
  <conditionalFormatting sqref="AA144">
    <cfRule type="containsText" dxfId="339" priority="851" operator="containsText" text="△">
      <formula>NOT(ISERROR(SEARCH("△",AA144)))</formula>
    </cfRule>
    <cfRule type="containsText" dxfId="338" priority="852" operator="containsText" text="▽">
      <formula>NOT(ISERROR(SEARCH("▽",AA144)))</formula>
    </cfRule>
  </conditionalFormatting>
  <conditionalFormatting sqref="AA144:AA148">
    <cfRule type="containsText" dxfId="337" priority="1817" operator="containsText" text="▲">
      <formula>NOT(ISERROR(SEARCH("▲",AA144)))</formula>
    </cfRule>
    <cfRule type="containsText" dxfId="336" priority="1818" operator="containsText" text="▼">
      <formula>NOT(ISERROR(SEARCH("▼",AA144)))</formula>
    </cfRule>
  </conditionalFormatting>
  <conditionalFormatting sqref="AA145:AA146">
    <cfRule type="containsText" dxfId="335" priority="857" operator="containsText" text="△">
      <formula>NOT(ISERROR(SEARCH("△",AA145)))</formula>
    </cfRule>
    <cfRule type="containsText" dxfId="334" priority="858" operator="containsText" text="▽">
      <formula>NOT(ISERROR(SEARCH("▽",AA145)))</formula>
    </cfRule>
  </conditionalFormatting>
  <conditionalFormatting sqref="AA146:AA150">
    <cfRule type="containsText" dxfId="333" priority="1757" operator="containsText" text="△">
      <formula>NOT(ISERROR(SEARCH("△",AA146)))</formula>
    </cfRule>
    <cfRule type="containsText" dxfId="332" priority="1758" operator="containsText" text="▽">
      <formula>NOT(ISERROR(SEARCH("▽",AA146)))</formula>
    </cfRule>
  </conditionalFormatting>
  <conditionalFormatting sqref="AA147:AA148">
    <cfRule type="containsText" dxfId="331" priority="1815" operator="containsText" text="△">
      <formula>NOT(ISERROR(SEARCH("△",AA147)))</formula>
    </cfRule>
    <cfRule type="containsText" dxfId="330" priority="1816" operator="containsText" text="▽">
      <formula>NOT(ISERROR(SEARCH("▽",AA147)))</formula>
    </cfRule>
  </conditionalFormatting>
  <conditionalFormatting sqref="AA148:AA152">
    <cfRule type="containsText" dxfId="329" priority="429" operator="containsText" text="▲">
      <formula>NOT(ISERROR(SEARCH("▲",AA148)))</formula>
    </cfRule>
    <cfRule type="containsText" dxfId="328" priority="430" operator="containsText" text="▼">
      <formula>NOT(ISERROR(SEARCH("▼",AA148)))</formula>
    </cfRule>
  </conditionalFormatting>
  <conditionalFormatting sqref="AA153">
    <cfRule type="containsText" dxfId="327" priority="1785" operator="containsText" text="△">
      <formula>NOT(ISERROR(SEARCH("△",AA153)))</formula>
    </cfRule>
    <cfRule type="containsText" dxfId="326" priority="1786" operator="containsText" text="▽">
      <formula>NOT(ISERROR(SEARCH("▽",AA153)))</formula>
    </cfRule>
  </conditionalFormatting>
  <conditionalFormatting sqref="AA153:AA161 AA163:AA173">
    <cfRule type="containsText" dxfId="325" priority="1776" operator="containsText" text="▼">
      <formula>NOT(ISERROR(SEARCH("▼",AA153)))</formula>
    </cfRule>
  </conditionalFormatting>
  <conditionalFormatting sqref="AA155:AA161 AA163:AA173">
    <cfRule type="containsText" dxfId="324" priority="1779" operator="containsText" text="▲">
      <formula>NOT(ISERROR(SEARCH("▲",AA155)))</formula>
    </cfRule>
    <cfRule type="containsText" dxfId="323" priority="1780" operator="containsText" text="▼">
      <formula>NOT(ISERROR(SEARCH("▼",AA155)))</formula>
    </cfRule>
  </conditionalFormatting>
  <conditionalFormatting sqref="AA156:AA161 AA163:AA173">
    <cfRule type="containsText" dxfId="322" priority="1764" operator="containsText" text="▼">
      <formula>NOT(ISERROR(SEARCH("▼",AA156)))</formula>
    </cfRule>
  </conditionalFormatting>
  <conditionalFormatting sqref="AA157:AA161 AA163:AA173">
    <cfRule type="containsText" dxfId="321" priority="1800" operator="containsText" text="▼">
      <formula>NOT(ISERROR(SEARCH("▼",AA157)))</formula>
    </cfRule>
  </conditionalFormatting>
  <conditionalFormatting sqref="AA158:AA161 AA163:AA173">
    <cfRule type="containsText" dxfId="320" priority="1767" operator="containsText" text="▲">
      <formula>NOT(ISERROR(SEARCH("▲",AA158)))</formula>
    </cfRule>
    <cfRule type="containsText" dxfId="319" priority="1768" operator="containsText" text="▼">
      <formula>NOT(ISERROR(SEARCH("▼",AA158)))</formula>
    </cfRule>
  </conditionalFormatting>
  <conditionalFormatting sqref="AA159:AA162">
    <cfRule type="containsText" dxfId="318" priority="1715" operator="containsText" text="▲">
      <formula>NOT(ISERROR(SEARCH("▲",AA159)))</formula>
    </cfRule>
    <cfRule type="containsText" dxfId="317" priority="1716" operator="containsText" text="▼">
      <formula>NOT(ISERROR(SEARCH("▼",AA159)))</formula>
    </cfRule>
  </conditionalFormatting>
  <conditionalFormatting sqref="AA160:AA161 AA163:AA173">
    <cfRule type="containsText" dxfId="316" priority="1803" operator="containsText" text="▲">
      <formula>NOT(ISERROR(SEARCH("▲",AA160)))</formula>
    </cfRule>
    <cfRule type="containsText" dxfId="315" priority="1804" operator="containsText" text="▼">
      <formula>NOT(ISERROR(SEARCH("▼",AA160)))</formula>
    </cfRule>
  </conditionalFormatting>
  <conditionalFormatting sqref="AA161 AA163:AA173">
    <cfRule type="containsText" dxfId="314" priority="1738" operator="containsText" text="▼">
      <formula>NOT(ISERROR(SEARCH("▼",AA161)))</formula>
    </cfRule>
  </conditionalFormatting>
  <conditionalFormatting sqref="AA162">
    <cfRule type="containsText" dxfId="313" priority="1687" operator="containsText" text="▲">
      <formula>NOT(ISERROR(SEARCH("▲",AA162)))</formula>
    </cfRule>
    <cfRule type="containsText" dxfId="312" priority="1688" operator="containsText" text="▼">
      <formula>NOT(ISERROR(SEARCH("▼",AA162)))</formula>
    </cfRule>
    <cfRule type="containsText" dxfId="311" priority="1691" operator="containsText" text="▲">
      <formula>NOT(ISERROR(SEARCH("▲",AA162)))</formula>
    </cfRule>
    <cfRule type="containsText" dxfId="310" priority="1692" operator="containsText" text="▼">
      <formula>NOT(ISERROR(SEARCH("▼",AA162)))</formula>
    </cfRule>
    <cfRule type="containsText" dxfId="309" priority="1695" operator="containsText" text="▲">
      <formula>NOT(ISERROR(SEARCH("▲",AA162)))</formula>
    </cfRule>
    <cfRule type="containsText" dxfId="308" priority="1696" operator="containsText" text="▼">
      <formula>NOT(ISERROR(SEARCH("▼",AA162)))</formula>
    </cfRule>
    <cfRule type="containsText" dxfId="307" priority="1699" operator="containsText" text="▲">
      <formula>NOT(ISERROR(SEARCH("▲",AA162)))</formula>
    </cfRule>
    <cfRule type="containsText" dxfId="306" priority="1700" operator="containsText" text="▼">
      <formula>NOT(ISERROR(SEARCH("▼",AA162)))</formula>
    </cfRule>
    <cfRule type="containsText" dxfId="305" priority="1703" operator="containsText" text="▲">
      <formula>NOT(ISERROR(SEARCH("▲",AA162)))</formula>
    </cfRule>
    <cfRule type="containsText" dxfId="304" priority="1704" operator="containsText" text="▼">
      <formula>NOT(ISERROR(SEARCH("▼",AA162)))</formula>
    </cfRule>
    <cfRule type="containsText" dxfId="303" priority="1707" operator="containsText" text="▲">
      <formula>NOT(ISERROR(SEARCH("▲",AA162)))</formula>
    </cfRule>
    <cfRule type="containsText" dxfId="302" priority="1708" operator="containsText" text="▼">
      <formula>NOT(ISERROR(SEARCH("▼",AA162)))</formula>
    </cfRule>
    <cfRule type="containsText" dxfId="301" priority="1711" operator="containsText" text="▲">
      <formula>NOT(ISERROR(SEARCH("▲",AA162)))</formula>
    </cfRule>
    <cfRule type="containsText" dxfId="300" priority="1712" operator="containsText" text="▼">
      <formula>NOT(ISERROR(SEARCH("▼",AA162)))</formula>
    </cfRule>
  </conditionalFormatting>
  <conditionalFormatting sqref="AA163:AA173 AA153:AA161">
    <cfRule type="containsText" dxfId="299" priority="1775" operator="containsText" text="▲">
      <formula>NOT(ISERROR(SEARCH("▲",AA153)))</formula>
    </cfRule>
  </conditionalFormatting>
  <conditionalFormatting sqref="AA163:AA173 AA156:AA161">
    <cfRule type="containsText" dxfId="298" priority="1763" operator="containsText" text="▲">
      <formula>NOT(ISERROR(SEARCH("▲",AA156)))</formula>
    </cfRule>
  </conditionalFormatting>
  <conditionalFormatting sqref="AA163:AA173 AA157:AA161">
    <cfRule type="containsText" dxfId="297" priority="1799" operator="containsText" text="▲">
      <formula>NOT(ISERROR(SEARCH("▲",AA157)))</formula>
    </cfRule>
  </conditionalFormatting>
  <conditionalFormatting sqref="AA163:AA173 AA161">
    <cfRule type="containsText" dxfId="296" priority="1737" operator="containsText" text="▲">
      <formula>NOT(ISERROR(SEARCH("▲",AA161)))</formula>
    </cfRule>
  </conditionalFormatting>
  <conditionalFormatting sqref="AA163:AA173">
    <cfRule type="containsText" dxfId="295" priority="1727" operator="containsText" text="▲">
      <formula>NOT(ISERROR(SEARCH("▲",AA163)))</formula>
    </cfRule>
    <cfRule type="containsText" dxfId="294" priority="1728" operator="containsText" text="▼">
      <formula>NOT(ISERROR(SEARCH("▼",AA163)))</formula>
    </cfRule>
    <cfRule type="containsText" dxfId="293" priority="1729" operator="containsText" text="▲">
      <formula>NOT(ISERROR(SEARCH("▲",AA163)))</formula>
    </cfRule>
    <cfRule type="containsText" dxfId="292" priority="1730" operator="containsText" text="▼">
      <formula>NOT(ISERROR(SEARCH("▼",AA163)))</formula>
    </cfRule>
  </conditionalFormatting>
  <conditionalFormatting sqref="AA164:AA173">
    <cfRule type="containsText" dxfId="291" priority="1759" operator="containsText" text="▲">
      <formula>NOT(ISERROR(SEARCH("▲",AA164)))</formula>
    </cfRule>
    <cfRule type="containsText" dxfId="290" priority="1760" operator="containsText" text="▼">
      <formula>NOT(ISERROR(SEARCH("▼",AA164)))</formula>
    </cfRule>
  </conditionalFormatting>
  <conditionalFormatting sqref="AA166:AA173">
    <cfRule type="containsText" dxfId="289" priority="1795" operator="containsText" text="▲">
      <formula>NOT(ISERROR(SEARCH("▲",AA166)))</formula>
    </cfRule>
    <cfRule type="containsText" dxfId="288" priority="1796" operator="containsText" text="▼">
      <formula>NOT(ISERROR(SEARCH("▼",AA166)))</formula>
    </cfRule>
  </conditionalFormatting>
  <conditionalFormatting sqref="AA167:AA173">
    <cfRule type="containsText" dxfId="287" priority="1771" operator="containsText" text="▲">
      <formula>NOT(ISERROR(SEARCH("▲",AA167)))</formula>
    </cfRule>
    <cfRule type="containsText" dxfId="286" priority="1772" operator="containsText" text="▼">
      <formula>NOT(ISERROR(SEARCH("▼",AA167)))</formula>
    </cfRule>
  </conditionalFormatting>
  <conditionalFormatting sqref="AA168:AA173">
    <cfRule type="containsText" dxfId="285" priority="1743" operator="containsText" text="▲">
      <formula>NOT(ISERROR(SEARCH("▲",AA168)))</formula>
    </cfRule>
    <cfRule type="containsText" dxfId="284" priority="1744" operator="containsText" text="▼">
      <formula>NOT(ISERROR(SEARCH("▼",AA168)))</formula>
    </cfRule>
  </conditionalFormatting>
  <conditionalFormatting sqref="AA169:AA173">
    <cfRule type="containsText" dxfId="283" priority="1739" operator="containsText" text="▲">
      <formula>NOT(ISERROR(SEARCH("▲",AA169)))</formula>
    </cfRule>
    <cfRule type="containsText" dxfId="282" priority="1740" operator="containsText" text="▼">
      <formula>NOT(ISERROR(SEARCH("▼",AA169)))</formula>
    </cfRule>
  </conditionalFormatting>
  <conditionalFormatting sqref="AA170:AA173">
    <cfRule type="containsText" dxfId="281" priority="1733" operator="containsText" text="▲">
      <formula>NOT(ISERROR(SEARCH("▲",AA170)))</formula>
    </cfRule>
    <cfRule type="containsText" dxfId="280" priority="1734" operator="containsText" text="▼">
      <formula>NOT(ISERROR(SEARCH("▼",AA170)))</formula>
    </cfRule>
  </conditionalFormatting>
  <conditionalFormatting sqref="AA171:AA189">
    <cfRule type="containsText" dxfId="279" priority="1671" operator="containsText" text="▲">
      <formula>NOT(ISERROR(SEARCH("▲",AA171)))</formula>
    </cfRule>
    <cfRule type="containsText" dxfId="278" priority="1672" operator="containsText" text="▼">
      <formula>NOT(ISERROR(SEARCH("▼",AA171)))</formula>
    </cfRule>
  </conditionalFormatting>
  <conditionalFormatting sqref="AA172:AA173">
    <cfRule type="containsText" dxfId="277" priority="1723" operator="containsText" text="▲">
      <formula>NOT(ISERROR(SEARCH("▲",AA172)))</formula>
    </cfRule>
    <cfRule type="containsText" dxfId="276" priority="1724" operator="containsText" text="▼">
      <formula>NOT(ISERROR(SEARCH("▼",AA172)))</formula>
    </cfRule>
  </conditionalFormatting>
  <conditionalFormatting sqref="AA174">
    <cfRule type="containsText" dxfId="275" priority="1645" operator="containsText" text="△">
      <formula>NOT(ISERROR(SEARCH("△",AA174)))</formula>
    </cfRule>
    <cfRule type="containsText" dxfId="274" priority="1646" operator="containsText" text="▽">
      <formula>NOT(ISERROR(SEARCH("▽",AA174)))</formula>
    </cfRule>
    <cfRule type="containsText" dxfId="273" priority="1647" operator="containsText" text="△">
      <formula>NOT(ISERROR(SEARCH("△",AA174)))</formula>
    </cfRule>
    <cfRule type="containsText" dxfId="272" priority="1648" operator="containsText" text="▽">
      <formula>NOT(ISERROR(SEARCH("▽",AA174)))</formula>
    </cfRule>
    <cfRule type="containsText" dxfId="271" priority="1649" operator="containsText" text="△">
      <formula>NOT(ISERROR(SEARCH("△",AA174)))</formula>
    </cfRule>
    <cfRule type="containsText" dxfId="270" priority="1650" operator="containsText" text="▽">
      <formula>NOT(ISERROR(SEARCH("▽",AA174)))</formula>
    </cfRule>
    <cfRule type="containsText" dxfId="269" priority="1651" operator="containsText" text="△">
      <formula>NOT(ISERROR(SEARCH("△",AA174)))</formula>
    </cfRule>
    <cfRule type="containsText" dxfId="268" priority="1652" operator="containsText" text="▽">
      <formula>NOT(ISERROR(SEARCH("▽",AA174)))</formula>
    </cfRule>
    <cfRule type="containsText" dxfId="267" priority="1653" operator="containsText" text="△">
      <formula>NOT(ISERROR(SEARCH("△",AA174)))</formula>
    </cfRule>
    <cfRule type="containsText" dxfId="266" priority="1654" operator="containsText" text="▽">
      <formula>NOT(ISERROR(SEARCH("▽",AA174)))</formula>
    </cfRule>
    <cfRule type="containsText" dxfId="265" priority="1655" operator="containsText" text="△">
      <formula>NOT(ISERROR(SEARCH("△",AA174)))</formula>
    </cfRule>
    <cfRule type="containsText" dxfId="264" priority="1656" operator="containsText" text="▽">
      <formula>NOT(ISERROR(SEARCH("▽",AA174)))</formula>
    </cfRule>
    <cfRule type="containsText" dxfId="263" priority="1657" operator="containsText" text="△">
      <formula>NOT(ISERROR(SEARCH("△",AA174)))</formula>
    </cfRule>
    <cfRule type="containsText" dxfId="262" priority="1658" operator="containsText" text="▽">
      <formula>NOT(ISERROR(SEARCH("▽",AA174)))</formula>
    </cfRule>
    <cfRule type="containsText" dxfId="261" priority="1659" operator="containsText" text="△">
      <formula>NOT(ISERROR(SEARCH("△",AA174)))</formula>
    </cfRule>
    <cfRule type="containsText" dxfId="260" priority="1660" operator="containsText" text="▽">
      <formula>NOT(ISERROR(SEARCH("▽",AA174)))</formula>
    </cfRule>
    <cfRule type="containsText" dxfId="259" priority="1661" operator="containsText" text="△">
      <formula>NOT(ISERROR(SEARCH("△",AA174)))</formula>
    </cfRule>
    <cfRule type="containsText" dxfId="258" priority="1662" operator="containsText" text="▽">
      <formula>NOT(ISERROR(SEARCH("▽",AA174)))</formula>
    </cfRule>
    <cfRule type="containsText" dxfId="257" priority="1665" operator="containsText" text="△">
      <formula>NOT(ISERROR(SEARCH("△",AA174)))</formula>
    </cfRule>
    <cfRule type="containsText" dxfId="256" priority="1666" operator="containsText" text="▽">
      <formula>NOT(ISERROR(SEARCH("▽",AA174)))</formula>
    </cfRule>
    <cfRule type="containsText" dxfId="255" priority="1681" operator="containsText" text="△">
      <formula>NOT(ISERROR(SEARCH("△",AA174)))</formula>
    </cfRule>
    <cfRule type="containsText" dxfId="254" priority="1682" operator="containsText" text="▽">
      <formula>NOT(ISERROR(SEARCH("▽",AA174)))</formula>
    </cfRule>
  </conditionalFormatting>
  <conditionalFormatting sqref="AA178 AA180:AA189">
    <cfRule type="containsText" dxfId="253" priority="1678" operator="containsText" text="▼">
      <formula>NOT(ISERROR(SEARCH("▼",AA178)))</formula>
    </cfRule>
  </conditionalFormatting>
  <conditionalFormatting sqref="AA180:AA189 AA178">
    <cfRule type="containsText" dxfId="252" priority="1677" operator="containsText" text="▲">
      <formula>NOT(ISERROR(SEARCH("▲",AA178)))</formula>
    </cfRule>
  </conditionalFormatting>
  <conditionalFormatting sqref="AA185:AA189">
    <cfRule type="containsText" dxfId="251" priority="1673" operator="containsText" text="▲">
      <formula>NOT(ISERROR(SEARCH("▲",AA185)))</formula>
    </cfRule>
    <cfRule type="containsText" dxfId="250" priority="1674" operator="containsText" text="▼">
      <formula>NOT(ISERROR(SEARCH("▼",AA185)))</formula>
    </cfRule>
  </conditionalFormatting>
  <conditionalFormatting sqref="AA190">
    <cfRule type="containsText" dxfId="249" priority="1625" operator="containsText" text="▲">
      <formula>NOT(ISERROR(SEARCH("▲",AA190)))</formula>
    </cfRule>
    <cfRule type="containsText" dxfId="248" priority="1626" operator="containsText" text="▼">
      <formula>NOT(ISERROR(SEARCH("▼",AA190)))</formula>
    </cfRule>
    <cfRule type="containsText" dxfId="247" priority="1627" operator="containsText" text="▲">
      <formula>NOT(ISERROR(SEARCH("▲",AA190)))</formula>
    </cfRule>
    <cfRule type="containsText" dxfId="246" priority="1628" operator="containsText" text="▼">
      <formula>NOT(ISERROR(SEARCH("▼",AA190)))</formula>
    </cfRule>
    <cfRule type="containsText" dxfId="245" priority="1629" operator="containsText" text="▲">
      <formula>NOT(ISERROR(SEARCH("▲",AA190)))</formula>
    </cfRule>
    <cfRule type="containsText" dxfId="244" priority="1630" operator="containsText" text="▼">
      <formula>NOT(ISERROR(SEARCH("▼",AA190)))</formula>
    </cfRule>
    <cfRule type="containsText" dxfId="243" priority="1631" operator="containsText" text="▲">
      <formula>NOT(ISERROR(SEARCH("▲",AA190)))</formula>
    </cfRule>
    <cfRule type="containsText" dxfId="242" priority="1632" operator="containsText" text="▼">
      <formula>NOT(ISERROR(SEARCH("▼",AA190)))</formula>
    </cfRule>
    <cfRule type="containsText" dxfId="241" priority="1635" operator="containsText" text="▲">
      <formula>NOT(ISERROR(SEARCH("▲",AA190)))</formula>
    </cfRule>
    <cfRule type="containsText" dxfId="240" priority="1636" operator="containsText" text="▼">
      <formula>NOT(ISERROR(SEARCH("▼",AA190)))</formula>
    </cfRule>
    <cfRule type="containsText" dxfId="239" priority="1639" operator="containsText" text="△">
      <formula>NOT(ISERROR(SEARCH("△",AA190)))</formula>
    </cfRule>
    <cfRule type="containsText" dxfId="238" priority="1640" operator="containsText" text="▽">
      <formula>NOT(ISERROR(SEARCH("▽",AA190)))</formula>
    </cfRule>
  </conditionalFormatting>
  <conditionalFormatting sqref="AA190:AA216">
    <cfRule type="containsText" dxfId="237" priority="1609" operator="containsText" text="▲">
      <formula>NOT(ISERROR(SEARCH("▲",AA190)))</formula>
    </cfRule>
    <cfRule type="containsText" dxfId="236" priority="1610" operator="containsText" text="▼">
      <formula>NOT(ISERROR(SEARCH("▼",AA190)))</formula>
    </cfRule>
  </conditionalFormatting>
  <conditionalFormatting sqref="AA191">
    <cfRule type="containsText" dxfId="235" priority="1547" operator="containsText" text="△">
      <formula>NOT(ISERROR(SEARCH("△",AA191)))</formula>
    </cfRule>
    <cfRule type="containsText" dxfId="234" priority="1548" operator="containsText" text="▽">
      <formula>NOT(ISERROR(SEARCH("▽",AA191)))</formula>
    </cfRule>
    <cfRule type="containsText" dxfId="233" priority="1549" operator="containsText" text="△">
      <formula>NOT(ISERROR(SEARCH("△",AA191)))</formula>
    </cfRule>
    <cfRule type="containsText" dxfId="232" priority="1550" operator="containsText" text="▽">
      <formula>NOT(ISERROR(SEARCH("▽",AA191)))</formula>
    </cfRule>
    <cfRule type="containsText" dxfId="231" priority="1551" operator="containsText" text="△">
      <formula>NOT(ISERROR(SEARCH("△",AA191)))</formula>
    </cfRule>
    <cfRule type="containsText" dxfId="230" priority="1552" operator="containsText" text="▽">
      <formula>NOT(ISERROR(SEARCH("▽",AA191)))</formula>
    </cfRule>
    <cfRule type="containsText" dxfId="229" priority="1553" operator="containsText" text="△">
      <formula>NOT(ISERROR(SEARCH("△",AA191)))</formula>
    </cfRule>
    <cfRule type="containsText" dxfId="228" priority="1554" operator="containsText" text="▽">
      <formula>NOT(ISERROR(SEARCH("▽",AA191)))</formula>
    </cfRule>
    <cfRule type="containsText" dxfId="227" priority="1555" operator="containsText" text="△">
      <formula>NOT(ISERROR(SEARCH("△",AA191)))</formula>
    </cfRule>
    <cfRule type="containsText" dxfId="226" priority="1556" operator="containsText" text="▽">
      <formula>NOT(ISERROR(SEARCH("▽",AA191)))</formula>
    </cfRule>
    <cfRule type="containsText" dxfId="225" priority="1557" operator="containsText" text="△">
      <formula>NOT(ISERROR(SEARCH("△",AA191)))</formula>
    </cfRule>
    <cfRule type="containsText" dxfId="224" priority="1558" operator="containsText" text="▽">
      <formula>NOT(ISERROR(SEARCH("▽",AA191)))</formula>
    </cfRule>
    <cfRule type="containsText" dxfId="223" priority="1559" operator="containsText" text="△">
      <formula>NOT(ISERROR(SEARCH("△",AA191)))</formula>
    </cfRule>
    <cfRule type="containsText" dxfId="222" priority="1560" operator="containsText" text="▽">
      <formula>NOT(ISERROR(SEARCH("▽",AA191)))</formula>
    </cfRule>
    <cfRule type="containsText" dxfId="221" priority="1561" operator="containsText" text="△">
      <formula>NOT(ISERROR(SEARCH("△",AA191)))</formula>
    </cfRule>
    <cfRule type="containsText" dxfId="220" priority="1562" operator="containsText" text="▽">
      <formula>NOT(ISERROR(SEARCH("▽",AA191)))</formula>
    </cfRule>
    <cfRule type="containsText" dxfId="219" priority="1563" operator="containsText" text="△">
      <formula>NOT(ISERROR(SEARCH("△",AA191)))</formula>
    </cfRule>
    <cfRule type="containsText" dxfId="218" priority="1564" operator="containsText" text="▽">
      <formula>NOT(ISERROR(SEARCH("▽",AA191)))</formula>
    </cfRule>
    <cfRule type="containsText" dxfId="217" priority="1565" operator="containsText" text="△">
      <formula>NOT(ISERROR(SEARCH("△",AA191)))</formula>
    </cfRule>
    <cfRule type="containsText" dxfId="216" priority="1566" operator="containsText" text="▽">
      <formula>NOT(ISERROR(SEARCH("▽",AA191)))</formula>
    </cfRule>
    <cfRule type="containsText" dxfId="215" priority="1567" operator="containsText" text="△">
      <formula>NOT(ISERROR(SEARCH("△",AA191)))</formula>
    </cfRule>
    <cfRule type="containsText" dxfId="214" priority="1568" operator="containsText" text="▽">
      <formula>NOT(ISERROR(SEARCH("▽",AA191)))</formula>
    </cfRule>
    <cfRule type="containsText" dxfId="213" priority="1571" operator="containsText" text="△">
      <formula>NOT(ISERROR(SEARCH("△",AA191)))</formula>
    </cfRule>
    <cfRule type="containsText" dxfId="212" priority="1572" operator="containsText" text="▽">
      <formula>NOT(ISERROR(SEARCH("▽",AA191)))</formula>
    </cfRule>
  </conditionalFormatting>
  <conditionalFormatting sqref="AA191:AA192">
    <cfRule type="containsText" dxfId="211" priority="1621" operator="containsText" text="△">
      <formula>NOT(ISERROR(SEARCH("△",AA191)))</formula>
    </cfRule>
    <cfRule type="containsText" dxfId="210" priority="1622" operator="containsText" text="▽">
      <formula>NOT(ISERROR(SEARCH("▽",AA191)))</formula>
    </cfRule>
  </conditionalFormatting>
  <conditionalFormatting sqref="AA194:AA216">
    <cfRule type="containsText" dxfId="209" priority="1611" operator="containsText" text="▲">
      <formula>NOT(ISERROR(SEARCH("▲",AA194)))</formula>
    </cfRule>
    <cfRule type="containsText" dxfId="208" priority="1612" operator="containsText" text="▼">
      <formula>NOT(ISERROR(SEARCH("▼",AA194)))</formula>
    </cfRule>
  </conditionalFormatting>
  <conditionalFormatting sqref="AA195:AA216">
    <cfRule type="containsText" dxfId="207" priority="1615" operator="containsText" text="▲">
      <formula>NOT(ISERROR(SEARCH("▲",AA195)))</formula>
    </cfRule>
    <cfRule type="containsText" dxfId="206" priority="1616" operator="containsText" text="▼">
      <formula>NOT(ISERROR(SEARCH("▼",AA195)))</formula>
    </cfRule>
  </conditionalFormatting>
  <conditionalFormatting sqref="AA196:AA216">
    <cfRule type="containsText" dxfId="205" priority="1605" operator="containsText" text="▲">
      <formula>NOT(ISERROR(SEARCH("▲",AA196)))</formula>
    </cfRule>
    <cfRule type="containsText" dxfId="204" priority="1606" operator="containsText" text="▼">
      <formula>NOT(ISERROR(SEARCH("▼",AA196)))</formula>
    </cfRule>
  </conditionalFormatting>
  <conditionalFormatting sqref="AA198:AA216">
    <cfRule type="containsText" dxfId="203" priority="1603" operator="containsText" text="▲">
      <formula>NOT(ISERROR(SEARCH("▲",AA198)))</formula>
    </cfRule>
    <cfRule type="containsText" dxfId="202" priority="1604" operator="containsText" text="▼">
      <formula>NOT(ISERROR(SEARCH("▼",AA198)))</formula>
    </cfRule>
  </conditionalFormatting>
  <conditionalFormatting sqref="AA199:AA216">
    <cfRule type="containsText" dxfId="201" priority="1617" operator="containsText" text="▲">
      <formula>NOT(ISERROR(SEARCH("▲",AA199)))</formula>
    </cfRule>
    <cfRule type="containsText" dxfId="200" priority="1618" operator="containsText" text="▼">
      <formula>NOT(ISERROR(SEARCH("▼",AA199)))</formula>
    </cfRule>
  </conditionalFormatting>
  <conditionalFormatting sqref="AA200:AA216">
    <cfRule type="containsText" dxfId="199" priority="1591" operator="containsText" text="▲">
      <formula>NOT(ISERROR(SEARCH("▲",AA200)))</formula>
    </cfRule>
    <cfRule type="containsText" dxfId="198" priority="1592" operator="containsText" text="▼">
      <formula>NOT(ISERROR(SEARCH("▼",AA200)))</formula>
    </cfRule>
  </conditionalFormatting>
  <conditionalFormatting sqref="AA201:AA216">
    <cfRule type="containsText" dxfId="197" priority="1593" operator="containsText" text="▲">
      <formula>NOT(ISERROR(SEARCH("▲",AA201)))</formula>
    </cfRule>
    <cfRule type="containsText" dxfId="196" priority="1594" operator="containsText" text="▼">
      <formula>NOT(ISERROR(SEARCH("▼",AA201)))</formula>
    </cfRule>
  </conditionalFormatting>
  <conditionalFormatting sqref="AA202:AA216">
    <cfRule type="containsText" dxfId="195" priority="1597" operator="containsText" text="▲">
      <formula>NOT(ISERROR(SEARCH("▲",AA202)))</formula>
    </cfRule>
    <cfRule type="containsText" dxfId="194" priority="1598" operator="containsText" text="▼">
      <formula>NOT(ISERROR(SEARCH("▼",AA202)))</formula>
    </cfRule>
  </conditionalFormatting>
  <conditionalFormatting sqref="AA204:AA216">
    <cfRule type="containsText" dxfId="193" priority="1595" operator="containsText" text="▲">
      <formula>NOT(ISERROR(SEARCH("▲",AA204)))</formula>
    </cfRule>
    <cfRule type="containsText" dxfId="192" priority="1596" operator="containsText" text="▼">
      <formula>NOT(ISERROR(SEARCH("▼",AA204)))</formula>
    </cfRule>
  </conditionalFormatting>
  <conditionalFormatting sqref="AA205:AA216">
    <cfRule type="containsText" dxfId="191" priority="1581" operator="containsText" text="▲">
      <formula>NOT(ISERROR(SEARCH("▲",AA205)))</formula>
    </cfRule>
    <cfRule type="containsText" dxfId="190" priority="1582" operator="containsText" text="▼">
      <formula>NOT(ISERROR(SEARCH("▼",AA205)))</formula>
    </cfRule>
  </conditionalFormatting>
  <conditionalFormatting sqref="AA206:AA216">
    <cfRule type="containsText" dxfId="189" priority="1575" operator="containsText" text="▲">
      <formula>NOT(ISERROR(SEARCH("▲",AA206)))</formula>
    </cfRule>
    <cfRule type="containsText" dxfId="188" priority="1576" operator="containsText" text="▼">
      <formula>NOT(ISERROR(SEARCH("▼",AA206)))</formula>
    </cfRule>
  </conditionalFormatting>
  <conditionalFormatting sqref="AA207:AA222">
    <cfRule type="containsText" dxfId="187" priority="639" operator="containsText" text="▲">
      <formula>NOT(ISERROR(SEARCH("▲",AA207)))</formula>
    </cfRule>
    <cfRule type="containsText" dxfId="186" priority="640" operator="containsText" text="▼">
      <formula>NOT(ISERROR(SEARCH("▼",AA207)))</formula>
    </cfRule>
  </conditionalFormatting>
  <conditionalFormatting sqref="AA208:AA216">
    <cfRule type="containsText" dxfId="185" priority="1579" operator="containsText" text="▲">
      <formula>NOT(ISERROR(SEARCH("▲",AA208)))</formula>
    </cfRule>
    <cfRule type="containsText" dxfId="184" priority="1580" operator="containsText" text="▼">
      <formula>NOT(ISERROR(SEARCH("▼",AA208)))</formula>
    </cfRule>
  </conditionalFormatting>
  <conditionalFormatting sqref="AA209">
    <cfRule type="containsText" dxfId="183" priority="1583" operator="containsText" text="▲">
      <formula>NOT(ISERROR(SEARCH("▲",AA209)))</formula>
    </cfRule>
    <cfRule type="containsText" dxfId="182" priority="1584" operator="containsText" text="▼">
      <formula>NOT(ISERROR(SEARCH("▼",AA209)))</formula>
    </cfRule>
  </conditionalFormatting>
  <conditionalFormatting sqref="AA210:AA216">
    <cfRule type="containsText" dxfId="181" priority="1587" operator="containsText" text="▲">
      <formula>NOT(ISERROR(SEARCH("▲",AA210)))</formula>
    </cfRule>
    <cfRule type="containsText" dxfId="180" priority="1588" operator="containsText" text="▼">
      <formula>NOT(ISERROR(SEARCH("▼",AA210)))</formula>
    </cfRule>
  </conditionalFormatting>
  <conditionalFormatting sqref="AA211:AA216">
    <cfRule type="containsText" dxfId="179" priority="1601" operator="containsText" text="▲">
      <formula>NOT(ISERROR(SEARCH("▲",AA211)))</formula>
    </cfRule>
    <cfRule type="containsText" dxfId="178" priority="1602" operator="containsText" text="▼">
      <formula>NOT(ISERROR(SEARCH("▼",AA211)))</formula>
    </cfRule>
  </conditionalFormatting>
  <conditionalFormatting sqref="AA212:AA216">
    <cfRule type="containsText" dxfId="177" priority="1577" operator="containsText" text="▲">
      <formula>NOT(ISERROR(SEARCH("▲",AA212)))</formula>
    </cfRule>
    <cfRule type="containsText" dxfId="176" priority="1578" operator="containsText" text="▼">
      <formula>NOT(ISERROR(SEARCH("▼",AA212)))</formula>
    </cfRule>
  </conditionalFormatting>
  <conditionalFormatting sqref="AA213:AA216">
    <cfRule type="containsText" dxfId="175" priority="1585" operator="containsText" text="▲">
      <formula>NOT(ISERROR(SEARCH("▲",AA213)))</formula>
    </cfRule>
    <cfRule type="containsText" dxfId="174" priority="1586" operator="containsText" text="▼">
      <formula>NOT(ISERROR(SEARCH("▼",AA213)))</formula>
    </cfRule>
  </conditionalFormatting>
  <conditionalFormatting sqref="AA214">
    <cfRule type="containsText" dxfId="173" priority="1589" operator="containsText" text="▲">
      <formula>NOT(ISERROR(SEARCH("▲",AA214)))</formula>
    </cfRule>
    <cfRule type="containsText" dxfId="172" priority="1590" operator="containsText" text="▼">
      <formula>NOT(ISERROR(SEARCH("▼",AA214)))</formula>
    </cfRule>
  </conditionalFormatting>
  <conditionalFormatting sqref="AA217:AA222">
    <cfRule type="containsText" dxfId="171" priority="641" operator="containsText" text="△">
      <formula>NOT(ISERROR(SEARCH("△",AA217)))</formula>
    </cfRule>
    <cfRule type="containsText" dxfId="170" priority="642" operator="containsText" text="▽">
      <formula>NOT(ISERROR(SEARCH("▽",AA217)))</formula>
    </cfRule>
  </conditionalFormatting>
  <conditionalFormatting sqref="AA222">
    <cfRule type="containsText" dxfId="169" priority="635" operator="containsText" text="▲">
      <formula>NOT(ISERROR(SEARCH("▲",AA222)))</formula>
    </cfRule>
    <cfRule type="containsText" dxfId="168" priority="636" operator="containsText" text="▼">
      <formula>NOT(ISERROR(SEARCH("▼",AA222)))</formula>
    </cfRule>
    <cfRule type="containsText" dxfId="167" priority="637" operator="containsText" text="▲">
      <formula>NOT(ISERROR(SEARCH("▲",AA222)))</formula>
    </cfRule>
    <cfRule type="containsText" dxfId="166" priority="638" operator="containsText" text="▼">
      <formula>NOT(ISERROR(SEARCH("▼",AA222)))</formula>
    </cfRule>
  </conditionalFormatting>
  <conditionalFormatting sqref="AA223:AA225">
    <cfRule type="containsText" dxfId="165" priority="1525" operator="containsText" text="▲">
      <formula>NOT(ISERROR(SEARCH("▲",AA223)))</formula>
    </cfRule>
    <cfRule type="containsText" dxfId="164" priority="1526" operator="containsText" text="▼">
      <formula>NOT(ISERROR(SEARCH("▼",AA223)))</formula>
    </cfRule>
    <cfRule type="containsText" dxfId="163" priority="1529" operator="containsText" text="△">
      <formula>NOT(ISERROR(SEARCH("△",AA223)))</formula>
    </cfRule>
    <cfRule type="containsText" dxfId="162" priority="1530" operator="containsText" text="▽">
      <formula>NOT(ISERROR(SEARCH("▽",AA223)))</formula>
    </cfRule>
  </conditionalFormatting>
  <conditionalFormatting sqref="AA224:AA225">
    <cfRule type="containsText" dxfId="161" priority="1521" operator="containsText" text="▲">
      <formula>NOT(ISERROR(SEARCH("▲",AA224)))</formula>
    </cfRule>
    <cfRule type="containsText" dxfId="160" priority="1522" operator="containsText" text="▼">
      <formula>NOT(ISERROR(SEARCH("▼",AA224)))</formula>
    </cfRule>
    <cfRule type="containsText" dxfId="159" priority="1523" operator="containsText" text="▲">
      <formula>NOT(ISERROR(SEARCH("▲",AA224)))</formula>
    </cfRule>
    <cfRule type="containsText" dxfId="158" priority="1524" operator="containsText" text="▼">
      <formula>NOT(ISERROR(SEARCH("▼",AA224)))</formula>
    </cfRule>
  </conditionalFormatting>
  <conditionalFormatting sqref="AA224:AA259">
    <cfRule type="containsText" dxfId="157" priority="1513" operator="containsText" text="▲">
      <formula>NOT(ISERROR(SEARCH("▲",AA224)))</formula>
    </cfRule>
    <cfRule type="containsText" dxfId="156" priority="1514" operator="containsText" text="▼">
      <formula>NOT(ISERROR(SEARCH("▼",AA224)))</formula>
    </cfRule>
  </conditionalFormatting>
  <conditionalFormatting sqref="AA226:AA249">
    <cfRule type="containsText" dxfId="155" priority="1517" operator="containsText" text="△">
      <formula>NOT(ISERROR(SEARCH("△",AA226)))</formula>
    </cfRule>
    <cfRule type="containsText" dxfId="154" priority="1518" operator="containsText" text="▽">
      <formula>NOT(ISERROR(SEARCH("▽",AA226)))</formula>
    </cfRule>
  </conditionalFormatting>
  <conditionalFormatting sqref="AA236">
    <cfRule type="containsText" dxfId="153" priority="1507" operator="containsText" text="▲">
      <formula>NOT(ISERROR(SEARCH("▲",AA236)))</formula>
    </cfRule>
    <cfRule type="containsText" dxfId="152" priority="1508" operator="containsText" text="▼">
      <formula>NOT(ISERROR(SEARCH("▼",AA236)))</formula>
    </cfRule>
  </conditionalFormatting>
  <conditionalFormatting sqref="AA260:AA270">
    <cfRule type="containsText" dxfId="151" priority="1493" operator="containsText" text="▲">
      <formula>NOT(ISERROR(SEARCH("▲",AA260)))</formula>
    </cfRule>
    <cfRule type="containsText" dxfId="150" priority="1494" operator="containsText" text="▼">
      <formula>NOT(ISERROR(SEARCH("▼",AA260)))</formula>
    </cfRule>
  </conditionalFormatting>
  <conditionalFormatting sqref="AA272:AA354">
    <cfRule type="containsText" dxfId="149" priority="19" operator="containsText" text="▲">
      <formula>NOT(ISERROR(SEARCH("▲",AA272)))</formula>
    </cfRule>
    <cfRule type="containsText" dxfId="148" priority="20" operator="containsText" text="▼">
      <formula>NOT(ISERROR(SEARCH("▼",AA272)))</formula>
    </cfRule>
  </conditionalFormatting>
  <conditionalFormatting sqref="AA358">
    <cfRule type="containsText" dxfId="147" priority="1415" operator="containsText" text="△">
      <formula>NOT(ISERROR(SEARCH("△",AA358)))</formula>
    </cfRule>
    <cfRule type="containsText" dxfId="146" priority="1416" operator="containsText" text="▽">
      <formula>NOT(ISERROR(SEARCH("▽",AA358)))</formula>
    </cfRule>
  </conditionalFormatting>
  <conditionalFormatting sqref="AA364">
    <cfRule type="containsText" dxfId="145" priority="1417" operator="containsText" text="△">
      <formula>NOT(ISERROR(SEARCH("△",AA364)))</formula>
    </cfRule>
    <cfRule type="containsText" dxfId="144" priority="1418" operator="containsText" text="▽">
      <formula>NOT(ISERROR(SEARCH("▽",AA364)))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AB8-966F-4478-9662-211AB90ED0A8}">
  <sheetPr codeName="Sheet21">
    <outlinePr summaryBelow="0" summaryRight="0"/>
  </sheetPr>
  <dimension ref="A1:AD139"/>
  <sheetViews>
    <sheetView tabSelected="1" zoomScale="85" zoomScaleNormal="85" workbookViewId="0">
      <pane xSplit="4" ySplit="1" topLeftCell="E98" activePane="bottomRight" state="frozen"/>
      <selection activeCell="F42" sqref="F42"/>
      <selection pane="topRight" activeCell="F42" sqref="F42"/>
      <selection pane="bottomLeft" activeCell="F42" sqref="F42"/>
      <selection pane="bottomRight" activeCell="H99" sqref="H99"/>
    </sheetView>
  </sheetViews>
  <sheetFormatPr defaultColWidth="9" defaultRowHeight="16.5" outlineLevelRow="2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/>
    <col min="19" max="19" width="11.625" style="9" customWidth="1" outlineLevel="1"/>
    <col min="20" max="20" width="18.625" style="9" customWidth="1" outlineLevel="1"/>
    <col min="21" max="21" width="18.625" style="9" hidden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4.5" style="9" bestFit="1" customWidth="1"/>
    <col min="27" max="27" width="12.875" style="9" customWidth="1"/>
    <col min="28" max="28" width="10" style="28" bestFit="1" customWidth="1"/>
    <col min="29" max="29" width="19.25" style="28" bestFit="1" customWidth="1"/>
    <col min="30" max="30" width="35.375" style="9" bestFit="1" customWidth="1"/>
    <col min="31" max="16384" width="9" style="9"/>
  </cols>
  <sheetData>
    <row r="1" spans="1:30" s="8" customFormat="1" collapsed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276" t="s">
        <v>2728</v>
      </c>
      <c r="AC1" s="86" t="s">
        <v>32</v>
      </c>
      <c r="AD1" s="86" t="s">
        <v>33</v>
      </c>
    </row>
    <row r="2" spans="1:30" hidden="1" outlineLevel="1">
      <c r="A2" s="99">
        <v>45145</v>
      </c>
      <c r="B2" s="11" t="s">
        <v>19</v>
      </c>
      <c r="C2" s="181">
        <v>6443</v>
      </c>
      <c r="D2" s="189" t="str">
        <f>VLOOKUP(C2,台股行情!A:B,2,FALSE)</f>
        <v>元晶</v>
      </c>
      <c r="E2" s="11">
        <v>1000</v>
      </c>
      <c r="F2" s="11">
        <v>27.1</v>
      </c>
      <c r="G2" s="11">
        <f t="shared" ref="G2:G8" si="0">E2*F2</f>
        <v>27100</v>
      </c>
      <c r="H2" s="11">
        <v>70</v>
      </c>
      <c r="I2" s="104">
        <v>45145</v>
      </c>
      <c r="J2" s="16">
        <v>30.6</v>
      </c>
      <c r="K2" s="11">
        <f t="shared" ref="K2:K8" si="1">E2*J2</f>
        <v>30600</v>
      </c>
      <c r="L2" s="17">
        <v>43</v>
      </c>
      <c r="M2" s="11">
        <v>91</v>
      </c>
      <c r="N2" s="11">
        <v>0</v>
      </c>
      <c r="O2" s="13">
        <f t="shared" ref="O2:O8" si="2">IF(I2="",E2*Y2,0)</f>
        <v>0</v>
      </c>
      <c r="P2" s="14">
        <f t="shared" ref="P2:P8" si="3">IF(I2="",R2-H2,(K2-H2-SUM(L2:N2)+R2-S2-T2)-G2)+(ROUND(R2*V2,0)-ROUND(R2*(1+V2),0)*W2)</f>
        <v>3246</v>
      </c>
      <c r="Q2" s="14">
        <f t="shared" ref="Q2:Q8" si="4">IF(I2="",(O2-G2-(O2*0.1425%*0.65)-(O2*0.3%)-S2-T2),0)</f>
        <v>0</v>
      </c>
      <c r="R2" s="14"/>
      <c r="S2" s="14">
        <v>50</v>
      </c>
      <c r="T2" s="14">
        <f t="shared" ref="T2:T8" si="5">IF(ROUND(R2*(1+V2),0)&gt;20000,ROUND(ROUND(R2*(1+V2),0)*2%,0),0)</f>
        <v>0</v>
      </c>
      <c r="U2" s="69">
        <f t="shared" ref="U2:U8" si="6">(V2*50%)/(1+50%*V2)</f>
        <v>0</v>
      </c>
      <c r="V2" s="69"/>
      <c r="W2" s="70"/>
      <c r="X2" s="15">
        <f t="shared" ref="X2:X8" si="7">(P2+Q2)/G2</f>
        <v>0.11977859778597787</v>
      </c>
      <c r="Y2" s="16">
        <f>VLOOKUP(C2,台股行情!A:D,4,FALSE)</f>
        <v>25.65</v>
      </c>
      <c r="Z2" s="38">
        <f>VLOOKUP(C2,台股行情!A:E,5,FALSE)</f>
        <v>-1.3</v>
      </c>
      <c r="AA2" s="277">
        <f ca="1">IF(I2="",((TODAY()-A2)*G2)/365.24,((1)*G2)/365.24)</f>
        <v>74.19778775599606</v>
      </c>
      <c r="AB2" s="103" t="s">
        <v>2729</v>
      </c>
      <c r="AC2" s="103" t="s">
        <v>2730</v>
      </c>
    </row>
    <row r="3" spans="1:30" hidden="1" outlineLevel="1">
      <c r="A3" s="99">
        <v>44551</v>
      </c>
      <c r="B3" s="11" t="s">
        <v>19</v>
      </c>
      <c r="C3" s="11">
        <v>2330</v>
      </c>
      <c r="D3" s="189" t="str">
        <f>VLOOKUP(C3,台股行情!A:B,2,FALSE)</f>
        <v>台積電</v>
      </c>
      <c r="E3" s="11">
        <v>100</v>
      </c>
      <c r="F3" s="11">
        <v>600</v>
      </c>
      <c r="G3" s="11">
        <f>E3*F3</f>
        <v>60000</v>
      </c>
      <c r="H3" s="11">
        <v>85</v>
      </c>
      <c r="I3" s="104">
        <v>45393</v>
      </c>
      <c r="J3" s="16">
        <v>815</v>
      </c>
      <c r="K3" s="11">
        <f>E3*J3</f>
        <v>81500</v>
      </c>
      <c r="L3" s="17">
        <v>116</v>
      </c>
      <c r="M3" s="11">
        <v>244</v>
      </c>
      <c r="N3" s="11">
        <v>0</v>
      </c>
      <c r="O3" s="13">
        <f>IF(I3="",E3*Y3,0)</f>
        <v>0</v>
      </c>
      <c r="P3" s="14">
        <f>IF(I3="",R3-H3,(K3-H3-SUM(L3:N3)+R3-S3-T3)-G3)+(ROUND(R3*V3,0)-ROUND(R3*(1+V3),0)*W3)</f>
        <v>25504</v>
      </c>
      <c r="Q3" s="14">
        <f>IF(I3="",(O3-G3-(O3*0.1425%*0.65)-(O3*0.3%)-S3-T3),0)</f>
        <v>0</v>
      </c>
      <c r="R3" s="14">
        <f>280+280+280+280+550+550+600+600+1049</f>
        <v>4469</v>
      </c>
      <c r="S3" s="14">
        <v>20</v>
      </c>
      <c r="T3" s="14">
        <f>IF(ROUND(R3*(1+V3),0)&gt;20000,ROUND(ROUND(R3*(1+V3),0)*2%,0),0)</f>
        <v>0</v>
      </c>
      <c r="U3" s="69">
        <f>(V3*50%)/(1+50%*V3)</f>
        <v>0</v>
      </c>
      <c r="V3" s="69"/>
      <c r="W3" s="70"/>
      <c r="X3" s="15">
        <f>(P3+Q3)/G3</f>
        <v>0.42506666666666665</v>
      </c>
      <c r="Y3" s="16">
        <f>VLOOKUP(C3,台股行情!A:D,4,FALSE)</f>
        <v>2440</v>
      </c>
      <c r="Z3" s="38">
        <f>VLOOKUP(C3,台股行情!A:E,5,FALSE)</f>
        <v>-50</v>
      </c>
      <c r="AA3" s="90">
        <f ca="1">IF(I3="",((TODAY()-A3)*G3)/365.24,((I3-A3)*G3)/365.24)</f>
        <v>138320.00876136238</v>
      </c>
      <c r="AB3" s="103" t="s">
        <v>2729</v>
      </c>
      <c r="AC3" s="103" t="s">
        <v>3056</v>
      </c>
    </row>
    <row r="4" spans="1:30" hidden="1" outlineLevel="1">
      <c r="A4" s="99">
        <v>45279</v>
      </c>
      <c r="B4" s="11" t="s">
        <v>19</v>
      </c>
      <c r="C4" s="11">
        <v>2330</v>
      </c>
      <c r="D4" s="189" t="str">
        <f>VLOOKUP(C4,台股行情!A:B,2,FALSE)</f>
        <v>台積電</v>
      </c>
      <c r="E4" s="11">
        <v>100</v>
      </c>
      <c r="F4" s="11">
        <v>583</v>
      </c>
      <c r="G4" s="11">
        <f t="shared" si="0"/>
        <v>58300</v>
      </c>
      <c r="H4" s="11">
        <v>83</v>
      </c>
      <c r="I4" s="104">
        <v>45393</v>
      </c>
      <c r="J4" s="16">
        <v>815</v>
      </c>
      <c r="K4" s="11">
        <f t="shared" si="1"/>
        <v>81500</v>
      </c>
      <c r="L4" s="17">
        <v>116</v>
      </c>
      <c r="M4" s="11">
        <v>245</v>
      </c>
      <c r="N4" s="11">
        <v>0</v>
      </c>
      <c r="O4" s="13">
        <f t="shared" si="2"/>
        <v>0</v>
      </c>
      <c r="P4" s="14">
        <f t="shared" si="3"/>
        <v>22736</v>
      </c>
      <c r="Q4" s="14">
        <f t="shared" si="4"/>
        <v>0</v>
      </c>
      <c r="R4" s="14"/>
      <c r="S4" s="14">
        <v>20</v>
      </c>
      <c r="T4" s="14">
        <f t="shared" si="5"/>
        <v>0</v>
      </c>
      <c r="U4" s="69">
        <f t="shared" si="6"/>
        <v>0</v>
      </c>
      <c r="V4" s="69"/>
      <c r="W4" s="70"/>
      <c r="X4" s="15">
        <f t="shared" si="7"/>
        <v>0.38998284734133792</v>
      </c>
      <c r="Y4" s="16">
        <f>VLOOKUP(C4,台股行情!A:D,4,FALSE)</f>
        <v>2440</v>
      </c>
      <c r="Z4" s="38">
        <f>VLOOKUP(C4,台股行情!A:E,5,FALSE)</f>
        <v>-50</v>
      </c>
      <c r="AA4" s="90">
        <f t="shared" ref="AA4:AA8" ca="1" si="8">IF(I4="",((TODAY()-A4)*G4)/365.24,((I4-A4)*G4)/365.24)</f>
        <v>18196.802102726975</v>
      </c>
      <c r="AB4" s="103" t="s">
        <v>2729</v>
      </c>
      <c r="AC4" s="103" t="s">
        <v>3056</v>
      </c>
    </row>
    <row r="5" spans="1:30" hidden="1" outlineLevel="1">
      <c r="A5" s="99">
        <v>44930</v>
      </c>
      <c r="B5" s="11" t="s">
        <v>19</v>
      </c>
      <c r="C5" s="11">
        <v>2330</v>
      </c>
      <c r="D5" s="189" t="str">
        <f>VLOOKUP(C5,台股行情!A:B,2,FALSE)</f>
        <v>台積電</v>
      </c>
      <c r="E5" s="11">
        <v>100</v>
      </c>
      <c r="F5" s="11">
        <v>451.5</v>
      </c>
      <c r="G5" s="11">
        <f t="shared" si="0"/>
        <v>45150</v>
      </c>
      <c r="H5" s="11">
        <v>64</v>
      </c>
      <c r="I5" s="104">
        <v>45601</v>
      </c>
      <c r="J5" s="16">
        <v>1050</v>
      </c>
      <c r="K5" s="11">
        <f t="shared" si="1"/>
        <v>105000</v>
      </c>
      <c r="L5" s="17">
        <v>149</v>
      </c>
      <c r="M5" s="11">
        <v>315</v>
      </c>
      <c r="N5" s="11">
        <v>0</v>
      </c>
      <c r="O5" s="13">
        <f t="shared" si="2"/>
        <v>0</v>
      </c>
      <c r="P5" s="14">
        <f t="shared" si="3"/>
        <v>60031</v>
      </c>
      <c r="Q5" s="14">
        <f t="shared" si="4"/>
        <v>0</v>
      </c>
      <c r="R5" s="14">
        <f>349+400</f>
        <v>749</v>
      </c>
      <c r="S5" s="14">
        <v>40</v>
      </c>
      <c r="T5" s="14">
        <f t="shared" si="5"/>
        <v>0</v>
      </c>
      <c r="U5" s="69">
        <f t="shared" si="6"/>
        <v>0</v>
      </c>
      <c r="V5" s="69"/>
      <c r="W5" s="70"/>
      <c r="X5" s="15">
        <f t="shared" si="7"/>
        <v>1.3295902547065337</v>
      </c>
      <c r="Y5" s="16">
        <f>VLOOKUP(C5,台股行情!A:D,4,FALSE)</f>
        <v>2440</v>
      </c>
      <c r="Z5" s="38">
        <f>VLOOKUP(C5,台股行情!A:E,5,FALSE)</f>
        <v>-50</v>
      </c>
      <c r="AA5" s="90">
        <f t="shared" ca="1" si="8"/>
        <v>82947.240170846562</v>
      </c>
      <c r="AB5" s="103" t="s">
        <v>2729</v>
      </c>
      <c r="AC5" s="103" t="s">
        <v>3056</v>
      </c>
    </row>
    <row r="6" spans="1:30" hidden="1" outlineLevel="1">
      <c r="A6" s="99">
        <v>45140</v>
      </c>
      <c r="B6" s="11" t="s">
        <v>19</v>
      </c>
      <c r="C6" s="181">
        <v>929</v>
      </c>
      <c r="D6" s="189" t="str">
        <f>VLOOKUP(C6,台股行情!A:B,2,FALSE)</f>
        <v>復華台灣科技優息</v>
      </c>
      <c r="E6" s="11">
        <v>1000</v>
      </c>
      <c r="F6" s="11">
        <v>16.5</v>
      </c>
      <c r="G6" s="11">
        <f t="shared" si="0"/>
        <v>16500</v>
      </c>
      <c r="H6" s="11">
        <v>23</v>
      </c>
      <c r="I6" s="104">
        <v>45664</v>
      </c>
      <c r="J6" s="16">
        <v>18.32</v>
      </c>
      <c r="K6" s="11">
        <f t="shared" si="1"/>
        <v>18320</v>
      </c>
      <c r="L6" s="17">
        <v>26</v>
      </c>
      <c r="M6" s="11">
        <v>18</v>
      </c>
      <c r="N6" s="11">
        <v>0</v>
      </c>
      <c r="O6" s="13">
        <f t="shared" si="2"/>
        <v>0</v>
      </c>
      <c r="P6" s="14">
        <f t="shared" si="3"/>
        <v>4103</v>
      </c>
      <c r="Q6" s="14">
        <f t="shared" si="4"/>
        <v>0</v>
      </c>
      <c r="R6" s="14">
        <f>110+110+110+110+110+130+260+260+400+400+400</f>
        <v>2400</v>
      </c>
      <c r="S6" s="14">
        <v>50</v>
      </c>
      <c r="T6" s="14">
        <f t="shared" si="5"/>
        <v>0</v>
      </c>
      <c r="U6" s="69">
        <f t="shared" si="6"/>
        <v>0</v>
      </c>
      <c r="V6" s="69"/>
      <c r="W6" s="70"/>
      <c r="X6" s="15">
        <f t="shared" si="7"/>
        <v>0.24866666666666667</v>
      </c>
      <c r="Y6" s="16">
        <f>VLOOKUP(C6,台股行情!A:D,4,FALSE)</f>
        <v>29.72</v>
      </c>
      <c r="Z6" s="38">
        <f>VLOOKUP(C6,台股行情!A:E,5,FALSE)</f>
        <v>-0.48</v>
      </c>
      <c r="AA6" s="90">
        <f t="shared" ca="1" si="8"/>
        <v>23672.106012484939</v>
      </c>
      <c r="AB6" s="103" t="s">
        <v>2733</v>
      </c>
      <c r="AC6" s="103" t="s">
        <v>3051</v>
      </c>
      <c r="AD6" s="344" t="s">
        <v>3052</v>
      </c>
    </row>
    <row r="7" spans="1:30" hidden="1" outlineLevel="1">
      <c r="A7" s="99">
        <v>45341</v>
      </c>
      <c r="B7" s="11" t="s">
        <v>19</v>
      </c>
      <c r="C7" s="181">
        <v>929</v>
      </c>
      <c r="D7" s="189" t="str">
        <f>VLOOKUP(C7,台股行情!A:B,2,FALSE)</f>
        <v>復華台灣科技優息</v>
      </c>
      <c r="E7" s="11">
        <v>1000</v>
      </c>
      <c r="F7" s="11">
        <v>19.059999999999999</v>
      </c>
      <c r="G7" s="11">
        <f t="shared" si="0"/>
        <v>19060</v>
      </c>
      <c r="H7" s="11">
        <v>27</v>
      </c>
      <c r="I7" s="104">
        <v>45664</v>
      </c>
      <c r="J7" s="16">
        <v>18.32</v>
      </c>
      <c r="K7" s="11">
        <f t="shared" si="1"/>
        <v>18320</v>
      </c>
      <c r="L7" s="17">
        <v>26</v>
      </c>
      <c r="M7" s="11">
        <v>18</v>
      </c>
      <c r="N7" s="11">
        <v>0</v>
      </c>
      <c r="O7" s="13">
        <f t="shared" si="2"/>
        <v>0</v>
      </c>
      <c r="P7" s="14">
        <f t="shared" si="3"/>
        <v>789</v>
      </c>
      <c r="Q7" s="14">
        <f t="shared" si="4"/>
        <v>0</v>
      </c>
      <c r="R7" s="14">
        <f>360+360+320+280+220+100</f>
        <v>1640</v>
      </c>
      <c r="S7" s="14">
        <v>40</v>
      </c>
      <c r="T7" s="14">
        <f t="shared" si="5"/>
        <v>0</v>
      </c>
      <c r="U7" s="69">
        <f t="shared" si="6"/>
        <v>0</v>
      </c>
      <c r="V7" s="69"/>
      <c r="W7" s="70"/>
      <c r="X7" s="15">
        <f t="shared" si="7"/>
        <v>4.1395592864637988E-2</v>
      </c>
      <c r="Y7" s="16">
        <f>VLOOKUP(C7,台股行情!A:D,4,FALSE)</f>
        <v>29.72</v>
      </c>
      <c r="Z7" s="38">
        <f>VLOOKUP(C7,台股行情!A:E,5,FALSE)</f>
        <v>-0.48</v>
      </c>
      <c r="AA7" s="90">
        <f t="shared" ca="1" si="8"/>
        <v>16855.711313109186</v>
      </c>
      <c r="AB7" s="103" t="s">
        <v>2733</v>
      </c>
      <c r="AC7" s="103" t="s">
        <v>3051</v>
      </c>
      <c r="AD7" s="344" t="s">
        <v>3052</v>
      </c>
    </row>
    <row r="8" spans="1:30" hidden="1" outlineLevel="1">
      <c r="A8" s="99">
        <v>45645</v>
      </c>
      <c r="B8" s="11" t="s">
        <v>19</v>
      </c>
      <c r="C8" s="181">
        <v>929</v>
      </c>
      <c r="D8" s="189" t="str">
        <f>VLOOKUP(C8,台股行情!A:B,2,FALSE)</f>
        <v>復華台灣科技優息</v>
      </c>
      <c r="E8" s="11">
        <v>2000</v>
      </c>
      <c r="F8" s="11">
        <v>17.86</v>
      </c>
      <c r="G8" s="11">
        <f t="shared" si="0"/>
        <v>35720</v>
      </c>
      <c r="H8" s="11">
        <v>50</v>
      </c>
      <c r="I8" s="104">
        <v>45664</v>
      </c>
      <c r="J8" s="16">
        <v>18.32</v>
      </c>
      <c r="K8" s="11">
        <f t="shared" si="1"/>
        <v>36640</v>
      </c>
      <c r="L8" s="17">
        <v>26</v>
      </c>
      <c r="M8" s="11">
        <v>19</v>
      </c>
      <c r="N8" s="11">
        <v>0</v>
      </c>
      <c r="O8" s="13">
        <f t="shared" si="2"/>
        <v>0</v>
      </c>
      <c r="P8" s="14">
        <f t="shared" si="3"/>
        <v>785</v>
      </c>
      <c r="Q8" s="14">
        <f t="shared" si="4"/>
        <v>0</v>
      </c>
      <c r="R8" s="14"/>
      <c r="S8" s="14">
        <v>40</v>
      </c>
      <c r="T8" s="14">
        <f t="shared" si="5"/>
        <v>0</v>
      </c>
      <c r="U8" s="69">
        <f t="shared" si="6"/>
        <v>0</v>
      </c>
      <c r="V8" s="69"/>
      <c r="W8" s="70"/>
      <c r="X8" s="15">
        <f t="shared" si="7"/>
        <v>2.1976483762597983E-2</v>
      </c>
      <c r="Y8" s="16">
        <f>VLOOKUP(C8,台股行情!A:D,4,FALSE)</f>
        <v>29.72</v>
      </c>
      <c r="Z8" s="38">
        <f>VLOOKUP(C8,台股行情!A:E,5,FALSE)</f>
        <v>-0.48</v>
      </c>
      <c r="AA8" s="90">
        <f t="shared" ca="1" si="8"/>
        <v>1858.1754462818967</v>
      </c>
      <c r="AB8" s="103" t="s">
        <v>2733</v>
      </c>
      <c r="AC8" s="103" t="s">
        <v>3056</v>
      </c>
      <c r="AD8" s="344" t="s">
        <v>3052</v>
      </c>
    </row>
    <row r="9" spans="1:30" hidden="1" outlineLevel="1" collapsed="1">
      <c r="A9" s="99">
        <v>45673</v>
      </c>
      <c r="B9" s="11" t="s">
        <v>19</v>
      </c>
      <c r="C9" s="181">
        <v>50</v>
      </c>
      <c r="D9" s="189" t="str">
        <f>VLOOKUP(C9,台股行情!A:B,2,FALSE)</f>
        <v>元大台灣50</v>
      </c>
      <c r="E9" s="11">
        <f>25*4</f>
        <v>100</v>
      </c>
      <c r="F9" s="11">
        <v>198.46</v>
      </c>
      <c r="G9" s="183">
        <v>4961</v>
      </c>
      <c r="H9" s="11">
        <v>1</v>
      </c>
      <c r="I9" s="104">
        <v>46050</v>
      </c>
      <c r="J9" s="16">
        <v>74</v>
      </c>
      <c r="K9" s="11">
        <f t="shared" ref="K9:K20" si="9">E9*J9</f>
        <v>7400</v>
      </c>
      <c r="L9" s="11">
        <f t="shared" ref="L9:L20" si="10">ROUND(J9*E9*0.1425%,0)</f>
        <v>11</v>
      </c>
      <c r="M9" s="11">
        <f>ROUND(J9*E9*0.3%,0)/2</f>
        <v>11</v>
      </c>
      <c r="N9" s="11">
        <v>0</v>
      </c>
      <c r="O9" s="13">
        <f t="shared" ref="O9:O20" si="11">IF(I9="",E9*Y9,0)</f>
        <v>0</v>
      </c>
      <c r="P9" s="14">
        <f t="shared" ref="P9:P18" si="12">IF(I9="",R9-H9,(K9-H9-SUM(L9:N9)+R9-S9-T9)-G9)+(ROUND(R9*V9,0)-ROUND(R9*(1+V9),0)*W9)</f>
        <v>2564</v>
      </c>
      <c r="Q9" s="14">
        <f t="shared" ref="Q9:Q20" si="13">IF(I9="",(O9-G9-(O9*0.1425%*0.65)-(O9*0.3%)-S9-T9),0)</f>
        <v>0</v>
      </c>
      <c r="R9" s="14">
        <f>68+100</f>
        <v>168</v>
      </c>
      <c r="S9" s="14">
        <v>20</v>
      </c>
      <c r="T9" s="14">
        <f t="shared" ref="T9:T20" si="14">IF(ROUND(R9*(1+V9),0)&gt;20000,ROUND(ROUND(R9*(1+V9),0)*2%,0),0)</f>
        <v>0</v>
      </c>
      <c r="U9" s="69"/>
      <c r="V9" s="69"/>
      <c r="W9" s="70"/>
      <c r="X9" s="15">
        <f t="shared" ref="X9:X20" si="15">(P9+Q9)/G9</f>
        <v>0.51683128401531953</v>
      </c>
      <c r="Y9" s="16">
        <f>VLOOKUP(C9,台股行情!A:D,4,FALSE)</f>
        <v>108.9</v>
      </c>
      <c r="Z9" s="38">
        <f>VLOOKUP(C9,台股行情!A:E,5,FALSE)</f>
        <v>-4.0999999999999996</v>
      </c>
      <c r="AA9" s="90">
        <f t="shared" ref="AA9:AA20" ca="1" si="16">IF(I9="",((TODAY()-A9)*G9)/365.24,((I9-A9)*G9)/365.24)</f>
        <v>5120.7343116854672</v>
      </c>
      <c r="AB9" s="103" t="s">
        <v>2733</v>
      </c>
      <c r="AC9" s="103" t="s">
        <v>3050</v>
      </c>
      <c r="AD9" s="344" t="s">
        <v>3053</v>
      </c>
    </row>
    <row r="10" spans="1:30" hidden="1" outlineLevel="2">
      <c r="A10" s="99">
        <v>45705</v>
      </c>
      <c r="B10" s="11" t="s">
        <v>19</v>
      </c>
      <c r="C10" s="181">
        <v>50</v>
      </c>
      <c r="D10" s="189" t="str">
        <f>VLOOKUP(C10,台股行情!A:B,2,FALSE)</f>
        <v>元大台灣50</v>
      </c>
      <c r="E10" s="11">
        <f>25*4</f>
        <v>100</v>
      </c>
      <c r="F10" s="11">
        <v>196.33</v>
      </c>
      <c r="G10" s="183">
        <v>4908</v>
      </c>
      <c r="H10" s="11">
        <v>1</v>
      </c>
      <c r="I10" s="104">
        <v>46050</v>
      </c>
      <c r="J10" s="16">
        <v>74</v>
      </c>
      <c r="K10" s="11">
        <f t="shared" si="9"/>
        <v>7400</v>
      </c>
      <c r="L10" s="11">
        <f t="shared" si="10"/>
        <v>11</v>
      </c>
      <c r="M10" s="11">
        <f t="shared" ref="M10:M20" si="17">ROUND(J10*E10*0.3%,0)/2</f>
        <v>11</v>
      </c>
      <c r="N10" s="11">
        <v>0</v>
      </c>
      <c r="O10" s="13">
        <f t="shared" si="11"/>
        <v>0</v>
      </c>
      <c r="P10" s="14">
        <f t="shared" si="12"/>
        <v>2559</v>
      </c>
      <c r="Q10" s="14">
        <f t="shared" si="13"/>
        <v>0</v>
      </c>
      <c r="R10" s="14">
        <v>100</v>
      </c>
      <c r="S10" s="14">
        <v>10</v>
      </c>
      <c r="T10" s="14">
        <f t="shared" si="14"/>
        <v>0</v>
      </c>
      <c r="U10" s="69"/>
      <c r="V10" s="69"/>
      <c r="W10" s="70"/>
      <c r="X10" s="15">
        <f t="shared" si="15"/>
        <v>0.52139364303178481</v>
      </c>
      <c r="Y10" s="16">
        <f>VLOOKUP(C10,台股行情!A:D,4,FALSE)</f>
        <v>108.9</v>
      </c>
      <c r="Z10" s="38">
        <f>VLOOKUP(C10,台股行情!A:E,5,FALSE)</f>
        <v>-4.0999999999999996</v>
      </c>
      <c r="AA10" s="90">
        <f t="shared" ca="1" si="16"/>
        <v>4636.0201511335008</v>
      </c>
      <c r="AB10" s="103" t="s">
        <v>2733</v>
      </c>
      <c r="AC10" s="103" t="s">
        <v>3050</v>
      </c>
      <c r="AD10" s="344" t="s">
        <v>3053</v>
      </c>
    </row>
    <row r="11" spans="1:30" hidden="1" outlineLevel="2">
      <c r="A11" s="99">
        <v>45733</v>
      </c>
      <c r="B11" s="11" t="s">
        <v>19</v>
      </c>
      <c r="C11" s="181">
        <v>50</v>
      </c>
      <c r="D11" s="189" t="str">
        <f>VLOOKUP(C11,台股行情!A:B,2,FALSE)</f>
        <v>元大台灣50</v>
      </c>
      <c r="E11" s="11">
        <f>27*4</f>
        <v>108</v>
      </c>
      <c r="F11" s="11">
        <v>182.63</v>
      </c>
      <c r="G11" s="183">
        <v>4931</v>
      </c>
      <c r="H11" s="11">
        <v>1</v>
      </c>
      <c r="I11" s="104">
        <v>46050</v>
      </c>
      <c r="J11" s="16">
        <v>74</v>
      </c>
      <c r="K11" s="11">
        <f t="shared" si="9"/>
        <v>7992</v>
      </c>
      <c r="L11" s="11">
        <f t="shared" si="10"/>
        <v>11</v>
      </c>
      <c r="M11" s="11">
        <f t="shared" si="17"/>
        <v>12</v>
      </c>
      <c r="N11" s="11">
        <v>0</v>
      </c>
      <c r="O11" s="13">
        <f t="shared" si="11"/>
        <v>0</v>
      </c>
      <c r="P11" s="14">
        <f t="shared" si="12"/>
        <v>3135</v>
      </c>
      <c r="Q11" s="14">
        <f t="shared" si="13"/>
        <v>0</v>
      </c>
      <c r="R11" s="14">
        <v>108</v>
      </c>
      <c r="S11" s="14">
        <v>10</v>
      </c>
      <c r="T11" s="14">
        <f t="shared" si="14"/>
        <v>0</v>
      </c>
      <c r="U11" s="69"/>
      <c r="V11" s="69"/>
      <c r="W11" s="70"/>
      <c r="X11" s="15">
        <f t="shared" si="15"/>
        <v>0.63577367673899821</v>
      </c>
      <c r="Y11" s="16">
        <f>VLOOKUP(C11,台股行情!A:D,4,FALSE)</f>
        <v>108.9</v>
      </c>
      <c r="Z11" s="38">
        <f>VLOOKUP(C11,台股行情!A:E,5,FALSE)</f>
        <v>-4.0999999999999996</v>
      </c>
      <c r="AA11" s="90">
        <f t="shared" ca="1" si="16"/>
        <v>4279.7256598401054</v>
      </c>
      <c r="AB11" s="103" t="s">
        <v>2733</v>
      </c>
      <c r="AC11" s="103" t="s">
        <v>3050</v>
      </c>
      <c r="AD11" s="344" t="s">
        <v>3053</v>
      </c>
    </row>
    <row r="12" spans="1:30" hidden="1" outlineLevel="2">
      <c r="A12" s="99">
        <v>45763</v>
      </c>
      <c r="B12" s="11" t="s">
        <v>19</v>
      </c>
      <c r="C12" s="181">
        <v>50</v>
      </c>
      <c r="D12" s="189" t="str">
        <f>VLOOKUP(C12,台股行情!A:B,2,FALSE)</f>
        <v>元大台灣50</v>
      </c>
      <c r="E12" s="11">
        <f>30*4</f>
        <v>120</v>
      </c>
      <c r="F12" s="11">
        <v>162.38</v>
      </c>
      <c r="G12" s="183">
        <v>4871</v>
      </c>
      <c r="H12" s="11">
        <v>1</v>
      </c>
      <c r="I12" s="104">
        <v>46050</v>
      </c>
      <c r="J12" s="16">
        <v>74</v>
      </c>
      <c r="K12" s="11">
        <f t="shared" si="9"/>
        <v>8880</v>
      </c>
      <c r="L12" s="11">
        <f t="shared" si="10"/>
        <v>13</v>
      </c>
      <c r="M12" s="11">
        <f t="shared" si="17"/>
        <v>13.5</v>
      </c>
      <c r="N12" s="11">
        <v>0</v>
      </c>
      <c r="O12" s="13">
        <f t="shared" si="11"/>
        <v>0</v>
      </c>
      <c r="P12" s="14">
        <f t="shared" si="12"/>
        <v>4091.5</v>
      </c>
      <c r="Q12" s="14">
        <f t="shared" si="13"/>
        <v>0</v>
      </c>
      <c r="R12" s="14">
        <v>120</v>
      </c>
      <c r="S12" s="14">
        <v>10</v>
      </c>
      <c r="T12" s="14">
        <f t="shared" si="14"/>
        <v>0</v>
      </c>
      <c r="U12" s="69"/>
      <c r="V12" s="69"/>
      <c r="W12" s="70"/>
      <c r="X12" s="15">
        <f t="shared" si="15"/>
        <v>0.83997125846848697</v>
      </c>
      <c r="Y12" s="16">
        <f>VLOOKUP(C12,台股行情!A:D,4,FALSE)</f>
        <v>108.9</v>
      </c>
      <c r="Z12" s="38">
        <f>VLOOKUP(C12,台股行情!A:E,5,FALSE)</f>
        <v>-4.0999999999999996</v>
      </c>
      <c r="AA12" s="90">
        <f t="shared" ca="1" si="16"/>
        <v>3827.5572226481218</v>
      </c>
      <c r="AB12" s="103" t="s">
        <v>2733</v>
      </c>
      <c r="AC12" s="103" t="s">
        <v>3050</v>
      </c>
      <c r="AD12" s="344" t="s">
        <v>3053</v>
      </c>
    </row>
    <row r="13" spans="1:30" hidden="1" outlineLevel="2">
      <c r="A13" s="99">
        <v>45793</v>
      </c>
      <c r="B13" s="11" t="s">
        <v>19</v>
      </c>
      <c r="C13" s="181">
        <v>50</v>
      </c>
      <c r="D13" s="189" t="str">
        <f>VLOOKUP(C13,台股行情!A:B,2,FALSE)</f>
        <v>元大台灣50</v>
      </c>
      <c r="E13" s="11">
        <f>27*4</f>
        <v>108</v>
      </c>
      <c r="F13" s="11">
        <v>182.74</v>
      </c>
      <c r="G13" s="183">
        <v>4933</v>
      </c>
      <c r="H13" s="11">
        <v>1</v>
      </c>
      <c r="I13" s="104">
        <v>46050</v>
      </c>
      <c r="J13" s="16">
        <v>74</v>
      </c>
      <c r="K13" s="11">
        <f t="shared" si="9"/>
        <v>7992</v>
      </c>
      <c r="L13" s="11">
        <f t="shared" si="10"/>
        <v>11</v>
      </c>
      <c r="M13" s="11">
        <f t="shared" si="17"/>
        <v>12</v>
      </c>
      <c r="N13" s="11">
        <v>0</v>
      </c>
      <c r="O13" s="13">
        <f t="shared" si="11"/>
        <v>0</v>
      </c>
      <c r="P13" s="14">
        <f t="shared" si="12"/>
        <v>3351</v>
      </c>
      <c r="Q13" s="14">
        <f t="shared" si="13"/>
        <v>0</v>
      </c>
      <c r="R13" s="14">
        <f>228+108</f>
        <v>336</v>
      </c>
      <c r="S13" s="14">
        <v>20</v>
      </c>
      <c r="T13" s="14">
        <f t="shared" si="14"/>
        <v>0</v>
      </c>
      <c r="U13" s="69"/>
      <c r="V13" s="69"/>
      <c r="W13" s="70"/>
      <c r="X13" s="15">
        <f t="shared" si="15"/>
        <v>0.67930265558483682</v>
      </c>
      <c r="Y13" s="16">
        <f>VLOOKUP(C13,台股行情!A:D,4,FALSE)</f>
        <v>108.9</v>
      </c>
      <c r="Z13" s="38">
        <f>VLOOKUP(C13,台股行情!A:E,5,FALSE)</f>
        <v>-4.0999999999999996</v>
      </c>
      <c r="AA13" s="90">
        <f t="shared" ca="1" si="16"/>
        <v>3471.0902420326361</v>
      </c>
      <c r="AB13" s="103" t="s">
        <v>2733</v>
      </c>
      <c r="AC13" s="103" t="s">
        <v>3050</v>
      </c>
      <c r="AD13" s="344" t="s">
        <v>3053</v>
      </c>
    </row>
    <row r="14" spans="1:30" hidden="1" outlineLevel="2">
      <c r="A14" s="99">
        <v>45854</v>
      </c>
      <c r="B14" s="11" t="s">
        <v>19</v>
      </c>
      <c r="C14" s="181">
        <v>50</v>
      </c>
      <c r="D14" s="189" t="str">
        <f>VLOOKUP(C14,台股行情!A:B,2,FALSE)</f>
        <v>元大台灣50</v>
      </c>
      <c r="E14" s="11">
        <v>98</v>
      </c>
      <c r="F14" s="11">
        <v>50.58</v>
      </c>
      <c r="G14" s="183">
        <v>4956</v>
      </c>
      <c r="H14" s="11">
        <v>1</v>
      </c>
      <c r="I14" s="104">
        <v>46050</v>
      </c>
      <c r="J14" s="16">
        <v>74</v>
      </c>
      <c r="K14" s="11">
        <f t="shared" si="9"/>
        <v>7252</v>
      </c>
      <c r="L14" s="11">
        <f t="shared" si="10"/>
        <v>10</v>
      </c>
      <c r="M14" s="11">
        <f t="shared" si="17"/>
        <v>11</v>
      </c>
      <c r="N14" s="11">
        <v>0</v>
      </c>
      <c r="O14" s="13">
        <f t="shared" si="11"/>
        <v>0</v>
      </c>
      <c r="P14" s="14">
        <f t="shared" si="12"/>
        <v>2362</v>
      </c>
      <c r="Q14" s="14">
        <f t="shared" si="13"/>
        <v>0</v>
      </c>
      <c r="R14" s="14">
        <v>98</v>
      </c>
      <c r="S14" s="14">
        <v>10</v>
      </c>
      <c r="T14" s="14">
        <f t="shared" si="14"/>
        <v>0</v>
      </c>
      <c r="U14" s="69"/>
      <c r="V14" s="69"/>
      <c r="W14" s="70"/>
      <c r="X14" s="15">
        <f t="shared" si="15"/>
        <v>0.47659402744148505</v>
      </c>
      <c r="Y14" s="16">
        <f>VLOOKUP(C14,台股行情!A:D,4,FALSE)</f>
        <v>108.9</v>
      </c>
      <c r="Z14" s="38">
        <f>VLOOKUP(C14,台股行情!A:E,5,FALSE)</f>
        <v>-4.0999999999999996</v>
      </c>
      <c r="AA14" s="90">
        <f t="shared" ca="1" si="16"/>
        <v>2659.5553608586133</v>
      </c>
      <c r="AB14" s="103" t="s">
        <v>2733</v>
      </c>
      <c r="AC14" s="103" t="s">
        <v>3050</v>
      </c>
      <c r="AD14" s="344" t="s">
        <v>3053</v>
      </c>
    </row>
    <row r="15" spans="1:30" hidden="1" outlineLevel="2">
      <c r="A15" s="99">
        <v>45887</v>
      </c>
      <c r="B15" s="11" t="s">
        <v>19</v>
      </c>
      <c r="C15" s="181">
        <v>50</v>
      </c>
      <c r="D15" s="189" t="str">
        <f>VLOOKUP(C15,台股行情!A:B,2,FALSE)</f>
        <v>元大台灣50</v>
      </c>
      <c r="E15" s="11">
        <v>94</v>
      </c>
      <c r="F15" s="11">
        <v>53.19</v>
      </c>
      <c r="G15" s="183">
        <v>4999</v>
      </c>
      <c r="H15" s="11">
        <v>1</v>
      </c>
      <c r="I15" s="104">
        <v>46050</v>
      </c>
      <c r="J15" s="16">
        <v>74</v>
      </c>
      <c r="K15" s="11">
        <f t="shared" si="9"/>
        <v>6956</v>
      </c>
      <c r="L15" s="11">
        <f t="shared" si="10"/>
        <v>10</v>
      </c>
      <c r="M15" s="11">
        <f t="shared" si="17"/>
        <v>10.5</v>
      </c>
      <c r="N15" s="11">
        <v>0</v>
      </c>
      <c r="O15" s="13">
        <f t="shared" si="11"/>
        <v>0</v>
      </c>
      <c r="P15" s="14">
        <f t="shared" si="12"/>
        <v>2019.5</v>
      </c>
      <c r="Q15" s="14">
        <f t="shared" si="13"/>
        <v>0</v>
      </c>
      <c r="R15" s="14">
        <v>94</v>
      </c>
      <c r="S15" s="14">
        <v>10</v>
      </c>
      <c r="T15" s="14">
        <f t="shared" si="14"/>
        <v>0</v>
      </c>
      <c r="U15" s="69"/>
      <c r="V15" s="69"/>
      <c r="W15" s="70"/>
      <c r="X15" s="15">
        <f t="shared" si="15"/>
        <v>0.40398079615923183</v>
      </c>
      <c r="Y15" s="16">
        <f>VLOOKUP(C15,台股行情!A:D,4,FALSE)</f>
        <v>108.9</v>
      </c>
      <c r="Z15" s="38">
        <f>VLOOKUP(C15,台股行情!A:E,5,FALSE)</f>
        <v>-4.0999999999999996</v>
      </c>
      <c r="AA15" s="90">
        <f t="shared" ca="1" si="16"/>
        <v>2230.9632022779542</v>
      </c>
      <c r="AB15" s="103" t="s">
        <v>2733</v>
      </c>
      <c r="AC15" s="103" t="s">
        <v>3050</v>
      </c>
      <c r="AD15" s="344" t="s">
        <v>3053</v>
      </c>
    </row>
    <row r="16" spans="1:30" hidden="1" outlineLevel="2">
      <c r="A16" s="99">
        <v>45916</v>
      </c>
      <c r="B16" s="11" t="s">
        <v>19</v>
      </c>
      <c r="C16" s="181">
        <v>50</v>
      </c>
      <c r="D16" s="189" t="str">
        <f>VLOOKUP(C16,台股行情!A:B,2,FALSE)</f>
        <v>元大台灣50</v>
      </c>
      <c r="E16" s="11">
        <v>88</v>
      </c>
      <c r="F16" s="11">
        <v>56.7</v>
      </c>
      <c r="G16" s="183">
        <v>4989</v>
      </c>
      <c r="H16" s="11">
        <v>1</v>
      </c>
      <c r="I16" s="104">
        <v>46050</v>
      </c>
      <c r="J16" s="16">
        <v>74</v>
      </c>
      <c r="K16" s="11">
        <f t="shared" si="9"/>
        <v>6512</v>
      </c>
      <c r="L16" s="11">
        <f t="shared" si="10"/>
        <v>9</v>
      </c>
      <c r="M16" s="11">
        <f t="shared" si="17"/>
        <v>10</v>
      </c>
      <c r="N16" s="11">
        <v>0</v>
      </c>
      <c r="O16" s="13">
        <f t="shared" si="11"/>
        <v>0</v>
      </c>
      <c r="P16" s="14">
        <f t="shared" si="12"/>
        <v>1581</v>
      </c>
      <c r="Q16" s="14">
        <f t="shared" si="13"/>
        <v>0</v>
      </c>
      <c r="R16" s="14">
        <v>88</v>
      </c>
      <c r="S16" s="14">
        <v>10</v>
      </c>
      <c r="T16" s="14">
        <f t="shared" si="14"/>
        <v>0</v>
      </c>
      <c r="U16" s="69"/>
      <c r="V16" s="69"/>
      <c r="W16" s="70"/>
      <c r="X16" s="15">
        <f t="shared" si="15"/>
        <v>0.31689717378232113</v>
      </c>
      <c r="Y16" s="16">
        <f>VLOOKUP(C16,台股行情!A:D,4,FALSE)</f>
        <v>108.9</v>
      </c>
      <c r="Z16" s="38">
        <f>VLOOKUP(C16,台股行情!A:E,5,FALSE)</f>
        <v>-4.0999999999999996</v>
      </c>
      <c r="AA16" s="90">
        <f t="shared" ca="1" si="16"/>
        <v>1830.3745482422516</v>
      </c>
      <c r="AB16" s="103" t="s">
        <v>2733</v>
      </c>
      <c r="AC16" s="103" t="s">
        <v>3050</v>
      </c>
      <c r="AD16" s="344" t="s">
        <v>3053</v>
      </c>
    </row>
    <row r="17" spans="1:30" hidden="1" outlineLevel="2">
      <c r="A17" s="99">
        <v>45946</v>
      </c>
      <c r="B17" s="11" t="s">
        <v>19</v>
      </c>
      <c r="C17" s="181">
        <v>50</v>
      </c>
      <c r="D17" s="189" t="str">
        <f>VLOOKUP(C17,台股行情!A:B,2,FALSE)</f>
        <v>元大台灣50</v>
      </c>
      <c r="E17" s="11">
        <v>79</v>
      </c>
      <c r="F17" s="11">
        <v>62.59</v>
      </c>
      <c r="G17" s="183">
        <v>4944</v>
      </c>
      <c r="H17" s="11">
        <v>1</v>
      </c>
      <c r="I17" s="104">
        <v>46050</v>
      </c>
      <c r="J17" s="16">
        <v>74</v>
      </c>
      <c r="K17" s="11">
        <f t="shared" si="9"/>
        <v>5846</v>
      </c>
      <c r="L17" s="11">
        <f t="shared" si="10"/>
        <v>8</v>
      </c>
      <c r="M17" s="11">
        <f t="shared" si="17"/>
        <v>9</v>
      </c>
      <c r="N17" s="11">
        <v>0</v>
      </c>
      <c r="O17" s="13">
        <f t="shared" si="11"/>
        <v>0</v>
      </c>
      <c r="P17" s="14">
        <f t="shared" si="12"/>
        <v>953</v>
      </c>
      <c r="Q17" s="14">
        <f t="shared" si="13"/>
        <v>0</v>
      </c>
      <c r="R17" s="14">
        <v>79</v>
      </c>
      <c r="S17" s="14">
        <v>10</v>
      </c>
      <c r="T17" s="14">
        <f t="shared" si="14"/>
        <v>0</v>
      </c>
      <c r="U17" s="69"/>
      <c r="V17" s="69"/>
      <c r="W17" s="70"/>
      <c r="X17" s="15">
        <f t="shared" si="15"/>
        <v>0.19275889967637541</v>
      </c>
      <c r="Y17" s="16">
        <f>VLOOKUP(C17,台股行情!A:D,4,FALSE)</f>
        <v>108.9</v>
      </c>
      <c r="Z17" s="38">
        <f>VLOOKUP(C17,台股行情!A:E,5,FALSE)</f>
        <v>-4.0999999999999996</v>
      </c>
      <c r="AA17" s="90">
        <f t="shared" ca="1" si="16"/>
        <v>1407.7757091227686</v>
      </c>
      <c r="AB17" s="103" t="s">
        <v>2733</v>
      </c>
      <c r="AC17" s="103" t="s">
        <v>3050</v>
      </c>
      <c r="AD17" s="344" t="s">
        <v>3053</v>
      </c>
    </row>
    <row r="18" spans="1:30" hidden="1" outlineLevel="2">
      <c r="A18" s="99">
        <v>45978</v>
      </c>
      <c r="B18" s="11" t="s">
        <v>19</v>
      </c>
      <c r="C18" s="181">
        <v>50</v>
      </c>
      <c r="D18" s="189" t="str">
        <f>VLOOKUP(C18,台股行情!A:B,2,FALSE)</f>
        <v>元大台灣50</v>
      </c>
      <c r="E18" s="11">
        <v>80</v>
      </c>
      <c r="F18" s="11">
        <v>62</v>
      </c>
      <c r="G18" s="183">
        <v>4960</v>
      </c>
      <c r="H18" s="11">
        <v>1</v>
      </c>
      <c r="I18" s="104">
        <v>46050</v>
      </c>
      <c r="J18" s="16">
        <v>74</v>
      </c>
      <c r="K18" s="11">
        <f t="shared" si="9"/>
        <v>5920</v>
      </c>
      <c r="L18" s="11">
        <f t="shared" si="10"/>
        <v>8</v>
      </c>
      <c r="M18" s="11">
        <f t="shared" si="17"/>
        <v>9</v>
      </c>
      <c r="N18" s="11">
        <v>0</v>
      </c>
      <c r="O18" s="13">
        <f t="shared" si="11"/>
        <v>0</v>
      </c>
      <c r="P18" s="14">
        <f t="shared" si="12"/>
        <v>1012</v>
      </c>
      <c r="Q18" s="14">
        <f t="shared" si="13"/>
        <v>0</v>
      </c>
      <c r="R18" s="14">
        <v>80</v>
      </c>
      <c r="S18" s="14">
        <v>10</v>
      </c>
      <c r="T18" s="14">
        <f t="shared" si="14"/>
        <v>0</v>
      </c>
      <c r="U18" s="69"/>
      <c r="V18" s="69"/>
      <c r="W18" s="70"/>
      <c r="X18" s="15">
        <f t="shared" si="15"/>
        <v>0.20403225806451614</v>
      </c>
      <c r="Y18" s="16">
        <f>VLOOKUP(C18,台股行情!A:D,4,FALSE)</f>
        <v>108.9</v>
      </c>
      <c r="Z18" s="38">
        <f>VLOOKUP(C18,台股行情!A:E,5,FALSE)</f>
        <v>-4.0999999999999996</v>
      </c>
      <c r="AA18" s="90">
        <f t="shared" ca="1" si="16"/>
        <v>977.76804293067573</v>
      </c>
      <c r="AB18" s="103" t="s">
        <v>2733</v>
      </c>
      <c r="AC18" s="103" t="s">
        <v>3050</v>
      </c>
      <c r="AD18" s="344" t="s">
        <v>3053</v>
      </c>
    </row>
    <row r="19" spans="1:30" hidden="1" outlineLevel="2">
      <c r="A19" s="99">
        <v>46042</v>
      </c>
      <c r="B19" s="11" t="s">
        <v>19</v>
      </c>
      <c r="C19" s="181">
        <v>50</v>
      </c>
      <c r="D19" s="189" t="str">
        <f>VLOOKUP(C19,台股行情!A:B,2,FALSE)</f>
        <v>元大台灣50</v>
      </c>
      <c r="E19" s="11">
        <v>1000</v>
      </c>
      <c r="F19" s="11">
        <v>72.25</v>
      </c>
      <c r="G19" s="11">
        <f t="shared" ref="G19:G20" si="18">E19*F19</f>
        <v>72250</v>
      </c>
      <c r="H19" s="11">
        <v>102</v>
      </c>
      <c r="I19" s="104">
        <v>46050</v>
      </c>
      <c r="J19" s="16">
        <v>74</v>
      </c>
      <c r="K19" s="11">
        <f t="shared" si="9"/>
        <v>74000</v>
      </c>
      <c r="L19" s="11">
        <f t="shared" si="10"/>
        <v>105</v>
      </c>
      <c r="M19" s="11">
        <f t="shared" si="17"/>
        <v>111</v>
      </c>
      <c r="N19" s="11">
        <v>0</v>
      </c>
      <c r="O19" s="13">
        <f t="shared" si="11"/>
        <v>0</v>
      </c>
      <c r="P19" s="14">
        <f t="shared" ref="P19:P20" si="19">IF(I19="",R19-H19,(K19-H19-SUM(L19:N19)+R19-S19-T19)-G19)+(ROUND(R19*V19,0)-ROUND(R19*(1+V19),0)*W19)</f>
        <v>2422</v>
      </c>
      <c r="Q19" s="14">
        <f t="shared" si="13"/>
        <v>0</v>
      </c>
      <c r="R19" s="14">
        <v>1000</v>
      </c>
      <c r="S19" s="14">
        <v>10</v>
      </c>
      <c r="T19" s="14">
        <f t="shared" si="14"/>
        <v>0</v>
      </c>
      <c r="U19" s="69"/>
      <c r="V19" s="69"/>
      <c r="W19" s="70"/>
      <c r="X19" s="15">
        <f t="shared" si="15"/>
        <v>3.3522491349480966E-2</v>
      </c>
      <c r="Y19" s="16">
        <f>VLOOKUP(C19,台股行情!A:D,4,FALSE)</f>
        <v>108.9</v>
      </c>
      <c r="Z19" s="38">
        <f>VLOOKUP(C19,台股行情!A:E,5,FALSE)</f>
        <v>-4.0999999999999996</v>
      </c>
      <c r="AA19" s="90">
        <f t="shared" ca="1" si="16"/>
        <v>1582.5210820282553</v>
      </c>
      <c r="AB19" s="103" t="s">
        <v>2733</v>
      </c>
      <c r="AC19" s="103" t="s">
        <v>3049</v>
      </c>
      <c r="AD19" s="345" t="s">
        <v>3054</v>
      </c>
    </row>
    <row r="20" spans="1:30" hidden="1" outlineLevel="2">
      <c r="A20" s="99">
        <v>46043</v>
      </c>
      <c r="B20" s="11" t="s">
        <v>19</v>
      </c>
      <c r="C20" s="181">
        <v>50</v>
      </c>
      <c r="D20" s="189" t="str">
        <f>VLOOKUP(C20,台股行情!A:B,2,FALSE)</f>
        <v>元大台灣50</v>
      </c>
      <c r="E20" s="11">
        <v>1000</v>
      </c>
      <c r="F20" s="11">
        <v>72.45</v>
      </c>
      <c r="G20" s="11">
        <f t="shared" si="18"/>
        <v>72450</v>
      </c>
      <c r="H20" s="11">
        <v>103</v>
      </c>
      <c r="I20" s="104">
        <v>46050</v>
      </c>
      <c r="J20" s="16">
        <v>74</v>
      </c>
      <c r="K20" s="11">
        <f t="shared" si="9"/>
        <v>74000</v>
      </c>
      <c r="L20" s="11">
        <f t="shared" si="10"/>
        <v>105</v>
      </c>
      <c r="M20" s="11">
        <f t="shared" si="17"/>
        <v>111</v>
      </c>
      <c r="N20" s="11">
        <v>0</v>
      </c>
      <c r="O20" s="13">
        <f t="shared" si="11"/>
        <v>0</v>
      </c>
      <c r="P20" s="14">
        <f t="shared" si="19"/>
        <v>2221</v>
      </c>
      <c r="Q20" s="14">
        <f t="shared" si="13"/>
        <v>0</v>
      </c>
      <c r="R20" s="14">
        <v>1000</v>
      </c>
      <c r="S20" s="14">
        <v>10</v>
      </c>
      <c r="T20" s="14">
        <f t="shared" si="14"/>
        <v>0</v>
      </c>
      <c r="U20" s="69"/>
      <c r="V20" s="69"/>
      <c r="W20" s="70"/>
      <c r="X20" s="15">
        <f t="shared" si="15"/>
        <v>3.0655624568668046E-2</v>
      </c>
      <c r="Y20" s="16">
        <f>VLOOKUP(C20,台股行情!A:D,4,FALSE)</f>
        <v>108.9</v>
      </c>
      <c r="Z20" s="38">
        <f>VLOOKUP(C20,台股行情!A:E,5,FALSE)</f>
        <v>-4.0999999999999996</v>
      </c>
      <c r="AA20" s="90">
        <f t="shared" ca="1" si="16"/>
        <v>1388.5390428211585</v>
      </c>
      <c r="AB20" s="103" t="s">
        <v>2733</v>
      </c>
      <c r="AC20" s="103" t="s">
        <v>3049</v>
      </c>
      <c r="AD20" s="345" t="s">
        <v>3054</v>
      </c>
    </row>
    <row r="21" spans="1:30" hidden="1" outlineLevel="2">
      <c r="A21" s="99">
        <v>46007</v>
      </c>
      <c r="B21" s="11" t="s">
        <v>19</v>
      </c>
      <c r="C21" s="181">
        <v>50</v>
      </c>
      <c r="D21" s="189" t="str">
        <f>VLOOKUP(C21,台股行情!A:B,2,FALSE)</f>
        <v>元大台灣50</v>
      </c>
      <c r="E21" s="11">
        <v>80</v>
      </c>
      <c r="F21" s="11">
        <v>61.94</v>
      </c>
      <c r="G21" s="183">
        <v>4955</v>
      </c>
      <c r="H21" s="11">
        <v>1</v>
      </c>
      <c r="I21" s="104">
        <v>46051</v>
      </c>
      <c r="J21" s="16">
        <v>73.900000000000006</v>
      </c>
      <c r="K21" s="11">
        <f t="shared" ref="K21:K38" si="20">E21*J21</f>
        <v>5912</v>
      </c>
      <c r="L21" s="11">
        <f t="shared" ref="L21:L30" si="21">ROUND(J21*E21*0.1425%,0)</f>
        <v>8</v>
      </c>
      <c r="M21" s="11">
        <f>ROUND(J21*E21*0.3%,0)</f>
        <v>18</v>
      </c>
      <c r="N21" s="11">
        <v>0</v>
      </c>
      <c r="O21" s="13">
        <f>IF(I21="",E21*Y21,0)</f>
        <v>0</v>
      </c>
      <c r="P21" s="14">
        <f t="shared" ref="P21:P40" si="22">IF(I21="",R21-H21,(K21-H21-SUM(L21:N21)+R21-S21-T21)-G21)+(ROUND(R21*V21,0)-ROUND(R21*(1+V21),0)*W21)</f>
        <v>1000</v>
      </c>
      <c r="Q21" s="14">
        <f>IF(I21="",(O21-G21-(O21*0.1425%*0.65)-(O21*0.3%)-S21-T21),0)</f>
        <v>0</v>
      </c>
      <c r="R21" s="14">
        <v>80</v>
      </c>
      <c r="S21" s="14">
        <v>10</v>
      </c>
      <c r="T21" s="14">
        <f t="shared" ref="T21:T38" si="23">IF(ROUND(R21*(1+V21),0)&gt;20000,ROUND(ROUND(R21*(1+V21),0)*2%,0),0)</f>
        <v>0</v>
      </c>
      <c r="U21" s="69"/>
      <c r="V21" s="69"/>
      <c r="W21" s="70"/>
      <c r="X21" s="15">
        <f t="shared" ref="X21:X38" si="24">(P21+Q21)/G21</f>
        <v>0.20181634712411706</v>
      </c>
      <c r="Y21" s="16">
        <f>VLOOKUP(C21,台股行情!A:D,4,FALSE)</f>
        <v>108.9</v>
      </c>
      <c r="Z21" s="38">
        <f>VLOOKUP(C21,台股行情!A:E,5,FALSE)</f>
        <v>-4.0999999999999996</v>
      </c>
      <c r="AA21" s="90">
        <f t="shared" ref="AA21:AA38" ca="1" si="25">IF(I21="",((TODAY()-A21)*G21)/365.24,((I21-A21)*G21)/365.24)</f>
        <v>596.92257145986196</v>
      </c>
      <c r="AB21" s="103" t="s">
        <v>2733</v>
      </c>
      <c r="AC21" s="103" t="s">
        <v>3050</v>
      </c>
      <c r="AD21" s="344" t="s">
        <v>3053</v>
      </c>
    </row>
    <row r="22" spans="1:30" hidden="1" outlineLevel="2">
      <c r="A22" s="99">
        <v>46038</v>
      </c>
      <c r="B22" s="11" t="s">
        <v>19</v>
      </c>
      <c r="C22" s="181">
        <v>50</v>
      </c>
      <c r="D22" s="189" t="str">
        <f>VLOOKUP(C22,台股行情!A:B,2,FALSE)</f>
        <v>元大台灣50</v>
      </c>
      <c r="E22" s="11">
        <v>69</v>
      </c>
      <c r="F22" s="11">
        <v>71.69</v>
      </c>
      <c r="G22" s="183">
        <v>4946</v>
      </c>
      <c r="H22" s="11">
        <v>1</v>
      </c>
      <c r="I22" s="104">
        <v>46051</v>
      </c>
      <c r="J22" s="16">
        <v>73.900000000000006</v>
      </c>
      <c r="K22" s="11">
        <f t="shared" si="20"/>
        <v>5099.1000000000004</v>
      </c>
      <c r="L22" s="11">
        <f t="shared" si="21"/>
        <v>7</v>
      </c>
      <c r="M22" s="11">
        <f>ROUND(J22*E22*0.3%,0)</f>
        <v>15</v>
      </c>
      <c r="N22" s="11">
        <v>0</v>
      </c>
      <c r="O22" s="13">
        <f>IF(I22="",E22*Y22,0)</f>
        <v>0</v>
      </c>
      <c r="P22" s="14">
        <f t="shared" si="22"/>
        <v>189.10000000000036</v>
      </c>
      <c r="Q22" s="14">
        <f>IF(I22="",(O22-G22-(O22*0.1425%*0.65)-(O22*0.3%)-S22-T22),0)</f>
        <v>0</v>
      </c>
      <c r="R22" s="14">
        <v>69</v>
      </c>
      <c r="S22" s="14">
        <v>10</v>
      </c>
      <c r="T22" s="14">
        <f t="shared" si="23"/>
        <v>0</v>
      </c>
      <c r="U22" s="69"/>
      <c r="V22" s="69"/>
      <c r="W22" s="70"/>
      <c r="X22" s="15">
        <f t="shared" si="24"/>
        <v>3.8232915487262507E-2</v>
      </c>
      <c r="Y22" s="16">
        <f>VLOOKUP(C22,台股行情!A:D,4,FALSE)</f>
        <v>108.9</v>
      </c>
      <c r="Z22" s="38">
        <f>VLOOKUP(C22,台股行情!A:E,5,FALSE)</f>
        <v>-4.0999999999999996</v>
      </c>
      <c r="AA22" s="90">
        <f t="shared" ca="1" si="25"/>
        <v>176.04314970977987</v>
      </c>
      <c r="AB22" s="103" t="s">
        <v>2733</v>
      </c>
      <c r="AC22" s="103" t="s">
        <v>3050</v>
      </c>
      <c r="AD22" s="344" t="s">
        <v>3053</v>
      </c>
    </row>
    <row r="23" spans="1:30">
      <c r="A23" s="99">
        <v>46010</v>
      </c>
      <c r="B23" s="11" t="s">
        <v>19</v>
      </c>
      <c r="C23" s="181">
        <v>3004</v>
      </c>
      <c r="D23" s="189" t="str">
        <f>VLOOKUP(C23,台股行情!A:B,2,FALSE)</f>
        <v>豐達科</v>
      </c>
      <c r="E23" s="11">
        <v>1000</v>
      </c>
      <c r="F23" s="11">
        <v>80</v>
      </c>
      <c r="G23" s="11">
        <f t="shared" ref="G23" si="26">E23*F23</f>
        <v>80000</v>
      </c>
      <c r="H23" s="11">
        <v>70</v>
      </c>
      <c r="I23" s="99">
        <v>46051</v>
      </c>
      <c r="J23" s="16">
        <v>113.5</v>
      </c>
      <c r="K23" s="11">
        <f t="shared" si="20"/>
        <v>113500</v>
      </c>
      <c r="L23" s="11">
        <f t="shared" si="21"/>
        <v>162</v>
      </c>
      <c r="M23" s="11">
        <f>ROUND(J23*E23*0.3%,0)</f>
        <v>341</v>
      </c>
      <c r="N23" s="11">
        <v>0</v>
      </c>
      <c r="O23" s="13">
        <f>IF(I23="",E23*Y23,0)</f>
        <v>0</v>
      </c>
      <c r="P23" s="14">
        <f t="shared" si="22"/>
        <v>32927</v>
      </c>
      <c r="Q23" s="14">
        <f>IF(I23="",(O23-G23-(O23*0.1425%*0.65)-(O23*0.3%)-S23-T23),0)</f>
        <v>0</v>
      </c>
      <c r="R23" s="14"/>
      <c r="S23" s="14">
        <v>0</v>
      </c>
      <c r="T23" s="14">
        <f t="shared" si="23"/>
        <v>0</v>
      </c>
      <c r="U23" s="69"/>
      <c r="V23" s="69"/>
      <c r="W23" s="70"/>
      <c r="X23" s="15">
        <f t="shared" si="24"/>
        <v>0.4115875</v>
      </c>
      <c r="Y23" s="16">
        <f>VLOOKUP(C23,台股行情!A:D,4,FALSE)</f>
        <v>120.5</v>
      </c>
      <c r="Z23" s="38">
        <f>VLOOKUP(C23,台股行情!A:E,5,FALSE)</f>
        <v>-1</v>
      </c>
      <c r="AA23" s="90">
        <f t="shared" ca="1" si="25"/>
        <v>8980.396451648232</v>
      </c>
      <c r="AB23" s="103" t="s">
        <v>2998</v>
      </c>
      <c r="AC23" s="103" t="s">
        <v>3048</v>
      </c>
      <c r="AD23" s="353" t="s">
        <v>3055</v>
      </c>
    </row>
    <row r="24" spans="1:30" collapsed="1">
      <c r="A24" s="99">
        <v>44551</v>
      </c>
      <c r="B24" s="11" t="s">
        <v>19</v>
      </c>
      <c r="C24" s="181">
        <v>692</v>
      </c>
      <c r="D24" s="189" t="str">
        <f>VLOOKUP(C24,台股行情!A:B,2,FALSE)</f>
        <v>富邦公司治理</v>
      </c>
      <c r="E24" s="11">
        <v>1000</v>
      </c>
      <c r="F24" s="11">
        <v>35.14</v>
      </c>
      <c r="G24" s="11">
        <f>E24*F24</f>
        <v>35140</v>
      </c>
      <c r="H24" s="11">
        <v>50</v>
      </c>
      <c r="I24" s="104">
        <v>46090</v>
      </c>
      <c r="J24" s="16">
        <v>64.150000000000006</v>
      </c>
      <c r="K24" s="11">
        <f t="shared" si="20"/>
        <v>64150.000000000007</v>
      </c>
      <c r="L24" s="11">
        <f t="shared" si="21"/>
        <v>91</v>
      </c>
      <c r="M24" s="11">
        <v>64</v>
      </c>
      <c r="N24" s="11">
        <v>0</v>
      </c>
      <c r="O24" s="13">
        <f t="shared" ref="O24" si="27">IF(I24="",E24*Y24,0)</f>
        <v>0</v>
      </c>
      <c r="P24" s="14">
        <f t="shared" si="22"/>
        <v>33607</v>
      </c>
      <c r="Q24" s="14">
        <f t="shared" ref="Q24" si="28">IF(I24="",(O24-G24-(O24*0.1425%*0.65)-(O24*0.3%)-S24-T24),0)</f>
        <v>0</v>
      </c>
      <c r="R24" s="14">
        <f>1483+550+732+1062+415+600</f>
        <v>4842</v>
      </c>
      <c r="S24" s="14">
        <v>40</v>
      </c>
      <c r="T24" s="14">
        <f t="shared" si="23"/>
        <v>0</v>
      </c>
      <c r="U24" s="69">
        <f>(V24*50%)/(1+50%*V24)</f>
        <v>0</v>
      </c>
      <c r="V24" s="69"/>
      <c r="W24" s="70"/>
      <c r="X24" s="15">
        <f t="shared" si="24"/>
        <v>0.95637450199203189</v>
      </c>
      <c r="Y24" s="16">
        <f>VLOOKUP(C24,台股行情!A:D,4,FALSE)</f>
        <v>94.4</v>
      </c>
      <c r="Z24" s="38">
        <f>VLOOKUP(C24,台股行情!A:E,5,FALSE)</f>
        <v>-3.05</v>
      </c>
      <c r="AA24" s="90">
        <f t="shared" ca="1" si="25"/>
        <v>148068.2838681415</v>
      </c>
      <c r="AB24" s="103" t="s">
        <v>2733</v>
      </c>
      <c r="AC24" s="103" t="s">
        <v>3056</v>
      </c>
      <c r="AD24" s="353" t="s">
        <v>3078</v>
      </c>
    </row>
    <row r="25" spans="1:30" hidden="1" outlineLevel="1">
      <c r="A25" s="99">
        <v>44931</v>
      </c>
      <c r="B25" s="11" t="s">
        <v>19</v>
      </c>
      <c r="C25" s="181">
        <v>692</v>
      </c>
      <c r="D25" s="189" t="str">
        <f>VLOOKUP(C25,台股行情!A:B,2,FALSE)</f>
        <v>富邦公司治理</v>
      </c>
      <c r="E25" s="11">
        <v>1000</v>
      </c>
      <c r="F25" s="11">
        <v>27.07</v>
      </c>
      <c r="G25" s="11">
        <f>E25*F25</f>
        <v>27070</v>
      </c>
      <c r="H25" s="11">
        <v>38</v>
      </c>
      <c r="I25" s="104">
        <v>46090</v>
      </c>
      <c r="J25" s="16">
        <v>64.150000000000006</v>
      </c>
      <c r="K25" s="11">
        <f t="shared" si="20"/>
        <v>64150.000000000007</v>
      </c>
      <c r="L25" s="11">
        <f t="shared" si="21"/>
        <v>91</v>
      </c>
      <c r="M25" s="11">
        <v>64</v>
      </c>
      <c r="N25" s="11">
        <v>0</v>
      </c>
      <c r="O25" s="13">
        <f t="shared" ref="O25:O38" si="29">IF(I25="",E25*Y25,0)</f>
        <v>0</v>
      </c>
      <c r="P25" s="14">
        <f t="shared" si="22"/>
        <v>39656</v>
      </c>
      <c r="Q25" s="14">
        <f t="shared" ref="Q25:Q38" si="30">IF(I25="",(O25-G25-(O25*0.1425%*0.65)-(O25*0.3%)-S25-T25),0)</f>
        <v>0</v>
      </c>
      <c r="R25" s="14">
        <f>732+1062+415+600</f>
        <v>2809</v>
      </c>
      <c r="S25" s="14">
        <v>40</v>
      </c>
      <c r="T25" s="14">
        <f t="shared" si="23"/>
        <v>0</v>
      </c>
      <c r="U25" s="69">
        <f>(V25*50%)/(1+50%*V25)</f>
        <v>0</v>
      </c>
      <c r="V25" s="69"/>
      <c r="W25" s="70"/>
      <c r="X25" s="15">
        <f t="shared" si="24"/>
        <v>1.4649427410417437</v>
      </c>
      <c r="Y25" s="16">
        <f>VLOOKUP(C25,台股行情!A:D,4,FALSE)</f>
        <v>94.4</v>
      </c>
      <c r="Z25" s="38">
        <f>VLOOKUP(C25,台股行情!A:E,5,FALSE)</f>
        <v>-3.05</v>
      </c>
      <c r="AA25" s="90">
        <f t="shared" ca="1" si="25"/>
        <v>85900.038330960466</v>
      </c>
      <c r="AB25" s="103" t="s">
        <v>2733</v>
      </c>
      <c r="AC25" s="103" t="s">
        <v>3056</v>
      </c>
      <c r="AD25" s="353" t="s">
        <v>3078</v>
      </c>
    </row>
    <row r="26" spans="1:30" collapsed="1">
      <c r="A26" s="99">
        <v>45622</v>
      </c>
      <c r="B26" s="11" t="s">
        <v>19</v>
      </c>
      <c r="C26" s="181">
        <v>713</v>
      </c>
      <c r="D26" s="189" t="str">
        <f>VLOOKUP(C26,台股行情!A:B,2,FALSE)</f>
        <v>元大台灣高息低波</v>
      </c>
      <c r="E26" s="11">
        <v>35</v>
      </c>
      <c r="F26" s="11">
        <v>55.6</v>
      </c>
      <c r="G26" s="183">
        <v>1946</v>
      </c>
      <c r="H26" s="11">
        <v>1</v>
      </c>
      <c r="I26" s="104">
        <v>46090</v>
      </c>
      <c r="J26" s="16">
        <v>51.65</v>
      </c>
      <c r="K26" s="11">
        <f t="shared" si="20"/>
        <v>1807.75</v>
      </c>
      <c r="L26" s="11">
        <f t="shared" si="21"/>
        <v>3</v>
      </c>
      <c r="M26" s="11">
        <f>ROUND(J26*E26*0.3%,0)</f>
        <v>5</v>
      </c>
      <c r="N26" s="11">
        <v>0</v>
      </c>
      <c r="O26" s="13">
        <f t="shared" si="29"/>
        <v>0</v>
      </c>
      <c r="P26" s="14">
        <f t="shared" si="22"/>
        <v>-108.25</v>
      </c>
      <c r="Q26" s="14">
        <f t="shared" si="30"/>
        <v>0</v>
      </c>
      <c r="R26" s="14">
        <v>49</v>
      </c>
      <c r="S26" s="14">
        <v>10</v>
      </c>
      <c r="T26" s="14">
        <f t="shared" si="23"/>
        <v>0</v>
      </c>
      <c r="U26" s="69">
        <f>(V26*50%)/(1+50%*V26)</f>
        <v>0</v>
      </c>
      <c r="V26" s="69"/>
      <c r="W26" s="70"/>
      <c r="X26" s="15">
        <f t="shared" si="24"/>
        <v>-5.5626927029804728E-2</v>
      </c>
      <c r="Y26" s="16">
        <f>VLOOKUP(C26,台股行情!A:D,4,FALSE)</f>
        <v>65.5</v>
      </c>
      <c r="Z26" s="38">
        <f>VLOOKUP(C26,台股行情!A:E,5,FALSE)</f>
        <v>0.7</v>
      </c>
      <c r="AA26" s="90">
        <f t="shared" ca="1" si="25"/>
        <v>2493.5056401270399</v>
      </c>
      <c r="AB26" s="103" t="s">
        <v>2733</v>
      </c>
      <c r="AC26" s="103" t="s">
        <v>3050</v>
      </c>
      <c r="AD26" s="354" t="s">
        <v>3080</v>
      </c>
    </row>
    <row r="27" spans="1:30" hidden="1" outlineLevel="1">
      <c r="A27" s="99">
        <v>45652</v>
      </c>
      <c r="B27" s="11" t="s">
        <v>19</v>
      </c>
      <c r="C27" s="181">
        <v>713</v>
      </c>
      <c r="D27" s="189" t="str">
        <f>VLOOKUP(C27,台股行情!A:B,2,FALSE)</f>
        <v>元大台灣高息低波</v>
      </c>
      <c r="E27" s="11">
        <v>37</v>
      </c>
      <c r="F27" s="11">
        <v>53.92</v>
      </c>
      <c r="G27" s="183">
        <v>1995</v>
      </c>
      <c r="H27" s="11">
        <v>1</v>
      </c>
      <c r="I27" s="104">
        <v>46090</v>
      </c>
      <c r="J27" s="16">
        <v>51.65</v>
      </c>
      <c r="K27" s="11">
        <f t="shared" si="20"/>
        <v>1911.05</v>
      </c>
      <c r="L27" s="11">
        <f t="shared" si="21"/>
        <v>3</v>
      </c>
      <c r="M27" s="11">
        <f>ROUND(J27*E27*0.3%,0)</f>
        <v>6</v>
      </c>
      <c r="N27" s="11">
        <v>0</v>
      </c>
      <c r="O27" s="13">
        <f t="shared" si="29"/>
        <v>0</v>
      </c>
      <c r="P27" s="14">
        <f t="shared" si="22"/>
        <v>-93.950000000000045</v>
      </c>
      <c r="Q27" s="14">
        <f t="shared" si="30"/>
        <v>0</v>
      </c>
      <c r="R27" s="14"/>
      <c r="S27" s="14">
        <v>0</v>
      </c>
      <c r="T27" s="14">
        <f t="shared" si="23"/>
        <v>0</v>
      </c>
      <c r="U27" s="69"/>
      <c r="V27" s="69"/>
      <c r="W27" s="70"/>
      <c r="X27" s="15">
        <f t="shared" si="24"/>
        <v>-4.7092731829573957E-2</v>
      </c>
      <c r="Y27" s="16">
        <f>VLOOKUP(C27,台股行情!A:D,4,FALSE)</f>
        <v>65.5</v>
      </c>
      <c r="Z27" s="38">
        <f>VLOOKUP(C27,台股行情!A:E,5,FALSE)</f>
        <v>0.7</v>
      </c>
      <c r="AA27" s="90">
        <f t="shared" ca="1" si="25"/>
        <v>2392.4268973825428</v>
      </c>
      <c r="AB27" s="103" t="s">
        <v>2733</v>
      </c>
      <c r="AC27" s="103" t="s">
        <v>3050</v>
      </c>
      <c r="AD27" s="354" t="s">
        <v>3080</v>
      </c>
    </row>
    <row r="28" spans="1:30" hidden="1" outlineLevel="1">
      <c r="A28" s="99">
        <v>45691</v>
      </c>
      <c r="B28" s="11" t="s">
        <v>19</v>
      </c>
      <c r="C28" s="181">
        <v>713</v>
      </c>
      <c r="D28" s="189" t="str">
        <f>VLOOKUP(C28,台股行情!A:B,2,FALSE)</f>
        <v>元大台灣高息低波</v>
      </c>
      <c r="E28" s="11">
        <v>93</v>
      </c>
      <c r="F28" s="11">
        <v>53.49</v>
      </c>
      <c r="G28" s="183">
        <v>4974</v>
      </c>
      <c r="H28" s="11">
        <v>1</v>
      </c>
      <c r="I28" s="104">
        <v>46090</v>
      </c>
      <c r="J28" s="16">
        <v>51.65</v>
      </c>
      <c r="K28" s="11">
        <f t="shared" si="20"/>
        <v>4803.45</v>
      </c>
      <c r="L28" s="11">
        <f t="shared" si="21"/>
        <v>7</v>
      </c>
      <c r="M28" s="11">
        <f>ROUND(J28*E28*0.3%,0)</f>
        <v>14</v>
      </c>
      <c r="N28" s="11">
        <v>0</v>
      </c>
      <c r="O28" s="13">
        <f t="shared" si="29"/>
        <v>0</v>
      </c>
      <c r="P28" s="14">
        <f t="shared" si="22"/>
        <v>-192.55000000000018</v>
      </c>
      <c r="Q28" s="14">
        <f t="shared" si="30"/>
        <v>0</v>
      </c>
      <c r="R28" s="14"/>
      <c r="S28" s="14">
        <v>0</v>
      </c>
      <c r="T28" s="14">
        <f t="shared" si="23"/>
        <v>0</v>
      </c>
      <c r="U28" s="69"/>
      <c r="V28" s="69"/>
      <c r="W28" s="70"/>
      <c r="X28" s="15">
        <f t="shared" si="24"/>
        <v>-3.8711298753518329E-2</v>
      </c>
      <c r="Y28" s="16">
        <f>VLOOKUP(C28,台股行情!A:D,4,FALSE)</f>
        <v>65.5</v>
      </c>
      <c r="Z28" s="38">
        <f>VLOOKUP(C28,台股行情!A:E,5,FALSE)</f>
        <v>0.7</v>
      </c>
      <c r="AA28" s="90">
        <f t="shared" ca="1" si="25"/>
        <v>5433.7586244661043</v>
      </c>
      <c r="AB28" s="103" t="s">
        <v>2733</v>
      </c>
      <c r="AC28" s="103" t="s">
        <v>3050</v>
      </c>
      <c r="AD28" s="354" t="s">
        <v>3080</v>
      </c>
    </row>
    <row r="29" spans="1:30" hidden="1" outlineLevel="1">
      <c r="A29" s="99">
        <v>45714</v>
      </c>
      <c r="B29" s="11" t="s">
        <v>19</v>
      </c>
      <c r="C29" s="181">
        <v>713</v>
      </c>
      <c r="D29" s="189" t="str">
        <f>VLOOKUP(C29,台股行情!A:B,2,FALSE)</f>
        <v>元大台灣高息低波</v>
      </c>
      <c r="E29" s="11">
        <v>90</v>
      </c>
      <c r="F29" s="11">
        <v>55.06</v>
      </c>
      <c r="G29" s="183">
        <v>4955</v>
      </c>
      <c r="H29" s="11">
        <v>1</v>
      </c>
      <c r="I29" s="104">
        <v>46090</v>
      </c>
      <c r="J29" s="16">
        <v>51.65</v>
      </c>
      <c r="K29" s="11">
        <f t="shared" si="20"/>
        <v>4648.5</v>
      </c>
      <c r="L29" s="11">
        <f t="shared" si="21"/>
        <v>7</v>
      </c>
      <c r="M29" s="11">
        <f>ROUND(J29*E29*0.3%,0)</f>
        <v>14</v>
      </c>
      <c r="N29" s="11">
        <v>0</v>
      </c>
      <c r="O29" s="13">
        <f t="shared" si="29"/>
        <v>0</v>
      </c>
      <c r="P29" s="14">
        <f t="shared" si="22"/>
        <v>18.5</v>
      </c>
      <c r="Q29" s="14">
        <f t="shared" si="30"/>
        <v>0</v>
      </c>
      <c r="R29" s="14">
        <v>357</v>
      </c>
      <c r="S29" s="14">
        <v>10</v>
      </c>
      <c r="T29" s="14">
        <f t="shared" si="23"/>
        <v>0</v>
      </c>
      <c r="U29" s="69"/>
      <c r="V29" s="69"/>
      <c r="W29" s="70"/>
      <c r="X29" s="15">
        <f t="shared" si="24"/>
        <v>3.7336024217961656E-3</v>
      </c>
      <c r="Y29" s="16">
        <f>VLOOKUP(C29,台股行情!A:D,4,FALSE)</f>
        <v>65.5</v>
      </c>
      <c r="Z29" s="38">
        <f>VLOOKUP(C29,台股行情!A:E,5,FALSE)</f>
        <v>0.7</v>
      </c>
      <c r="AA29" s="90">
        <f t="shared" ca="1" si="25"/>
        <v>5100.9747015660932</v>
      </c>
      <c r="AB29" s="103" t="s">
        <v>2733</v>
      </c>
      <c r="AC29" s="103" t="s">
        <v>3050</v>
      </c>
      <c r="AD29" s="353" t="s">
        <v>3078</v>
      </c>
    </row>
    <row r="30" spans="1:30" hidden="1" outlineLevel="1">
      <c r="A30" s="99">
        <v>45742</v>
      </c>
      <c r="B30" s="11" t="s">
        <v>19</v>
      </c>
      <c r="C30" s="181">
        <v>713</v>
      </c>
      <c r="D30" s="189" t="str">
        <f>VLOOKUP(C30,台股行情!A:B,2,FALSE)</f>
        <v>元大台灣高息低波</v>
      </c>
      <c r="E30" s="11">
        <v>91</v>
      </c>
      <c r="F30" s="11">
        <v>53.74</v>
      </c>
      <c r="G30" s="183">
        <v>4997</v>
      </c>
      <c r="H30" s="11">
        <v>1</v>
      </c>
      <c r="I30" s="104">
        <v>46090</v>
      </c>
      <c r="J30" s="16">
        <v>51.65</v>
      </c>
      <c r="K30" s="11">
        <f t="shared" si="20"/>
        <v>4700.1499999999996</v>
      </c>
      <c r="L30" s="11">
        <f t="shared" si="21"/>
        <v>7</v>
      </c>
      <c r="M30" s="11">
        <f>ROUND(J30*E30*0.3%,0)</f>
        <v>14</v>
      </c>
      <c r="N30" s="11">
        <v>0</v>
      </c>
      <c r="O30" s="13">
        <f t="shared" si="29"/>
        <v>0</v>
      </c>
      <c r="P30" s="14">
        <f t="shared" si="22"/>
        <v>-318.85000000000036</v>
      </c>
      <c r="Q30" s="14">
        <f t="shared" si="30"/>
        <v>0</v>
      </c>
      <c r="R30" s="14"/>
      <c r="S30" s="14">
        <v>0</v>
      </c>
      <c r="T30" s="14">
        <f t="shared" si="23"/>
        <v>0</v>
      </c>
      <c r="U30" s="69"/>
      <c r="V30" s="69"/>
      <c r="W30" s="70"/>
      <c r="X30" s="15">
        <f t="shared" si="24"/>
        <v>-6.3808284970982662E-2</v>
      </c>
      <c r="Y30" s="16">
        <f>VLOOKUP(C30,台股行情!A:D,4,FALSE)</f>
        <v>65.5</v>
      </c>
      <c r="Z30" s="38">
        <f>VLOOKUP(C30,台股行情!A:E,5,FALSE)</f>
        <v>0.7</v>
      </c>
      <c r="AA30" s="90">
        <f t="shared" ca="1" si="25"/>
        <v>4761.1324060891466</v>
      </c>
      <c r="AB30" s="103" t="s">
        <v>2733</v>
      </c>
      <c r="AC30" s="103" t="s">
        <v>3050</v>
      </c>
      <c r="AD30" s="354" t="s">
        <v>3080</v>
      </c>
    </row>
    <row r="31" spans="1:30" hidden="1" outlineLevel="1">
      <c r="A31" s="99">
        <v>45775</v>
      </c>
      <c r="B31" s="11" t="s">
        <v>19</v>
      </c>
      <c r="C31" s="181">
        <v>713</v>
      </c>
      <c r="D31" s="189" t="str">
        <f>VLOOKUP(C31,台股行情!A:B,2,FALSE)</f>
        <v>元大台灣高息低波</v>
      </c>
      <c r="E31" s="11">
        <v>100</v>
      </c>
      <c r="F31" s="11">
        <v>50</v>
      </c>
      <c r="G31" s="183">
        <v>5000</v>
      </c>
      <c r="H31" s="11">
        <v>1</v>
      </c>
      <c r="I31" s="104">
        <v>46090</v>
      </c>
      <c r="J31" s="16">
        <v>51.45</v>
      </c>
      <c r="K31" s="11">
        <f t="shared" si="20"/>
        <v>5145</v>
      </c>
      <c r="L31" s="11">
        <v>10</v>
      </c>
      <c r="M31" s="11">
        <v>5</v>
      </c>
      <c r="N31" s="11">
        <v>0</v>
      </c>
      <c r="O31" s="13">
        <f t="shared" si="29"/>
        <v>0</v>
      </c>
      <c r="P31" s="14">
        <f t="shared" si="22"/>
        <v>129</v>
      </c>
      <c r="Q31" s="14">
        <f t="shared" si="30"/>
        <v>0</v>
      </c>
      <c r="R31" s="14"/>
      <c r="S31" s="14">
        <v>0</v>
      </c>
      <c r="T31" s="14">
        <f t="shared" si="23"/>
        <v>0</v>
      </c>
      <c r="U31" s="69"/>
      <c r="V31" s="69"/>
      <c r="W31" s="70"/>
      <c r="X31" s="15">
        <f t="shared" si="24"/>
        <v>2.58E-2</v>
      </c>
      <c r="Y31" s="16">
        <f>VLOOKUP(C31,台股行情!A:D,4,FALSE)</f>
        <v>65.5</v>
      </c>
      <c r="Z31" s="38">
        <f>VLOOKUP(C31,台股行情!A:E,5,FALSE)</f>
        <v>0.7</v>
      </c>
      <c r="AA31" s="90">
        <f t="shared" ca="1" si="25"/>
        <v>4312.2330522396232</v>
      </c>
      <c r="AB31" s="103" t="s">
        <v>2733</v>
      </c>
      <c r="AC31" s="103" t="s">
        <v>3050</v>
      </c>
      <c r="AD31" s="353" t="s">
        <v>3078</v>
      </c>
    </row>
    <row r="32" spans="1:30" hidden="1" outlineLevel="1">
      <c r="A32" s="99">
        <v>45803</v>
      </c>
      <c r="B32" s="11" t="s">
        <v>19</v>
      </c>
      <c r="C32" s="181">
        <v>713</v>
      </c>
      <c r="D32" s="189" t="str">
        <f>VLOOKUP(C32,台股行情!A:B,2,FALSE)</f>
        <v>元大台灣高息低波</v>
      </c>
      <c r="E32" s="11">
        <v>95</v>
      </c>
      <c r="F32" s="11">
        <v>52.1</v>
      </c>
      <c r="G32" s="183">
        <v>4949</v>
      </c>
      <c r="H32" s="11">
        <v>1</v>
      </c>
      <c r="I32" s="104">
        <v>46090</v>
      </c>
      <c r="J32" s="16">
        <v>51.45</v>
      </c>
      <c r="K32" s="11">
        <f t="shared" si="20"/>
        <v>4887.75</v>
      </c>
      <c r="L32" s="11">
        <f t="shared" ref="L32:L38" si="31">ROUND(J32*E32*0.1425%,0)</f>
        <v>7</v>
      </c>
      <c r="M32" s="11">
        <v>5</v>
      </c>
      <c r="N32" s="11">
        <v>0</v>
      </c>
      <c r="O32" s="13">
        <f t="shared" si="29"/>
        <v>0</v>
      </c>
      <c r="P32" s="14">
        <f t="shared" si="22"/>
        <v>513.05000000000018</v>
      </c>
      <c r="Q32" s="14">
        <f t="shared" si="30"/>
        <v>0</v>
      </c>
      <c r="R32" s="14">
        <v>597.29999999999995</v>
      </c>
      <c r="S32" s="14">
        <v>10</v>
      </c>
      <c r="T32" s="14">
        <f t="shared" si="23"/>
        <v>0</v>
      </c>
      <c r="U32" s="69"/>
      <c r="V32" s="69"/>
      <c r="W32" s="70"/>
      <c r="X32" s="15">
        <f t="shared" si="24"/>
        <v>0.10366740755708227</v>
      </c>
      <c r="Y32" s="16">
        <f>VLOOKUP(C32,台股行情!A:D,4,FALSE)</f>
        <v>65.5</v>
      </c>
      <c r="Z32" s="38">
        <f>VLOOKUP(C32,台股行情!A:E,5,FALSE)</f>
        <v>0.7</v>
      </c>
      <c r="AA32" s="90">
        <f t="shared" ca="1" si="25"/>
        <v>3888.848428430621</v>
      </c>
      <c r="AB32" s="103" t="s">
        <v>2733</v>
      </c>
      <c r="AC32" s="103" t="s">
        <v>3050</v>
      </c>
      <c r="AD32" s="353" t="s">
        <v>3078</v>
      </c>
    </row>
    <row r="33" spans="1:30" hidden="1" outlineLevel="1">
      <c r="A33" s="99">
        <v>45834</v>
      </c>
      <c r="B33" s="11" t="s">
        <v>19</v>
      </c>
      <c r="C33" s="181">
        <v>713</v>
      </c>
      <c r="D33" s="189" t="str">
        <f>VLOOKUP(C33,台股行情!A:B,2,FALSE)</f>
        <v>元大台灣高息低波</v>
      </c>
      <c r="E33" s="11">
        <v>99</v>
      </c>
      <c r="F33" s="11">
        <v>50.31</v>
      </c>
      <c r="G33" s="183">
        <v>4980</v>
      </c>
      <c r="H33" s="11">
        <v>1</v>
      </c>
      <c r="I33" s="104">
        <v>46090</v>
      </c>
      <c r="J33" s="16">
        <v>51.45</v>
      </c>
      <c r="K33" s="11">
        <f t="shared" si="20"/>
        <v>5093.55</v>
      </c>
      <c r="L33" s="11">
        <f t="shared" si="31"/>
        <v>7</v>
      </c>
      <c r="M33" s="11">
        <v>5</v>
      </c>
      <c r="N33" s="11">
        <v>0</v>
      </c>
      <c r="O33" s="13">
        <f t="shared" si="29"/>
        <v>0</v>
      </c>
      <c r="P33" s="14">
        <f t="shared" si="22"/>
        <v>742.55000000000018</v>
      </c>
      <c r="Q33" s="14">
        <f t="shared" si="30"/>
        <v>0</v>
      </c>
      <c r="R33" s="14">
        <v>652</v>
      </c>
      <c r="S33" s="14">
        <v>10</v>
      </c>
      <c r="T33" s="14">
        <f t="shared" si="23"/>
        <v>0</v>
      </c>
      <c r="U33" s="69"/>
      <c r="V33" s="69"/>
      <c r="W33" s="70"/>
      <c r="X33" s="15">
        <f t="shared" si="24"/>
        <v>0.14910642570281127</v>
      </c>
      <c r="Y33" s="16">
        <f>VLOOKUP(C33,台股行情!A:D,4,FALSE)</f>
        <v>65.5</v>
      </c>
      <c r="Z33" s="38">
        <f>VLOOKUP(C33,台股行情!A:E,5,FALSE)</f>
        <v>0.7</v>
      </c>
      <c r="AA33" s="90">
        <f t="shared" ca="1" si="25"/>
        <v>3490.52677691381</v>
      </c>
      <c r="AB33" s="103" t="s">
        <v>2733</v>
      </c>
      <c r="AC33" s="103" t="s">
        <v>3050</v>
      </c>
      <c r="AD33" s="353" t="s">
        <v>3078</v>
      </c>
    </row>
    <row r="34" spans="1:30" hidden="1" outlineLevel="1">
      <c r="A34" s="99">
        <v>45866</v>
      </c>
      <c r="B34" s="11" t="s">
        <v>19</v>
      </c>
      <c r="C34" s="181">
        <v>713</v>
      </c>
      <c r="D34" s="189" t="str">
        <f>VLOOKUP(C34,台股行情!A:B,2,FALSE)</f>
        <v>元大台灣高息低波</v>
      </c>
      <c r="E34" s="11">
        <v>97</v>
      </c>
      <c r="F34" s="11">
        <v>51.1</v>
      </c>
      <c r="G34" s="183">
        <v>4956</v>
      </c>
      <c r="H34" s="11">
        <v>1</v>
      </c>
      <c r="I34" s="104">
        <v>46090</v>
      </c>
      <c r="J34" s="16">
        <v>51.45</v>
      </c>
      <c r="K34" s="11">
        <f t="shared" si="20"/>
        <v>4990.6500000000005</v>
      </c>
      <c r="L34" s="11">
        <f t="shared" si="31"/>
        <v>7</v>
      </c>
      <c r="M34" s="11">
        <v>5</v>
      </c>
      <c r="N34" s="11">
        <v>0</v>
      </c>
      <c r="O34" s="13">
        <f t="shared" si="29"/>
        <v>0</v>
      </c>
      <c r="P34" s="14">
        <f t="shared" si="22"/>
        <v>21.650000000000546</v>
      </c>
      <c r="Q34" s="14">
        <f t="shared" si="30"/>
        <v>0</v>
      </c>
      <c r="R34" s="14"/>
      <c r="S34" s="14">
        <v>0</v>
      </c>
      <c r="T34" s="14">
        <f t="shared" si="23"/>
        <v>0</v>
      </c>
      <c r="U34" s="69"/>
      <c r="V34" s="69"/>
      <c r="W34" s="70"/>
      <c r="X34" s="15">
        <f t="shared" si="24"/>
        <v>4.3684422921712162E-3</v>
      </c>
      <c r="Y34" s="16">
        <f>VLOOKUP(C34,台股行情!A:D,4,FALSE)</f>
        <v>65.5</v>
      </c>
      <c r="Z34" s="38">
        <f>VLOOKUP(C34,台股行情!A:E,5,FALSE)</f>
        <v>0.7</v>
      </c>
      <c r="AA34" s="90">
        <f t="shared" ca="1" si="25"/>
        <v>3039.4918409812726</v>
      </c>
      <c r="AB34" s="103" t="s">
        <v>2733</v>
      </c>
      <c r="AC34" s="103" t="s">
        <v>3050</v>
      </c>
      <c r="AD34" s="353" t="s">
        <v>3078</v>
      </c>
    </row>
    <row r="35" spans="1:30" hidden="1" outlineLevel="1">
      <c r="A35" s="99">
        <v>45895</v>
      </c>
      <c r="B35" s="11" t="s">
        <v>19</v>
      </c>
      <c r="C35" s="181">
        <v>713</v>
      </c>
      <c r="D35" s="189" t="str">
        <f>VLOOKUP(C35,台股行情!A:B,2,FALSE)</f>
        <v>元大台灣高息低波</v>
      </c>
      <c r="E35" s="11">
        <v>97</v>
      </c>
      <c r="F35" s="11">
        <v>51.06</v>
      </c>
      <c r="G35" s="183">
        <v>4952</v>
      </c>
      <c r="H35" s="11">
        <v>1</v>
      </c>
      <c r="I35" s="104">
        <v>46090</v>
      </c>
      <c r="J35" s="16">
        <v>51.45</v>
      </c>
      <c r="K35" s="11">
        <f t="shared" si="20"/>
        <v>4990.6500000000005</v>
      </c>
      <c r="L35" s="11">
        <f t="shared" si="31"/>
        <v>7</v>
      </c>
      <c r="M35" s="11">
        <v>5</v>
      </c>
      <c r="N35" s="11">
        <v>0</v>
      </c>
      <c r="O35" s="13">
        <f t="shared" si="29"/>
        <v>0</v>
      </c>
      <c r="P35" s="14">
        <f t="shared" si="22"/>
        <v>25.650000000000546</v>
      </c>
      <c r="Q35" s="14">
        <f t="shared" si="30"/>
        <v>0</v>
      </c>
      <c r="R35" s="14"/>
      <c r="S35" s="14">
        <v>0</v>
      </c>
      <c r="T35" s="14">
        <f t="shared" si="23"/>
        <v>0</v>
      </c>
      <c r="U35" s="69"/>
      <c r="V35" s="69"/>
      <c r="W35" s="70"/>
      <c r="X35" s="15">
        <f t="shared" si="24"/>
        <v>5.1797253634896095E-3</v>
      </c>
      <c r="Y35" s="16">
        <f>VLOOKUP(C35,台股行情!A:D,4,FALSE)</f>
        <v>65.5</v>
      </c>
      <c r="Z35" s="38">
        <f>VLOOKUP(C35,台股行情!A:E,5,FALSE)</f>
        <v>0.7</v>
      </c>
      <c r="AA35" s="90">
        <f t="shared" ca="1" si="25"/>
        <v>2643.8506187712187</v>
      </c>
      <c r="AB35" s="103" t="s">
        <v>2733</v>
      </c>
      <c r="AC35" s="103" t="s">
        <v>3050</v>
      </c>
      <c r="AD35" s="353" t="s">
        <v>3078</v>
      </c>
    </row>
    <row r="36" spans="1:30" hidden="1" outlineLevel="1">
      <c r="A36" s="99">
        <v>45926</v>
      </c>
      <c r="B36" s="11" t="s">
        <v>19</v>
      </c>
      <c r="C36" s="181">
        <v>713</v>
      </c>
      <c r="D36" s="189" t="str">
        <f>VLOOKUP(C36,台股行情!A:B,2,FALSE)</f>
        <v>元大台灣高息低波</v>
      </c>
      <c r="E36" s="11">
        <v>97</v>
      </c>
      <c r="F36" s="11">
        <v>51.14</v>
      </c>
      <c r="G36" s="183">
        <v>4960</v>
      </c>
      <c r="H36" s="11">
        <v>1</v>
      </c>
      <c r="I36" s="104">
        <v>46090</v>
      </c>
      <c r="J36" s="16">
        <v>51.45</v>
      </c>
      <c r="K36" s="11">
        <f t="shared" si="20"/>
        <v>4990.6500000000005</v>
      </c>
      <c r="L36" s="11">
        <f t="shared" si="31"/>
        <v>7</v>
      </c>
      <c r="M36" s="11">
        <v>5</v>
      </c>
      <c r="N36" s="11">
        <v>0</v>
      </c>
      <c r="O36" s="13">
        <f t="shared" si="29"/>
        <v>0</v>
      </c>
      <c r="P36" s="14">
        <f t="shared" si="22"/>
        <v>17.650000000000546</v>
      </c>
      <c r="Q36" s="14">
        <f t="shared" si="30"/>
        <v>0</v>
      </c>
      <c r="R36" s="14"/>
      <c r="S36" s="14">
        <v>0</v>
      </c>
      <c r="T36" s="14">
        <f t="shared" si="23"/>
        <v>0</v>
      </c>
      <c r="U36" s="69"/>
      <c r="V36" s="69"/>
      <c r="W36" s="70"/>
      <c r="X36" s="15">
        <f t="shared" si="24"/>
        <v>3.5584677419355937E-3</v>
      </c>
      <c r="Y36" s="16">
        <f>VLOOKUP(C36,台股行情!A:D,4,FALSE)</f>
        <v>65.5</v>
      </c>
      <c r="Z36" s="38">
        <f>VLOOKUP(C36,台股行情!A:E,5,FALSE)</f>
        <v>0.7</v>
      </c>
      <c r="AA36" s="90">
        <f t="shared" ca="1" si="25"/>
        <v>2227.1383200087612</v>
      </c>
      <c r="AB36" s="103" t="s">
        <v>2733</v>
      </c>
      <c r="AC36" s="103" t="s">
        <v>3050</v>
      </c>
      <c r="AD36" s="353" t="s">
        <v>3078</v>
      </c>
    </row>
    <row r="37" spans="1:30" hidden="1" outlineLevel="1">
      <c r="A37" s="99">
        <v>45957</v>
      </c>
      <c r="B37" s="11" t="s">
        <v>19</v>
      </c>
      <c r="C37" s="181">
        <v>713</v>
      </c>
      <c r="D37" s="189" t="str">
        <f>VLOOKUP(C37,台股行情!A:B,2,FALSE)</f>
        <v>元大台灣高息低波</v>
      </c>
      <c r="E37" s="11">
        <v>96</v>
      </c>
      <c r="F37" s="11">
        <v>51.75</v>
      </c>
      <c r="G37" s="183">
        <v>4968</v>
      </c>
      <c r="H37" s="11">
        <v>1</v>
      </c>
      <c r="I37" s="104">
        <v>46090</v>
      </c>
      <c r="J37" s="16">
        <v>51.45</v>
      </c>
      <c r="K37" s="11">
        <f t="shared" si="20"/>
        <v>4939.2000000000007</v>
      </c>
      <c r="L37" s="11">
        <f t="shared" si="31"/>
        <v>7</v>
      </c>
      <c r="M37" s="11">
        <v>5</v>
      </c>
      <c r="N37" s="11">
        <v>0</v>
      </c>
      <c r="O37" s="13">
        <f t="shared" si="29"/>
        <v>0</v>
      </c>
      <c r="P37" s="14">
        <f t="shared" si="22"/>
        <v>-41.799999999999272</v>
      </c>
      <c r="Q37" s="14">
        <f t="shared" si="30"/>
        <v>0</v>
      </c>
      <c r="R37" s="14"/>
      <c r="S37" s="14">
        <v>0</v>
      </c>
      <c r="T37" s="14">
        <f t="shared" si="23"/>
        <v>0</v>
      </c>
      <c r="U37" s="69"/>
      <c r="V37" s="69"/>
      <c r="W37" s="70"/>
      <c r="X37" s="15">
        <f t="shared" si="24"/>
        <v>-8.4138486312397894E-3</v>
      </c>
      <c r="Y37" s="16">
        <f>VLOOKUP(C37,台股行情!A:D,4,FALSE)</f>
        <v>65.5</v>
      </c>
      <c r="Z37" s="38">
        <f>VLOOKUP(C37,台股行情!A:E,5,FALSE)</f>
        <v>0.7</v>
      </c>
      <c r="AA37" s="90">
        <f t="shared" ca="1" si="25"/>
        <v>1809.0680100755667</v>
      </c>
      <c r="AB37" s="103" t="s">
        <v>2733</v>
      </c>
      <c r="AC37" s="103" t="s">
        <v>3050</v>
      </c>
      <c r="AD37" s="354" t="s">
        <v>3080</v>
      </c>
    </row>
    <row r="38" spans="1:30" hidden="1" outlineLevel="1">
      <c r="A38" s="99">
        <v>45987</v>
      </c>
      <c r="B38" s="11" t="s">
        <v>19</v>
      </c>
      <c r="C38" s="181">
        <v>713</v>
      </c>
      <c r="D38" s="189" t="str">
        <f>VLOOKUP(C38,台股行情!A:B,2,FALSE)</f>
        <v>元大台灣高息低波</v>
      </c>
      <c r="E38" s="11">
        <v>99</v>
      </c>
      <c r="F38" s="11">
        <v>50.35</v>
      </c>
      <c r="G38" s="183">
        <v>4984</v>
      </c>
      <c r="H38" s="11">
        <v>1</v>
      </c>
      <c r="I38" s="104">
        <v>46090</v>
      </c>
      <c r="J38" s="16">
        <v>51.45</v>
      </c>
      <c r="K38" s="11">
        <f t="shared" si="20"/>
        <v>5093.55</v>
      </c>
      <c r="L38" s="11">
        <f t="shared" si="31"/>
        <v>7</v>
      </c>
      <c r="M38" s="11">
        <v>5</v>
      </c>
      <c r="N38" s="11">
        <v>0</v>
      </c>
      <c r="O38" s="13">
        <f t="shared" si="29"/>
        <v>0</v>
      </c>
      <c r="P38" s="14">
        <f t="shared" si="22"/>
        <v>966.55000000000018</v>
      </c>
      <c r="Q38" s="14">
        <f t="shared" si="30"/>
        <v>0</v>
      </c>
      <c r="R38" s="14">
        <v>880</v>
      </c>
      <c r="S38" s="14">
        <v>10</v>
      </c>
      <c r="T38" s="14">
        <f t="shared" si="23"/>
        <v>0</v>
      </c>
      <c r="U38" s="69"/>
      <c r="V38" s="69"/>
      <c r="W38" s="70"/>
      <c r="X38" s="15">
        <f t="shared" si="24"/>
        <v>0.19393057784911721</v>
      </c>
      <c r="Y38" s="16">
        <f>VLOOKUP(C38,台股行情!A:D,4,FALSE)</f>
        <v>65.5</v>
      </c>
      <c r="Z38" s="38">
        <f>VLOOKUP(C38,台股行情!A:E,5,FALSE)</f>
        <v>0.7</v>
      </c>
      <c r="AA38" s="90">
        <f t="shared" ca="1" si="25"/>
        <v>1405.5196583068666</v>
      </c>
      <c r="AB38" s="103" t="s">
        <v>2733</v>
      </c>
      <c r="AC38" s="103" t="s">
        <v>3050</v>
      </c>
      <c r="AD38" s="353" t="s">
        <v>3078</v>
      </c>
    </row>
    <row r="39" spans="1:30" hidden="1" outlineLevel="1">
      <c r="A39" s="99">
        <v>46017</v>
      </c>
      <c r="B39" s="11" t="s">
        <v>19</v>
      </c>
      <c r="C39" s="181">
        <v>713</v>
      </c>
      <c r="D39" s="189" t="str">
        <f>VLOOKUP(C39,台股行情!A:B,2,FALSE)</f>
        <v>元大台灣高息低波</v>
      </c>
      <c r="E39" s="11">
        <v>98</v>
      </c>
      <c r="F39" s="11">
        <v>50.84</v>
      </c>
      <c r="G39" s="183">
        <v>4982</v>
      </c>
      <c r="H39" s="11">
        <v>1</v>
      </c>
      <c r="I39" s="104">
        <v>46090</v>
      </c>
      <c r="J39" s="16">
        <v>51.45</v>
      </c>
      <c r="K39" s="11">
        <f t="shared" ref="K39" si="32">E39*J39</f>
        <v>5042.1000000000004</v>
      </c>
      <c r="L39" s="11">
        <f t="shared" ref="L39" si="33">ROUND(J39*E39*0.1425%,0)</f>
        <v>7</v>
      </c>
      <c r="M39" s="11">
        <v>5</v>
      </c>
      <c r="N39" s="11">
        <v>0</v>
      </c>
      <c r="O39" s="13">
        <f t="shared" ref="O39" si="34">IF(I39="",E39*Y39,0)</f>
        <v>0</v>
      </c>
      <c r="P39" s="14">
        <f t="shared" si="22"/>
        <v>47.100000000000364</v>
      </c>
      <c r="Q39" s="14">
        <f t="shared" ref="Q39" si="35">IF(I39="",(O39-G39-(O39*0.1425%*0.65)-(O39*0.3%)-S39-T39),0)</f>
        <v>0</v>
      </c>
      <c r="R39" s="14"/>
      <c r="S39" s="14">
        <v>0</v>
      </c>
      <c r="T39" s="14">
        <f t="shared" ref="T39" si="36">IF(ROUND(R39*(1+V39),0)&gt;20000,ROUND(ROUND(R39*(1+V39),0)*2%,0),0)</f>
        <v>0</v>
      </c>
      <c r="U39" s="69"/>
      <c r="V39" s="69"/>
      <c r="W39" s="70"/>
      <c r="X39" s="15">
        <f t="shared" ref="X39" si="37">(P39+Q39)/G39</f>
        <v>9.4540345242875076E-3</v>
      </c>
      <c r="Y39" s="16">
        <f>VLOOKUP(C39,台股行情!A:D,4,FALSE)</f>
        <v>65.5</v>
      </c>
      <c r="Z39" s="38">
        <f>VLOOKUP(C39,台股行情!A:E,5,FALSE)</f>
        <v>0.7</v>
      </c>
      <c r="AA39" s="90">
        <f t="shared" ref="AA39" ca="1" si="38">IF(I39="",((TODAY()-A39)*G39)/365.24,((I39-A39)*G39)/365.24)</f>
        <v>995.74526338845692</v>
      </c>
      <c r="AB39" s="103" t="s">
        <v>2733</v>
      </c>
      <c r="AC39" s="103" t="s">
        <v>3050</v>
      </c>
      <c r="AD39" s="353" t="s">
        <v>3078</v>
      </c>
    </row>
    <row r="40" spans="1:30" hidden="1" outlineLevel="1">
      <c r="A40" s="99">
        <v>46048</v>
      </c>
      <c r="B40" s="11" t="s">
        <v>19</v>
      </c>
      <c r="C40" s="181">
        <v>713</v>
      </c>
      <c r="D40" s="189" t="str">
        <f>VLOOKUP(C40,台股行情!A:B,2,FALSE)</f>
        <v>元大台灣高息低波</v>
      </c>
      <c r="E40" s="11">
        <v>96</v>
      </c>
      <c r="F40" s="11">
        <v>51.95</v>
      </c>
      <c r="G40" s="183">
        <v>4987</v>
      </c>
      <c r="H40" s="11">
        <v>1</v>
      </c>
      <c r="I40" s="104">
        <v>46090</v>
      </c>
      <c r="J40" s="16">
        <v>51.45</v>
      </c>
      <c r="K40" s="11">
        <f t="shared" ref="K40:K49" si="39">E40*J40</f>
        <v>4939.2000000000007</v>
      </c>
      <c r="L40" s="11">
        <f>ROUND(J40*E40*0.1425%,0)</f>
        <v>7</v>
      </c>
      <c r="M40" s="11">
        <v>5</v>
      </c>
      <c r="N40" s="11">
        <v>0</v>
      </c>
      <c r="O40" s="13">
        <f t="shared" ref="O40:O49" si="40">IF(I40="",E40*Y40,0)</f>
        <v>0</v>
      </c>
      <c r="P40" s="14">
        <f t="shared" si="22"/>
        <v>-60.799999999999272</v>
      </c>
      <c r="Q40" s="14">
        <f t="shared" ref="Q40:Q49" si="41">IF(I40="",(O40-G40-(O40*0.1425%*0.65)-(O40*0.3%)-S40-T40),0)</f>
        <v>0</v>
      </c>
      <c r="R40" s="14"/>
      <c r="S40" s="14">
        <v>0</v>
      </c>
      <c r="T40" s="14">
        <f t="shared" ref="T40:T47" si="42">IF(ROUND(R40*(1+V40),0)&gt;20000,ROUND(ROUND(R40*(1+V40),0)*2%,0),0)</f>
        <v>0</v>
      </c>
      <c r="U40" s="69"/>
      <c r="V40" s="69"/>
      <c r="W40" s="70"/>
      <c r="X40" s="15">
        <f t="shared" ref="X40:X49" si="43">(P40+Q40)/G40</f>
        <v>-1.2191698415881146E-2</v>
      </c>
      <c r="Y40" s="16">
        <f>VLOOKUP(C40,台股行情!A:D,4,FALSE)</f>
        <v>65.5</v>
      </c>
      <c r="Z40" s="38">
        <f>VLOOKUP(C40,台股行情!A:E,5,FALSE)</f>
        <v>0.7</v>
      </c>
      <c r="AA40" s="90">
        <f t="shared" ref="AA40:AA49" ca="1" si="44">IF(I40="",((TODAY()-A40)*G40)/365.24,((I40-A40)*G40)/365.24)</f>
        <v>573.4694995071734</v>
      </c>
      <c r="AB40" s="103" t="s">
        <v>2733</v>
      </c>
      <c r="AC40" s="103" t="s">
        <v>3050</v>
      </c>
      <c r="AD40" s="354" t="s">
        <v>3080</v>
      </c>
    </row>
    <row r="41" spans="1:30" hidden="1" outlineLevel="1">
      <c r="A41" s="99">
        <v>46079</v>
      </c>
      <c r="B41" s="11" t="s">
        <v>19</v>
      </c>
      <c r="C41" s="181">
        <v>713</v>
      </c>
      <c r="D41" s="189" t="str">
        <f>VLOOKUP(C41,台股行情!A:B,2,FALSE)</f>
        <v>元大台灣高息低波</v>
      </c>
      <c r="E41" s="11">
        <v>92</v>
      </c>
      <c r="F41" s="11">
        <v>53.98</v>
      </c>
      <c r="G41" s="183">
        <v>4966</v>
      </c>
      <c r="H41" s="11">
        <v>1</v>
      </c>
      <c r="I41" s="104">
        <v>46090</v>
      </c>
      <c r="J41" s="16">
        <v>51.45</v>
      </c>
      <c r="K41" s="11">
        <f t="shared" si="39"/>
        <v>4733.4000000000005</v>
      </c>
      <c r="L41" s="11">
        <f>ROUND(J41*E41*0.1425%,0)</f>
        <v>7</v>
      </c>
      <c r="M41" s="11">
        <v>5</v>
      </c>
      <c r="N41" s="11">
        <v>0</v>
      </c>
      <c r="O41" s="13">
        <f t="shared" si="40"/>
        <v>0</v>
      </c>
      <c r="P41" s="14">
        <f t="shared" ref="P41" si="45">IF(I41="",R41-H41,(K41-H41-SUM(L41:N41)+R41-S41-T41)-G41)+(ROUND(R41*V41,0)-ROUND(R41*(1+V41),0)*W41)</f>
        <v>-245.59999999999945</v>
      </c>
      <c r="Q41" s="14">
        <f t="shared" si="41"/>
        <v>0</v>
      </c>
      <c r="R41" s="14"/>
      <c r="S41" s="14">
        <v>0</v>
      </c>
      <c r="T41" s="14">
        <f t="shared" si="42"/>
        <v>0</v>
      </c>
      <c r="U41" s="69"/>
      <c r="V41" s="69"/>
      <c r="W41" s="70"/>
      <c r="X41" s="15">
        <f t="shared" si="43"/>
        <v>-4.9456302859444114E-2</v>
      </c>
      <c r="Y41" s="16">
        <f>VLOOKUP(C41,台股行情!A:D,4,FALSE)</f>
        <v>65.5</v>
      </c>
      <c r="Z41" s="38">
        <f>VLOOKUP(C41,台股行情!A:E,5,FALSE)</f>
        <v>0.7</v>
      </c>
      <c r="AA41" s="90">
        <f t="shared" ca="1" si="44"/>
        <v>149.5619318804074</v>
      </c>
      <c r="AB41" s="103" t="s">
        <v>2733</v>
      </c>
      <c r="AC41" s="103" t="s">
        <v>3050</v>
      </c>
      <c r="AD41" s="355" t="s">
        <v>3080</v>
      </c>
    </row>
    <row r="42" spans="1:30" hidden="1" outlineLevel="1">
      <c r="A42" s="99">
        <v>45814</v>
      </c>
      <c r="B42" s="11" t="s">
        <v>19</v>
      </c>
      <c r="C42" s="181">
        <v>918</v>
      </c>
      <c r="D42" s="189" t="str">
        <f>VLOOKUP(C42,台股行情!A:B,2,FALSE)</f>
        <v>大華優利高填息30</v>
      </c>
      <c r="E42" s="11">
        <v>5000</v>
      </c>
      <c r="F42" s="11">
        <v>21.98</v>
      </c>
      <c r="G42" s="11">
        <f t="shared" ref="G42:G43" si="46">E42*F42</f>
        <v>109900</v>
      </c>
      <c r="H42" s="11">
        <v>156</v>
      </c>
      <c r="I42" s="104">
        <v>46090</v>
      </c>
      <c r="J42" s="16">
        <v>22.51</v>
      </c>
      <c r="K42" s="11">
        <f t="shared" si="39"/>
        <v>112550.00000000001</v>
      </c>
      <c r="L42" s="11">
        <f>ROUND(J42*E42*0.1425%,0)</f>
        <v>160</v>
      </c>
      <c r="M42" s="11">
        <v>112</v>
      </c>
      <c r="N42" s="11">
        <v>0</v>
      </c>
      <c r="O42" s="13">
        <f t="shared" si="40"/>
        <v>0</v>
      </c>
      <c r="P42" s="14">
        <f t="shared" ref="P42" si="47">IF(I42="",R42-H42,(K42-H42-SUM(L42:N42)+R42-S42-T42)-G42)+(ROUND(R42*V42,0)-ROUND(R42*(1+V42),0)*W42)</f>
        <v>11117.000000000015</v>
      </c>
      <c r="Q42" s="14">
        <f t="shared" si="41"/>
        <v>0</v>
      </c>
      <c r="R42" s="14">
        <f>3500+2600+2825</f>
        <v>8925</v>
      </c>
      <c r="S42" s="14">
        <v>30</v>
      </c>
      <c r="T42" s="14">
        <f t="shared" si="42"/>
        <v>0</v>
      </c>
      <c r="U42" s="69"/>
      <c r="V42" s="69"/>
      <c r="W42" s="70"/>
      <c r="X42" s="15">
        <f t="shared" si="43"/>
        <v>0.10115559599636045</v>
      </c>
      <c r="Y42" s="16">
        <f>VLOOKUP(C42,台股行情!A:D,4,FALSE)</f>
        <v>34.15</v>
      </c>
      <c r="Z42" s="38">
        <f>VLOOKUP(C42,台股行情!A:E,5,FALSE)</f>
        <v>-0.37</v>
      </c>
      <c r="AA42" s="90">
        <f t="shared" ca="1" si="44"/>
        <v>83047.85894206549</v>
      </c>
      <c r="AB42" s="103" t="s">
        <v>2733</v>
      </c>
      <c r="AC42" s="103" t="s">
        <v>3051</v>
      </c>
      <c r="AD42" s="353" t="s">
        <v>3078</v>
      </c>
    </row>
    <row r="43" spans="1:30" hidden="1" outlineLevel="1">
      <c r="A43" s="99">
        <v>45814</v>
      </c>
      <c r="B43" s="11" t="s">
        <v>19</v>
      </c>
      <c r="C43" s="181">
        <v>919</v>
      </c>
      <c r="D43" s="189" t="str">
        <f>VLOOKUP(C43,台股行情!A:B,2,FALSE)</f>
        <v>群益台灣精選高息</v>
      </c>
      <c r="E43" s="11">
        <v>5000</v>
      </c>
      <c r="F43" s="11">
        <v>21.98</v>
      </c>
      <c r="G43" s="11">
        <f t="shared" si="46"/>
        <v>109900</v>
      </c>
      <c r="H43" s="11">
        <v>156</v>
      </c>
      <c r="I43" s="104">
        <v>46090</v>
      </c>
      <c r="J43" s="16">
        <v>22.94</v>
      </c>
      <c r="K43" s="11">
        <f t="shared" si="39"/>
        <v>114700</v>
      </c>
      <c r="L43" s="11">
        <f>ROUND(J43*E43*0.1425%,0)</f>
        <v>163</v>
      </c>
      <c r="M43" s="11">
        <v>114</v>
      </c>
      <c r="N43" s="11">
        <v>0</v>
      </c>
      <c r="O43" s="13">
        <f t="shared" si="40"/>
        <v>0</v>
      </c>
      <c r="P43" s="14">
        <f>IF(I43="",R43-H43,(K43-H43-SUM(L43:N43)+R43-S43-T43)-G43)+(ROUND(R43*V43,0)-ROUND(R43*(1+V43),0)*W43)</f>
        <v>13337</v>
      </c>
      <c r="Q43" s="14">
        <f t="shared" si="41"/>
        <v>0</v>
      </c>
      <c r="R43" s="14">
        <f>3600+2700+2700</f>
        <v>9000</v>
      </c>
      <c r="S43" s="14">
        <v>30</v>
      </c>
      <c r="T43" s="14">
        <f t="shared" si="42"/>
        <v>0</v>
      </c>
      <c r="U43" s="69"/>
      <c r="V43" s="69"/>
      <c r="W43" s="70"/>
      <c r="X43" s="15">
        <f t="shared" si="43"/>
        <v>0.1213557779799818</v>
      </c>
      <c r="Y43" s="16">
        <f>VLOOKUP(C43,台股行情!A:D,4,FALSE)</f>
        <v>32.380000000000003</v>
      </c>
      <c r="Z43" s="38">
        <f>VLOOKUP(C43,台股行情!A:E,5,FALSE)</f>
        <v>-0.11</v>
      </c>
      <c r="AA43" s="90">
        <f t="shared" ca="1" si="44"/>
        <v>83047.85894206549</v>
      </c>
      <c r="AB43" s="103" t="s">
        <v>2733</v>
      </c>
      <c r="AC43" s="103" t="s">
        <v>3051</v>
      </c>
      <c r="AD43" s="353" t="s">
        <v>3078</v>
      </c>
    </row>
    <row r="44" spans="1:30" collapsed="1">
      <c r="A44" s="99">
        <v>45622</v>
      </c>
      <c r="B44" s="11" t="s">
        <v>19</v>
      </c>
      <c r="C44" s="181">
        <v>56</v>
      </c>
      <c r="D44" s="189" t="str">
        <f>VLOOKUP(C44,台股行情!A:B,2,FALSE)</f>
        <v>元大高股息</v>
      </c>
      <c r="E44" s="11">
        <v>53</v>
      </c>
      <c r="F44" s="11">
        <v>37.380000000000003</v>
      </c>
      <c r="G44" s="183">
        <v>1981</v>
      </c>
      <c r="H44" s="11">
        <v>1</v>
      </c>
      <c r="I44" s="104">
        <v>46090</v>
      </c>
      <c r="J44" s="16">
        <v>37.799999999999997</v>
      </c>
      <c r="K44" s="11">
        <f t="shared" si="39"/>
        <v>2003.3999999999999</v>
      </c>
      <c r="L44" s="11">
        <f>ROUND(J44*E44*0.1425%,0)</f>
        <v>3</v>
      </c>
      <c r="M44" s="11">
        <v>2</v>
      </c>
      <c r="N44" s="11">
        <v>0</v>
      </c>
      <c r="O44" s="13">
        <f t="shared" si="40"/>
        <v>0</v>
      </c>
      <c r="P44" s="14">
        <f>IF(I44="",R44-H44,(K44-H44-SUM(L44:N44)+R44-S44-T44)-G44)+(ROUND(R44*V44,0)-ROUND(R44*(1+V44),0)*W44)</f>
        <v>201.39999999999964</v>
      </c>
      <c r="Q44" s="14">
        <f t="shared" si="41"/>
        <v>0</v>
      </c>
      <c r="R44" s="14">
        <f>113+92</f>
        <v>205</v>
      </c>
      <c r="S44" s="14">
        <v>20</v>
      </c>
      <c r="T44" s="14">
        <f t="shared" si="42"/>
        <v>0</v>
      </c>
      <c r="U44" s="69">
        <f>(V44*50%)/(1+50%*V44)</f>
        <v>0</v>
      </c>
      <c r="V44" s="69"/>
      <c r="W44" s="70"/>
      <c r="X44" s="15">
        <f t="shared" si="43"/>
        <v>0.10166582534073682</v>
      </c>
      <c r="Y44" s="16">
        <f>VLOOKUP(C44,台股行情!A:D,4,FALSE)</f>
        <v>58.25</v>
      </c>
      <c r="Z44" s="38">
        <f>VLOOKUP(C44,台股行情!A:E,5,FALSE)</f>
        <v>-1.35</v>
      </c>
      <c r="AA44" s="90">
        <f t="shared" ca="1" si="44"/>
        <v>2538.3528638703319</v>
      </c>
      <c r="AB44" s="103" t="s">
        <v>2733</v>
      </c>
      <c r="AC44" s="103" t="s">
        <v>3050</v>
      </c>
      <c r="AD44" s="353" t="s">
        <v>3078</v>
      </c>
    </row>
    <row r="45" spans="1:30" hidden="1" outlineLevel="1">
      <c r="A45" s="99">
        <v>45652</v>
      </c>
      <c r="B45" s="11" t="s">
        <v>19</v>
      </c>
      <c r="C45" s="181">
        <v>56</v>
      </c>
      <c r="D45" s="189" t="str">
        <f>VLOOKUP(C45,台股行情!A:B,2,FALSE)</f>
        <v>元大高股息</v>
      </c>
      <c r="E45" s="11">
        <v>53</v>
      </c>
      <c r="F45" s="11">
        <v>37.08</v>
      </c>
      <c r="G45" s="183">
        <v>1965</v>
      </c>
      <c r="H45" s="11">
        <v>1</v>
      </c>
      <c r="I45" s="104">
        <v>46090</v>
      </c>
      <c r="J45" s="16">
        <v>37.799999999999997</v>
      </c>
      <c r="K45" s="11">
        <f t="shared" si="39"/>
        <v>2003.3999999999999</v>
      </c>
      <c r="L45" s="11">
        <v>2</v>
      </c>
      <c r="M45" s="11">
        <v>2</v>
      </c>
      <c r="N45" s="11">
        <v>0</v>
      </c>
      <c r="O45" s="13">
        <f t="shared" si="40"/>
        <v>0</v>
      </c>
      <c r="P45" s="14">
        <f>IF(I45="",R45-H45,(K45-H45-SUM(L45:N45)+R45-S45-T45)-G45)+(ROUND(R45*V45,0)-ROUND(R45*(1+V45),0)*W45)</f>
        <v>361.39999999999964</v>
      </c>
      <c r="Q45" s="14">
        <f t="shared" si="41"/>
        <v>0</v>
      </c>
      <c r="R45" s="14">
        <f>113+92+72+91</f>
        <v>368</v>
      </c>
      <c r="S45" s="14">
        <v>40</v>
      </c>
      <c r="T45" s="14">
        <f t="shared" si="42"/>
        <v>0</v>
      </c>
      <c r="U45" s="69"/>
      <c r="V45" s="69"/>
      <c r="W45" s="70"/>
      <c r="X45" s="15">
        <f t="shared" si="43"/>
        <v>0.18391857506361306</v>
      </c>
      <c r="Y45" s="16">
        <f>VLOOKUP(C45,台股行情!A:D,4,FALSE)</f>
        <v>58.25</v>
      </c>
      <c r="Z45" s="38">
        <f>VLOOKUP(C45,台股行情!A:E,5,FALSE)</f>
        <v>-1.35</v>
      </c>
      <c r="AA45" s="90">
        <f t="shared" ca="1" si="44"/>
        <v>2356.4505530610008</v>
      </c>
      <c r="AB45" s="103" t="s">
        <v>2733</v>
      </c>
      <c r="AC45" s="103" t="s">
        <v>3050</v>
      </c>
      <c r="AD45" s="353" t="s">
        <v>3078</v>
      </c>
    </row>
    <row r="46" spans="1:30" collapsed="1">
      <c r="A46" s="99">
        <v>45622</v>
      </c>
      <c r="B46" s="11" t="s">
        <v>19</v>
      </c>
      <c r="C46" s="181">
        <v>878</v>
      </c>
      <c r="D46" s="189" t="str">
        <f>VLOOKUP(C46,台股行情!A:B,2,FALSE)</f>
        <v>國泰永續高股息</v>
      </c>
      <c r="E46" s="11">
        <v>90</v>
      </c>
      <c r="F46" s="11">
        <v>22.22</v>
      </c>
      <c r="G46" s="183">
        <v>1999</v>
      </c>
      <c r="H46" s="11">
        <v>1</v>
      </c>
      <c r="I46" s="104">
        <v>46090</v>
      </c>
      <c r="J46" s="16">
        <v>21.96</v>
      </c>
      <c r="K46" s="11">
        <f t="shared" si="39"/>
        <v>1976.4</v>
      </c>
      <c r="L46" s="11">
        <f>ROUND(J46*E46*0.1425%,0)</f>
        <v>3</v>
      </c>
      <c r="M46" s="11">
        <v>2</v>
      </c>
      <c r="N46" s="11">
        <v>0</v>
      </c>
      <c r="O46" s="13">
        <f t="shared" si="40"/>
        <v>0</v>
      </c>
      <c r="P46" s="14">
        <f>IF(I46="",R46-H46,(K46-H46-SUM(L46:N46)+R46-S46-T46)-G46)+(ROUND(R46*V46,0)-ROUND(R46*(1+V46),0)*W46)</f>
        <v>51.400000000000091</v>
      </c>
      <c r="Q46" s="14">
        <f t="shared" si="41"/>
        <v>0</v>
      </c>
      <c r="R46" s="14">
        <v>90</v>
      </c>
      <c r="S46" s="14">
        <v>10</v>
      </c>
      <c r="T46" s="14">
        <f t="shared" si="42"/>
        <v>0</v>
      </c>
      <c r="U46" s="69"/>
      <c r="V46" s="69"/>
      <c r="W46" s="70"/>
      <c r="X46" s="15">
        <f t="shared" si="43"/>
        <v>2.5712856428214151E-2</v>
      </c>
      <c r="Y46" s="16">
        <f>VLOOKUP(C46,台股行情!A:D,4,FALSE)</f>
        <v>35.090000000000003</v>
      </c>
      <c r="Z46" s="38">
        <f>VLOOKUP(C46,台股行情!A:E,5,FALSE)</f>
        <v>-0.38</v>
      </c>
      <c r="AA46" s="90">
        <f t="shared" ca="1" si="44"/>
        <v>2561.4171503668822</v>
      </c>
      <c r="AB46" s="103" t="s">
        <v>2733</v>
      </c>
      <c r="AC46" s="103" t="s">
        <v>3050</v>
      </c>
      <c r="AD46" s="353" t="s">
        <v>3078</v>
      </c>
    </row>
    <row r="47" spans="1:30" hidden="1" outlineLevel="1">
      <c r="A47" s="99">
        <v>45652</v>
      </c>
      <c r="B47" s="11" t="s">
        <v>19</v>
      </c>
      <c r="C47" s="181">
        <v>878</v>
      </c>
      <c r="D47" s="189" t="str">
        <f>VLOOKUP(C47,台股行情!A:B,2,FALSE)</f>
        <v>國泰永續高股息</v>
      </c>
      <c r="E47" s="11">
        <v>89</v>
      </c>
      <c r="F47" s="11">
        <v>22.39</v>
      </c>
      <c r="G47" s="183">
        <v>1992</v>
      </c>
      <c r="H47" s="11">
        <v>1</v>
      </c>
      <c r="I47" s="104">
        <v>46090</v>
      </c>
      <c r="J47" s="16">
        <v>21.96</v>
      </c>
      <c r="K47" s="11">
        <f t="shared" si="39"/>
        <v>1954.44</v>
      </c>
      <c r="L47" s="11">
        <v>2</v>
      </c>
      <c r="M47" s="11">
        <v>1</v>
      </c>
      <c r="N47" s="11">
        <v>0</v>
      </c>
      <c r="O47" s="13">
        <f t="shared" si="40"/>
        <v>0</v>
      </c>
      <c r="P47" s="14">
        <f t="shared" ref="P47" si="48">IF(I47="",R47-H47,(K47-H47-SUM(L47:N47)+R47-S47-T47)-G47)+(ROUND(R47*V47,0)-ROUND(R47*(1+V47),0)*W47)</f>
        <v>159.44000000000005</v>
      </c>
      <c r="Q47" s="14">
        <f t="shared" si="41"/>
        <v>0</v>
      </c>
      <c r="R47" s="14">
        <f>84+72+75</f>
        <v>231</v>
      </c>
      <c r="S47" s="14">
        <v>30</v>
      </c>
      <c r="T47" s="14">
        <f t="shared" si="42"/>
        <v>0</v>
      </c>
      <c r="U47" s="69"/>
      <c r="V47" s="69"/>
      <c r="W47" s="70"/>
      <c r="X47" s="15">
        <f t="shared" si="43"/>
        <v>8.0040160642570302E-2</v>
      </c>
      <c r="Y47" s="16">
        <f>VLOOKUP(C47,台股行情!A:D,4,FALSE)</f>
        <v>35.090000000000003</v>
      </c>
      <c r="Z47" s="38">
        <f>VLOOKUP(C47,台股行情!A:E,5,FALSE)</f>
        <v>-0.38</v>
      </c>
      <c r="AA47" s="90">
        <f t="shared" ca="1" si="44"/>
        <v>2388.8292629503885</v>
      </c>
      <c r="AB47" s="103" t="s">
        <v>2733</v>
      </c>
      <c r="AC47" s="103" t="s">
        <v>3050</v>
      </c>
      <c r="AD47" s="353" t="s">
        <v>3078</v>
      </c>
    </row>
    <row r="48" spans="1:30">
      <c r="A48" s="99">
        <v>45614</v>
      </c>
      <c r="B48" s="11" t="s">
        <v>19</v>
      </c>
      <c r="C48" s="181">
        <v>895</v>
      </c>
      <c r="D48" s="189" t="str">
        <f>VLOOKUP(C48,台股行情!A:B,2,FALSE)</f>
        <v>富邦未來車</v>
      </c>
      <c r="E48" s="11">
        <v>160</v>
      </c>
      <c r="F48" s="11">
        <v>31.12</v>
      </c>
      <c r="G48" s="183">
        <v>4979</v>
      </c>
      <c r="H48" s="11">
        <v>1</v>
      </c>
      <c r="I48" s="104">
        <v>46090</v>
      </c>
      <c r="J48" s="16">
        <v>38.549999999999997</v>
      </c>
      <c r="K48" s="11">
        <f t="shared" si="39"/>
        <v>6168</v>
      </c>
      <c r="L48" s="11">
        <f>ROUND(J48*E48*0.1425%,0)</f>
        <v>9</v>
      </c>
      <c r="M48" s="11">
        <v>6</v>
      </c>
      <c r="N48" s="11">
        <v>0</v>
      </c>
      <c r="O48" s="13">
        <f t="shared" si="40"/>
        <v>0</v>
      </c>
      <c r="P48" s="14">
        <f>IF(I48="",R48-H48,(K48-H48-SUM(L48:N48)+R48-S48-T48)-G48)+(ROUND(R48*V48,0)-ROUND(R48*(1+V48),0)*W48)</f>
        <v>1173</v>
      </c>
      <c r="Q48" s="14">
        <f t="shared" si="41"/>
        <v>0</v>
      </c>
      <c r="R48" s="14"/>
      <c r="S48" s="14">
        <v>0</v>
      </c>
      <c r="T48" s="14">
        <f t="shared" ref="T48" si="49">IF(ROUND(R48*(1+V48),0)&gt;20000,ROUND(ROUND(R48*(1+V48),0)*2%,0),0)</f>
        <v>0</v>
      </c>
      <c r="U48" s="69">
        <f>(V48*50%)/(1+50%*V48)</f>
        <v>0</v>
      </c>
      <c r="V48" s="69"/>
      <c r="W48" s="70"/>
      <c r="X48" s="15">
        <f t="shared" si="43"/>
        <v>0.23558947579835307</v>
      </c>
      <c r="Y48" s="16">
        <f>VLOOKUP(C48,台股行情!A:D,4,FALSE)</f>
        <v>50.45</v>
      </c>
      <c r="Z48" s="38">
        <f>VLOOKUP(C48,台股行情!A:E,5,FALSE)</f>
        <v>-2.0499999999999998</v>
      </c>
      <c r="AA48" s="90">
        <f t="shared" ca="1" si="44"/>
        <v>6488.8949731683279</v>
      </c>
      <c r="AB48" s="103" t="s">
        <v>2733</v>
      </c>
      <c r="AC48" s="103" t="s">
        <v>3057</v>
      </c>
      <c r="AD48" s="353" t="s">
        <v>3078</v>
      </c>
    </row>
    <row r="49" spans="1:30" outlineLevel="1">
      <c r="A49" s="99">
        <v>45642</v>
      </c>
      <c r="B49" s="11" t="s">
        <v>19</v>
      </c>
      <c r="C49" s="181">
        <v>895</v>
      </c>
      <c r="D49" s="189" t="str">
        <f>VLOOKUP(C49,台股行情!A:B,2,FALSE)</f>
        <v>富邦未來車</v>
      </c>
      <c r="E49" s="11">
        <v>154</v>
      </c>
      <c r="F49" s="11">
        <v>32.369999999999997</v>
      </c>
      <c r="G49" s="183">
        <v>4984</v>
      </c>
      <c r="H49" s="11">
        <v>1</v>
      </c>
      <c r="I49" s="104">
        <v>46090</v>
      </c>
      <c r="J49" s="16">
        <v>38.549999999999997</v>
      </c>
      <c r="K49" s="11">
        <f t="shared" si="39"/>
        <v>5936.7</v>
      </c>
      <c r="L49" s="11">
        <f>ROUND(J49*E49*0.1425%,0)</f>
        <v>8</v>
      </c>
      <c r="M49" s="11">
        <v>6</v>
      </c>
      <c r="N49" s="11">
        <v>0</v>
      </c>
      <c r="O49" s="13">
        <f t="shared" si="40"/>
        <v>0</v>
      </c>
      <c r="P49" s="14">
        <f>IF(I49="",R49-H49,(K49-H49-SUM(L49:N49)+R49-S49-T49)-G49)+(ROUND(R49*V49,0)-ROUND(R49*(1+V49),0)*W49)</f>
        <v>937.69999999999982</v>
      </c>
      <c r="Q49" s="14">
        <f t="shared" si="41"/>
        <v>0</v>
      </c>
      <c r="R49" s="14"/>
      <c r="S49" s="14">
        <v>0</v>
      </c>
      <c r="T49" s="14">
        <f>IF(ROUND(R49*(1+V49),0)&gt;20000,ROUND(ROUND(R49*(1+V49),0)*2%,0),0)</f>
        <v>0</v>
      </c>
      <c r="U49" s="69"/>
      <c r="V49" s="69"/>
      <c r="W49" s="70"/>
      <c r="X49" s="15">
        <f t="shared" si="43"/>
        <v>0.18814205457463881</v>
      </c>
      <c r="Y49" s="16">
        <f>VLOOKUP(C49,台股行情!A:D,4,FALSE)</f>
        <v>50.45</v>
      </c>
      <c r="Z49" s="38">
        <f>VLOOKUP(C49,台股行情!A:E,5,FALSE)</f>
        <v>-2.0499999999999998</v>
      </c>
      <c r="AA49" s="90">
        <f t="shared" ca="1" si="44"/>
        <v>6113.3282225386047</v>
      </c>
      <c r="AB49" s="103" t="s">
        <v>2733</v>
      </c>
      <c r="AC49" s="103" t="s">
        <v>3057</v>
      </c>
      <c r="AD49" s="353" t="s">
        <v>3078</v>
      </c>
    </row>
    <row r="50" spans="1:30" outlineLevel="1">
      <c r="A50" s="99">
        <v>45673</v>
      </c>
      <c r="B50" s="11" t="s">
        <v>19</v>
      </c>
      <c r="C50" s="181">
        <v>895</v>
      </c>
      <c r="D50" s="189" t="str">
        <f>VLOOKUP(C50,台股行情!A:B,2,FALSE)</f>
        <v>富邦未來車</v>
      </c>
      <c r="E50" s="11">
        <v>155</v>
      </c>
      <c r="F50" s="11">
        <v>32.200000000000003</v>
      </c>
      <c r="G50" s="183">
        <v>4991</v>
      </c>
      <c r="H50" s="11">
        <v>1</v>
      </c>
      <c r="I50" s="104">
        <v>46090</v>
      </c>
      <c r="J50" s="16">
        <v>38.549999999999997</v>
      </c>
      <c r="K50" s="11">
        <f t="shared" ref="K50" si="50">E50*J50</f>
        <v>5975.25</v>
      </c>
      <c r="L50" s="11">
        <f t="shared" ref="L50" si="51">ROUND(J50*E50*0.1425%,0)</f>
        <v>9</v>
      </c>
      <c r="M50" s="11">
        <v>6</v>
      </c>
      <c r="N50" s="11">
        <v>0</v>
      </c>
      <c r="O50" s="13">
        <f t="shared" ref="O50" si="52">IF(I50="",E50*Y50,0)</f>
        <v>0</v>
      </c>
      <c r="P50" s="14">
        <f t="shared" ref="P50" si="53">IF(I50="",R50-H50,(K50-H50-SUM(L50:N50)+R50-S50-T50)-G50)+(ROUND(R50*V50,0)-ROUND(R50*(1+V50),0)*W50)</f>
        <v>968.25</v>
      </c>
      <c r="Q50" s="14">
        <f t="shared" ref="Q50" si="54">IF(I50="",(O50-G50-(O50*0.1425%*0.65)-(O50*0.3%)-S50-T50),0)</f>
        <v>0</v>
      </c>
      <c r="R50" s="14"/>
      <c r="S50" s="14">
        <v>0</v>
      </c>
      <c r="T50" s="14">
        <f t="shared" ref="T50" si="55">IF(ROUND(R50*(1+V50),0)&gt;20000,ROUND(ROUND(R50*(1+V50),0)*2%,0),0)</f>
        <v>0</v>
      </c>
      <c r="U50" s="69"/>
      <c r="V50" s="69"/>
      <c r="W50" s="70"/>
      <c r="X50" s="15">
        <f t="shared" ref="X50" si="56">(P50+Q50)/G50</f>
        <v>0.19399919855740333</v>
      </c>
      <c r="Y50" s="16">
        <f>VLOOKUP(C50,台股行情!A:D,4,FALSE)</f>
        <v>50.45</v>
      </c>
      <c r="Z50" s="38">
        <f>VLOOKUP(C50,台股行情!A:E,5,FALSE)</f>
        <v>-2.0499999999999998</v>
      </c>
      <c r="AA50" s="90">
        <f t="shared" ref="AA50" ca="1" si="57">IF(I50="",((TODAY()-A50)*G50)/365.24,((I50-A50)*G50)/365.24)</f>
        <v>5698.2997481108314</v>
      </c>
      <c r="AB50" s="103" t="s">
        <v>2733</v>
      </c>
      <c r="AC50" s="103" t="s">
        <v>3057</v>
      </c>
      <c r="AD50" s="353" t="s">
        <v>3078</v>
      </c>
    </row>
    <row r="51" spans="1:30" outlineLevel="1">
      <c r="A51" s="99">
        <v>45705</v>
      </c>
      <c r="B51" s="11" t="s">
        <v>19</v>
      </c>
      <c r="C51" s="181">
        <v>895</v>
      </c>
      <c r="D51" s="189" t="str">
        <f>VLOOKUP(C51,台股行情!A:B,2,FALSE)</f>
        <v>富邦未來車</v>
      </c>
      <c r="E51" s="11">
        <v>157</v>
      </c>
      <c r="F51" s="11">
        <v>31.68</v>
      </c>
      <c r="G51" s="183">
        <v>4973</v>
      </c>
      <c r="H51" s="11">
        <v>1</v>
      </c>
      <c r="I51" s="104">
        <v>46090</v>
      </c>
      <c r="J51" s="16">
        <v>38.549999999999997</v>
      </c>
      <c r="K51" s="11">
        <f t="shared" ref="K51" si="58">E51*J51</f>
        <v>6052.3499999999995</v>
      </c>
      <c r="L51" s="11">
        <f t="shared" ref="L51" si="59">ROUND(J51*E51*0.1425%,0)</f>
        <v>9</v>
      </c>
      <c r="M51" s="11">
        <v>6</v>
      </c>
      <c r="N51" s="11">
        <v>0</v>
      </c>
      <c r="O51" s="13">
        <f t="shared" ref="O51" si="60">IF(I51="",E51*Y51,0)</f>
        <v>0</v>
      </c>
      <c r="P51" s="14">
        <f t="shared" ref="P51" si="61">IF(I51="",R51-H51,(K51-H51-SUM(L51:N51)+R51-S51-T51)-G51)+(ROUND(R51*V51,0)-ROUND(R51*(1+V51),0)*W51)</f>
        <v>1063.3499999999995</v>
      </c>
      <c r="Q51" s="14">
        <f t="shared" ref="Q51" si="62">IF(I51="",(O51-G51-(O51*0.1425%*0.65)-(O51*0.3%)-S51-T51),0)</f>
        <v>0</v>
      </c>
      <c r="R51" s="14"/>
      <c r="S51" s="14">
        <v>0</v>
      </c>
      <c r="T51" s="14">
        <f t="shared" ref="T51" si="63">IF(ROUND(R51*(1+V51),0)&gt;20000,ROUND(ROUND(R51*(1+V51),0)*2%,0),0)</f>
        <v>0</v>
      </c>
      <c r="U51" s="69"/>
      <c r="V51" s="69"/>
      <c r="W51" s="70"/>
      <c r="X51" s="15">
        <f t="shared" ref="X51" si="64">(P51+Q51)/G51</f>
        <v>0.21382465312688506</v>
      </c>
      <c r="Y51" s="16">
        <f>VLOOKUP(C51,台股行情!A:D,4,FALSE)</f>
        <v>50.45</v>
      </c>
      <c r="Z51" s="38">
        <f>VLOOKUP(C51,台股行情!A:E,5,FALSE)</f>
        <v>-2.0499999999999998</v>
      </c>
      <c r="AA51" s="90">
        <f t="shared" ref="AA51" ca="1" si="65">IF(I51="",((TODAY()-A51)*G51)/365.24,((I51-A51)*G51)/365.24)</f>
        <v>5242.0463257036472</v>
      </c>
      <c r="AB51" s="103" t="s">
        <v>2733</v>
      </c>
      <c r="AC51" s="103" t="s">
        <v>3057</v>
      </c>
      <c r="AD51" s="353" t="s">
        <v>3078</v>
      </c>
    </row>
    <row r="52" spans="1:30" outlineLevel="1">
      <c r="A52" s="99">
        <v>45733</v>
      </c>
      <c r="B52" s="11" t="s">
        <v>19</v>
      </c>
      <c r="C52" s="181">
        <v>895</v>
      </c>
      <c r="D52" s="189" t="str">
        <f>VLOOKUP(C52,台股行情!A:B,2,FALSE)</f>
        <v>富邦未來車</v>
      </c>
      <c r="E52" s="11">
        <v>176</v>
      </c>
      <c r="F52" s="11">
        <v>28.3</v>
      </c>
      <c r="G52" s="183">
        <v>4980</v>
      </c>
      <c r="H52" s="11">
        <v>1</v>
      </c>
      <c r="I52" s="104">
        <v>46090</v>
      </c>
      <c r="J52" s="16">
        <v>38.549999999999997</v>
      </c>
      <c r="K52" s="11">
        <f>E52*J52</f>
        <v>6784.7999999999993</v>
      </c>
      <c r="L52" s="11">
        <v>9</v>
      </c>
      <c r="M52" s="11">
        <v>7</v>
      </c>
      <c r="N52" s="11">
        <v>0</v>
      </c>
      <c r="O52" s="13">
        <f>IF(I52="",E52*Y52,0)</f>
        <v>0</v>
      </c>
      <c r="P52" s="14">
        <f>IF(I52="",R52-H52,(K52-H52-SUM(L52:N52)+R52-S52-T52)-G52)+(ROUND(R52*V52,0)-ROUND(R52*(1+V52),0)*W52)</f>
        <v>1787.7999999999993</v>
      </c>
      <c r="Q52" s="14">
        <f>IF(I52="",(O52-G52-(O52*0.1425%*0.65)-(O52*0.3%)-S52-T52),0)</f>
        <v>0</v>
      </c>
      <c r="R52" s="14"/>
      <c r="S52" s="14">
        <v>0</v>
      </c>
      <c r="T52" s="14">
        <f>IF(ROUND(R52*(1+V52),0)&gt;20000,ROUND(ROUND(R52*(1+V52),0)*2%,0),0)</f>
        <v>0</v>
      </c>
      <c r="U52" s="69"/>
      <c r="V52" s="69"/>
      <c r="W52" s="70"/>
      <c r="X52" s="15">
        <f>(P52+Q52)/G52</f>
        <v>0.35899598393574284</v>
      </c>
      <c r="Y52" s="16">
        <f>VLOOKUP(C52,台股行情!A:D,4,FALSE)</f>
        <v>50.45</v>
      </c>
      <c r="Z52" s="38">
        <f>VLOOKUP(C52,台股行情!A:E,5,FALSE)</f>
        <v>-2.0499999999999998</v>
      </c>
      <c r="AA52" s="90">
        <f ca="1">IF(I52="",((TODAY()-A52)*G52)/365.24,((I52-A52)*G52)/365.24)</f>
        <v>4867.6486693680863</v>
      </c>
      <c r="AB52" s="103" t="s">
        <v>2733</v>
      </c>
      <c r="AC52" s="103" t="s">
        <v>3057</v>
      </c>
      <c r="AD52" s="356" t="s">
        <v>3078</v>
      </c>
    </row>
    <row r="53" spans="1:30" outlineLevel="1">
      <c r="A53" s="99">
        <v>45763</v>
      </c>
      <c r="B53" s="11" t="s">
        <v>19</v>
      </c>
      <c r="C53" s="181">
        <v>895</v>
      </c>
      <c r="D53" s="189" t="str">
        <f>VLOOKUP(C53,台股行情!A:B,2,FALSE)</f>
        <v>富邦未來車</v>
      </c>
      <c r="E53" s="11">
        <v>193</v>
      </c>
      <c r="F53" s="11">
        <v>25.84</v>
      </c>
      <c r="G53" s="183">
        <v>4987</v>
      </c>
      <c r="H53" s="11">
        <v>1</v>
      </c>
      <c r="I53" s="104">
        <v>46090</v>
      </c>
      <c r="J53" s="16">
        <v>38.549999999999997</v>
      </c>
      <c r="K53" s="11">
        <f t="shared" ref="K53" si="66">E53*J53</f>
        <v>7440.15</v>
      </c>
      <c r="L53" s="11">
        <v>10</v>
      </c>
      <c r="M53" s="11">
        <v>7</v>
      </c>
      <c r="N53" s="11">
        <v>0</v>
      </c>
      <c r="O53" s="13">
        <f t="shared" ref="O53" si="67">IF(I53="",E53*Y53,0)</f>
        <v>0</v>
      </c>
      <c r="P53" s="14">
        <f>IF(I53="",R53-H53,(K53-H53-SUM(L53:N53)+R53-S53-T53)-G53)+(ROUND(R53*V53,0)-ROUND(R53*(1+V53),0)*W53)</f>
        <v>2435.1499999999996</v>
      </c>
      <c r="Q53" s="14">
        <f t="shared" ref="Q53" si="68">IF(I53="",(O53-G53-(O53*0.1425%*0.65)-(O53*0.3%)-S53-T53),0)</f>
        <v>0</v>
      </c>
      <c r="R53" s="14"/>
      <c r="S53" s="14">
        <v>0</v>
      </c>
      <c r="T53" s="14">
        <f t="shared" ref="T53" si="69">IF(ROUND(R53*(1+V53),0)&gt;20000,ROUND(ROUND(R53*(1+V53),0)*2%,0),0)</f>
        <v>0</v>
      </c>
      <c r="U53" s="69"/>
      <c r="V53" s="69"/>
      <c r="W53" s="70"/>
      <c r="X53" s="15">
        <f t="shared" ref="X53" si="70">(P53+Q53)/G53</f>
        <v>0.48829957890515335</v>
      </c>
      <c r="Y53" s="16">
        <f>VLOOKUP(C53,台股行情!A:D,4,FALSE)</f>
        <v>50.45</v>
      </c>
      <c r="Z53" s="38">
        <f>VLOOKUP(C53,台股行情!A:E,5,FALSE)</f>
        <v>-2.0499999999999998</v>
      </c>
      <c r="AA53" s="90">
        <f t="shared" ref="AA53" ca="1" si="71">IF(I53="",((TODAY()-A53)*G53)/365.24,((I53-A53)*G53)/365.24)</f>
        <v>4464.8696747344211</v>
      </c>
      <c r="AB53" s="103" t="s">
        <v>2733</v>
      </c>
      <c r="AC53" s="103" t="s">
        <v>3057</v>
      </c>
      <c r="AD53" s="383" t="s">
        <v>3078</v>
      </c>
    </row>
    <row r="54" spans="1:30" outlineLevel="1">
      <c r="A54" s="99">
        <v>45793</v>
      </c>
      <c r="B54" s="11" t="s">
        <v>19</v>
      </c>
      <c r="C54" s="181">
        <v>895</v>
      </c>
      <c r="D54" s="189" t="str">
        <f>VLOOKUP(C54,台股行情!A:B,2,FALSE)</f>
        <v>富邦未來車</v>
      </c>
      <c r="E54" s="11">
        <v>171</v>
      </c>
      <c r="F54" s="11">
        <v>29.12</v>
      </c>
      <c r="G54" s="183">
        <v>4979</v>
      </c>
      <c r="H54" s="11">
        <v>1</v>
      </c>
      <c r="I54" s="104">
        <v>46199</v>
      </c>
      <c r="J54" s="16">
        <v>50.45</v>
      </c>
      <c r="K54" s="11">
        <f t="shared" ref="K54" si="72">E54*J54</f>
        <v>8626.9500000000007</v>
      </c>
      <c r="L54" s="11">
        <v>62</v>
      </c>
      <c r="M54" s="11">
        <v>43</v>
      </c>
      <c r="N54" s="11">
        <v>0</v>
      </c>
      <c r="O54" s="13">
        <f t="shared" ref="O54" si="73">IF(I54="",E54*Y54,0)</f>
        <v>0</v>
      </c>
      <c r="P54" s="14">
        <f>IF(I54="",R54-H54,(K54-H54-SUM(L54:N54)+R54-S54-T54)-G54)+(ROUND(R54*V54,0)-ROUND(R54*(1+V54),0)*W54)</f>
        <v>3541.9500000000007</v>
      </c>
      <c r="Q54" s="14">
        <f t="shared" ref="Q54" si="74">IF(I54="",(O54-G54-(O54*0.1425%*0.65)-(O54*0.3%)-S54-T54),0)</f>
        <v>0</v>
      </c>
      <c r="R54" s="14"/>
      <c r="S54" s="14">
        <v>0</v>
      </c>
      <c r="T54" s="14">
        <f t="shared" ref="T54" si="75">IF(ROUND(R54*(1+V54),0)&gt;20000,ROUND(ROUND(R54*(1+V54),0)*2%,0),0)</f>
        <v>0</v>
      </c>
      <c r="U54" s="69"/>
      <c r="V54" s="69"/>
      <c r="W54" s="70"/>
      <c r="X54" s="15">
        <f t="shared" ref="X54" si="76">(P54+Q54)/G54</f>
        <v>0.71137778670415763</v>
      </c>
      <c r="Y54" s="16">
        <f>VLOOKUP(C54,台股行情!A:D,4,FALSE)</f>
        <v>50.45</v>
      </c>
      <c r="Z54" s="38">
        <f>VLOOKUP(C54,台股行情!A:E,5,FALSE)</f>
        <v>-2.0499999999999998</v>
      </c>
      <c r="AA54" s="90">
        <f t="shared" ref="AA54" ca="1" si="77">IF(I54="",((TODAY()-A54)*G54)/365.24,((I54-A54)*G54)/365.24)</f>
        <v>5534.645712408279</v>
      </c>
      <c r="AB54" s="103" t="s">
        <v>2733</v>
      </c>
      <c r="AC54" s="103" t="s">
        <v>3057</v>
      </c>
      <c r="AD54" s="383" t="s">
        <v>3202</v>
      </c>
    </row>
    <row r="55" spans="1:30" outlineLevel="1">
      <c r="A55" s="99">
        <v>45824</v>
      </c>
      <c r="B55" s="11" t="s">
        <v>19</v>
      </c>
      <c r="C55" s="181">
        <v>895</v>
      </c>
      <c r="D55" s="189" t="str">
        <f>VLOOKUP(C55,台股行情!A:B,2,FALSE)</f>
        <v>富邦未來車</v>
      </c>
      <c r="E55" s="11">
        <v>172</v>
      </c>
      <c r="F55" s="11">
        <v>29</v>
      </c>
      <c r="G55" s="183">
        <v>4988</v>
      </c>
      <c r="H55" s="11">
        <v>1</v>
      </c>
      <c r="I55" s="104">
        <v>46199</v>
      </c>
      <c r="J55" s="16">
        <v>50.95</v>
      </c>
      <c r="K55" s="11">
        <f t="shared" ref="K55" si="78">E55*J55</f>
        <v>8763.4</v>
      </c>
      <c r="L55" s="11">
        <v>71</v>
      </c>
      <c r="M55" s="11">
        <v>50</v>
      </c>
      <c r="N55" s="11">
        <v>0</v>
      </c>
      <c r="O55" s="13">
        <f t="shared" ref="O55" si="79">IF(I55="",E55*Y55,0)</f>
        <v>0</v>
      </c>
      <c r="P55" s="14">
        <f t="shared" ref="P55" si="80">IF(I55="",R55-H55,(K55-H55-SUM(L55:N55)+R55-S55-T55)-G55)+(ROUND(R55*V55,0)-ROUND(R55*(1+V55),0)*W55)</f>
        <v>3653.3999999999996</v>
      </c>
      <c r="Q55" s="14">
        <f t="shared" ref="Q55" si="81">IF(I55="",(O55-G55-(O55*0.1425%*0.65)-(O55*0.3%)-S55-T55),0)</f>
        <v>0</v>
      </c>
      <c r="R55" s="14"/>
      <c r="S55" s="14">
        <v>0</v>
      </c>
      <c r="T55" s="14">
        <f t="shared" ref="T55" si="82">IF(ROUND(R55*(1+V55),0)&gt;20000,ROUND(ROUND(R55*(1+V55),0)*2%,0),0)</f>
        <v>0</v>
      </c>
      <c r="U55" s="69"/>
      <c r="V55" s="69"/>
      <c r="W55" s="70"/>
      <c r="X55" s="15">
        <f t="shared" ref="X55" si="83">(P55+Q55)/G55</f>
        <v>0.73243785084202073</v>
      </c>
      <c r="Y55" s="16">
        <f>VLOOKUP(C55,台股行情!A:D,4,FALSE)</f>
        <v>50.45</v>
      </c>
      <c r="Z55" s="38">
        <f>VLOOKUP(C55,台股行情!A:E,5,FALSE)</f>
        <v>-2.0499999999999998</v>
      </c>
      <c r="AA55" s="90">
        <f t="shared" ref="AA55" ca="1" si="84">IF(I55="",((TODAY()-A55)*G55)/365.24,((I55-A55)*G55)/365.24)</f>
        <v>5121.2901106121999</v>
      </c>
      <c r="AB55" s="103" t="s">
        <v>2733</v>
      </c>
      <c r="AC55" s="103" t="s">
        <v>3057</v>
      </c>
      <c r="AD55" s="383" t="s">
        <v>3202</v>
      </c>
    </row>
    <row r="56" spans="1:30" outlineLevel="1">
      <c r="A56" s="99">
        <v>45854</v>
      </c>
      <c r="B56" s="11" t="s">
        <v>19</v>
      </c>
      <c r="C56" s="181">
        <v>895</v>
      </c>
      <c r="D56" s="189" t="str">
        <f>VLOOKUP(C56,台股行情!A:B,2,FALSE)</f>
        <v>富邦未來車</v>
      </c>
      <c r="E56" s="11">
        <v>160</v>
      </c>
      <c r="F56" s="11">
        <v>31.14</v>
      </c>
      <c r="G56" s="183">
        <v>4982</v>
      </c>
      <c r="H56" s="11">
        <v>1</v>
      </c>
      <c r="I56" s="104">
        <v>46199</v>
      </c>
      <c r="J56" s="16">
        <v>50.95</v>
      </c>
      <c r="K56" s="11">
        <f t="shared" ref="K56:K60" si="85">E56*J56</f>
        <v>8152</v>
      </c>
      <c r="L56" s="11">
        <v>0</v>
      </c>
      <c r="M56" s="11">
        <v>0</v>
      </c>
      <c r="N56" s="11">
        <v>0</v>
      </c>
      <c r="O56" s="13">
        <f t="shared" ref="O56:O60" si="86">IF(I56="",E56*Y56,0)</f>
        <v>0</v>
      </c>
      <c r="P56" s="14">
        <f t="shared" ref="P56:P57" si="87">IF(I56="",R56-H56,(K56-H56-SUM(L56:N56)+R56-S56-T56)-G56)+(ROUND(R56*V56,0)-ROUND(R56*(1+V56),0)*W56)</f>
        <v>3169</v>
      </c>
      <c r="Q56" s="14">
        <f t="shared" ref="Q56:Q60" si="88">IF(I56="",(O56-G56-(O56*0.1425%*0.65)-(O56*0.3%)-S56-T56),0)</f>
        <v>0</v>
      </c>
      <c r="R56" s="14"/>
      <c r="S56" s="14">
        <v>0</v>
      </c>
      <c r="T56" s="14">
        <f t="shared" ref="T56:T60" si="89">IF(ROUND(R56*(1+V56),0)&gt;20000,ROUND(ROUND(R56*(1+V56),0)*2%,0),0)</f>
        <v>0</v>
      </c>
      <c r="U56" s="69"/>
      <c r="V56" s="69"/>
      <c r="W56" s="70"/>
      <c r="X56" s="15">
        <f t="shared" ref="X56:X60" si="90">(P56+Q56)/G56</f>
        <v>0.63608992372541151</v>
      </c>
      <c r="Y56" s="16">
        <f>VLOOKUP(C56,台股行情!A:D,4,FALSE)</f>
        <v>50.45</v>
      </c>
      <c r="Z56" s="38">
        <f>VLOOKUP(C56,台股行情!A:E,5,FALSE)</f>
        <v>-2.0499999999999998</v>
      </c>
      <c r="AA56" s="90">
        <f t="shared" ref="AA56:AA60" ca="1" si="91">IF(I56="",((TODAY()-A56)*G56)/365.24,((I56-A56)*G56)/365.24)</f>
        <v>4705.919395465995</v>
      </c>
      <c r="AB56" s="103" t="s">
        <v>2733</v>
      </c>
      <c r="AC56" s="103" t="s">
        <v>3057</v>
      </c>
      <c r="AD56" s="383" t="s">
        <v>3202</v>
      </c>
    </row>
    <row r="57" spans="1:30" outlineLevel="1">
      <c r="A57" s="99">
        <v>45887</v>
      </c>
      <c r="B57" s="11" t="s">
        <v>19</v>
      </c>
      <c r="C57" s="181">
        <v>895</v>
      </c>
      <c r="D57" s="189" t="str">
        <f>VLOOKUP(C57,台股行情!A:B,2,FALSE)</f>
        <v>富邦未來車</v>
      </c>
      <c r="E57" s="11">
        <v>150</v>
      </c>
      <c r="F57" s="11">
        <v>33.15</v>
      </c>
      <c r="G57" s="183">
        <v>4972</v>
      </c>
      <c r="H57" s="11">
        <v>1</v>
      </c>
      <c r="I57" s="104">
        <v>46199</v>
      </c>
      <c r="J57" s="16">
        <v>50.95</v>
      </c>
      <c r="K57" s="11">
        <f t="shared" si="85"/>
        <v>7642.5</v>
      </c>
      <c r="L57" s="11">
        <v>0</v>
      </c>
      <c r="M57" s="11">
        <v>0</v>
      </c>
      <c r="N57" s="11">
        <v>0</v>
      </c>
      <c r="O57" s="13">
        <f t="shared" si="86"/>
        <v>0</v>
      </c>
      <c r="P57" s="14">
        <f t="shared" si="87"/>
        <v>2669.5</v>
      </c>
      <c r="Q57" s="14">
        <f t="shared" si="88"/>
        <v>0</v>
      </c>
      <c r="R57" s="14"/>
      <c r="S57" s="14">
        <v>0</v>
      </c>
      <c r="T57" s="14">
        <f t="shared" si="89"/>
        <v>0</v>
      </c>
      <c r="U57" s="69"/>
      <c r="V57" s="69"/>
      <c r="W57" s="70"/>
      <c r="X57" s="15">
        <f t="shared" si="90"/>
        <v>0.53690667739340303</v>
      </c>
      <c r="Y57" s="16">
        <f>VLOOKUP(C57,台股行情!A:D,4,FALSE)</f>
        <v>50.45</v>
      </c>
      <c r="Z57" s="38">
        <f>VLOOKUP(C57,台股行情!A:E,5,FALSE)</f>
        <v>-2.0499999999999998</v>
      </c>
      <c r="AA57" s="90">
        <f t="shared" ca="1" si="91"/>
        <v>4247.2456466980611</v>
      </c>
      <c r="AB57" s="103" t="s">
        <v>2733</v>
      </c>
      <c r="AC57" s="103" t="s">
        <v>3057</v>
      </c>
      <c r="AD57" s="383" t="s">
        <v>3202</v>
      </c>
    </row>
    <row r="58" spans="1:30" outlineLevel="1">
      <c r="A58" s="99">
        <v>45916</v>
      </c>
      <c r="B58" s="11" t="s">
        <v>19</v>
      </c>
      <c r="C58" s="181">
        <v>895</v>
      </c>
      <c r="D58" s="189" t="str">
        <f>VLOOKUP(C58,台股行情!A:B,2,FALSE)</f>
        <v>富邦未來車</v>
      </c>
      <c r="E58" s="11">
        <v>144</v>
      </c>
      <c r="F58" s="11">
        <v>34.64</v>
      </c>
      <c r="G58" s="183">
        <v>4988</v>
      </c>
      <c r="H58" s="11">
        <v>1</v>
      </c>
      <c r="I58" s="104">
        <v>46199</v>
      </c>
      <c r="J58" s="16">
        <v>50.95</v>
      </c>
      <c r="K58" s="11">
        <f t="shared" si="85"/>
        <v>7336.8</v>
      </c>
      <c r="L58" s="11">
        <v>0</v>
      </c>
      <c r="M58" s="11">
        <v>0</v>
      </c>
      <c r="N58" s="11">
        <v>0</v>
      </c>
      <c r="O58" s="13">
        <f t="shared" si="86"/>
        <v>0</v>
      </c>
      <c r="P58" s="14">
        <f t="shared" ref="P58:P62" si="92">IF(I58="",R58-H58,(K58-H58-SUM(L58:N58)+R58-S58-T58)-G58)+(ROUND(R58*V58,0)-ROUND(R58*(1+V58),0)*W58)</f>
        <v>2347.8000000000002</v>
      </c>
      <c r="Q58" s="14">
        <f t="shared" si="88"/>
        <v>0</v>
      </c>
      <c r="R58" s="14"/>
      <c r="S58" s="14">
        <v>0</v>
      </c>
      <c r="T58" s="14">
        <f t="shared" si="89"/>
        <v>0</v>
      </c>
      <c r="U58" s="69"/>
      <c r="V58" s="69"/>
      <c r="W58" s="70"/>
      <c r="X58" s="15">
        <f t="shared" si="90"/>
        <v>0.47068965517241385</v>
      </c>
      <c r="Y58" s="16">
        <f>VLOOKUP(C58,台股行情!A:D,4,FALSE)</f>
        <v>50.45</v>
      </c>
      <c r="Z58" s="38">
        <f>VLOOKUP(C58,台股行情!A:E,5,FALSE)</f>
        <v>-2.0499999999999998</v>
      </c>
      <c r="AA58" s="90">
        <f t="shared" ca="1" si="91"/>
        <v>3864.8669368086735</v>
      </c>
      <c r="AB58" s="103" t="s">
        <v>2733</v>
      </c>
      <c r="AC58" s="103" t="s">
        <v>3057</v>
      </c>
      <c r="AD58" s="383" t="s">
        <v>3202</v>
      </c>
    </row>
    <row r="59" spans="1:30" outlineLevel="1">
      <c r="A59" s="99">
        <v>45946</v>
      </c>
      <c r="B59" s="11" t="s">
        <v>19</v>
      </c>
      <c r="C59" s="181">
        <v>895</v>
      </c>
      <c r="D59" s="189" t="str">
        <f>VLOOKUP(C59,台股行情!A:B,2,FALSE)</f>
        <v>富邦未來車</v>
      </c>
      <c r="E59" s="11">
        <v>113</v>
      </c>
      <c r="F59" s="11">
        <v>37.43</v>
      </c>
      <c r="G59" s="183">
        <v>4978</v>
      </c>
      <c r="H59" s="11">
        <v>1</v>
      </c>
      <c r="I59" s="104">
        <v>46199</v>
      </c>
      <c r="J59" s="16">
        <v>50.95</v>
      </c>
      <c r="K59" s="11">
        <f t="shared" si="85"/>
        <v>5757.35</v>
      </c>
      <c r="L59" s="11">
        <v>0</v>
      </c>
      <c r="M59" s="11">
        <v>0</v>
      </c>
      <c r="N59" s="11">
        <v>0</v>
      </c>
      <c r="O59" s="13">
        <f t="shared" si="86"/>
        <v>0</v>
      </c>
      <c r="P59" s="14">
        <f t="shared" si="92"/>
        <v>778.35000000000036</v>
      </c>
      <c r="Q59" s="14">
        <f t="shared" si="88"/>
        <v>0</v>
      </c>
      <c r="R59" s="14"/>
      <c r="S59" s="14">
        <v>0</v>
      </c>
      <c r="T59" s="14">
        <f t="shared" si="89"/>
        <v>0</v>
      </c>
      <c r="U59" s="69"/>
      <c r="V59" s="69"/>
      <c r="W59" s="70"/>
      <c r="X59" s="15">
        <f t="shared" si="90"/>
        <v>0.15635797509039781</v>
      </c>
      <c r="Y59" s="16">
        <f>VLOOKUP(C59,台股行情!A:D,4,FALSE)</f>
        <v>50.45</v>
      </c>
      <c r="Z59" s="38">
        <f>VLOOKUP(C59,台股行情!A:E,5,FALSE)</f>
        <v>-2.0499999999999998</v>
      </c>
      <c r="AA59" s="90">
        <f t="shared" ca="1" si="91"/>
        <v>3448.2367758186397</v>
      </c>
      <c r="AB59" s="103" t="s">
        <v>2733</v>
      </c>
      <c r="AC59" s="103" t="s">
        <v>3057</v>
      </c>
      <c r="AD59" s="383" t="s">
        <v>3202</v>
      </c>
    </row>
    <row r="60" spans="1:30" outlineLevel="1">
      <c r="A60" s="99">
        <v>45978</v>
      </c>
      <c r="B60" s="11" t="s">
        <v>19</v>
      </c>
      <c r="C60" s="181">
        <v>895</v>
      </c>
      <c r="D60" s="189" t="str">
        <f>VLOOKUP(C60,台股行情!A:B,2,FALSE)</f>
        <v>富邦未來車</v>
      </c>
      <c r="E60" s="11">
        <v>131</v>
      </c>
      <c r="F60" s="11">
        <v>38.04</v>
      </c>
      <c r="G60" s="183">
        <v>4983</v>
      </c>
      <c r="H60" s="11">
        <v>1</v>
      </c>
      <c r="I60" s="104">
        <v>46199</v>
      </c>
      <c r="J60" s="16">
        <v>50.95</v>
      </c>
      <c r="K60" s="11">
        <f t="shared" si="85"/>
        <v>6674.4500000000007</v>
      </c>
      <c r="L60" s="11">
        <v>0</v>
      </c>
      <c r="M60" s="11">
        <v>0</v>
      </c>
      <c r="N60" s="11">
        <v>0</v>
      </c>
      <c r="O60" s="13">
        <f t="shared" si="86"/>
        <v>0</v>
      </c>
      <c r="P60" s="14">
        <f t="shared" si="92"/>
        <v>1690.4500000000007</v>
      </c>
      <c r="Q60" s="14">
        <f t="shared" si="88"/>
        <v>0</v>
      </c>
      <c r="R60" s="14"/>
      <c r="S60" s="14">
        <v>0</v>
      </c>
      <c r="T60" s="14">
        <f t="shared" si="89"/>
        <v>0</v>
      </c>
      <c r="U60" s="69"/>
      <c r="V60" s="69"/>
      <c r="W60" s="70"/>
      <c r="X60" s="15">
        <f t="shared" si="90"/>
        <v>0.33924342765402382</v>
      </c>
      <c r="Y60" s="16">
        <f>VLOOKUP(C60,台股行情!A:D,4,FALSE)</f>
        <v>50.45</v>
      </c>
      <c r="Z60" s="38">
        <f>VLOOKUP(C60,台股行情!A:E,5,FALSE)</f>
        <v>-2.0499999999999998</v>
      </c>
      <c r="AA60" s="90">
        <f t="shared" ca="1" si="91"/>
        <v>3015.1215639031871</v>
      </c>
      <c r="AB60" s="103" t="s">
        <v>2733</v>
      </c>
      <c r="AC60" s="103" t="s">
        <v>3057</v>
      </c>
      <c r="AD60" s="383" t="s">
        <v>3202</v>
      </c>
    </row>
    <row r="61" spans="1:30" outlineLevel="1">
      <c r="A61" s="99">
        <v>46007</v>
      </c>
      <c r="B61" s="11" t="s">
        <v>19</v>
      </c>
      <c r="C61" s="181">
        <v>895</v>
      </c>
      <c r="D61" s="189" t="str">
        <f>VLOOKUP(C61,台股行情!A:B,2,FALSE)</f>
        <v>富邦未來車</v>
      </c>
      <c r="E61" s="11">
        <v>130</v>
      </c>
      <c r="F61" s="11">
        <v>38.32</v>
      </c>
      <c r="G61" s="183">
        <v>4981</v>
      </c>
      <c r="H61" s="11">
        <v>1</v>
      </c>
      <c r="I61" s="104">
        <v>46199</v>
      </c>
      <c r="J61" s="16">
        <v>50.95</v>
      </c>
      <c r="K61" s="11">
        <f t="shared" ref="K61" si="93">E61*J61</f>
        <v>6623.5</v>
      </c>
      <c r="L61" s="11">
        <v>0</v>
      </c>
      <c r="M61" s="11">
        <v>0</v>
      </c>
      <c r="N61" s="11">
        <v>0</v>
      </c>
      <c r="O61" s="13">
        <f t="shared" ref="O61" si="94">IF(I61="",E61*Y61,0)</f>
        <v>0</v>
      </c>
      <c r="P61" s="14">
        <f t="shared" si="92"/>
        <v>1641.5</v>
      </c>
      <c r="Q61" s="14">
        <f t="shared" ref="Q61" si="95">IF(I61="",(O61-G61-(O61*0.1425%*0.65)-(O61*0.3%)-S61-T61),0)</f>
        <v>0</v>
      </c>
      <c r="R61" s="14"/>
      <c r="S61" s="14">
        <v>0</v>
      </c>
      <c r="T61" s="14">
        <f t="shared" ref="T61" si="96">IF(ROUND(R61*(1+V61),0)&gt;20000,ROUND(ROUND(R61*(1+V61),0)*2%,0),0)</f>
        <v>0</v>
      </c>
      <c r="U61" s="69"/>
      <c r="V61" s="69"/>
      <c r="W61" s="70"/>
      <c r="X61" s="15">
        <f t="shared" ref="X61" si="97">(P61+Q61)/G61</f>
        <v>0.32955229873519376</v>
      </c>
      <c r="Y61" s="16">
        <f>VLOOKUP(C61,台股行情!A:D,4,FALSE)</f>
        <v>50.45</v>
      </c>
      <c r="Z61" s="38">
        <f>VLOOKUP(C61,台股行情!A:E,5,FALSE)</f>
        <v>-2.0499999999999998</v>
      </c>
      <c r="AA61" s="90">
        <f t="shared" ref="AA61" ca="1" si="98">IF(I61="",((TODAY()-A61)*G61)/365.24,((I61-A61)*G61)/365.24)</f>
        <v>2618.4207644288686</v>
      </c>
      <c r="AB61" s="103" t="s">
        <v>2733</v>
      </c>
      <c r="AC61" s="103" t="s">
        <v>3057</v>
      </c>
      <c r="AD61" s="383" t="s">
        <v>3202</v>
      </c>
    </row>
    <row r="62" spans="1:30" outlineLevel="1">
      <c r="A62" s="99">
        <v>46038</v>
      </c>
      <c r="B62" s="11" t="s">
        <v>19</v>
      </c>
      <c r="C62" s="181">
        <v>895</v>
      </c>
      <c r="D62" s="189" t="str">
        <f>VLOOKUP(C62,台股行情!A:B,2,FALSE)</f>
        <v>富邦未來車</v>
      </c>
      <c r="E62" s="11">
        <v>122</v>
      </c>
      <c r="F62" s="11">
        <v>40.86</v>
      </c>
      <c r="G62" s="183">
        <v>4984</v>
      </c>
      <c r="H62" s="11">
        <v>1</v>
      </c>
      <c r="I62" s="104">
        <v>46199</v>
      </c>
      <c r="J62" s="16">
        <v>50.45</v>
      </c>
      <c r="K62" s="11">
        <f>E62*J62</f>
        <v>6154.9000000000005</v>
      </c>
      <c r="L62" s="11">
        <v>0</v>
      </c>
      <c r="M62" s="11">
        <v>0</v>
      </c>
      <c r="N62" s="11">
        <v>0</v>
      </c>
      <c r="O62" s="13">
        <f>IF(I62="",E62*Y62,0)</f>
        <v>0</v>
      </c>
      <c r="P62" s="14">
        <f t="shared" si="92"/>
        <v>1169.9000000000005</v>
      </c>
      <c r="Q62" s="14">
        <f>IF(I62="",(O62-G62-(O62*0.1425%*0.65)-(O62*0.3%)-S62-T62),0)</f>
        <v>0</v>
      </c>
      <c r="R62" s="14"/>
      <c r="S62" s="14">
        <v>0</v>
      </c>
      <c r="T62" s="14">
        <f>IF(ROUND(R62*(1+V62),0)&gt;20000,ROUND(ROUND(R62*(1+V62),0)*2%,0),0)</f>
        <v>0</v>
      </c>
      <c r="U62" s="69"/>
      <c r="V62" s="69"/>
      <c r="W62" s="70"/>
      <c r="X62" s="15">
        <f>(P62+Q62)/G62</f>
        <v>0.23473113964687009</v>
      </c>
      <c r="Y62" s="16">
        <f>VLOOKUP(C62,台股行情!A:D,4,FALSE)</f>
        <v>50.45</v>
      </c>
      <c r="Z62" s="38">
        <f>VLOOKUP(C62,台股行情!A:E,5,FALSE)</f>
        <v>-2.0499999999999998</v>
      </c>
      <c r="AA62" s="90">
        <f ca="1">IF(I62="",((TODAY()-A62)*G62)/365.24,((I62-A62)*G62)/365.24)</f>
        <v>2196.9773299748113</v>
      </c>
      <c r="AB62" s="103" t="s">
        <v>2733</v>
      </c>
      <c r="AC62" s="103" t="s">
        <v>3057</v>
      </c>
      <c r="AD62" s="383" t="s">
        <v>3202</v>
      </c>
    </row>
    <row r="63" spans="1:30" outlineLevel="1">
      <c r="A63" s="99">
        <v>46076</v>
      </c>
      <c r="B63" s="11" t="s">
        <v>19</v>
      </c>
      <c r="C63" s="181">
        <v>895</v>
      </c>
      <c r="D63" s="189" t="str">
        <f>VLOOKUP(C63,台股行情!A:B,2,FALSE)</f>
        <v>富邦未來車</v>
      </c>
      <c r="E63" s="11">
        <v>119</v>
      </c>
      <c r="F63" s="11">
        <v>41.74</v>
      </c>
      <c r="G63" s="183">
        <v>4967</v>
      </c>
      <c r="H63" s="11">
        <v>1</v>
      </c>
      <c r="I63" s="104">
        <v>46199</v>
      </c>
      <c r="J63" s="16">
        <v>50.45</v>
      </c>
      <c r="K63" s="11">
        <f>E63*J63</f>
        <v>6003.55</v>
      </c>
      <c r="L63" s="11">
        <v>0</v>
      </c>
      <c r="M63" s="11">
        <v>0</v>
      </c>
      <c r="N63" s="11">
        <v>0</v>
      </c>
      <c r="O63" s="13">
        <f t="shared" ref="O63" si="99">IF(I63="",E63*Y63,0)</f>
        <v>0</v>
      </c>
      <c r="P63" s="14">
        <f t="shared" ref="P63" si="100">IF(I63="",R63-H63,(K63-H63-SUM(L63:N63)+R63-S63-T63)-G63)+(ROUND(R63*V63,0)-ROUND(R63*(1+V63),0)*W63)</f>
        <v>1035.5500000000002</v>
      </c>
      <c r="Q63" s="14">
        <f t="shared" ref="Q63" si="101">IF(I63="",(O63-G63-(O63*0.1425%*0.65)-(O63*0.3%)-S63-T63),0)</f>
        <v>0</v>
      </c>
      <c r="R63" s="14"/>
      <c r="S63" s="14">
        <v>0</v>
      </c>
      <c r="T63" s="14">
        <f t="shared" ref="T63" si="102">IF(ROUND(R63*(1+V63),0)&gt;20000,ROUND(ROUND(R63*(1+V63),0)*2%,0),0)</f>
        <v>0</v>
      </c>
      <c r="U63" s="69"/>
      <c r="V63" s="69"/>
      <c r="W63" s="70"/>
      <c r="X63" s="15">
        <f t="shared" ref="X63" si="103">(P63+Q63)/G63</f>
        <v>0.2084860076504933</v>
      </c>
      <c r="Y63" s="16">
        <f>VLOOKUP(C63,台股行情!A:D,4,FALSE)</f>
        <v>50.45</v>
      </c>
      <c r="Z63" s="38">
        <f>VLOOKUP(C63,台股行情!A:E,5,FALSE)</f>
        <v>-2.0499999999999998</v>
      </c>
      <c r="AA63" s="90">
        <f t="shared" ref="AA63" ca="1" si="104">IF(I63="",((TODAY()-A63)*G63)/365.24,((I63-A63)*G63)/365.24)</f>
        <v>1672.7110940751286</v>
      </c>
      <c r="AB63" s="103" t="s">
        <v>2733</v>
      </c>
      <c r="AC63" s="103" t="s">
        <v>3057</v>
      </c>
      <c r="AD63" s="383" t="s">
        <v>3202</v>
      </c>
    </row>
    <row r="64" spans="1:30" outlineLevel="1">
      <c r="A64" s="99">
        <v>46097</v>
      </c>
      <c r="B64" s="11" t="s">
        <v>19</v>
      </c>
      <c r="C64" s="181">
        <v>895</v>
      </c>
      <c r="D64" s="189" t="str">
        <f>VLOOKUP(C64,台股行情!A:B,2,FALSE)</f>
        <v>富邦未來車</v>
      </c>
      <c r="E64" s="11">
        <v>125</v>
      </c>
      <c r="F64" s="11">
        <v>40</v>
      </c>
      <c r="G64" s="183">
        <v>5000</v>
      </c>
      <c r="H64" s="11">
        <v>1</v>
      </c>
      <c r="I64" s="104">
        <v>46199</v>
      </c>
      <c r="J64" s="16">
        <v>50.45</v>
      </c>
      <c r="K64" s="11">
        <f t="shared" ref="K64" si="105">E64*J64</f>
        <v>6306.25</v>
      </c>
      <c r="L64" s="11">
        <v>0</v>
      </c>
      <c r="M64" s="11">
        <v>0</v>
      </c>
      <c r="N64" s="11">
        <v>0</v>
      </c>
      <c r="O64" s="13">
        <f t="shared" ref="O64" si="106">IF(I64="",E64*Y64,0)</f>
        <v>0</v>
      </c>
      <c r="P64" s="14">
        <f t="shared" ref="P64" si="107">IF(I64="",R64-H64,(K64-H64-SUM(L64:N64)+R64-S64-T64)-G64)+(ROUND(R64*V64,0)-ROUND(R64*(1+V64),0)*W64)</f>
        <v>1305.25</v>
      </c>
      <c r="Q64" s="14">
        <f t="shared" ref="Q64" si="108">IF(I64="",(O64-G64-(O64*0.1425%*0.65)-(O64*0.3%)-S64-T64),0)</f>
        <v>0</v>
      </c>
      <c r="R64" s="14"/>
      <c r="S64" s="14">
        <v>0</v>
      </c>
      <c r="T64" s="14">
        <f t="shared" ref="T64" si="109">IF(ROUND(R64*(1+V64),0)&gt;20000,ROUND(ROUND(R64*(1+V64),0)*2%,0),0)</f>
        <v>0</v>
      </c>
      <c r="U64" s="69"/>
      <c r="V64" s="69"/>
      <c r="W64" s="70"/>
      <c r="X64" s="15">
        <f t="shared" ref="X64" si="110">(P64+Q64)/G64</f>
        <v>0.26105</v>
      </c>
      <c r="Y64" s="16">
        <f>VLOOKUP(C64,台股行情!A:D,4,FALSE)</f>
        <v>50.45</v>
      </c>
      <c r="Z64" s="38">
        <f>VLOOKUP(C64,台股行情!A:E,5,FALSE)</f>
        <v>-2.0499999999999998</v>
      </c>
      <c r="AA64" s="90">
        <f t="shared" ref="AA64" ca="1" si="111">IF(I64="",((TODAY()-A64)*G64)/365.24,((I64-A64)*G64)/365.24)</f>
        <v>1396.3421312014018</v>
      </c>
      <c r="AB64" s="103" t="s">
        <v>2733</v>
      </c>
      <c r="AC64" s="103" t="s">
        <v>3057</v>
      </c>
      <c r="AD64" s="383" t="s">
        <v>3202</v>
      </c>
    </row>
    <row r="65" spans="1:30" outlineLevel="1">
      <c r="A65" s="99">
        <v>46128</v>
      </c>
      <c r="B65" s="11" t="s">
        <v>19</v>
      </c>
      <c r="C65" s="181">
        <v>895</v>
      </c>
      <c r="D65" s="189" t="str">
        <f>VLOOKUP(C65,台股行情!A:B,2,FALSE)</f>
        <v>富邦未來車</v>
      </c>
      <c r="E65" s="11">
        <v>114</v>
      </c>
      <c r="F65" s="11">
        <v>43.49</v>
      </c>
      <c r="G65" s="183">
        <v>4957</v>
      </c>
      <c r="H65" s="11">
        <v>1</v>
      </c>
      <c r="I65" s="104">
        <v>46199</v>
      </c>
      <c r="J65" s="16">
        <v>50.45</v>
      </c>
      <c r="K65" s="11">
        <f>E65*J65</f>
        <v>5751.3</v>
      </c>
      <c r="L65" s="11">
        <v>0</v>
      </c>
      <c r="M65" s="11">
        <v>0</v>
      </c>
      <c r="N65" s="11">
        <v>0</v>
      </c>
      <c r="O65" s="13">
        <f>IF(I65="",E65*Y65,0)</f>
        <v>0</v>
      </c>
      <c r="P65" s="14">
        <f t="shared" ref="P65" si="112">IF(I65="",R65-H65,(K65-H65-SUM(L65:N65)+R65-S65-T65)-G65)+(ROUND(R65*V65,0)-ROUND(R65*(1+V65),0)*W65)</f>
        <v>793.30000000000018</v>
      </c>
      <c r="Q65" s="14">
        <f>IF(I65="",(O65-G65-(O65*0.1425%*0.65)-(O65*0.3%)-S65-T65),0)</f>
        <v>0</v>
      </c>
      <c r="R65" s="14"/>
      <c r="S65" s="14">
        <v>0</v>
      </c>
      <c r="T65" s="14">
        <f>IF(ROUND(R65*(1+V65),0)&gt;20000,ROUND(ROUND(R65*(1+V65),0)*2%,0),0)</f>
        <v>0</v>
      </c>
      <c r="U65" s="69"/>
      <c r="V65" s="69"/>
      <c r="W65" s="70"/>
      <c r="X65" s="15">
        <f>(P65+Q65)/G65</f>
        <v>0.16003631228565668</v>
      </c>
      <c r="Y65" s="16">
        <f>VLOOKUP(C65,台股行情!A:D,4,FALSE)</f>
        <v>50.45</v>
      </c>
      <c r="Z65" s="38">
        <f>VLOOKUP(C65,台股行情!A:E,5,FALSE)</f>
        <v>-2.0499999999999998</v>
      </c>
      <c r="AA65" s="90">
        <f ca="1">IF(I65="",((TODAY()-A65)*G65)/365.24,((I65-A65)*G65)/365.24)</f>
        <v>963.60475303909755</v>
      </c>
      <c r="AB65" s="103" t="s">
        <v>2733</v>
      </c>
      <c r="AC65" s="103" t="s">
        <v>3057</v>
      </c>
      <c r="AD65" s="383" t="s">
        <v>3202</v>
      </c>
    </row>
    <row r="66" spans="1:30" outlineLevel="1">
      <c r="A66" s="99">
        <v>46160</v>
      </c>
      <c r="B66" s="11" t="s">
        <v>19</v>
      </c>
      <c r="C66" s="181">
        <v>895</v>
      </c>
      <c r="D66" s="189" t="str">
        <f>VLOOKUP(C66,台股行情!A:B,2,FALSE)</f>
        <v>富邦未來車</v>
      </c>
      <c r="E66" s="11">
        <v>101</v>
      </c>
      <c r="F66" s="11">
        <v>49.19</v>
      </c>
      <c r="G66" s="183">
        <v>4968</v>
      </c>
      <c r="H66" s="11">
        <v>1</v>
      </c>
      <c r="I66" s="104">
        <v>46199</v>
      </c>
      <c r="J66" s="16">
        <v>50.45</v>
      </c>
      <c r="K66" s="11">
        <f>E66*J66</f>
        <v>5095.4500000000007</v>
      </c>
      <c r="L66" s="11">
        <v>0</v>
      </c>
      <c r="M66" s="11">
        <v>0</v>
      </c>
      <c r="N66" s="11">
        <v>0</v>
      </c>
      <c r="O66" s="13">
        <f>IF(I66="",E66*Y66,0)</f>
        <v>0</v>
      </c>
      <c r="P66" s="14">
        <f t="shared" ref="P66" si="113">IF(I66="",R66-H66,(K66-H66-SUM(L66:N66)+R66-S66-T66)-G66)+(ROUND(R66*V66,0)-ROUND(R66*(1+V66),0)*W66)</f>
        <v>126.45000000000073</v>
      </c>
      <c r="Q66" s="14">
        <f>IF(I66="",(O66-G66-(O66*0.1425%*0.65)-(O66*0.3%)-S66-T66),0)</f>
        <v>0</v>
      </c>
      <c r="R66" s="14"/>
      <c r="S66" s="14">
        <v>0</v>
      </c>
      <c r="T66" s="14">
        <f>IF(ROUND(R66*(1+V66),0)&gt;20000,ROUND(ROUND(R66*(1+V66),0)*2%,0),0)</f>
        <v>0</v>
      </c>
      <c r="U66" s="69"/>
      <c r="V66" s="69"/>
      <c r="W66" s="70"/>
      <c r="X66" s="15">
        <f>(P66+Q66)/G66</f>
        <v>2.5452898550724783E-2</v>
      </c>
      <c r="Y66" s="16">
        <f>VLOOKUP(C66,台股行情!A:D,4,FALSE)</f>
        <v>50.45</v>
      </c>
      <c r="Z66" s="38">
        <f>VLOOKUP(C66,台股行情!A:E,5,FALSE)</f>
        <v>-2.0499999999999998</v>
      </c>
      <c r="AA66" s="90">
        <f ca="1">IF(I66="",((TODAY()-A66)*G66)/365.24,((I66-A66)*G66)/365.24)</f>
        <v>530.47858942065488</v>
      </c>
      <c r="AB66" s="103" t="s">
        <v>2733</v>
      </c>
      <c r="AC66" s="103" t="s">
        <v>3057</v>
      </c>
      <c r="AD66" s="383" t="s">
        <v>3202</v>
      </c>
    </row>
    <row r="67" spans="1:30" outlineLevel="1">
      <c r="A67" s="99">
        <v>46189</v>
      </c>
      <c r="B67" s="11" t="s">
        <v>19</v>
      </c>
      <c r="C67" s="181">
        <v>895</v>
      </c>
      <c r="D67" s="189" t="str">
        <f>VLOOKUP(C67,台股行情!A:B,2,FALSE)</f>
        <v>富邦未來車</v>
      </c>
      <c r="E67" s="11">
        <v>95</v>
      </c>
      <c r="F67" s="11">
        <v>52.53</v>
      </c>
      <c r="G67" s="183">
        <v>4990</v>
      </c>
      <c r="H67" s="11">
        <v>1</v>
      </c>
      <c r="I67" s="104">
        <v>46199</v>
      </c>
      <c r="J67" s="16">
        <v>50.45</v>
      </c>
      <c r="K67" s="11">
        <f>E67*J67</f>
        <v>4792.75</v>
      </c>
      <c r="L67" s="11">
        <v>0</v>
      </c>
      <c r="M67" s="11">
        <v>0</v>
      </c>
      <c r="N67" s="11">
        <v>0</v>
      </c>
      <c r="O67" s="13">
        <f>IF(I67="",E67*Y67,0)</f>
        <v>0</v>
      </c>
      <c r="P67" s="14">
        <f t="shared" ref="P67" si="114">IF(I67="",R67-H67,(K67-H67-SUM(L67:N67)+R67-S67-T67)-G67)+(ROUND(R67*V67,0)-ROUND(R67*(1+V67),0)*W67)</f>
        <v>-198.25</v>
      </c>
      <c r="Q67" s="14">
        <f>IF(I67="",(O67-G67-(O67*0.1425%*0.65)-(O67*0.3%)-S67-T67),0)</f>
        <v>0</v>
      </c>
      <c r="R67" s="14"/>
      <c r="S67" s="14">
        <v>0</v>
      </c>
      <c r="T67" s="14">
        <f>IF(ROUND(R67*(1+V67),0)&gt;20000,ROUND(ROUND(R67*(1+V67),0)*2%,0),0)</f>
        <v>0</v>
      </c>
      <c r="U67" s="69"/>
      <c r="V67" s="69"/>
      <c r="W67" s="70"/>
      <c r="X67" s="15">
        <f>(P67+Q67)/G67</f>
        <v>-3.9729458917835671E-2</v>
      </c>
      <c r="Y67" s="16">
        <f>VLOOKUP(C67,台股行情!A:D,4,FALSE)</f>
        <v>50.45</v>
      </c>
      <c r="Z67" s="38">
        <f>VLOOKUP(C67,台股行情!A:E,5,FALSE)</f>
        <v>-2.0499999999999998</v>
      </c>
      <c r="AA67" s="90">
        <f ca="1">IF(I67="",((TODAY()-A67)*G67)/365.24,((I67-A67)*G67)/365.24)</f>
        <v>136.62249479794107</v>
      </c>
      <c r="AB67" s="103" t="s">
        <v>2733</v>
      </c>
      <c r="AC67" s="103" t="s">
        <v>3057</v>
      </c>
      <c r="AD67" s="383" t="s">
        <v>3202</v>
      </c>
    </row>
    <row r="68" spans="1:30">
      <c r="A68" s="99">
        <v>46220</v>
      </c>
      <c r="B68" s="11" t="s">
        <v>19</v>
      </c>
      <c r="C68" s="181">
        <v>2330</v>
      </c>
      <c r="D68" s="189" t="str">
        <f>VLOOKUP(C68,台股行情!A:B,2,FALSE)</f>
        <v>台積電</v>
      </c>
      <c r="E68" s="11">
        <v>10</v>
      </c>
      <c r="F68" s="11">
        <v>2330</v>
      </c>
      <c r="G68" s="11">
        <f t="shared" ref="G68" si="115">E68*F68</f>
        <v>23300</v>
      </c>
      <c r="H68" s="11">
        <v>33</v>
      </c>
      <c r="I68" s="104">
        <v>46234</v>
      </c>
      <c r="J68" s="16">
        <v>2390</v>
      </c>
      <c r="K68" s="11">
        <f t="shared" ref="K68" si="116">E68*J68</f>
        <v>23900</v>
      </c>
      <c r="L68" s="11">
        <f t="shared" ref="L68" si="117">ROUND(J68*E68*0.1425%,0)</f>
        <v>34</v>
      </c>
      <c r="M68" s="11">
        <v>71</v>
      </c>
      <c r="N68" s="11">
        <v>0</v>
      </c>
      <c r="O68" s="13">
        <f t="shared" ref="O68" si="118">IF(I68="",E68*Y68,0)</f>
        <v>0</v>
      </c>
      <c r="P68" s="14">
        <f t="shared" ref="P68" si="119">IF(I68="",R68-H68,(K68-H68-SUM(L68:N68)+R68-S68-T68)-G68)+(ROUND(R68*V68,0)-ROUND(R68*(1+V68),0)*W68)</f>
        <v>462</v>
      </c>
      <c r="Q68" s="14">
        <f t="shared" ref="Q68" si="120">IF(I68="",(O68-G68-(O68*0.1425%*0.65)-(O68*0.3%)-S68-T68),0)</f>
        <v>0</v>
      </c>
      <c r="R68" s="14"/>
      <c r="S68" s="14">
        <v>0</v>
      </c>
      <c r="T68" s="14">
        <f t="shared" ref="T68" si="121">IF(ROUND(R68*(1+V68),0)&gt;20000,ROUND(ROUND(R68*(1+V68),0)*2%,0),0)</f>
        <v>0</v>
      </c>
      <c r="U68" s="69"/>
      <c r="V68" s="69"/>
      <c r="W68" s="70"/>
      <c r="X68" s="15">
        <f t="shared" ref="X68" si="122">(P68+Q68)/G68</f>
        <v>1.9828326180257511E-2</v>
      </c>
      <c r="Y68" s="16">
        <f>VLOOKUP(C68,台股行情!A:D,4,FALSE)</f>
        <v>2440</v>
      </c>
      <c r="Z68" s="38">
        <f>VLOOKUP(C68,台股行情!A:E,5,FALSE)</f>
        <v>-50</v>
      </c>
      <c r="AA68" s="90">
        <f t="shared" ref="AA68" ca="1" si="123">IF(I68="",((TODAY()-A68)*G68)/365.24,((I68-A68)*G68)/365.24)</f>
        <v>893.11137881940635</v>
      </c>
      <c r="AB68" s="103" t="s">
        <v>2733</v>
      </c>
      <c r="AC68" s="103" t="s">
        <v>2266</v>
      </c>
      <c r="AD68" s="209"/>
    </row>
    <row r="69" spans="1:30">
      <c r="A69" s="99"/>
      <c r="B69" s="11"/>
      <c r="C69" s="181"/>
      <c r="D69" s="189"/>
      <c r="E69" s="11"/>
      <c r="F69" s="11"/>
      <c r="G69" s="11"/>
      <c r="H69" s="11"/>
      <c r="I69" s="202"/>
      <c r="J69" s="16"/>
      <c r="K69" s="11"/>
      <c r="L69" s="17"/>
      <c r="M69" s="17"/>
      <c r="N69" s="11"/>
      <c r="O69" s="13"/>
      <c r="P69" s="14"/>
      <c r="Q69" s="14"/>
      <c r="R69" s="14"/>
      <c r="S69" s="14"/>
      <c r="T69" s="14"/>
      <c r="U69" s="69"/>
      <c r="V69" s="69"/>
      <c r="W69" s="70"/>
      <c r="X69" s="15"/>
      <c r="Y69" s="16"/>
      <c r="Z69" s="38"/>
      <c r="AA69" s="90"/>
      <c r="AB69" s="103"/>
      <c r="AC69" s="103"/>
    </row>
    <row r="70" spans="1:30">
      <c r="A70" s="18">
        <f>MIN(A101:A101)</f>
        <v>0</v>
      </c>
      <c r="B70" s="19"/>
      <c r="C70" s="20"/>
      <c r="D70" s="192"/>
      <c r="E70" s="19"/>
      <c r="F70" s="19"/>
      <c r="G70" s="19"/>
      <c r="H70" s="19"/>
      <c r="I70" s="21"/>
      <c r="J70" s="22"/>
      <c r="K70" s="19"/>
      <c r="L70" s="23"/>
      <c r="M70" s="19"/>
      <c r="N70" s="19"/>
      <c r="O70" s="24"/>
      <c r="P70" s="25"/>
      <c r="Q70" s="25"/>
      <c r="R70" s="25"/>
      <c r="S70" s="25"/>
      <c r="T70" s="25"/>
      <c r="U70" s="25"/>
      <c r="V70" s="74"/>
      <c r="W70" s="77"/>
      <c r="X70" s="26"/>
      <c r="Y70" s="22"/>
      <c r="Z70" s="27"/>
      <c r="AA70" s="90"/>
    </row>
    <row r="71" spans="1:30">
      <c r="A71" s="99">
        <v>45278</v>
      </c>
      <c r="B71" s="11" t="s">
        <v>19</v>
      </c>
      <c r="C71" s="181">
        <v>692</v>
      </c>
      <c r="D71" s="189" t="str">
        <f>VLOOKUP(C71,台股行情!A:B,2,FALSE)</f>
        <v>富邦公司治理</v>
      </c>
      <c r="E71" s="11">
        <v>1000</v>
      </c>
      <c r="F71" s="11">
        <v>32.04</v>
      </c>
      <c r="G71" s="11">
        <f t="shared" ref="G71:G72" si="124">E71*F71</f>
        <v>32040</v>
      </c>
      <c r="H71" s="11">
        <v>45</v>
      </c>
      <c r="I71" s="104"/>
      <c r="J71" s="16"/>
      <c r="K71" s="11">
        <f t="shared" ref="K71:K72" si="125">E71*J71</f>
        <v>0</v>
      </c>
      <c r="L71" s="11">
        <f t="shared" ref="L71:L72" si="126">ROUND(J71*E71*0.1425%,0)</f>
        <v>0</v>
      </c>
      <c r="M71" s="11">
        <f t="shared" ref="M71:M72" si="127">ROUND(J71*E71*0.3%,0)</f>
        <v>0</v>
      </c>
      <c r="N71" s="11">
        <v>0</v>
      </c>
      <c r="O71" s="13">
        <f t="shared" ref="O71:O72" si="128">IF(I71="",E71*Y71,0)</f>
        <v>94400</v>
      </c>
      <c r="P71" s="14">
        <f t="shared" ref="P71:P92" si="129">IF(I71="",R71-H71,(K71-H71-SUM(L71:N71)+R71-S71-T71)-G71)+(ROUND(R71*V71,0)-ROUND(R71*(1+V71),0)*W71)</f>
        <v>3482</v>
      </c>
      <c r="Q71" s="14">
        <f t="shared" ref="Q71:Q72" si="130">IF(I71="",(O71-G71-(O71*0.1425%*0.65)-(O71*0.3%)-S71-T71),0)</f>
        <v>61959.362000000001</v>
      </c>
      <c r="R71" s="14">
        <f>415+600+2512</f>
        <v>3527</v>
      </c>
      <c r="S71" s="14">
        <v>30</v>
      </c>
      <c r="T71" s="14">
        <f>IF(ROUND(R71*(1+V71),0)&gt;20000,ROUND(ROUND(R71*(1+V71),0)*2%,0),0)</f>
        <v>0</v>
      </c>
      <c r="U71" s="69">
        <f t="shared" ref="U71" si="131">(V71*50%)/(1+50%*V71)</f>
        <v>0</v>
      </c>
      <c r="V71" s="69"/>
      <c r="W71" s="70"/>
      <c r="X71" s="15">
        <f t="shared" ref="X71:X72" si="132">(P71+Q71)/G71</f>
        <v>2.0424894506866416</v>
      </c>
      <c r="Y71" s="16">
        <f>VLOOKUP(C71,台股行情!A:D,4,FALSE)</f>
        <v>94.4</v>
      </c>
      <c r="Z71" s="38">
        <f>VLOOKUP(C71,台股行情!A:E,5,FALSE)</f>
        <v>-3.05</v>
      </c>
      <c r="AA71" s="90">
        <f t="shared" ref="AA71:AA72" ca="1" si="133">IF(I71="",((TODAY()-A71)*G71)/365.24,((I71-A71)*G71)/365.24)</f>
        <v>90530.28145876684</v>
      </c>
      <c r="AB71" s="103" t="s">
        <v>2733</v>
      </c>
      <c r="AC71" s="103" t="s">
        <v>3056</v>
      </c>
    </row>
    <row r="72" spans="1:30" outlineLevel="1">
      <c r="A72" s="99">
        <v>45645</v>
      </c>
      <c r="B72" s="11" t="s">
        <v>19</v>
      </c>
      <c r="C72" s="181">
        <v>692</v>
      </c>
      <c r="D72" s="189" t="str">
        <f>VLOOKUP(C72,台股行情!A:B,2,FALSE)</f>
        <v>富邦公司治理</v>
      </c>
      <c r="E72" s="11">
        <v>1000</v>
      </c>
      <c r="F72" s="11">
        <v>44.53</v>
      </c>
      <c r="G72" s="11">
        <f t="shared" si="124"/>
        <v>44530</v>
      </c>
      <c r="H72" s="11">
        <v>63</v>
      </c>
      <c r="I72" s="104"/>
      <c r="J72" s="16"/>
      <c r="K72" s="11">
        <f t="shared" si="125"/>
        <v>0</v>
      </c>
      <c r="L72" s="11">
        <f t="shared" si="126"/>
        <v>0</v>
      </c>
      <c r="M72" s="11">
        <f t="shared" si="127"/>
        <v>0</v>
      </c>
      <c r="N72" s="11">
        <v>0</v>
      </c>
      <c r="O72" s="13">
        <f t="shared" si="128"/>
        <v>94400</v>
      </c>
      <c r="P72" s="14">
        <f t="shared" si="129"/>
        <v>4945</v>
      </c>
      <c r="Q72" s="14">
        <f t="shared" si="130"/>
        <v>49459.362000000001</v>
      </c>
      <c r="R72" s="14">
        <f>5008</f>
        <v>5008</v>
      </c>
      <c r="S72" s="14">
        <v>40</v>
      </c>
      <c r="T72" s="14">
        <f t="shared" ref="T72" si="134">IF(ROUND(R72*(1+V72),0)&gt;20000,ROUND(ROUND(R72*(1+V72),0)*2%,0),0)</f>
        <v>0</v>
      </c>
      <c r="U72" s="69"/>
      <c r="V72" s="69"/>
      <c r="W72" s="70"/>
      <c r="X72" s="15">
        <f t="shared" si="132"/>
        <v>1.2217462834044464</v>
      </c>
      <c r="Y72" s="16">
        <f>VLOOKUP(C72,台股行情!A:D,4,FALSE)</f>
        <v>94.4</v>
      </c>
      <c r="Z72" s="38">
        <f>VLOOKUP(C72,台股行情!A:E,5,FALSE)</f>
        <v>-3.05</v>
      </c>
      <c r="AA72" s="90">
        <f t="shared" ca="1" si="133"/>
        <v>81076.689300186175</v>
      </c>
      <c r="AB72" s="103" t="s">
        <v>2733</v>
      </c>
      <c r="AC72" s="103" t="s">
        <v>3056</v>
      </c>
      <c r="AD72" s="209"/>
    </row>
    <row r="73" spans="1:30" outlineLevel="1">
      <c r="A73" s="99">
        <v>46170</v>
      </c>
      <c r="B73" s="11" t="s">
        <v>19</v>
      </c>
      <c r="C73" s="181">
        <v>692</v>
      </c>
      <c r="D73" s="189" t="str">
        <f>VLOOKUP(C73,台股行情!A:B,2,FALSE)</f>
        <v>富邦公司治理</v>
      </c>
      <c r="E73" s="11">
        <v>1000</v>
      </c>
      <c r="F73" s="11">
        <v>87.2</v>
      </c>
      <c r="G73" s="11">
        <f>E73*F73</f>
        <v>87200</v>
      </c>
      <c r="H73" s="11">
        <v>124</v>
      </c>
      <c r="I73" s="104"/>
      <c r="J73" s="16"/>
      <c r="K73" s="11">
        <f>E73*J73</f>
        <v>0</v>
      </c>
      <c r="L73" s="11">
        <f>ROUND(J73*E73*0.1425%,0)</f>
        <v>0</v>
      </c>
      <c r="M73" s="11">
        <f>ROUND(J73*E73*0.3%,0)</f>
        <v>0</v>
      </c>
      <c r="N73" s="11">
        <v>0</v>
      </c>
      <c r="O73" s="13">
        <f>IF(I73="",E73*Y73,0)</f>
        <v>94400</v>
      </c>
      <c r="P73" s="14">
        <f>IF(I73="",R73-H73,(K73-H73-SUM(L73:N73)+R73-S73-T73)-G73)+(ROUND(R73*V73,0)-ROUND(R73*(1+V73),0)*W73)</f>
        <v>5636</v>
      </c>
      <c r="Q73" s="14">
        <f>IF(I73="",(O73-G73-(O73*0.1425%*0.65)-(O73*0.3%)-S73-T73),0)</f>
        <v>6819.3620000000001</v>
      </c>
      <c r="R73" s="14">
        <v>5760</v>
      </c>
      <c r="S73" s="14">
        <v>10</v>
      </c>
      <c r="T73" s="14">
        <f>IF(ROUND(R73*(1+V73),0)&gt;20000,ROUND(ROUND(R73*(1+V73),0)*2%,0),0)</f>
        <v>0</v>
      </c>
      <c r="U73" s="69"/>
      <c r="V73" s="69"/>
      <c r="W73" s="70"/>
      <c r="X73" s="15">
        <f>(P73+Q73)/G73</f>
        <v>0.14283672018348625</v>
      </c>
      <c r="Y73" s="16">
        <f>VLOOKUP(C73,台股行情!A:D,4,FALSE)</f>
        <v>94.4</v>
      </c>
      <c r="Z73" s="38">
        <f>VLOOKUP(C73,台股行情!A:E,5,FALSE)</f>
        <v>-3.05</v>
      </c>
      <c r="AA73" s="90">
        <f ca="1">IF(I73="",((TODAY()-A73)*G73)/365.24,((I73-A73)*G73)/365.24)</f>
        <v>33424.597524915123</v>
      </c>
      <c r="AB73" s="103" t="s">
        <v>2733</v>
      </c>
      <c r="AC73" s="103" t="s">
        <v>2266</v>
      </c>
      <c r="AD73" s="209"/>
    </row>
    <row r="74" spans="1:30">
      <c r="A74" s="99">
        <v>46051</v>
      </c>
      <c r="B74" s="11" t="s">
        <v>19</v>
      </c>
      <c r="C74" s="343" t="s">
        <v>3047</v>
      </c>
      <c r="D74" s="189" t="str">
        <f>VLOOKUP(C74,台股行情!A:B,2,FALSE)</f>
        <v>主動統一台股增長</v>
      </c>
      <c r="E74" s="11">
        <v>1000</v>
      </c>
      <c r="F74" s="11">
        <v>18.21</v>
      </c>
      <c r="G74" s="11">
        <f t="shared" ref="G74" si="135">E74*F74</f>
        <v>18210</v>
      </c>
      <c r="H74" s="11">
        <v>25</v>
      </c>
      <c r="I74" s="104"/>
      <c r="J74" s="16"/>
      <c r="K74" s="11">
        <f t="shared" ref="K74" si="136">E74*J74</f>
        <v>0</v>
      </c>
      <c r="L74" s="11">
        <f t="shared" ref="L74" si="137">ROUND(J74*E74*0.1425%,0)</f>
        <v>0</v>
      </c>
      <c r="M74" s="11">
        <f t="shared" ref="M74" si="138">ROUND(J74*E74*0.3%,0)</f>
        <v>0</v>
      </c>
      <c r="N74" s="11">
        <v>0</v>
      </c>
      <c r="O74" s="13">
        <f t="shared" ref="O74" si="139">IF(I74="",E74*Y74,0)</f>
        <v>29400</v>
      </c>
      <c r="P74" s="14">
        <f t="shared" si="129"/>
        <v>385</v>
      </c>
      <c r="Q74" s="14">
        <f t="shared" ref="Q74" si="140">IF(I74="",(O74-G74-(O74*0.1425%*0.65)-(O74*0.3%)-S74-T74),0)</f>
        <v>11064.568249999998</v>
      </c>
      <c r="R74" s="14">
        <v>410</v>
      </c>
      <c r="S74" s="14">
        <v>10</v>
      </c>
      <c r="T74" s="14">
        <f t="shared" ref="T74" si="141">IF(ROUND(R74*(1+V74),0)&gt;20000,ROUND(ROUND(R74*(1+V74),0)*2%,0),0)</f>
        <v>0</v>
      </c>
      <c r="U74" s="69"/>
      <c r="V74" s="69"/>
      <c r="W74" s="70"/>
      <c r="X74" s="15">
        <f t="shared" ref="X74" si="142">(P74+Q74)/G74</f>
        <v>0.62875168863261932</v>
      </c>
      <c r="Y74" s="16">
        <f>VLOOKUP(C74,台股行情!A:D,4,FALSE)</f>
        <v>29.4</v>
      </c>
      <c r="Z74" s="38">
        <f>VLOOKUP(C74,台股行情!A:E,5,FALSE)</f>
        <v>-1.79</v>
      </c>
      <c r="AA74" s="90">
        <f t="shared" ref="AA74" ca="1" si="143">IF(I74="",((TODAY()-A74)*G74)/365.24,((I74-A74)*G74)/365.24)</f>
        <v>12913.125616033292</v>
      </c>
      <c r="AB74" s="103" t="s">
        <v>2733</v>
      </c>
      <c r="AC74" s="103" t="s">
        <v>3051</v>
      </c>
      <c r="AD74" s="209"/>
    </row>
    <row r="75" spans="1:30" outlineLevel="1">
      <c r="A75" s="99">
        <v>46058</v>
      </c>
      <c r="B75" s="11" t="s">
        <v>19</v>
      </c>
      <c r="C75" s="343" t="s">
        <v>3040</v>
      </c>
      <c r="D75" s="189" t="str">
        <f>VLOOKUP(C75,台股行情!A:B,2,FALSE)</f>
        <v>主動統一台股增長</v>
      </c>
      <c r="E75" s="11">
        <v>272</v>
      </c>
      <c r="F75" s="11">
        <v>18.38</v>
      </c>
      <c r="G75" s="183">
        <v>4999</v>
      </c>
      <c r="H75" s="11">
        <v>1</v>
      </c>
      <c r="I75" s="104"/>
      <c r="J75" s="16"/>
      <c r="K75" s="11">
        <f t="shared" ref="K75:K81" si="144">E75*J75</f>
        <v>0</v>
      </c>
      <c r="L75" s="11">
        <f t="shared" ref="L75:L81" si="145">ROUND(J75*E75*0.1425%,0)</f>
        <v>0</v>
      </c>
      <c r="M75" s="11">
        <f t="shared" ref="M75:M81" si="146">ROUND(J75*E75*0.3%,0)</f>
        <v>0</v>
      </c>
      <c r="N75" s="11">
        <v>0</v>
      </c>
      <c r="O75" s="13">
        <f t="shared" ref="O75:O81" si="147">IF(I75="",E75*Y75,0)</f>
        <v>7996.7999999999993</v>
      </c>
      <c r="P75" s="14">
        <f t="shared" si="129"/>
        <v>111</v>
      </c>
      <c r="Q75" s="14">
        <f t="shared" ref="Q75:Q81" si="148">IF(I75="",(O75-G75-(O75*0.1425%*0.65)-(O75*0.3%)-S75-T75),0)</f>
        <v>2956.4025639999991</v>
      </c>
      <c r="R75" s="14">
        <v>112</v>
      </c>
      <c r="S75" s="14">
        <v>10</v>
      </c>
      <c r="T75" s="14">
        <f t="shared" ref="T75:T81" si="149">IF(ROUND(R75*(1+V75),0)&gt;20000,ROUND(ROUND(R75*(1+V75),0)*2%,0),0)</f>
        <v>0</v>
      </c>
      <c r="U75" s="69"/>
      <c r="V75" s="69"/>
      <c r="W75" s="70"/>
      <c r="X75" s="15">
        <f t="shared" ref="X75:X81" si="150">(P75+Q75)/G75</f>
        <v>0.6136032334466891</v>
      </c>
      <c r="Y75" s="16">
        <f>VLOOKUP(C75,台股行情!A:D,4,FALSE)</f>
        <v>29.4</v>
      </c>
      <c r="Z75" s="38">
        <f>VLOOKUP(C75,台股行情!A:E,5,FALSE)</f>
        <v>-1.79</v>
      </c>
      <c r="AA75" s="90">
        <f t="shared" ref="AA75:AA81" ca="1" si="151">IF(I75="",((TODAY()-A75)*G75)/365.24,((I75-A75)*G75)/365.24)</f>
        <v>3449.09648450334</v>
      </c>
      <c r="AB75" s="103" t="s">
        <v>2733</v>
      </c>
      <c r="AC75" s="103" t="s">
        <v>3050</v>
      </c>
      <c r="AD75" s="344"/>
    </row>
    <row r="76" spans="1:30" outlineLevel="1">
      <c r="A76" s="99">
        <v>46086</v>
      </c>
      <c r="B76" s="11" t="s">
        <v>19</v>
      </c>
      <c r="C76" s="343" t="s">
        <v>3040</v>
      </c>
      <c r="D76" s="189" t="str">
        <f>VLOOKUP(C76,台股行情!A:B,2,FALSE)</f>
        <v>主動統一台股增長</v>
      </c>
      <c r="E76" s="11">
        <v>256</v>
      </c>
      <c r="F76" s="352" t="s">
        <v>3077</v>
      </c>
      <c r="G76" s="183">
        <v>4989</v>
      </c>
      <c r="H76" s="11">
        <v>1</v>
      </c>
      <c r="I76" s="104"/>
      <c r="J76" s="16"/>
      <c r="K76" s="11">
        <f t="shared" si="144"/>
        <v>0</v>
      </c>
      <c r="L76" s="11">
        <f t="shared" si="145"/>
        <v>0</v>
      </c>
      <c r="M76" s="11">
        <f t="shared" si="146"/>
        <v>0</v>
      </c>
      <c r="N76" s="11">
        <v>0</v>
      </c>
      <c r="O76" s="13">
        <f t="shared" si="147"/>
        <v>7526.4</v>
      </c>
      <c r="P76" s="14">
        <f t="shared" si="129"/>
        <v>104</v>
      </c>
      <c r="Q76" s="14">
        <f t="shared" si="148"/>
        <v>2497.8494719999994</v>
      </c>
      <c r="R76" s="14">
        <v>105</v>
      </c>
      <c r="S76" s="14">
        <v>10</v>
      </c>
      <c r="T76" s="14">
        <f t="shared" si="149"/>
        <v>0</v>
      </c>
      <c r="U76" s="69"/>
      <c r="V76" s="69"/>
      <c r="W76" s="70"/>
      <c r="X76" s="15">
        <f t="shared" si="150"/>
        <v>0.52151723231108427</v>
      </c>
      <c r="Y76" s="16">
        <f>VLOOKUP(C76,台股行情!A:D,4,FALSE)</f>
        <v>29.4</v>
      </c>
      <c r="Z76" s="38">
        <f>VLOOKUP(C76,台股行情!A:E,5,FALSE)</f>
        <v>-1.79</v>
      </c>
      <c r="AA76" s="90">
        <f t="shared" ca="1" si="151"/>
        <v>3059.7305881064503</v>
      </c>
      <c r="AB76" s="103" t="s">
        <v>2733</v>
      </c>
      <c r="AC76" s="103" t="s">
        <v>3050</v>
      </c>
      <c r="AD76" s="344"/>
    </row>
    <row r="77" spans="1:30" outlineLevel="1">
      <c r="A77" s="99">
        <v>46119</v>
      </c>
      <c r="B77" s="11" t="s">
        <v>19</v>
      </c>
      <c r="C77" s="343" t="s">
        <v>3040</v>
      </c>
      <c r="D77" s="189" t="str">
        <f>VLOOKUP(C77,台股行情!A:B,2,FALSE)</f>
        <v>主動統一台股增長</v>
      </c>
      <c r="E77" s="11">
        <v>241</v>
      </c>
      <c r="F77" s="352">
        <v>20.73</v>
      </c>
      <c r="G77" s="183">
        <v>4995</v>
      </c>
      <c r="H77" s="11">
        <v>1</v>
      </c>
      <c r="I77" s="104"/>
      <c r="J77" s="16"/>
      <c r="K77" s="11">
        <f t="shared" si="144"/>
        <v>0</v>
      </c>
      <c r="L77" s="11">
        <f t="shared" si="145"/>
        <v>0</v>
      </c>
      <c r="M77" s="11">
        <f t="shared" si="146"/>
        <v>0</v>
      </c>
      <c r="N77" s="11">
        <v>0</v>
      </c>
      <c r="O77" s="13">
        <f t="shared" si="147"/>
        <v>7085.4</v>
      </c>
      <c r="P77" s="14">
        <f t="shared" si="129"/>
        <v>1322</v>
      </c>
      <c r="Q77" s="14">
        <f t="shared" si="148"/>
        <v>2052.5809482499999</v>
      </c>
      <c r="R77" s="14">
        <v>1323</v>
      </c>
      <c r="S77" s="14">
        <v>10</v>
      </c>
      <c r="T77" s="14">
        <f t="shared" si="149"/>
        <v>0</v>
      </c>
      <c r="U77" s="69"/>
      <c r="V77" s="69"/>
      <c r="W77" s="70"/>
      <c r="X77" s="15">
        <f t="shared" si="150"/>
        <v>0.67559178143143139</v>
      </c>
      <c r="Y77" s="16">
        <f>VLOOKUP(C77,台股行情!A:D,4,FALSE)</f>
        <v>29.4</v>
      </c>
      <c r="Z77" s="38">
        <f>VLOOKUP(C77,台股行情!A:E,5,FALSE)</f>
        <v>-1.79</v>
      </c>
      <c r="AA77" s="90">
        <f t="shared" ca="1" si="151"/>
        <v>2612.1043697294926</v>
      </c>
      <c r="AB77" s="103" t="s">
        <v>2733</v>
      </c>
      <c r="AC77" s="103" t="s">
        <v>3050</v>
      </c>
      <c r="AD77" s="344"/>
    </row>
    <row r="78" spans="1:30" outlineLevel="1">
      <c r="A78" s="99">
        <v>46147</v>
      </c>
      <c r="B78" s="11" t="s">
        <v>19</v>
      </c>
      <c r="C78" s="343" t="s">
        <v>3040</v>
      </c>
      <c r="D78" s="189" t="str">
        <f>VLOOKUP(C78,台股行情!A:B,2,FALSE)</f>
        <v>主動統一台股增長</v>
      </c>
      <c r="E78" s="11">
        <v>169</v>
      </c>
      <c r="F78" s="352">
        <v>29.45</v>
      </c>
      <c r="G78" s="183">
        <v>4977</v>
      </c>
      <c r="H78" s="11">
        <v>1</v>
      </c>
      <c r="I78" s="104"/>
      <c r="J78" s="16"/>
      <c r="K78" s="11">
        <f t="shared" si="144"/>
        <v>0</v>
      </c>
      <c r="L78" s="11">
        <f t="shared" si="145"/>
        <v>0</v>
      </c>
      <c r="M78" s="11">
        <f t="shared" si="146"/>
        <v>0</v>
      </c>
      <c r="N78" s="11">
        <v>0</v>
      </c>
      <c r="O78" s="13">
        <f t="shared" si="147"/>
        <v>4968.5999999999995</v>
      </c>
      <c r="P78" s="14">
        <f t="shared" si="129"/>
        <v>-1</v>
      </c>
      <c r="Q78" s="14">
        <f t="shared" si="148"/>
        <v>-27.907965750000542</v>
      </c>
      <c r="R78" s="14"/>
      <c r="S78" s="14">
        <v>0</v>
      </c>
      <c r="T78" s="14">
        <f t="shared" si="149"/>
        <v>0</v>
      </c>
      <c r="U78" s="69"/>
      <c r="V78" s="69"/>
      <c r="W78" s="70"/>
      <c r="X78" s="15">
        <f t="shared" si="150"/>
        <v>-5.8083113823589596E-3</v>
      </c>
      <c r="Y78" s="16">
        <f>VLOOKUP(C78,台股行情!A:D,4,FALSE)</f>
        <v>29.4</v>
      </c>
      <c r="Z78" s="38">
        <f>VLOOKUP(C78,台股行情!A:E,5,FALSE)</f>
        <v>-1.79</v>
      </c>
      <c r="AA78" s="90">
        <f t="shared" ca="1" si="151"/>
        <v>2221.1450005475849</v>
      </c>
      <c r="AB78" s="103" t="s">
        <v>2733</v>
      </c>
      <c r="AC78" s="103" t="s">
        <v>3050</v>
      </c>
      <c r="AD78" s="344"/>
    </row>
    <row r="79" spans="1:30" outlineLevel="1">
      <c r="A79" s="99">
        <v>46178</v>
      </c>
      <c r="B79" s="11" t="s">
        <v>19</v>
      </c>
      <c r="C79" s="343" t="s">
        <v>3040</v>
      </c>
      <c r="D79" s="189" t="str">
        <f>VLOOKUP(C79,台股行情!A:B,2,FALSE)</f>
        <v>主動統一台股增長</v>
      </c>
      <c r="E79" s="11">
        <v>162</v>
      </c>
      <c r="F79" s="352">
        <v>30.73</v>
      </c>
      <c r="G79" s="183">
        <v>4977</v>
      </c>
      <c r="H79" s="11">
        <v>1</v>
      </c>
      <c r="I79" s="104"/>
      <c r="J79" s="16"/>
      <c r="K79" s="11">
        <f t="shared" si="144"/>
        <v>0</v>
      </c>
      <c r="L79" s="11">
        <f t="shared" si="145"/>
        <v>0</v>
      </c>
      <c r="M79" s="11">
        <f t="shared" si="146"/>
        <v>0</v>
      </c>
      <c r="N79" s="11">
        <v>0</v>
      </c>
      <c r="O79" s="13">
        <f t="shared" si="147"/>
        <v>4762.8</v>
      </c>
      <c r="P79" s="14">
        <f>IF(I79="",R79-H79,(K79-H79-SUM(L79:N79)+R79-S79-T79)-G79)+(ROUND(R79*V79,0)-ROUND(R79*(1+V79),0)*W79)</f>
        <v>-1</v>
      </c>
      <c r="Q79" s="14">
        <f t="shared" si="148"/>
        <v>-232.89994349999981</v>
      </c>
      <c r="R79" s="14"/>
      <c r="S79" s="14">
        <v>0</v>
      </c>
      <c r="T79" s="14">
        <f t="shared" si="149"/>
        <v>0</v>
      </c>
      <c r="U79" s="69"/>
      <c r="V79" s="69"/>
      <c r="W79" s="70"/>
      <c r="X79" s="15">
        <f t="shared" si="150"/>
        <v>-4.699617108700016E-2</v>
      </c>
      <c r="Y79" s="16">
        <f>VLOOKUP(C79,台股行情!A:D,4,FALSE)</f>
        <v>29.4</v>
      </c>
      <c r="Z79" s="38">
        <f>VLOOKUP(C79,台股行情!A:E,5,FALSE)</f>
        <v>-1.79</v>
      </c>
      <c r="AA79" s="90">
        <f t="shared" ca="1" si="151"/>
        <v>1798.7186507501915</v>
      </c>
      <c r="AB79" s="103" t="s">
        <v>2733</v>
      </c>
      <c r="AC79" s="103" t="s">
        <v>3050</v>
      </c>
      <c r="AD79" s="344"/>
    </row>
    <row r="80" spans="1:30" outlineLevel="1">
      <c r="A80" s="99">
        <v>46209</v>
      </c>
      <c r="B80" s="11" t="s">
        <v>19</v>
      </c>
      <c r="C80" s="343" t="s">
        <v>3040</v>
      </c>
      <c r="D80" s="189" t="str">
        <f>VLOOKUP(C80,台股行情!A:B,2,FALSE)</f>
        <v>主動統一台股增長</v>
      </c>
      <c r="E80" s="11">
        <v>158</v>
      </c>
      <c r="F80" s="352">
        <v>31.55</v>
      </c>
      <c r="G80" s="183">
        <v>4984</v>
      </c>
      <c r="H80" s="11">
        <v>1</v>
      </c>
      <c r="I80" s="104"/>
      <c r="J80" s="16"/>
      <c r="K80" s="11">
        <f t="shared" si="144"/>
        <v>0</v>
      </c>
      <c r="L80" s="11">
        <f t="shared" si="145"/>
        <v>0</v>
      </c>
      <c r="M80" s="11">
        <f t="shared" si="146"/>
        <v>0</v>
      </c>
      <c r="N80" s="11">
        <v>0</v>
      </c>
      <c r="O80" s="13">
        <f t="shared" si="147"/>
        <v>4645.2</v>
      </c>
      <c r="P80" s="14">
        <f>IF(I80="",R80-H80,(K80-H80-SUM(L80:N80)+R80-S80-T80)-G80)+(ROUND(R80*V80,0)-ROUND(R80*(1+V80),0)*W80)</f>
        <v>-1</v>
      </c>
      <c r="Q80" s="14">
        <f t="shared" si="148"/>
        <v>-357.0382165000002</v>
      </c>
      <c r="R80" s="14"/>
      <c r="S80" s="14">
        <v>0</v>
      </c>
      <c r="T80" s="14">
        <f t="shared" si="149"/>
        <v>0</v>
      </c>
      <c r="U80" s="69"/>
      <c r="V80" s="69"/>
      <c r="W80" s="70"/>
      <c r="X80" s="15">
        <f t="shared" si="150"/>
        <v>-7.18375233747994E-2</v>
      </c>
      <c r="Y80" s="16">
        <f>VLOOKUP(C80,台股行情!A:D,4,FALSE)</f>
        <v>29.4</v>
      </c>
      <c r="Z80" s="38">
        <f>VLOOKUP(C80,台股行情!A:E,5,FALSE)</f>
        <v>-1.79</v>
      </c>
      <c r="AA80" s="90">
        <f t="shared" ca="1" si="151"/>
        <v>1378.2280144562478</v>
      </c>
      <c r="AB80" s="103" t="s">
        <v>2733</v>
      </c>
      <c r="AC80" s="103" t="s">
        <v>3050</v>
      </c>
      <c r="AD80" s="344"/>
    </row>
    <row r="81" spans="1:30" outlineLevel="1">
      <c r="A81" s="99">
        <v>46217</v>
      </c>
      <c r="B81" s="11" t="s">
        <v>19</v>
      </c>
      <c r="C81" s="343" t="s">
        <v>3040</v>
      </c>
      <c r="D81" s="189" t="str">
        <f>VLOOKUP(C81,台股行情!A:B,2,FALSE)</f>
        <v>主動統一台股增長</v>
      </c>
      <c r="E81" s="11">
        <v>46</v>
      </c>
      <c r="F81" s="11">
        <v>28.11</v>
      </c>
      <c r="G81" s="11">
        <v>1293</v>
      </c>
      <c r="H81" s="11">
        <v>1</v>
      </c>
      <c r="I81" s="104"/>
      <c r="J81" s="16"/>
      <c r="K81" s="11">
        <f t="shared" si="144"/>
        <v>0</v>
      </c>
      <c r="L81" s="11">
        <f t="shared" si="145"/>
        <v>0</v>
      </c>
      <c r="M81" s="11">
        <f t="shared" si="146"/>
        <v>0</v>
      </c>
      <c r="N81" s="11">
        <v>0</v>
      </c>
      <c r="O81" s="13">
        <f t="shared" si="147"/>
        <v>1352.3999999999999</v>
      </c>
      <c r="P81" s="14">
        <f>IF(I81="",R81-H81,(K81-H81-SUM(L81:N81)+R81-S81-T81)-G81)+(ROUND(R81*V81,0)-ROUND(R81*(1+V81),0)*W81)</f>
        <v>-1</v>
      </c>
      <c r="Q81" s="14">
        <f t="shared" si="148"/>
        <v>54.090139499999864</v>
      </c>
      <c r="R81" s="14"/>
      <c r="S81" s="14">
        <v>0</v>
      </c>
      <c r="T81" s="14">
        <f t="shared" si="149"/>
        <v>0</v>
      </c>
      <c r="U81" s="69"/>
      <c r="V81" s="69"/>
      <c r="W81" s="70"/>
      <c r="X81" s="15">
        <f t="shared" si="150"/>
        <v>4.1059659319412113E-2</v>
      </c>
      <c r="Y81" s="16">
        <f>VLOOKUP(C81,台股行情!A:D,4,FALSE)</f>
        <v>29.4</v>
      </c>
      <c r="Z81" s="38">
        <f>VLOOKUP(C81,台股行情!A:E,5,FALSE)</f>
        <v>-1.79</v>
      </c>
      <c r="AA81" s="90">
        <f t="shared" ca="1" si="151"/>
        <v>329.23283320556345</v>
      </c>
      <c r="AB81" s="103" t="s">
        <v>2733</v>
      </c>
      <c r="AC81" s="103" t="s">
        <v>3217</v>
      </c>
      <c r="AD81" s="209"/>
    </row>
    <row r="82" spans="1:30">
      <c r="A82" s="99">
        <v>46132</v>
      </c>
      <c r="B82" s="11" t="s">
        <v>19</v>
      </c>
      <c r="C82" s="181">
        <v>2330</v>
      </c>
      <c r="D82" s="189" t="str">
        <f>VLOOKUP(C82,台股行情!A:B,2,FALSE)</f>
        <v>台積電</v>
      </c>
      <c r="E82" s="11">
        <v>100</v>
      </c>
      <c r="F82" s="11">
        <v>2050</v>
      </c>
      <c r="G82" s="11">
        <f t="shared" ref="G82:G86" si="152">E82*F82</f>
        <v>205000</v>
      </c>
      <c r="H82" s="11">
        <v>292</v>
      </c>
      <c r="I82" s="104"/>
      <c r="J82" s="16"/>
      <c r="K82" s="11">
        <f t="shared" ref="K82:K88" si="153">E82*J82</f>
        <v>0</v>
      </c>
      <c r="L82" s="11">
        <f t="shared" ref="L82:L88" si="154">ROUND(J82*E82*0.1425%,0)</f>
        <v>0</v>
      </c>
      <c r="M82" s="11">
        <f t="shared" ref="M82:M88" si="155">ROUND(J82*E82*0.3%,0)</f>
        <v>0</v>
      </c>
      <c r="N82" s="11">
        <v>0</v>
      </c>
      <c r="O82" s="13">
        <f t="shared" ref="O82:O88" si="156">IF(I82="",E82*Y82,0)</f>
        <v>244000</v>
      </c>
      <c r="P82" s="14">
        <f t="shared" si="129"/>
        <v>368</v>
      </c>
      <c r="Q82" s="14">
        <f t="shared" ref="Q82:Q88" si="157">IF(I82="",(O82-G82-(O82*0.1425%*0.65)-(O82*0.3%)-S82-T82),0)</f>
        <v>38031.995000000003</v>
      </c>
      <c r="R82" s="14">
        <v>660</v>
      </c>
      <c r="S82" s="14">
        <v>10</v>
      </c>
      <c r="T82" s="14">
        <f t="shared" ref="T82:T88" si="158">IF(ROUND(R82*(1+V82),0)&gt;20000,ROUND(ROUND(R82*(1+V82),0)*2%,0),0)</f>
        <v>0</v>
      </c>
      <c r="U82" s="69"/>
      <c r="V82" s="69"/>
      <c r="W82" s="70"/>
      <c r="X82" s="15">
        <f t="shared" ref="X82:X88" si="159">(P82+Q82)/G82</f>
        <v>0.18731704878048783</v>
      </c>
      <c r="Y82" s="16">
        <f>VLOOKUP(C82,台股行情!A:D,4,FALSE)</f>
        <v>2440</v>
      </c>
      <c r="Z82" s="38">
        <f>VLOOKUP(C82,台股行情!A:E,5,FALSE)</f>
        <v>-50</v>
      </c>
      <c r="AA82" s="90">
        <f t="shared" ref="AA82:AA88" ca="1" si="160">IF(I82="",((TODAY()-A82)*G82)/365.24,((I82-A82)*G82)/365.24)</f>
        <v>99906.910524586565</v>
      </c>
      <c r="AB82" s="103" t="s">
        <v>2729</v>
      </c>
      <c r="AC82" s="103" t="s">
        <v>2266</v>
      </c>
      <c r="AD82" s="209"/>
    </row>
    <row r="83" spans="1:30" outlineLevel="1">
      <c r="A83" s="99">
        <v>46181</v>
      </c>
      <c r="B83" s="11" t="s">
        <v>19</v>
      </c>
      <c r="C83" s="181">
        <v>2330</v>
      </c>
      <c r="D83" s="189" t="str">
        <f>VLOOKUP(C83,台股行情!A:B,2,FALSE)</f>
        <v>台積電</v>
      </c>
      <c r="E83" s="11">
        <v>10</v>
      </c>
      <c r="F83" s="11">
        <v>2305</v>
      </c>
      <c r="G83" s="11">
        <f t="shared" ref="G83" si="161">E83*F83</f>
        <v>23050</v>
      </c>
      <c r="H83" s="11">
        <v>32</v>
      </c>
      <c r="I83" s="104"/>
      <c r="J83" s="16"/>
      <c r="K83" s="11">
        <f t="shared" ref="K83" si="162">E83*J83</f>
        <v>0</v>
      </c>
      <c r="L83" s="11">
        <f t="shared" ref="L83" si="163">ROUND(J83*E83*0.1425%,0)</f>
        <v>0</v>
      </c>
      <c r="M83" s="11">
        <f t="shared" ref="M83" si="164">ROUND(J83*E83*0.3%,0)</f>
        <v>0</v>
      </c>
      <c r="N83" s="11">
        <v>0</v>
      </c>
      <c r="O83" s="13">
        <f t="shared" ref="O83" si="165">IF(I83="",E83*Y83,0)</f>
        <v>24400</v>
      </c>
      <c r="P83" s="14">
        <f>IF(I83="",R83-H83,(K83-H83-SUM(L83:N83)+R83-S83-T83)-G83)+(ROUND(R83*V83,0)-ROUND(R83*(1+V83),0)*W83)</f>
        <v>-32</v>
      </c>
      <c r="Q83" s="14">
        <f t="shared" ref="Q83" si="166">IF(I83="",(O83-G83-(O83*0.1425%*0.65)-(O83*0.3%)-S83-T83),0)</f>
        <v>1254.1994999999999</v>
      </c>
      <c r="R83" s="14"/>
      <c r="S83" s="14">
        <v>0</v>
      </c>
      <c r="T83" s="14">
        <f t="shared" ref="T83" si="167">IF(ROUND(R83*(1+V83),0)&gt;20000,ROUND(ROUND(R83*(1+V83),0)*2%,0),0)</f>
        <v>0</v>
      </c>
      <c r="U83" s="69"/>
      <c r="V83" s="69"/>
      <c r="W83" s="70"/>
      <c r="X83" s="15">
        <f t="shared" ref="X83" si="168">(P83+Q83)/G83</f>
        <v>5.3023839479392619E-2</v>
      </c>
      <c r="Y83" s="16">
        <f>VLOOKUP(C83,台股行情!A:D,4,FALSE)</f>
        <v>2440</v>
      </c>
      <c r="Z83" s="38">
        <f>VLOOKUP(C83,台股行情!A:E,5,FALSE)</f>
        <v>-50</v>
      </c>
      <c r="AA83" s="90">
        <f t="shared" ref="AA83" ca="1" si="169">IF(I83="",((TODAY()-A83)*G83)/365.24,((I83-A83)*G83)/365.24)</f>
        <v>8141.0853137662907</v>
      </c>
      <c r="AB83" s="103" t="s">
        <v>2729</v>
      </c>
      <c r="AC83" s="103" t="s">
        <v>2266</v>
      </c>
      <c r="AD83" s="209"/>
    </row>
    <row r="84" spans="1:30" outlineLevel="1">
      <c r="A84" s="99">
        <v>46199</v>
      </c>
      <c r="B84" s="11" t="s">
        <v>19</v>
      </c>
      <c r="C84" s="181">
        <v>2330</v>
      </c>
      <c r="D84" s="189" t="str">
        <f>VLOOKUP(C84,台股行情!A:B,2,FALSE)</f>
        <v>台積電</v>
      </c>
      <c r="E84" s="11">
        <v>10</v>
      </c>
      <c r="F84" s="11">
        <v>2340</v>
      </c>
      <c r="G84" s="11">
        <f t="shared" ref="G84" si="170">E84*F84</f>
        <v>23400</v>
      </c>
      <c r="H84" s="11">
        <v>33</v>
      </c>
      <c r="I84" s="104"/>
      <c r="J84" s="16"/>
      <c r="K84" s="11">
        <f>E84*J84</f>
        <v>0</v>
      </c>
      <c r="L84" s="11">
        <f>ROUND(J84*E84*0.1425%,0)</f>
        <v>0</v>
      </c>
      <c r="M84" s="11">
        <f>ROUND(J84*E84*0.3%,0)</f>
        <v>0</v>
      </c>
      <c r="N84" s="11">
        <v>0</v>
      </c>
      <c r="O84" s="13">
        <f t="shared" ref="O84" si="171">IF(I84="",E84*Y84,0)</f>
        <v>24400</v>
      </c>
      <c r="P84" s="14">
        <f>IF(I84="",R84-H84,(K84-H84-SUM(L84:N84)+R84-S84-T84)-G84)+(ROUND(R84*V84,0)-ROUND(R84*(1+V84),0)*W84)</f>
        <v>-33</v>
      </c>
      <c r="Q84" s="14">
        <f>IF(I84="",(O84-G84-(O84*0.1425%*0.65)-(O84*0.3%)-S84-T84),0)</f>
        <v>904.19949999999994</v>
      </c>
      <c r="R84" s="14"/>
      <c r="S84" s="14">
        <v>0</v>
      </c>
      <c r="T84" s="14">
        <f>IF(ROUND(R84*(1+V84),0)&gt;20000,ROUND(ROUND(R84*(1+V84),0)*2%,0),0)</f>
        <v>0</v>
      </c>
      <c r="U84" s="69"/>
      <c r="V84" s="69"/>
      <c r="W84" s="70"/>
      <c r="X84" s="15">
        <f>(P84+Q84)/G84</f>
        <v>3.7230747863247864E-2</v>
      </c>
      <c r="Y84" s="16">
        <f>VLOOKUP(C84,台股行情!A:D,4,FALSE)</f>
        <v>2440</v>
      </c>
      <c r="Z84" s="38">
        <f>VLOOKUP(C84,台股行情!A:E,5,FALSE)</f>
        <v>-50</v>
      </c>
      <c r="AA84" s="90">
        <f ca="1">IF(I84="",((TODAY()-A84)*G84)/365.24,((I84-A84)*G84)/365.24)</f>
        <v>7111.4883364363159</v>
      </c>
      <c r="AB84" s="103" t="s">
        <v>2733</v>
      </c>
      <c r="AC84" s="103" t="s">
        <v>2266</v>
      </c>
      <c r="AD84" s="209"/>
    </row>
    <row r="85" spans="1:30" outlineLevel="1">
      <c r="A85" s="99">
        <v>46232</v>
      </c>
      <c r="B85" s="11" t="s">
        <v>19</v>
      </c>
      <c r="C85" s="181">
        <v>2330</v>
      </c>
      <c r="D85" s="189" t="str">
        <f>VLOOKUP(C85,台股行情!A:B,2,FALSE)</f>
        <v>台積電</v>
      </c>
      <c r="E85" s="11">
        <v>10</v>
      </c>
      <c r="F85" s="11">
        <v>2190</v>
      </c>
      <c r="G85" s="11">
        <f t="shared" ref="G85" si="172">E85*F85</f>
        <v>21900</v>
      </c>
      <c r="H85" s="11">
        <v>31</v>
      </c>
      <c r="I85" s="104"/>
      <c r="J85" s="16"/>
      <c r="K85" s="11">
        <f>E85*J85</f>
        <v>0</v>
      </c>
      <c r="L85" s="11">
        <f>ROUND(J85*E85*0.1425%,0)</f>
        <v>0</v>
      </c>
      <c r="M85" s="11">
        <f>ROUND(J85*E85*0.3%,0)</f>
        <v>0</v>
      </c>
      <c r="N85" s="11">
        <v>0</v>
      </c>
      <c r="O85" s="13">
        <f>IF(I85="",E85*Y85,0)</f>
        <v>24400</v>
      </c>
      <c r="P85" s="14">
        <f>IF(I85="",R85-H85,(K85-H85-SUM(L85:N85)+R85-S85-T85)-G85)+(ROUND(R85*V85,0)-ROUND(R85*(1+V85),0)*W85)</f>
        <v>-31</v>
      </c>
      <c r="Q85" s="14">
        <f>IF(I85="",(O85-G85-(O85*0.1425%*0.65)-(O85*0.3%)-S85-T85),0)</f>
        <v>2404.1995000000002</v>
      </c>
      <c r="R85" s="14"/>
      <c r="S85" s="14">
        <v>0</v>
      </c>
      <c r="T85" s="14">
        <f>IF(ROUND(R85*(1+V85),0)&gt;20000,ROUND(ROUND(R85*(1+V85),0)*2%,0),0)</f>
        <v>0</v>
      </c>
      <c r="U85" s="69"/>
      <c r="V85" s="69"/>
      <c r="W85" s="70"/>
      <c r="X85" s="15">
        <f>(P85+Q85)/G85</f>
        <v>0.10836527397260275</v>
      </c>
      <c r="Y85" s="16">
        <f>VLOOKUP(C85,台股行情!A:D,4,FALSE)</f>
        <v>2440</v>
      </c>
      <c r="Z85" s="38">
        <f>VLOOKUP(C85,台股行情!A:E,5,FALSE)</f>
        <v>-50</v>
      </c>
      <c r="AA85" s="90">
        <f ca="1">IF(I85="",((TODAY()-A85)*G85)/365.24,((I85-A85)*G85)/365.24)</f>
        <v>4676.9247618004601</v>
      </c>
      <c r="AB85" s="103" t="s">
        <v>2733</v>
      </c>
      <c r="AC85" s="103" t="s">
        <v>2266</v>
      </c>
      <c r="AD85" s="209"/>
    </row>
    <row r="86" spans="1:30">
      <c r="A86" s="99">
        <v>46136</v>
      </c>
      <c r="B86" s="11" t="s">
        <v>19</v>
      </c>
      <c r="C86" s="181">
        <v>2345</v>
      </c>
      <c r="D86" s="189" t="str">
        <f>VLOOKUP(C86,台股行情!A:B,2,FALSE)</f>
        <v>智邦</v>
      </c>
      <c r="E86" s="11">
        <v>100</v>
      </c>
      <c r="F86" s="11">
        <v>2110</v>
      </c>
      <c r="G86" s="11">
        <f t="shared" si="152"/>
        <v>211000</v>
      </c>
      <c r="H86" s="11">
        <v>300</v>
      </c>
      <c r="I86" s="99">
        <v>46280</v>
      </c>
      <c r="J86" s="16">
        <v>1845</v>
      </c>
      <c r="K86" s="11">
        <f t="shared" ref="K86" si="173">E86*J86</f>
        <v>184500</v>
      </c>
      <c r="L86" s="11">
        <v>562</v>
      </c>
      <c r="M86" s="11">
        <v>553</v>
      </c>
      <c r="N86" s="11">
        <v>0</v>
      </c>
      <c r="O86" s="13">
        <f t="shared" ref="O86" si="174">IF(I86="",E86*Y86,0)</f>
        <v>0</v>
      </c>
      <c r="P86" s="14">
        <f t="shared" si="129"/>
        <v>-27915</v>
      </c>
      <c r="Q86" s="14">
        <f t="shared" ref="Q86" si="175">IF(I86="",(O86-G86-(O86*0.1425%*0.65)-(O86*0.3%)-S86-T86),0)</f>
        <v>0</v>
      </c>
      <c r="R86" s="14"/>
      <c r="S86" s="14">
        <v>0</v>
      </c>
      <c r="T86" s="14">
        <f t="shared" ref="T86" si="176">IF(ROUND(R86*(1+V86),0)&gt;20000,ROUND(ROUND(R86*(1+V86),0)*2%,0),0)</f>
        <v>0</v>
      </c>
      <c r="U86" s="69"/>
      <c r="V86" s="69"/>
      <c r="W86" s="70"/>
      <c r="X86" s="15">
        <f t="shared" ref="X86" si="177">(P86+Q86)/G86</f>
        <v>-0.13229857819905214</v>
      </c>
      <c r="Y86" s="16">
        <f>VLOOKUP(C86,台股行情!A:D,4,FALSE)</f>
        <v>1950</v>
      </c>
      <c r="Z86" s="38">
        <f>VLOOKUP(C86,台股行情!A:E,5,FALSE)</f>
        <v>-100</v>
      </c>
      <c r="AA86" s="90">
        <f t="shared" ref="AA86" ca="1" si="178">IF(I86="",((TODAY()-A86)*G86)/365.24,((I86-A86)*G86)/365.24)</f>
        <v>83189.135910634097</v>
      </c>
      <c r="AB86" s="103" t="s">
        <v>2729</v>
      </c>
      <c r="AC86" s="103" t="s">
        <v>2266</v>
      </c>
      <c r="AD86" s="209"/>
    </row>
    <row r="87" spans="1:30">
      <c r="A87" s="99">
        <v>46136</v>
      </c>
      <c r="B87" s="11" t="s">
        <v>19</v>
      </c>
      <c r="C87" s="181">
        <v>2308</v>
      </c>
      <c r="D87" s="189" t="str">
        <f>VLOOKUP(C87,台股行情!A:B,2,FALSE)</f>
        <v>台達電</v>
      </c>
      <c r="E87" s="11">
        <v>100</v>
      </c>
      <c r="F87" s="11">
        <v>2010</v>
      </c>
      <c r="G87" s="11">
        <f t="shared" ref="G87" si="179">E87*F87</f>
        <v>201000</v>
      </c>
      <c r="H87" s="11">
        <v>286</v>
      </c>
      <c r="I87" s="104"/>
      <c r="J87" s="16"/>
      <c r="K87" s="11">
        <f t="shared" ref="K87" si="180">E87*J87</f>
        <v>0</v>
      </c>
      <c r="L87" s="11">
        <f t="shared" ref="L87" si="181">ROUND(J87*E87*0.1425%,0)</f>
        <v>0</v>
      </c>
      <c r="M87" s="11">
        <f t="shared" ref="M87" si="182">ROUND(J87*E87*0.3%,0)</f>
        <v>0</v>
      </c>
      <c r="N87" s="11">
        <v>0</v>
      </c>
      <c r="O87" s="13">
        <f t="shared" ref="O87" si="183">IF(I87="",E87*Y87,0)</f>
        <v>163000</v>
      </c>
      <c r="P87" s="14">
        <f t="shared" si="129"/>
        <v>874</v>
      </c>
      <c r="Q87" s="14">
        <f t="shared" ref="Q87" si="184">IF(I87="",(O87-G87-(O87*0.1425%*0.65)-(O87*0.3%)-S87-T87),0)</f>
        <v>-38649.978750000002</v>
      </c>
      <c r="R87" s="14">
        <v>1160</v>
      </c>
      <c r="S87" s="14">
        <v>10</v>
      </c>
      <c r="T87" s="14">
        <f t="shared" ref="T87" si="185">IF(ROUND(R87*(1+V87),0)&gt;20000,ROUND(ROUND(R87*(1+V87),0)*2%,0),0)</f>
        <v>0</v>
      </c>
      <c r="U87" s="69"/>
      <c r="V87" s="69"/>
      <c r="W87" s="70"/>
      <c r="X87" s="15">
        <f t="shared" ref="X87" si="186">(P87+Q87)/G87</f>
        <v>-0.18794019278606966</v>
      </c>
      <c r="Y87" s="16">
        <f>VLOOKUP(C87,台股行情!A:D,4,FALSE)</f>
        <v>1630</v>
      </c>
      <c r="Z87" s="38">
        <f>VLOOKUP(C87,台股行情!A:E,5,FALSE)</f>
        <v>-155</v>
      </c>
      <c r="AA87" s="90">
        <f t="shared" ref="AA87" ca="1" si="187">IF(I87="",((TODAY()-A87)*G87)/365.24,((I87-A87)*G87)/365.24)</f>
        <v>95756.21509144672</v>
      </c>
      <c r="AB87" s="103" t="s">
        <v>2729</v>
      </c>
      <c r="AC87" s="103" t="s">
        <v>2266</v>
      </c>
      <c r="AD87" s="209"/>
    </row>
    <row r="88" spans="1:30">
      <c r="A88" s="99">
        <v>46136</v>
      </c>
      <c r="B88" s="11" t="s">
        <v>19</v>
      </c>
      <c r="C88" s="181">
        <v>2383</v>
      </c>
      <c r="D88" s="189" t="str">
        <f>VLOOKUP(C88,台股行情!A:B,2,FALSE)</f>
        <v>台光電</v>
      </c>
      <c r="E88" s="11">
        <v>10</v>
      </c>
      <c r="F88" s="11">
        <v>4335</v>
      </c>
      <c r="G88" s="11">
        <f t="shared" ref="G88" si="188">E88*F88</f>
        <v>43350</v>
      </c>
      <c r="H88" s="11">
        <v>61</v>
      </c>
      <c r="I88" s="104"/>
      <c r="J88" s="16"/>
      <c r="K88" s="11">
        <f t="shared" si="153"/>
        <v>0</v>
      </c>
      <c r="L88" s="11">
        <f t="shared" si="154"/>
        <v>0</v>
      </c>
      <c r="M88" s="11">
        <f t="shared" si="155"/>
        <v>0</v>
      </c>
      <c r="N88" s="11">
        <v>0</v>
      </c>
      <c r="O88" s="13">
        <f t="shared" si="156"/>
        <v>51200</v>
      </c>
      <c r="P88" s="14">
        <f t="shared" si="129"/>
        <v>-61</v>
      </c>
      <c r="Q88" s="14">
        <f t="shared" si="157"/>
        <v>7648.9759999999997</v>
      </c>
      <c r="R88" s="14"/>
      <c r="S88" s="14">
        <v>0</v>
      </c>
      <c r="T88" s="14">
        <f t="shared" si="158"/>
        <v>0</v>
      </c>
      <c r="U88" s="69"/>
      <c r="V88" s="69"/>
      <c r="W88" s="70"/>
      <c r="X88" s="15">
        <f t="shared" si="159"/>
        <v>0.17503981545559399</v>
      </c>
      <c r="Y88" s="16">
        <f>VLOOKUP(C88,台股行情!A:D,4,FALSE)</f>
        <v>5120</v>
      </c>
      <c r="Z88" s="38">
        <f>VLOOKUP(C88,台股行情!A:E,5,FALSE)</f>
        <v>-400</v>
      </c>
      <c r="AA88" s="90">
        <f t="shared" ca="1" si="160"/>
        <v>20651.900120468734</v>
      </c>
      <c r="AB88" s="103" t="s">
        <v>3125</v>
      </c>
      <c r="AC88" s="103" t="s">
        <v>2266</v>
      </c>
      <c r="AD88" s="209"/>
    </row>
    <row r="89" spans="1:30">
      <c r="A89" s="99">
        <v>46199</v>
      </c>
      <c r="B89" s="11" t="s">
        <v>19</v>
      </c>
      <c r="C89" s="380" t="s">
        <v>3199</v>
      </c>
      <c r="D89" s="189" t="str">
        <f>VLOOKUP(C89,台股行情!A:B,2,FALSE)</f>
        <v>主動元大AI新經濟</v>
      </c>
      <c r="E89" s="11">
        <v>1000</v>
      </c>
      <c r="F89" s="11">
        <v>20.39</v>
      </c>
      <c r="G89" s="11">
        <f t="shared" ref="G89" si="189">E89*F89</f>
        <v>20390</v>
      </c>
      <c r="H89" s="11">
        <v>29</v>
      </c>
      <c r="I89" s="104"/>
      <c r="J89" s="16"/>
      <c r="K89" s="11">
        <f t="shared" ref="K89:K91" si="190">E89*J89</f>
        <v>0</v>
      </c>
      <c r="L89" s="11">
        <f t="shared" ref="L89:L91" si="191">ROUND(J89*E89*0.1425%,0)</f>
        <v>0</v>
      </c>
      <c r="M89" s="11">
        <f t="shared" ref="M89:M91" si="192">ROUND(J89*E89*0.3%,0)</f>
        <v>0</v>
      </c>
      <c r="N89" s="11">
        <v>0</v>
      </c>
      <c r="O89" s="13">
        <f t="shared" ref="O89" si="193">IF(I89="",E89*Y89,0)</f>
        <v>14950</v>
      </c>
      <c r="P89" s="14">
        <f t="shared" si="129"/>
        <v>-29</v>
      </c>
      <c r="Q89" s="14">
        <f t="shared" ref="Q89" si="194">IF(I89="",(O89-G89-(O89*0.1425%*0.65)-(O89*0.3%)-S89-T89),0)</f>
        <v>-5498.6974375</v>
      </c>
      <c r="R89" s="14"/>
      <c r="S89" s="14">
        <v>0</v>
      </c>
      <c r="T89" s="14">
        <f t="shared" ref="T89" si="195">IF(ROUND(R89*(1+V89),0)&gt;20000,ROUND(ROUND(R89*(1+V89),0)*2%,0),0)</f>
        <v>0</v>
      </c>
      <c r="U89" s="69"/>
      <c r="V89" s="69"/>
      <c r="W89" s="70"/>
      <c r="X89" s="15">
        <f t="shared" ref="X89" si="196">(P89+Q89)/G89</f>
        <v>-0.27109845205983324</v>
      </c>
      <c r="Y89" s="16">
        <f>VLOOKUP(C89,台股行情!A:D,4,FALSE)</f>
        <v>14.95</v>
      </c>
      <c r="Z89" s="38">
        <f>VLOOKUP(C89,台股行情!A:E,5,FALSE)</f>
        <v>-1</v>
      </c>
      <c r="AA89" s="90">
        <f t="shared" ref="AA89" ca="1" si="197">IF(I89="",((TODAY()-A89)*G89)/365.24,((I89-A89)*G89)/365.24)</f>
        <v>6196.7199649545501</v>
      </c>
      <c r="AB89" s="103" t="s">
        <v>2733</v>
      </c>
      <c r="AC89" s="103" t="s">
        <v>2266</v>
      </c>
      <c r="AD89" s="209"/>
    </row>
    <row r="90" spans="1:30" outlineLevel="1">
      <c r="A90" s="99">
        <v>46216</v>
      </c>
      <c r="B90" s="11" t="s">
        <v>19</v>
      </c>
      <c r="C90" s="380" t="s">
        <v>3199</v>
      </c>
      <c r="D90" s="189" t="str">
        <f>VLOOKUP(C90,台股行情!A:B,2,FALSE)</f>
        <v>主動元大AI新經濟</v>
      </c>
      <c r="E90" s="11">
        <v>277</v>
      </c>
      <c r="F90" s="11">
        <v>18.02</v>
      </c>
      <c r="G90" s="11">
        <v>4991</v>
      </c>
      <c r="H90" s="11">
        <v>1</v>
      </c>
      <c r="I90" s="104"/>
      <c r="J90" s="16"/>
      <c r="K90" s="11">
        <f t="shared" ref="K90" si="198">E90*J90</f>
        <v>0</v>
      </c>
      <c r="L90" s="11">
        <f t="shared" ref="L90" si="199">ROUND(J90*E90*0.1425%,0)</f>
        <v>0</v>
      </c>
      <c r="M90" s="11">
        <f t="shared" ref="M90" si="200">ROUND(J90*E90*0.3%,0)</f>
        <v>0</v>
      </c>
      <c r="N90" s="11">
        <v>0</v>
      </c>
      <c r="O90" s="13">
        <f t="shared" ref="O90" si="201">IF(I90="",E90*Y90,0)</f>
        <v>4141.1499999999996</v>
      </c>
      <c r="P90" s="14">
        <f>IF(I90="",R90-H90,(K90-H90-SUM(L90:N90)+R90-S90-T90)-G90)+(ROUND(R90*V90,0)-ROUND(R90*(1+V90),0)*W90)</f>
        <v>-1</v>
      </c>
      <c r="Q90" s="14">
        <f t="shared" ref="Q90" si="202">IF(I90="",(O90-G90-(O90*0.1425%*0.65)-(O90*0.3%)-S90-T90),0)</f>
        <v>-866.10919018750042</v>
      </c>
      <c r="R90" s="14"/>
      <c r="S90" s="14">
        <v>0</v>
      </c>
      <c r="T90" s="14">
        <f t="shared" ref="T90" si="203">IF(ROUND(R90*(1+V90),0)&gt;20000,ROUND(ROUND(R90*(1+V90),0)*2%,0),0)</f>
        <v>0</v>
      </c>
      <c r="U90" s="69"/>
      <c r="V90" s="69"/>
      <c r="W90" s="70"/>
      <c r="X90" s="15">
        <f t="shared" ref="X90" si="204">(P90+Q90)/G90</f>
        <v>-0.17373456024594278</v>
      </c>
      <c r="Y90" s="16">
        <f>VLOOKUP(C90,台股行情!A:D,4,FALSE)</f>
        <v>14.95</v>
      </c>
      <c r="Z90" s="38">
        <f>VLOOKUP(C90,台股行情!A:E,5,FALSE)</f>
        <v>-1</v>
      </c>
      <c r="AA90" s="90">
        <f t="shared" ref="AA90" ca="1" si="205">IF(I90="",((TODAY()-A90)*G90)/365.24,((I90-A90)*G90)/365.24)</f>
        <v>1284.5088161209067</v>
      </c>
      <c r="AB90" s="103" t="s">
        <v>2733</v>
      </c>
      <c r="AC90" s="103" t="s">
        <v>2266</v>
      </c>
      <c r="AD90" s="209"/>
    </row>
    <row r="91" spans="1:30">
      <c r="A91" s="99">
        <v>46199</v>
      </c>
      <c r="B91" s="11" t="s">
        <v>19</v>
      </c>
      <c r="C91" s="181">
        <v>50</v>
      </c>
      <c r="D91" s="189" t="str">
        <f>VLOOKUP(C91,台股行情!A:B,2,FALSE)</f>
        <v>元大台灣50</v>
      </c>
      <c r="E91" s="11">
        <v>1000</v>
      </c>
      <c r="F91" s="11">
        <v>103.95</v>
      </c>
      <c r="G91" s="11">
        <f t="shared" ref="G91" si="206">E91*F91</f>
        <v>103950</v>
      </c>
      <c r="H91" s="11">
        <v>148</v>
      </c>
      <c r="I91" s="104"/>
      <c r="J91" s="16"/>
      <c r="K91" s="11">
        <f t="shared" si="190"/>
        <v>0</v>
      </c>
      <c r="L91" s="11">
        <f t="shared" si="191"/>
        <v>0</v>
      </c>
      <c r="M91" s="11">
        <f t="shared" si="192"/>
        <v>0</v>
      </c>
      <c r="N91" s="11">
        <v>0</v>
      </c>
      <c r="O91" s="13">
        <f t="shared" ref="O91" si="207">IF(I91="",E91*Y91,0)</f>
        <v>108900</v>
      </c>
      <c r="P91" s="14">
        <f t="shared" si="129"/>
        <v>452</v>
      </c>
      <c r="Q91" s="14">
        <f t="shared" ref="Q91" si="208">IF(I91="",(O91-G91-(O91*0.1425%*0.65)-(O91*0.3%)-S91-T91),0)</f>
        <v>4522.4313750000001</v>
      </c>
      <c r="R91" s="14">
        <v>600</v>
      </c>
      <c r="S91" s="14">
        <v>0</v>
      </c>
      <c r="T91" s="14">
        <f t="shared" ref="T91" si="209">IF(ROUND(R91*(1+V91),0)&gt;20000,ROUND(ROUND(R91*(1+V91),0)*2%,0),0)</f>
        <v>0</v>
      </c>
      <c r="U91" s="69"/>
      <c r="V91" s="69"/>
      <c r="W91" s="70"/>
      <c r="X91" s="15">
        <f t="shared" ref="X91" si="210">(P91+Q91)/G91</f>
        <v>4.7854077681577685E-2</v>
      </c>
      <c r="Y91" s="16">
        <f>VLOOKUP(C91,台股行情!A:D,4,FALSE)</f>
        <v>108.9</v>
      </c>
      <c r="Z91" s="38">
        <f>VLOOKUP(C91,台股行情!A:E,5,FALSE)</f>
        <v>-4.0999999999999996</v>
      </c>
      <c r="AA91" s="90">
        <f t="shared" ref="AA91" ca="1" si="211">IF(I91="",((TODAY()-A91)*G91)/365.24,((I91-A91)*G91)/365.24)</f>
        <v>31591.419340707478</v>
      </c>
      <c r="AB91" s="103" t="s">
        <v>2733</v>
      </c>
      <c r="AC91" s="103" t="s">
        <v>2266</v>
      </c>
      <c r="AD91" s="209"/>
    </row>
    <row r="92" spans="1:30">
      <c r="A92" s="99">
        <v>46219</v>
      </c>
      <c r="B92" s="11" t="s">
        <v>19</v>
      </c>
      <c r="C92" s="181">
        <v>895</v>
      </c>
      <c r="D92" s="189" t="str">
        <f>VLOOKUP(C92,台股行情!A:B,2,FALSE)</f>
        <v>富邦未來車</v>
      </c>
      <c r="E92" s="11">
        <v>97</v>
      </c>
      <c r="F92" s="11">
        <v>51.17</v>
      </c>
      <c r="G92" s="11">
        <v>4963</v>
      </c>
      <c r="H92" s="11">
        <v>1</v>
      </c>
      <c r="I92" s="104"/>
      <c r="J92" s="16"/>
      <c r="K92" s="11">
        <f t="shared" ref="K92:K97" si="212">E92*J92</f>
        <v>0</v>
      </c>
      <c r="L92" s="11">
        <f t="shared" ref="L92:L97" si="213">ROUND(J92*E92*0.1425%,0)</f>
        <v>0</v>
      </c>
      <c r="M92" s="11">
        <f t="shared" ref="M92:M97" si="214">ROUND(J92*E92*0.3%,0)</f>
        <v>0</v>
      </c>
      <c r="N92" s="11">
        <v>0</v>
      </c>
      <c r="O92" s="13">
        <f t="shared" ref="O92:O97" si="215">IF(I92="",E92*Y92,0)</f>
        <v>4893.6500000000005</v>
      </c>
      <c r="P92" s="14">
        <f t="shared" si="129"/>
        <v>-1</v>
      </c>
      <c r="Q92" s="14">
        <f t="shared" ref="Q92:Q97" si="216">IF(I92="",(O92-G92-(O92*0.1425%*0.65)-(O92*0.3%)-S92-T92),0)</f>
        <v>-88.563693312499453</v>
      </c>
      <c r="R92" s="14"/>
      <c r="S92" s="14">
        <v>0</v>
      </c>
      <c r="T92" s="14">
        <f t="shared" ref="T92:T97" si="217">IF(ROUND(R92*(1+V92),0)&gt;20000,ROUND(ROUND(R92*(1+V92),0)*2%,0),0)</f>
        <v>0</v>
      </c>
      <c r="U92" s="69"/>
      <c r="V92" s="69"/>
      <c r="W92" s="70"/>
      <c r="X92" s="15">
        <f t="shared" ref="X92:X97" si="218">(P92+Q92)/G92</f>
        <v>-1.8046281142957778E-2</v>
      </c>
      <c r="Y92" s="16">
        <f>VLOOKUP(C92,台股行情!A:D,4,FALSE)</f>
        <v>50.45</v>
      </c>
      <c r="Z92" s="38">
        <f>VLOOKUP(C92,台股行情!A:E,5,FALSE)</f>
        <v>-2.0499999999999998</v>
      </c>
      <c r="AA92" s="90">
        <f t="shared" ref="AA92:AA97" ca="1" si="219">IF(I92="",((TODAY()-A92)*G92)/365.24,((I92-A92)*G92)/365.24)</f>
        <v>1236.5376190997699</v>
      </c>
      <c r="AB92" s="103" t="s">
        <v>2733</v>
      </c>
      <c r="AC92" s="103" t="s">
        <v>2266</v>
      </c>
      <c r="AD92" s="209"/>
    </row>
    <row r="93" spans="1:30">
      <c r="A93" s="99">
        <v>46239</v>
      </c>
      <c r="B93" s="11" t="s">
        <v>19</v>
      </c>
      <c r="C93" s="343" t="s">
        <v>3040</v>
      </c>
      <c r="D93" s="189" t="str">
        <f>VLOOKUP(C93,台股行情!A:B,2,FALSE)</f>
        <v>主動統一台股增長</v>
      </c>
      <c r="E93" s="11">
        <v>173</v>
      </c>
      <c r="F93" s="11">
        <v>28.83</v>
      </c>
      <c r="G93" s="11">
        <v>4987</v>
      </c>
      <c r="H93" s="11">
        <v>1</v>
      </c>
      <c r="I93" s="104"/>
      <c r="J93" s="16"/>
      <c r="K93" s="11">
        <f t="shared" si="212"/>
        <v>0</v>
      </c>
      <c r="L93" s="11">
        <f t="shared" si="213"/>
        <v>0</v>
      </c>
      <c r="M93" s="11">
        <f t="shared" si="214"/>
        <v>0</v>
      </c>
      <c r="N93" s="11">
        <v>0</v>
      </c>
      <c r="O93" s="13">
        <f t="shared" si="215"/>
        <v>5086.2</v>
      </c>
      <c r="P93" s="14">
        <f t="shared" ref="P93:P97" si="220">IF(I93="",R93-H93,(K93-H93-SUM(L93:N93)+R93-S93-T93)-G93)+(ROUND(R93*V93,0)-ROUND(R93*(1+V93),0)*W93)</f>
        <v>-1</v>
      </c>
      <c r="Q93" s="14">
        <f t="shared" si="216"/>
        <v>79.230307249999811</v>
      </c>
      <c r="R93" s="14"/>
      <c r="S93" s="14">
        <v>0</v>
      </c>
      <c r="T93" s="14">
        <f t="shared" si="217"/>
        <v>0</v>
      </c>
      <c r="U93" s="69"/>
      <c r="V93" s="69"/>
      <c r="W93" s="70"/>
      <c r="X93" s="15">
        <f t="shared" si="218"/>
        <v>1.5686847252857392E-2</v>
      </c>
      <c r="Y93" s="16">
        <f>VLOOKUP(C93,台股行情!A:D,4,FALSE)</f>
        <v>29.4</v>
      </c>
      <c r="Z93" s="38">
        <f>VLOOKUP(C93,台股行情!A:E,5,FALSE)</f>
        <v>-1.79</v>
      </c>
      <c r="AA93" s="90">
        <f t="shared" ca="1" si="219"/>
        <v>969.436534881174</v>
      </c>
      <c r="AB93" s="103" t="s">
        <v>2733</v>
      </c>
      <c r="AC93" s="103" t="s">
        <v>2266</v>
      </c>
      <c r="AD93" s="209"/>
    </row>
    <row r="94" spans="1:30">
      <c r="A94" s="99">
        <v>46244</v>
      </c>
      <c r="B94" s="11" t="s">
        <v>19</v>
      </c>
      <c r="C94" s="380" t="s">
        <v>3199</v>
      </c>
      <c r="D94" s="189" t="str">
        <f>VLOOKUP(C94,台股行情!A:B,2,FALSE)</f>
        <v>主動元大AI新經濟</v>
      </c>
      <c r="E94" s="11">
        <v>311</v>
      </c>
      <c r="F94" s="11">
        <v>16.03</v>
      </c>
      <c r="G94" s="11">
        <v>4985</v>
      </c>
      <c r="H94" s="11">
        <v>1</v>
      </c>
      <c r="I94" s="104"/>
      <c r="J94" s="16"/>
      <c r="K94" s="11">
        <f t="shared" ref="K94:K96" si="221">E94*J94</f>
        <v>0</v>
      </c>
      <c r="L94" s="11">
        <f t="shared" ref="L94:L96" si="222">ROUND(J94*E94*0.1425%,0)</f>
        <v>0</v>
      </c>
      <c r="M94" s="11">
        <f t="shared" ref="M94:M96" si="223">ROUND(J94*E94*0.3%,0)</f>
        <v>0</v>
      </c>
      <c r="N94" s="11">
        <v>0</v>
      </c>
      <c r="O94" s="13">
        <f t="shared" ref="O94:O96" si="224">IF(I94="",E94*Y94,0)</f>
        <v>4649.45</v>
      </c>
      <c r="P94" s="14">
        <f t="shared" ref="P94:P96" si="225">IF(I94="",R94-H94,(K94-H94-SUM(L94:N94)+R94-S94-T94)-G94)+(ROUND(R94*V94,0)-ROUND(R94*(1+V94),0)*W94)</f>
        <v>-1</v>
      </c>
      <c r="Q94" s="14">
        <f t="shared" ref="Q94:Q96" si="226">IF(I94="",(O94-G94-(O94*0.1425%*0.65)-(O94*0.3%)-S94-T94),0)</f>
        <v>-353.80490306250016</v>
      </c>
      <c r="R94" s="14"/>
      <c r="S94" s="14">
        <v>0</v>
      </c>
      <c r="T94" s="14">
        <f t="shared" ref="T94:T96" si="227">IF(ROUND(R94*(1+V94),0)&gt;20000,ROUND(ROUND(R94*(1+V94),0)*2%,0),0)</f>
        <v>0</v>
      </c>
      <c r="U94" s="69"/>
      <c r="V94" s="69"/>
      <c r="W94" s="70"/>
      <c r="X94" s="15">
        <f t="shared" ref="X94:X96" si="228">(P94+Q94)/G94</f>
        <v>-7.1174504124874652E-2</v>
      </c>
      <c r="Y94" s="16">
        <f>VLOOKUP(C94,台股行情!A:D,4,FALSE)</f>
        <v>14.95</v>
      </c>
      <c r="Z94" s="38">
        <f>VLOOKUP(C94,台股行情!A:E,5,FALSE)</f>
        <v>-1</v>
      </c>
      <c r="AA94" s="90">
        <f t="shared" ref="AA94:AA96" ca="1" si="229">IF(I94="",((TODAY()-A94)*G94)/365.24,((I94-A94)*G94)/365.24)</f>
        <v>900.80495016975135</v>
      </c>
      <c r="AB94" s="103" t="s">
        <v>2733</v>
      </c>
      <c r="AC94" s="103" t="s">
        <v>2266</v>
      </c>
      <c r="AD94" s="209"/>
    </row>
    <row r="95" spans="1:30">
      <c r="A95" s="99">
        <v>46272</v>
      </c>
      <c r="B95" s="11" t="s">
        <v>19</v>
      </c>
      <c r="C95" s="343" t="s">
        <v>3040</v>
      </c>
      <c r="D95" s="189" t="str">
        <f>VLOOKUP(C95,台股行情!A:B,2,FALSE)</f>
        <v>主動統一台股增長</v>
      </c>
      <c r="E95" s="11">
        <v>165</v>
      </c>
      <c r="F95" s="11">
        <v>30.2</v>
      </c>
      <c r="G95" s="11">
        <v>4983</v>
      </c>
      <c r="H95" s="11">
        <v>1</v>
      </c>
      <c r="I95" s="104"/>
      <c r="J95" s="16"/>
      <c r="K95" s="11">
        <f t="shared" si="221"/>
        <v>0</v>
      </c>
      <c r="L95" s="11">
        <f t="shared" si="222"/>
        <v>0</v>
      </c>
      <c r="M95" s="11">
        <f t="shared" si="223"/>
        <v>0</v>
      </c>
      <c r="N95" s="11">
        <v>0</v>
      </c>
      <c r="O95" s="13">
        <f t="shared" si="224"/>
        <v>4851</v>
      </c>
      <c r="P95" s="14">
        <f t="shared" ref="P95:P96" si="230">IF(I95="",R95-H95,(K95-H95-SUM(L95:N95)+R95-S95-T95)-G95)+(ROUND(R95*V95,0)-ROUND(R95*(1+V95),0)*W95)</f>
        <v>-1</v>
      </c>
      <c r="Q95" s="14">
        <f t="shared" si="226"/>
        <v>-151.04623874999999</v>
      </c>
      <c r="R95" s="14"/>
      <c r="S95" s="14">
        <v>0</v>
      </c>
      <c r="T95" s="14">
        <f t="shared" si="227"/>
        <v>0</v>
      </c>
      <c r="U95" s="69"/>
      <c r="V95" s="69"/>
      <c r="W95" s="70"/>
      <c r="X95" s="15">
        <f t="shared" si="228"/>
        <v>-3.0512991922536623E-2</v>
      </c>
      <c r="Y95" s="16">
        <f>VLOOKUP(C95,台股行情!A:D,4,FALSE)</f>
        <v>29.4</v>
      </c>
      <c r="Z95" s="38">
        <f>VLOOKUP(C95,台股行情!A:E,5,FALSE)</f>
        <v>-1.79</v>
      </c>
      <c r="AA95" s="90">
        <f t="shared" ca="1" si="229"/>
        <v>518.43719198335339</v>
      </c>
      <c r="AB95" s="103" t="s">
        <v>2733</v>
      </c>
      <c r="AC95" s="103" t="s">
        <v>2266</v>
      </c>
      <c r="AD95" s="209"/>
    </row>
    <row r="96" spans="1:30">
      <c r="A96" s="99">
        <v>46275</v>
      </c>
      <c r="B96" s="11" t="s">
        <v>19</v>
      </c>
      <c r="C96" s="380" t="s">
        <v>3199</v>
      </c>
      <c r="D96" s="189" t="str">
        <f>VLOOKUP(C96,台股行情!A:B,2,FALSE)</f>
        <v>主動元大AI新經濟</v>
      </c>
      <c r="E96" s="11">
        <v>331</v>
      </c>
      <c r="F96" s="11">
        <v>15.07</v>
      </c>
      <c r="G96" s="11">
        <v>4988</v>
      </c>
      <c r="H96" s="11">
        <v>1</v>
      </c>
      <c r="I96" s="104"/>
      <c r="J96" s="16"/>
      <c r="K96" s="11">
        <f t="shared" si="221"/>
        <v>0</v>
      </c>
      <c r="L96" s="11">
        <f t="shared" si="222"/>
        <v>0</v>
      </c>
      <c r="M96" s="11">
        <f t="shared" si="223"/>
        <v>0</v>
      </c>
      <c r="N96" s="11">
        <v>0</v>
      </c>
      <c r="O96" s="13">
        <f t="shared" si="224"/>
        <v>4948.45</v>
      </c>
      <c r="P96" s="14">
        <f t="shared" si="230"/>
        <v>-1</v>
      </c>
      <c r="Q96" s="14">
        <f t="shared" si="226"/>
        <v>-58.978851812500181</v>
      </c>
      <c r="R96" s="14"/>
      <c r="S96" s="14">
        <v>0</v>
      </c>
      <c r="T96" s="14">
        <f t="shared" si="227"/>
        <v>0</v>
      </c>
      <c r="U96" s="69"/>
      <c r="V96" s="69"/>
      <c r="W96" s="70"/>
      <c r="X96" s="15">
        <f t="shared" si="228"/>
        <v>-1.2024629473235801E-2</v>
      </c>
      <c r="Y96" s="16">
        <f>VLOOKUP(C96,台股行情!A:D,4,FALSE)</f>
        <v>14.95</v>
      </c>
      <c r="Z96" s="38">
        <f>VLOOKUP(C96,台股行情!A:E,5,FALSE)</f>
        <v>-1</v>
      </c>
      <c r="AA96" s="90">
        <f t="shared" ca="1" si="229"/>
        <v>477.98707699047202</v>
      </c>
      <c r="AB96" s="103" t="s">
        <v>2733</v>
      </c>
      <c r="AC96" s="103" t="s">
        <v>2266</v>
      </c>
      <c r="AD96" s="209"/>
    </row>
    <row r="97" spans="1:30">
      <c r="A97" s="99">
        <v>46300</v>
      </c>
      <c r="B97" s="11" t="s">
        <v>19</v>
      </c>
      <c r="C97" s="380" t="s">
        <v>3199</v>
      </c>
      <c r="D97" s="189" t="str">
        <f>VLOOKUP(C97,台股行情!A:B,2,FALSE)</f>
        <v>主動元大AI新經濟</v>
      </c>
      <c r="E97" s="11">
        <v>153</v>
      </c>
      <c r="F97" s="11">
        <v>32.590000000000003</v>
      </c>
      <c r="G97" s="11">
        <v>4986</v>
      </c>
      <c r="H97" s="11">
        <v>1</v>
      </c>
      <c r="I97" s="104"/>
      <c r="J97" s="16"/>
      <c r="K97" s="11">
        <f t="shared" si="212"/>
        <v>0</v>
      </c>
      <c r="L97" s="11">
        <f t="shared" si="213"/>
        <v>0</v>
      </c>
      <c r="M97" s="11">
        <f t="shared" si="214"/>
        <v>0</v>
      </c>
      <c r="N97" s="11">
        <v>0</v>
      </c>
      <c r="O97" s="13">
        <f t="shared" si="215"/>
        <v>2287.35</v>
      </c>
      <c r="P97" s="14">
        <f t="shared" si="220"/>
        <v>-1</v>
      </c>
      <c r="Q97" s="14">
        <f t="shared" si="216"/>
        <v>-2707.6307079375001</v>
      </c>
      <c r="R97" s="14"/>
      <c r="S97" s="14">
        <v>0</v>
      </c>
      <c r="T97" s="14">
        <f t="shared" si="217"/>
        <v>0</v>
      </c>
      <c r="U97" s="69"/>
      <c r="V97" s="69"/>
      <c r="W97" s="70"/>
      <c r="X97" s="15">
        <f t="shared" si="218"/>
        <v>-0.54324723384225837</v>
      </c>
      <c r="Y97" s="16">
        <f>VLOOKUP(C97,台股行情!A:D,4,FALSE)</f>
        <v>14.95</v>
      </c>
      <c r="Z97" s="38">
        <f>VLOOKUP(C97,台股行情!A:E,5,FALSE)</f>
        <v>-1</v>
      </c>
      <c r="AA97" s="90">
        <f t="shared" ca="1" si="219"/>
        <v>136.51297776804293</v>
      </c>
      <c r="AB97" s="103" t="s">
        <v>2733</v>
      </c>
      <c r="AC97" s="103" t="s">
        <v>2266</v>
      </c>
      <c r="AD97" s="209"/>
    </row>
    <row r="98" spans="1:30">
      <c r="A98" s="99">
        <v>46307</v>
      </c>
      <c r="B98" s="11" t="s">
        <v>19</v>
      </c>
      <c r="C98" s="343" t="s">
        <v>3040</v>
      </c>
      <c r="D98" s="189" t="str">
        <f>VLOOKUP(C98,台股行情!A:B,2,FALSE)</f>
        <v>主動統一台股增長</v>
      </c>
      <c r="E98" s="11">
        <v>303</v>
      </c>
      <c r="F98" s="11">
        <v>16.45</v>
      </c>
      <c r="G98" s="11">
        <v>4984</v>
      </c>
      <c r="H98" s="11">
        <v>1</v>
      </c>
      <c r="I98" s="104"/>
      <c r="J98" s="16"/>
      <c r="K98" s="11">
        <f t="shared" ref="K98:K99" si="231">E98*J98</f>
        <v>0</v>
      </c>
      <c r="L98" s="11">
        <f t="shared" ref="L98:L99" si="232">ROUND(J98*E98*0.1425%,0)</f>
        <v>0</v>
      </c>
      <c r="M98" s="11">
        <f t="shared" ref="M98:M99" si="233">ROUND(J98*E98*0.3%,0)</f>
        <v>0</v>
      </c>
      <c r="N98" s="11">
        <v>0</v>
      </c>
      <c r="O98" s="13">
        <f t="shared" ref="O98:O99" si="234">IF(I98="",E98*Y98,0)</f>
        <v>8908.1999999999989</v>
      </c>
      <c r="P98" s="14">
        <f t="shared" ref="P98:P99" si="235">IF(I98="",R98-H98,(K98-H98-SUM(L98:N98)+R98-S98-T98)-G98)+(ROUND(R98*V98,0)-ROUND(R98*(1+V98),0)*W98)</f>
        <v>-1</v>
      </c>
      <c r="Q98" s="14">
        <f t="shared" ref="Q98:Q99" si="236">IF(I98="",(O98-G98-(O98*0.1425%*0.65)-(O98*0.3%)-S98-T98),0)</f>
        <v>3889.2241797499987</v>
      </c>
      <c r="R98" s="14"/>
      <c r="S98" s="14">
        <v>0</v>
      </c>
      <c r="T98" s="14">
        <f t="shared" ref="T98:T99" si="237">IF(ROUND(R98*(1+V98),0)&gt;20000,ROUND(ROUND(R98*(1+V98),0)*2%,0),0)</f>
        <v>0</v>
      </c>
      <c r="U98" s="69"/>
      <c r="V98" s="69"/>
      <c r="W98" s="70"/>
      <c r="X98" s="15">
        <f t="shared" ref="X98:X99" si="238">(P98+Q98)/G98</f>
        <v>0.78014128807182959</v>
      </c>
      <c r="Y98" s="16">
        <f>VLOOKUP(C98,台股行情!A:D,4,FALSE)</f>
        <v>29.4</v>
      </c>
      <c r="Z98" s="38">
        <f>VLOOKUP(C98,台股行情!A:E,5,FALSE)</f>
        <v>-1.79</v>
      </c>
      <c r="AA98" s="90">
        <f t="shared" ref="AA98:AA99" ca="1" si="239">IF(I98="",((TODAY()-A98)*G98)/365.24,((I98-A98)*G98)/365.24)</f>
        <v>40.937465775928153</v>
      </c>
      <c r="AB98" s="103" t="s">
        <v>2733</v>
      </c>
      <c r="AC98" s="103" t="s">
        <v>2266</v>
      </c>
      <c r="AD98" s="209"/>
    </row>
    <row r="99" spans="1:30">
      <c r="A99" s="99">
        <v>46310</v>
      </c>
      <c r="B99" s="11" t="s">
        <v>19</v>
      </c>
      <c r="C99" s="380" t="s">
        <v>3199</v>
      </c>
      <c r="D99" s="189" t="str">
        <f>VLOOKUP(C99,台股行情!A:B,2,FALSE)</f>
        <v>主動元大AI新經濟</v>
      </c>
      <c r="E99" s="11">
        <v>53</v>
      </c>
      <c r="F99" s="11">
        <v>29.73</v>
      </c>
      <c r="G99" s="11">
        <v>1575</v>
      </c>
      <c r="H99" s="11">
        <v>1</v>
      </c>
      <c r="I99" s="104"/>
      <c r="J99" s="16"/>
      <c r="K99" s="11">
        <f t="shared" si="231"/>
        <v>0</v>
      </c>
      <c r="L99" s="11">
        <f t="shared" si="232"/>
        <v>0</v>
      </c>
      <c r="M99" s="11">
        <f t="shared" si="233"/>
        <v>0</v>
      </c>
      <c r="N99" s="11">
        <v>0</v>
      </c>
      <c r="O99" s="13">
        <f t="shared" si="234"/>
        <v>792.34999999999991</v>
      </c>
      <c r="P99" s="14">
        <f t="shared" si="235"/>
        <v>-1</v>
      </c>
      <c r="Q99" s="14">
        <f t="shared" si="236"/>
        <v>-785.76096418750012</v>
      </c>
      <c r="R99" s="14"/>
      <c r="S99" s="14">
        <v>0</v>
      </c>
      <c r="T99" s="14">
        <f t="shared" si="237"/>
        <v>0</v>
      </c>
      <c r="U99" s="69"/>
      <c r="V99" s="69"/>
      <c r="W99" s="70"/>
      <c r="X99" s="15">
        <f t="shared" si="238"/>
        <v>-0.49953077091269849</v>
      </c>
      <c r="Y99" s="16">
        <f>VLOOKUP(C99,台股行情!A:D,4,FALSE)</f>
        <v>14.95</v>
      </c>
      <c r="Z99" s="38">
        <f>VLOOKUP(C99,台股行情!A:E,5,FALSE)</f>
        <v>-1</v>
      </c>
      <c r="AA99" s="90">
        <f t="shared" ca="1" si="239"/>
        <v>0</v>
      </c>
      <c r="AB99" s="103" t="s">
        <v>2733</v>
      </c>
      <c r="AC99" s="103" t="s">
        <v>2266</v>
      </c>
      <c r="AD99" s="209"/>
    </row>
    <row r="100" spans="1:30">
      <c r="A100" s="99"/>
      <c r="B100" s="11"/>
      <c r="C100" s="181"/>
      <c r="D100" s="189"/>
      <c r="E100" s="11"/>
      <c r="F100" s="11"/>
      <c r="G100" s="11"/>
      <c r="H100" s="11"/>
      <c r="I100" s="104"/>
      <c r="J100" s="16"/>
      <c r="K100" s="11"/>
      <c r="L100" s="11"/>
      <c r="M100" s="11"/>
      <c r="N100" s="11"/>
      <c r="O100" s="13"/>
      <c r="P100" s="14"/>
      <c r="Q100" s="14"/>
      <c r="R100" s="14"/>
      <c r="S100" s="14"/>
      <c r="T100" s="14"/>
      <c r="U100" s="69"/>
      <c r="V100" s="69"/>
      <c r="W100" s="70"/>
      <c r="X100" s="15"/>
      <c r="Y100" s="16"/>
      <c r="Z100" s="38"/>
      <c r="AA100" s="90"/>
      <c r="AB100" s="103"/>
      <c r="AC100" s="103"/>
      <c r="AD100" s="209"/>
    </row>
    <row r="101" spans="1:30" ht="17.25" thickBot="1">
      <c r="A101" s="48"/>
      <c r="B101" s="49"/>
      <c r="C101" s="49"/>
      <c r="D101" s="193"/>
      <c r="E101" s="49"/>
      <c r="F101" s="49"/>
      <c r="G101" s="49"/>
      <c r="H101" s="49"/>
      <c r="I101" s="50"/>
      <c r="J101" s="51"/>
      <c r="K101" s="49"/>
      <c r="L101" s="52"/>
      <c r="M101" s="49"/>
      <c r="N101" s="49"/>
      <c r="O101" s="53"/>
      <c r="P101" s="54"/>
      <c r="Q101" s="54"/>
      <c r="R101" s="54"/>
      <c r="S101" s="54"/>
      <c r="T101" s="60"/>
      <c r="U101" s="54"/>
      <c r="V101" s="54"/>
      <c r="W101" s="78"/>
      <c r="X101" s="55"/>
      <c r="Y101" s="51"/>
      <c r="Z101" s="56"/>
      <c r="AA101" s="90"/>
    </row>
    <row r="102" spans="1:30" ht="17.25" thickBot="1">
      <c r="A102" s="427"/>
      <c r="B102" s="404"/>
      <c r="C102" s="404"/>
      <c r="D102" s="238" t="s">
        <v>21</v>
      </c>
      <c r="E102" s="427"/>
      <c r="F102" s="429"/>
      <c r="G102" s="62">
        <f>SUM(G70:G101)</f>
        <v>1107676</v>
      </c>
      <c r="H102" s="62">
        <f>SUM(H70:H101)</f>
        <v>1485</v>
      </c>
      <c r="I102" s="432"/>
      <c r="J102" s="432"/>
      <c r="K102" s="436"/>
      <c r="L102" s="437"/>
      <c r="M102" s="437"/>
      <c r="N102" s="438"/>
      <c r="O102" s="62">
        <f>SUM(O70:O101)</f>
        <v>1046745.3999999999</v>
      </c>
      <c r="P102" s="62">
        <f>SUM(P70:P101)</f>
        <v>-10435</v>
      </c>
      <c r="Q102" s="62">
        <f>SUM(Q70:Q101)</f>
        <v>145819.61587324992</v>
      </c>
      <c r="R102" s="62">
        <f>SUM(R70:R101)</f>
        <v>18665</v>
      </c>
      <c r="S102" s="71"/>
      <c r="T102" s="71"/>
      <c r="U102" s="71"/>
      <c r="V102" s="71"/>
      <c r="W102" s="71"/>
      <c r="X102" s="67">
        <f t="shared" ref="X102:X108" si="240">(P102+Q102)/G102</f>
        <v>0.12222402207256447</v>
      </c>
      <c r="Y102" s="419" t="s">
        <v>23</v>
      </c>
      <c r="Z102" s="84">
        <f t="shared" ref="Z102:Z108" ca="1" si="241">IF(AA102=0,0,(P102+Q102)/(AA102))</f>
        <v>0.22731561824384583</v>
      </c>
      <c r="AA102" s="90">
        <f ca="1">SUM(AA70:AA101)</f>
        <v>595579.91183879075</v>
      </c>
    </row>
    <row r="103" spans="1:30" s="36" customFormat="1" ht="17.25" outlineLevel="1" thickBot="1">
      <c r="A103" s="428"/>
      <c r="B103" s="407"/>
      <c r="C103" s="407"/>
      <c r="D103" s="342">
        <v>2021</v>
      </c>
      <c r="E103" s="428"/>
      <c r="F103" s="430"/>
      <c r="G103" s="63">
        <f>SUM(G24,G3)</f>
        <v>95140</v>
      </c>
      <c r="H103" s="63">
        <f>SUM(H24,H3)</f>
        <v>135</v>
      </c>
      <c r="I103" s="433"/>
      <c r="J103" s="433"/>
      <c r="K103" s="63">
        <f t="shared" ref="K103:R103" si="242">SUM(K24,K3)</f>
        <v>145650</v>
      </c>
      <c r="L103" s="63">
        <f t="shared" si="242"/>
        <v>207</v>
      </c>
      <c r="M103" s="63">
        <f t="shared" si="242"/>
        <v>308</v>
      </c>
      <c r="N103" s="63">
        <f t="shared" si="242"/>
        <v>0</v>
      </c>
      <c r="O103" s="63">
        <f t="shared" si="242"/>
        <v>0</v>
      </c>
      <c r="P103" s="63">
        <f t="shared" si="242"/>
        <v>59111</v>
      </c>
      <c r="Q103" s="63">
        <f t="shared" si="242"/>
        <v>0</v>
      </c>
      <c r="R103" s="63">
        <f t="shared" si="242"/>
        <v>9311</v>
      </c>
      <c r="S103" s="72"/>
      <c r="T103" s="72"/>
      <c r="U103" s="72"/>
      <c r="V103" s="72"/>
      <c r="W103" s="72"/>
      <c r="X103" s="67">
        <f t="shared" ref="X103" si="243">(P103+Q103)/G103</f>
        <v>0.62130544460794623</v>
      </c>
      <c r="Y103" s="419"/>
      <c r="Z103" s="84">
        <f t="shared" ref="Z103" ca="1" si="244">IF(AA103=0,0,(P103+Q103)/(AA103))</f>
        <v>0.12485626953689308</v>
      </c>
      <c r="AA103" s="90">
        <f ca="1">SUM(AA1,AA3:AA5,AA24:AA25)</f>
        <v>473432.37323403789</v>
      </c>
      <c r="AB103" s="87"/>
      <c r="AC103" s="88"/>
    </row>
    <row r="104" spans="1:30" s="36" customFormat="1" ht="17.25" outlineLevel="1" thickBot="1">
      <c r="A104" s="428"/>
      <c r="B104" s="407"/>
      <c r="C104" s="407"/>
      <c r="D104" s="342">
        <v>2023</v>
      </c>
      <c r="E104" s="428"/>
      <c r="F104" s="430"/>
      <c r="G104" s="63">
        <f>SUM(G2,G4:G6,G25:G71)</f>
        <v>630359</v>
      </c>
      <c r="H104" s="63">
        <f>SUM(H2,H4:H6,H25:H71)</f>
        <v>708</v>
      </c>
      <c r="I104" s="433"/>
      <c r="J104" s="433"/>
      <c r="K104" s="63">
        <f t="shared" ref="K104:R104" si="245">SUM(K2,K4:K6,K25:K71)</f>
        <v>763412.64000000013</v>
      </c>
      <c r="L104" s="63">
        <f t="shared" si="245"/>
        <v>1086</v>
      </c>
      <c r="M104" s="63">
        <f t="shared" si="245"/>
        <v>1276</v>
      </c>
      <c r="N104" s="63">
        <f t="shared" si="245"/>
        <v>0</v>
      </c>
      <c r="O104" s="63">
        <f t="shared" si="245"/>
        <v>94400</v>
      </c>
      <c r="P104" s="63">
        <f t="shared" si="245"/>
        <v>192452.94</v>
      </c>
      <c r="Q104" s="63">
        <f t="shared" si="245"/>
        <v>61959.362000000001</v>
      </c>
      <c r="R104" s="63">
        <f t="shared" si="245"/>
        <v>30839.3</v>
      </c>
      <c r="S104" s="72"/>
      <c r="T104" s="72"/>
      <c r="U104" s="72"/>
      <c r="V104" s="72"/>
      <c r="W104" s="72"/>
      <c r="X104" s="67">
        <f t="shared" si="240"/>
        <v>0.40359906339086138</v>
      </c>
      <c r="Y104" s="419"/>
      <c r="Z104" s="84">
        <f t="shared" ca="1" si="241"/>
        <v>0.42744047772071059</v>
      </c>
      <c r="AA104" s="90">
        <f ca="1">SUM(AA2,AA4:AA6,AA25:AA71)</f>
        <v>595199.36753915215</v>
      </c>
      <c r="AB104" s="87"/>
      <c r="AC104" s="88"/>
    </row>
    <row r="105" spans="1:30" s="36" customFormat="1" ht="17.25" outlineLevel="1" thickBot="1">
      <c r="A105" s="428"/>
      <c r="B105" s="407"/>
      <c r="C105" s="407"/>
      <c r="D105" s="342">
        <v>2024</v>
      </c>
      <c r="E105" s="428"/>
      <c r="F105" s="430"/>
      <c r="G105" s="63">
        <f>SUM(G7:G8,G48:G72)</f>
        <v>254261</v>
      </c>
      <c r="H105" s="63">
        <f>SUM(H7:H8,H48:H72)</f>
        <v>238</v>
      </c>
      <c r="I105" s="433"/>
      <c r="J105" s="433"/>
      <c r="K105" s="63">
        <f t="shared" ref="K105:R105" si="246">SUM(K7:K8,K48:K72)</f>
        <v>210898.4</v>
      </c>
      <c r="L105" s="63">
        <f t="shared" si="246"/>
        <v>273</v>
      </c>
      <c r="M105" s="63">
        <f t="shared" si="246"/>
        <v>239</v>
      </c>
      <c r="N105" s="63">
        <f t="shared" si="246"/>
        <v>0</v>
      </c>
      <c r="O105" s="63">
        <f t="shared" si="246"/>
        <v>188800</v>
      </c>
      <c r="P105" s="63">
        <f t="shared" si="246"/>
        <v>42552.400000000009</v>
      </c>
      <c r="Q105" s="63">
        <f t="shared" si="246"/>
        <v>111418.724</v>
      </c>
      <c r="R105" s="63">
        <f t="shared" si="246"/>
        <v>10175</v>
      </c>
      <c r="S105" s="72"/>
      <c r="T105" s="72"/>
      <c r="U105" s="72"/>
      <c r="V105" s="72"/>
      <c r="W105" s="72"/>
      <c r="X105" s="67">
        <f t="shared" si="240"/>
        <v>0.60556327553183542</v>
      </c>
      <c r="Y105" s="419"/>
      <c r="Z105" s="84">
        <f t="shared" ca="1" si="241"/>
        <v>0.58423853830152273</v>
      </c>
      <c r="AA105" s="90">
        <f ca="1">SUM(AA7:AA8,AA48:AA72)</f>
        <v>263541.53980944038</v>
      </c>
      <c r="AB105" s="87"/>
      <c r="AC105" s="88"/>
    </row>
    <row r="106" spans="1:30" s="36" customFormat="1" ht="17.25" outlineLevel="1" thickBot="1">
      <c r="A106" s="428"/>
      <c r="B106" s="407"/>
      <c r="C106" s="407"/>
      <c r="D106" s="342">
        <v>2025</v>
      </c>
      <c r="E106" s="428"/>
      <c r="F106" s="430"/>
      <c r="G106" s="63">
        <f>SUM(G50:G62,G9:G23)</f>
        <v>348819</v>
      </c>
      <c r="H106" s="63">
        <f>SUM(H50:H62,H9:H23)</f>
        <v>300</v>
      </c>
      <c r="I106" s="433"/>
      <c r="J106" s="433"/>
      <c r="K106" s="63">
        <f t="shared" ref="K106:R106" si="247">SUM(K50:K62,K9:K23)</f>
        <v>436645.5</v>
      </c>
      <c r="L106" s="63">
        <f t="shared" si="247"/>
        <v>659</v>
      </c>
      <c r="M106" s="63">
        <f t="shared" si="247"/>
        <v>824</v>
      </c>
      <c r="N106" s="63">
        <f t="shared" si="247"/>
        <v>0</v>
      </c>
      <c r="O106" s="63">
        <f t="shared" si="247"/>
        <v>0</v>
      </c>
      <c r="P106" s="63">
        <f t="shared" si="247"/>
        <v>89303.5</v>
      </c>
      <c r="Q106" s="63">
        <f t="shared" si="247"/>
        <v>0</v>
      </c>
      <c r="R106" s="63">
        <f t="shared" si="247"/>
        <v>3420</v>
      </c>
      <c r="S106" s="72"/>
      <c r="T106" s="72"/>
      <c r="U106" s="72"/>
      <c r="V106" s="72"/>
      <c r="W106" s="72"/>
      <c r="X106" s="67">
        <f t="shared" si="240"/>
        <v>0.2560167307400113</v>
      </c>
      <c r="Y106" s="419"/>
      <c r="Z106" s="84">
        <f t="shared" ca="1" si="241"/>
        <v>0.15855793207761695</v>
      </c>
      <c r="AA106" s="90">
        <f ca="1">SUM(AA9:AA61)</f>
        <v>563223.16285182338</v>
      </c>
      <c r="AB106" s="87"/>
      <c r="AC106" s="88"/>
    </row>
    <row r="107" spans="1:30" s="36" customFormat="1" ht="17.25" outlineLevel="1" thickBot="1">
      <c r="A107" s="409"/>
      <c r="B107" s="407"/>
      <c r="C107" s="407"/>
      <c r="D107" s="342">
        <v>2026</v>
      </c>
      <c r="E107" s="409"/>
      <c r="F107" s="430"/>
      <c r="G107" s="63">
        <f>SUM(G62:G101)</f>
        <v>1160842</v>
      </c>
      <c r="H107" s="63">
        <f>SUM(H62:H101)</f>
        <v>1524</v>
      </c>
      <c r="I107" s="434"/>
      <c r="J107" s="434"/>
      <c r="K107" s="63">
        <f t="shared" ref="K107:R107" si="248">SUM(K62:K101)</f>
        <v>242504.2</v>
      </c>
      <c r="L107" s="63">
        <f t="shared" si="248"/>
        <v>596</v>
      </c>
      <c r="M107" s="63">
        <f t="shared" si="248"/>
        <v>624</v>
      </c>
      <c r="N107" s="63">
        <f t="shared" si="248"/>
        <v>0</v>
      </c>
      <c r="O107" s="63">
        <f t="shared" si="248"/>
        <v>1046745.3999999999</v>
      </c>
      <c r="P107" s="63">
        <f t="shared" si="248"/>
        <v>-5740.7999999999993</v>
      </c>
      <c r="Q107" s="63">
        <f t="shared" si="248"/>
        <v>145819.61587324992</v>
      </c>
      <c r="R107" s="63">
        <f t="shared" si="248"/>
        <v>18665</v>
      </c>
      <c r="S107" s="72"/>
      <c r="T107" s="72"/>
      <c r="U107" s="72"/>
      <c r="V107" s="72"/>
      <c r="W107" s="72"/>
      <c r="X107" s="67">
        <f t="shared" si="240"/>
        <v>0.12067001010753395</v>
      </c>
      <c r="Y107" s="420"/>
      <c r="Z107" s="84">
        <f t="shared" ca="1" si="241"/>
        <v>0.12368079818786637</v>
      </c>
      <c r="AA107" s="90">
        <f ca="1">SUM(AA22:AA101)</f>
        <v>1132583.3753148618</v>
      </c>
      <c r="AB107" s="87"/>
      <c r="AC107" s="88"/>
    </row>
    <row r="108" spans="1:30" s="36" customFormat="1" ht="17.25" thickBot="1">
      <c r="A108" s="410"/>
      <c r="B108" s="411"/>
      <c r="C108" s="411"/>
      <c r="D108" s="238" t="s">
        <v>20</v>
      </c>
      <c r="E108" s="410"/>
      <c r="F108" s="431"/>
      <c r="G108" s="63">
        <f>SUM(G2:G101)</f>
        <v>2139968</v>
      </c>
      <c r="H108" s="63">
        <f>SUM(H2:H101)</f>
        <v>2647</v>
      </c>
      <c r="I108" s="435"/>
      <c r="J108" s="435"/>
      <c r="K108" s="63">
        <f t="shared" ref="K108:R108" si="249">SUM(K2:K101)</f>
        <v>1493183.7399999998</v>
      </c>
      <c r="L108" s="63">
        <f t="shared" si="249"/>
        <v>2396</v>
      </c>
      <c r="M108" s="63">
        <f t="shared" si="249"/>
        <v>2879</v>
      </c>
      <c r="N108" s="63">
        <f t="shared" si="249"/>
        <v>0</v>
      </c>
      <c r="O108" s="63">
        <f t="shared" si="249"/>
        <v>1046745.3999999999</v>
      </c>
      <c r="P108" s="63">
        <f t="shared" si="249"/>
        <v>301608.0400000001</v>
      </c>
      <c r="Q108" s="63">
        <f t="shared" si="249"/>
        <v>145819.61587324992</v>
      </c>
      <c r="R108" s="63">
        <f t="shared" si="249"/>
        <v>60348.3</v>
      </c>
      <c r="S108" s="72"/>
      <c r="T108" s="72"/>
      <c r="U108" s="72"/>
      <c r="V108" s="72"/>
      <c r="W108" s="72"/>
      <c r="X108" s="67">
        <f t="shared" si="240"/>
        <v>0.20908147031789726</v>
      </c>
      <c r="Y108" s="420"/>
      <c r="Z108" s="84">
        <f t="shared" ca="1" si="241"/>
        <v>0.30888667871925507</v>
      </c>
      <c r="AA108" s="90">
        <f ca="1">SUM(AA2:AA101)</f>
        <v>1448517.1640565109</v>
      </c>
      <c r="AB108" s="87"/>
      <c r="AC108" s="87"/>
    </row>
    <row r="109" spans="1:30">
      <c r="B109" s="37"/>
      <c r="C109" s="37"/>
      <c r="D109" s="28"/>
    </row>
    <row r="110" spans="1:30">
      <c r="A110" s="18">
        <f>MIN(A127:A127)</f>
        <v>0</v>
      </c>
      <c r="B110" s="19"/>
      <c r="C110" s="20"/>
      <c r="D110" s="19"/>
      <c r="E110" s="19"/>
      <c r="F110" s="19"/>
      <c r="G110" s="19"/>
      <c r="H110" s="19"/>
      <c r="I110" s="21"/>
      <c r="J110" s="22"/>
      <c r="K110" s="19"/>
      <c r="L110" s="23"/>
      <c r="M110" s="19"/>
      <c r="N110" s="19"/>
      <c r="O110" s="24"/>
      <c r="P110" s="25"/>
      <c r="Q110" s="25"/>
      <c r="R110" s="25"/>
      <c r="S110" s="25"/>
      <c r="T110" s="25"/>
      <c r="U110" s="25"/>
      <c r="V110" s="74"/>
      <c r="W110" s="77"/>
      <c r="X110" s="26"/>
      <c r="Y110" s="22"/>
      <c r="Z110" s="27"/>
      <c r="AA110" s="28"/>
      <c r="AB110" s="9"/>
      <c r="AC110" s="9"/>
    </row>
    <row r="111" spans="1:30" collapsed="1">
      <c r="A111" s="224">
        <v>45743</v>
      </c>
      <c r="B111" s="11" t="s">
        <v>19</v>
      </c>
      <c r="C111" s="300" t="s">
        <v>2802</v>
      </c>
      <c r="D111" s="189" t="str">
        <f>VLOOKUP(C111,美股行情!A:C,2,FALSE)</f>
        <v>特斯拉</v>
      </c>
      <c r="E111" s="11">
        <v>5</v>
      </c>
      <c r="F111" s="11">
        <v>272</v>
      </c>
      <c r="G111" s="11">
        <f>E111*F111</f>
        <v>1360</v>
      </c>
      <c r="H111" s="11">
        <f>G111*0.25%</f>
        <v>3.4</v>
      </c>
      <c r="I111" s="104">
        <v>45898</v>
      </c>
      <c r="J111" s="16">
        <v>339.38</v>
      </c>
      <c r="K111" s="11">
        <f>E111*J111</f>
        <v>1696.9</v>
      </c>
      <c r="L111" s="17"/>
      <c r="M111" s="11"/>
      <c r="N111" s="11">
        <v>0</v>
      </c>
      <c r="O111" s="13">
        <f>IF(I111="",E111*Y111,0)</f>
        <v>0</v>
      </c>
      <c r="P111" s="14">
        <f t="shared" ref="P111:P126" si="250">IF(I111="",R111-H111,(K111-H111-SUM(L111:N111)+R111-S111-T111)-G111)+(ROUND(R111*V111,0)-ROUND(R111*(1+V111),0)*W111)</f>
        <v>333.5</v>
      </c>
      <c r="Q111" s="14">
        <f t="shared" ref="Q111:Q123" si="251">IF(I111="",(O111-G111-(O111*0.1425%*0.65)-(O111*0.3%)-S111-T111),0)</f>
        <v>0</v>
      </c>
      <c r="R111" s="289"/>
      <c r="S111" s="14">
        <v>0</v>
      </c>
      <c r="T111" s="14">
        <f>IF(ROUND(R111*(1+V111),0)&gt;20000,ROUND(ROUND(R111*(1+V111),0)*2%,0),0)</f>
        <v>0</v>
      </c>
      <c r="U111" s="69"/>
      <c r="V111" s="69"/>
      <c r="W111" s="70"/>
      <c r="X111" s="15">
        <f>(P111+Q111)/G111</f>
        <v>0.24522058823529411</v>
      </c>
      <c r="Y111" s="16">
        <f>VLOOKUP(C111,美股行情!A:C,3,FALSE)</f>
        <v>366.29</v>
      </c>
      <c r="Z111" s="38">
        <f>VLOOKUP(C111,美股行情!A:G,7,FALSE)</f>
        <v>-8.94</v>
      </c>
      <c r="AA111" s="90">
        <f t="shared" ref="AA111:AA123" ca="1" si="252">IF(I111="",((TODAY()-A111)*G111)/365.24,((I111-A111)*G111)/365.24)</f>
        <v>577.15474756324602</v>
      </c>
      <c r="AB111" s="276" t="s">
        <v>2731</v>
      </c>
      <c r="AC111" s="9"/>
    </row>
    <row r="112" spans="1:30" hidden="1" outlineLevel="1">
      <c r="A112" s="224">
        <v>45931</v>
      </c>
      <c r="B112" s="11" t="s">
        <v>19</v>
      </c>
      <c r="C112" s="316" t="s">
        <v>2873</v>
      </c>
      <c r="D112" s="189" t="str">
        <f>VLOOKUP(C112,美股行情!A:C,2,FALSE)</f>
        <v>禮來製藥</v>
      </c>
      <c r="E112" s="11">
        <v>1</v>
      </c>
      <c r="F112" s="11">
        <v>815.85</v>
      </c>
      <c r="G112" s="11">
        <f>E112*F112</f>
        <v>815.85</v>
      </c>
      <c r="H112" s="11">
        <v>2.04</v>
      </c>
      <c r="I112" s="104">
        <v>46087</v>
      </c>
      <c r="J112" s="16">
        <v>971</v>
      </c>
      <c r="K112" s="11">
        <f>E112*J112</f>
        <v>971</v>
      </c>
      <c r="L112" s="17">
        <v>2.4300000000000002</v>
      </c>
      <c r="M112" s="11"/>
      <c r="N112" s="11">
        <v>0</v>
      </c>
      <c r="O112" s="13">
        <f>IF(I112="",E112*Y112,0)</f>
        <v>0</v>
      </c>
      <c r="P112" s="14">
        <f t="shared" si="250"/>
        <v>150.68000000000006</v>
      </c>
      <c r="Q112" s="14">
        <f t="shared" si="251"/>
        <v>0</v>
      </c>
      <c r="R112" s="289"/>
      <c r="S112" s="14">
        <v>0</v>
      </c>
      <c r="T112" s="14">
        <f>IF(ROUND(R112*(1+V112),0)&gt;20000,ROUND(ROUND(R112*(1+V112),0)*2%,0),0)</f>
        <v>0</v>
      </c>
      <c r="U112" s="69"/>
      <c r="V112" s="69"/>
      <c r="W112" s="70"/>
      <c r="X112" s="15">
        <f>(P112+Q112)/G112</f>
        <v>0.1846908132622419</v>
      </c>
      <c r="Y112" s="16">
        <f>VLOOKUP(C112,美股行情!A:C,3,FALSE)</f>
        <v>1210.29</v>
      </c>
      <c r="Z112" s="38">
        <f>VLOOKUP(C112,美股行情!A:G,7,FALSE)</f>
        <v>43.78</v>
      </c>
      <c r="AA112" s="90">
        <f t="shared" ca="1" si="252"/>
        <v>348.46292848537951</v>
      </c>
      <c r="AB112" s="276" t="s">
        <v>2731</v>
      </c>
      <c r="AC112" s="9"/>
    </row>
    <row r="113" spans="1:29" hidden="1" outlineLevel="1">
      <c r="A113" s="224">
        <v>46048</v>
      </c>
      <c r="B113" s="11" t="s">
        <v>19</v>
      </c>
      <c r="C113" s="340" t="s">
        <v>3021</v>
      </c>
      <c r="D113" s="189" t="str">
        <f>VLOOKUP(C113,美股行情!A:C,2,FALSE)</f>
        <v>Samsara Inc</v>
      </c>
      <c r="E113" s="11">
        <v>10</v>
      </c>
      <c r="F113" s="11">
        <v>32.1</v>
      </c>
      <c r="G113" s="11">
        <f t="shared" ref="G113:G115" si="253">E113*F113</f>
        <v>321</v>
      </c>
      <c r="H113" s="11">
        <v>2.04</v>
      </c>
      <c r="I113" s="104">
        <v>46087</v>
      </c>
      <c r="J113" s="16">
        <v>33.954999999999998</v>
      </c>
      <c r="K113" s="11">
        <f t="shared" ref="K113:K114" si="254">E113*J113</f>
        <v>339.54999999999995</v>
      </c>
      <c r="L113" s="17">
        <v>0.85</v>
      </c>
      <c r="M113" s="11"/>
      <c r="N113" s="11">
        <v>0</v>
      </c>
      <c r="O113" s="13">
        <f t="shared" ref="O113:O115" si="255">IF(I113="",E113*Y113,0)</f>
        <v>0</v>
      </c>
      <c r="P113" s="14">
        <f t="shared" si="250"/>
        <v>15.659999999999911</v>
      </c>
      <c r="Q113" s="14">
        <f t="shared" si="251"/>
        <v>0</v>
      </c>
      <c r="R113" s="289"/>
      <c r="S113" s="14">
        <v>0</v>
      </c>
      <c r="T113" s="14">
        <f t="shared" ref="T113:T115" si="256">IF(ROUND(R113*(1+V113),0)&gt;20000,ROUND(ROUND(R113*(1+V113),0)*2%,0),0)</f>
        <v>0</v>
      </c>
      <c r="U113" s="69"/>
      <c r="V113" s="69"/>
      <c r="W113" s="70"/>
      <c r="X113" s="15">
        <f t="shared" ref="X113:X115" si="257">(P113+Q113)/G113</f>
        <v>4.8785046728971687E-2</v>
      </c>
      <c r="Y113" s="16">
        <f>VLOOKUP(C113,美股行情!A:C,3,FALSE)</f>
        <v>41.57</v>
      </c>
      <c r="Z113" s="38">
        <f>VLOOKUP(C113,美股行情!A:G,7,FALSE)</f>
        <v>0.3</v>
      </c>
      <c r="AA113" s="90">
        <f t="shared" ca="1" si="252"/>
        <v>34.276092432373233</v>
      </c>
      <c r="AB113" s="276" t="s">
        <v>2731</v>
      </c>
      <c r="AC113" s="9"/>
    </row>
    <row r="114" spans="1:29">
      <c r="A114" s="224">
        <v>45436</v>
      </c>
      <c r="B114" s="11" t="s">
        <v>19</v>
      </c>
      <c r="C114" s="225" t="s">
        <v>2560</v>
      </c>
      <c r="D114" s="189" t="str">
        <f>VLOOKUP(C114,美股行情!A:C,2,FALSE)</f>
        <v>英偉達公司</v>
      </c>
      <c r="E114" s="11">
        <v>10</v>
      </c>
      <c r="F114" s="11">
        <v>103.8</v>
      </c>
      <c r="G114" s="11">
        <f t="shared" si="253"/>
        <v>1038</v>
      </c>
      <c r="H114" s="11">
        <f>G114*0.25%</f>
        <v>2.5950000000000002</v>
      </c>
      <c r="I114" s="104"/>
      <c r="J114" s="16"/>
      <c r="K114" s="11">
        <f t="shared" si="254"/>
        <v>0</v>
      </c>
      <c r="L114" s="17"/>
      <c r="M114" s="11"/>
      <c r="N114" s="11">
        <v>0</v>
      </c>
      <c r="O114" s="13">
        <f t="shared" si="255"/>
        <v>2249.5</v>
      </c>
      <c r="P114" s="14">
        <f t="shared" si="250"/>
        <v>-1.1950000000000003</v>
      </c>
      <c r="Q114" s="14">
        <f t="shared" si="251"/>
        <v>1202.6679006250001</v>
      </c>
      <c r="R114" s="289">
        <f>0.35+0.35+0.35+0.35</f>
        <v>1.4</v>
      </c>
      <c r="S114" s="14">
        <v>0</v>
      </c>
      <c r="T114" s="14">
        <f t="shared" si="256"/>
        <v>0</v>
      </c>
      <c r="U114" s="69"/>
      <c r="V114" s="69"/>
      <c r="W114" s="70"/>
      <c r="X114" s="15">
        <f t="shared" si="257"/>
        <v>1.1574883435693644</v>
      </c>
      <c r="Y114" s="16">
        <f>VLOOKUP(C114,美股行情!A:C,3,FALSE)</f>
        <v>224.95</v>
      </c>
      <c r="Z114" s="38">
        <f>VLOOKUP(C114,美股行情!A:G,7,FALSE)</f>
        <v>-3.57</v>
      </c>
      <c r="AA114" s="90">
        <f t="shared" ca="1" si="252"/>
        <v>2483.8790931989925</v>
      </c>
      <c r="AB114" s="276" t="s">
        <v>2731</v>
      </c>
      <c r="AC114" s="9"/>
    </row>
    <row r="115" spans="1:29" outlineLevel="1">
      <c r="A115" s="224">
        <v>45441</v>
      </c>
      <c r="B115" s="11" t="s">
        <v>19</v>
      </c>
      <c r="C115" s="225" t="s">
        <v>2560</v>
      </c>
      <c r="D115" s="189" t="str">
        <f>VLOOKUP(C115,美股行情!A:C,2,FALSE)</f>
        <v>英偉達公司</v>
      </c>
      <c r="E115" s="11">
        <v>40</v>
      </c>
      <c r="F115" s="11">
        <v>114.3</v>
      </c>
      <c r="G115" s="11">
        <f t="shared" si="253"/>
        <v>4572</v>
      </c>
      <c r="H115" s="11">
        <f>G115*0.25%</f>
        <v>11.43</v>
      </c>
      <c r="I115" s="104"/>
      <c r="J115" s="16"/>
      <c r="K115" s="11">
        <f t="shared" ref="K115:K125" si="258">E115*J115</f>
        <v>0</v>
      </c>
      <c r="L115" s="17"/>
      <c r="M115" s="11"/>
      <c r="N115" s="11">
        <v>0</v>
      </c>
      <c r="O115" s="13">
        <f t="shared" si="255"/>
        <v>8998</v>
      </c>
      <c r="P115" s="14">
        <f t="shared" si="250"/>
        <v>-1.2799999999999994</v>
      </c>
      <c r="Q115" s="14">
        <f t="shared" si="251"/>
        <v>4390.6716025000005</v>
      </c>
      <c r="R115" s="289">
        <f>0.35+0.35+0.35+0.35+8.75</f>
        <v>10.15</v>
      </c>
      <c r="S115" s="14">
        <v>0</v>
      </c>
      <c r="T115" s="14">
        <f t="shared" si="256"/>
        <v>0</v>
      </c>
      <c r="U115" s="69"/>
      <c r="V115" s="69"/>
      <c r="W115" s="70"/>
      <c r="X115" s="15">
        <f t="shared" si="257"/>
        <v>0.96005940562117253</v>
      </c>
      <c r="Y115" s="16">
        <f>VLOOKUP(C115,美股行情!A:C,3,FALSE)</f>
        <v>224.95</v>
      </c>
      <c r="Z115" s="38">
        <f>VLOOKUP(C115,美股行情!A:G,7,FALSE)</f>
        <v>-3.57</v>
      </c>
      <c r="AA115" s="90">
        <f t="shared" ca="1" si="252"/>
        <v>10877.965173584493</v>
      </c>
      <c r="AB115" s="276" t="s">
        <v>2731</v>
      </c>
      <c r="AC115" s="9"/>
    </row>
    <row r="116" spans="1:29">
      <c r="A116" s="224">
        <v>46136</v>
      </c>
      <c r="B116" s="11" t="s">
        <v>19</v>
      </c>
      <c r="C116" s="357" t="s">
        <v>3134</v>
      </c>
      <c r="D116" s="189" t="str">
        <f>VLOOKUP(C116,美股行情!A:C,2,FALSE)</f>
        <v>ASML</v>
      </c>
      <c r="E116" s="11">
        <v>0.34716999999999998</v>
      </c>
      <c r="F116" s="11">
        <v>1440.23</v>
      </c>
      <c r="G116" s="11">
        <v>500</v>
      </c>
      <c r="H116" s="11">
        <v>0.5</v>
      </c>
      <c r="I116" s="104"/>
      <c r="J116" s="16"/>
      <c r="K116" s="11">
        <f t="shared" si="258"/>
        <v>0</v>
      </c>
      <c r="L116" s="17"/>
      <c r="M116" s="11"/>
      <c r="N116" s="11">
        <v>0</v>
      </c>
      <c r="O116" s="13">
        <f t="shared" ref="O116:O117" si="259">IF(I116="",E116*Y116,0)</f>
        <v>596.8303621</v>
      </c>
      <c r="P116" s="14">
        <f t="shared" si="250"/>
        <v>1.06</v>
      </c>
      <c r="Q116" s="14">
        <f t="shared" si="251"/>
        <v>94.48705689080488</v>
      </c>
      <c r="R116" s="289">
        <f>0.93+0.63</f>
        <v>1.56</v>
      </c>
      <c r="S116" s="14">
        <v>0</v>
      </c>
      <c r="T116" s="14">
        <f t="shared" ref="T116:T117" si="260">IF(ROUND(R116*(1+V116),0)&gt;20000,ROUND(ROUND(R116*(1+V116),0)*2%,0),0)</f>
        <v>0</v>
      </c>
      <c r="U116" s="69"/>
      <c r="V116" s="69"/>
      <c r="W116" s="70"/>
      <c r="X116" s="15">
        <f t="shared" ref="X116:X117" si="261">(P116+Q116)/G116</f>
        <v>0.19109411378160976</v>
      </c>
      <c r="Y116" s="16">
        <f>VLOOKUP(C116,美股行情!A:C,3,FALSE)</f>
        <v>1719.13</v>
      </c>
      <c r="Z116" s="38">
        <f>VLOOKUP(C116,美股行情!A:G,7,FALSE)</f>
        <v>1.37</v>
      </c>
      <c r="AA116" s="90">
        <f t="shared" ca="1" si="252"/>
        <v>238.19954002847442</v>
      </c>
      <c r="AB116" s="276" t="s">
        <v>2731</v>
      </c>
      <c r="AC116" s="9"/>
    </row>
    <row r="117" spans="1:29">
      <c r="A117" s="224">
        <v>46136</v>
      </c>
      <c r="B117" s="11" t="s">
        <v>19</v>
      </c>
      <c r="C117" s="357" t="s">
        <v>3135</v>
      </c>
      <c r="D117" s="189" t="str">
        <f>VLOOKUP(C117,美股行情!A:C,2,FALSE)</f>
        <v>微軟公司</v>
      </c>
      <c r="E117" s="11">
        <v>1.19068</v>
      </c>
      <c r="F117" s="11">
        <v>419.93</v>
      </c>
      <c r="G117" s="11">
        <v>500</v>
      </c>
      <c r="H117" s="11">
        <v>0.5</v>
      </c>
      <c r="I117" s="104"/>
      <c r="J117" s="16"/>
      <c r="K117" s="11">
        <f t="shared" si="258"/>
        <v>0</v>
      </c>
      <c r="L117" s="17"/>
      <c r="M117" s="11"/>
      <c r="N117" s="11">
        <v>0</v>
      </c>
      <c r="O117" s="13">
        <f t="shared" si="259"/>
        <v>643.0743612</v>
      </c>
      <c r="P117" s="14">
        <f t="shared" si="250"/>
        <v>0.26</v>
      </c>
      <c r="Q117" s="14">
        <f t="shared" si="251"/>
        <v>140.5494904893385</v>
      </c>
      <c r="R117" s="289">
        <v>0.76</v>
      </c>
      <c r="S117" s="14">
        <v>0</v>
      </c>
      <c r="T117" s="14">
        <f t="shared" si="260"/>
        <v>0</v>
      </c>
      <c r="U117" s="69"/>
      <c r="V117" s="69"/>
      <c r="W117" s="70"/>
      <c r="X117" s="15">
        <f t="shared" si="261"/>
        <v>0.28161898097867699</v>
      </c>
      <c r="Y117" s="16">
        <f>VLOOKUP(C117,美股行情!A:C,3,FALSE)</f>
        <v>540.09</v>
      </c>
      <c r="Z117" s="38">
        <f>VLOOKUP(C117,美股行情!A:G,7,FALSE)</f>
        <v>-3.37</v>
      </c>
      <c r="AA117" s="90">
        <f t="shared" ca="1" si="252"/>
        <v>238.19954002847442</v>
      </c>
      <c r="AB117" s="276" t="s">
        <v>2731</v>
      </c>
      <c r="AC117" s="9"/>
    </row>
    <row r="118" spans="1:29">
      <c r="A118" s="224">
        <v>46136</v>
      </c>
      <c r="B118" s="11" t="s">
        <v>19</v>
      </c>
      <c r="C118" s="357" t="s">
        <v>3136</v>
      </c>
      <c r="D118" s="189" t="str">
        <f>VLOOKUP(C118,美股行情!A:C,2,FALSE)</f>
        <v>景順QQQ ETF</v>
      </c>
      <c r="E118" s="11">
        <v>3.5188700000000002</v>
      </c>
      <c r="F118" s="11">
        <v>653.62</v>
      </c>
      <c r="G118" s="11">
        <v>2300</v>
      </c>
      <c r="H118" s="11">
        <v>2.2999999999999998</v>
      </c>
      <c r="I118" s="104"/>
      <c r="J118" s="16"/>
      <c r="K118" s="11">
        <f t="shared" si="258"/>
        <v>0</v>
      </c>
      <c r="L118" s="17"/>
      <c r="M118" s="11"/>
      <c r="N118" s="11">
        <v>0</v>
      </c>
      <c r="O118" s="13">
        <f t="shared" ref="O118" si="262">IF(I118="",E118*Y118,0)</f>
        <v>2593.0553030000001</v>
      </c>
      <c r="P118" s="14">
        <f t="shared" si="250"/>
        <v>-2.2999999999999998</v>
      </c>
      <c r="Q118" s="14">
        <f t="shared" si="251"/>
        <v>282.87431961659632</v>
      </c>
      <c r="R118" s="289"/>
      <c r="S118" s="14">
        <v>0</v>
      </c>
      <c r="T118" s="14">
        <f t="shared" ref="T118" si="263">IF(ROUND(R118*(1+V118),0)&gt;20000,ROUND(ROUND(R118*(1+V118),0)*2%,0),0)</f>
        <v>0</v>
      </c>
      <c r="U118" s="69"/>
      <c r="V118" s="69"/>
      <c r="W118" s="70"/>
      <c r="X118" s="15">
        <f t="shared" ref="X118" si="264">(P118+Q118)/G118</f>
        <v>0.12198883461591144</v>
      </c>
      <c r="Y118" s="16">
        <f>VLOOKUP(C118,美股行情!A:C,3,FALSE)</f>
        <v>736.9</v>
      </c>
      <c r="Z118" s="38">
        <f>VLOOKUP(C118,美股行情!A:G,7,FALSE)</f>
        <v>-6.67</v>
      </c>
      <c r="AA118" s="90">
        <f t="shared" ca="1" si="252"/>
        <v>1095.7178841309824</v>
      </c>
      <c r="AB118" s="276" t="s">
        <v>2731</v>
      </c>
      <c r="AC118" s="9"/>
    </row>
    <row r="119" spans="1:29" outlineLevel="1">
      <c r="A119" s="224">
        <v>46169</v>
      </c>
      <c r="B119" s="11" t="s">
        <v>19</v>
      </c>
      <c r="C119" s="357" t="s">
        <v>3136</v>
      </c>
      <c r="D119" s="189" t="str">
        <f>VLOOKUP(C119,美股行情!A:C,2,FALSE)</f>
        <v>景順QQQ ETF</v>
      </c>
      <c r="E119" s="11">
        <v>0.13774</v>
      </c>
      <c r="F119" s="11">
        <v>726</v>
      </c>
      <c r="G119" s="11">
        <v>100</v>
      </c>
      <c r="H119" s="11">
        <v>0.1</v>
      </c>
      <c r="I119" s="104"/>
      <c r="J119" s="16"/>
      <c r="K119" s="11">
        <f>E119*J119</f>
        <v>0</v>
      </c>
      <c r="L119" s="17"/>
      <c r="M119" s="11"/>
      <c r="N119" s="11">
        <v>0</v>
      </c>
      <c r="O119" s="13">
        <f>IF(I119="",E119*Y119,0)</f>
        <v>101.500606</v>
      </c>
      <c r="P119" s="14">
        <f>IF(I119="",R119-H119,(K119-H119-SUM(L119:N119)+R119-S119-T119)-G119)+(ROUND(R119*V119,0)-ROUND(R119*(1+V119),0)*W119)</f>
        <v>-0.1</v>
      </c>
      <c r="Q119" s="14">
        <f>IF(I119="",(O119-G119-(O119*0.1425%*0.65)-(O119*0.3%)-S119-T119),0)</f>
        <v>1.1020892456925047</v>
      </c>
      <c r="R119" s="289"/>
      <c r="S119" s="14">
        <v>0</v>
      </c>
      <c r="T119" s="14">
        <f>IF(ROUND(R119*(1+V119),0)&gt;20000,ROUND(ROUND(R119*(1+V119),0)*2%,0),0)</f>
        <v>0</v>
      </c>
      <c r="U119" s="69"/>
      <c r="V119" s="69"/>
      <c r="W119" s="70"/>
      <c r="X119" s="15">
        <f>(P119+Q119)/G119</f>
        <v>1.0020892456925046E-2</v>
      </c>
      <c r="Y119" s="16">
        <f>VLOOKUP(C119,美股行情!A:C,3,FALSE)</f>
        <v>736.9</v>
      </c>
      <c r="Z119" s="38">
        <f>VLOOKUP(C119,美股行情!A:G,7,FALSE)</f>
        <v>-6.67</v>
      </c>
      <c r="AA119" s="90">
        <f ca="1">IF(I119="",((TODAY()-A119)*G119)/365.24,((I119-A119)*G119)/365.24)</f>
        <v>38.604753039097581</v>
      </c>
      <c r="AB119" s="276" t="s">
        <v>2731</v>
      </c>
      <c r="AC119" s="9"/>
    </row>
    <row r="120" spans="1:29">
      <c r="A120" s="224">
        <v>46136</v>
      </c>
      <c r="B120" s="11" t="s">
        <v>19</v>
      </c>
      <c r="C120" s="357" t="s">
        <v>2802</v>
      </c>
      <c r="D120" s="189" t="str">
        <f>VLOOKUP(C120,美股行情!A:C,2,FALSE)</f>
        <v>特斯拉</v>
      </c>
      <c r="E120" s="11">
        <v>1.12001</v>
      </c>
      <c r="F120" s="11">
        <v>375</v>
      </c>
      <c r="G120" s="11">
        <v>420</v>
      </c>
      <c r="H120" s="11">
        <v>0.42</v>
      </c>
      <c r="I120" s="104"/>
      <c r="J120" s="16"/>
      <c r="K120" s="11">
        <f t="shared" si="258"/>
        <v>0</v>
      </c>
      <c r="L120" s="17"/>
      <c r="M120" s="11"/>
      <c r="N120" s="11">
        <v>0</v>
      </c>
      <c r="O120" s="13">
        <f t="shared" ref="O120:O123" si="265">IF(I120="",E120*Y120,0)</f>
        <v>410.24846289999999</v>
      </c>
      <c r="P120" s="14">
        <f t="shared" si="250"/>
        <v>-0.42</v>
      </c>
      <c r="Q120" s="14">
        <f t="shared" si="251"/>
        <v>-11.362275127461132</v>
      </c>
      <c r="R120" s="289"/>
      <c r="S120" s="14">
        <v>0</v>
      </c>
      <c r="T120" s="14">
        <f t="shared" ref="T120:T125" si="266">IF(ROUND(R120*(1+V120),0)&gt;20000,ROUND(ROUND(R120*(1+V120),0)*2%,0),0)</f>
        <v>0</v>
      </c>
      <c r="U120" s="69"/>
      <c r="V120" s="69"/>
      <c r="W120" s="70"/>
      <c r="X120" s="15">
        <f t="shared" ref="X120:X125" si="267">(P120+Q120)/G120</f>
        <v>-2.8053036017764599E-2</v>
      </c>
      <c r="Y120" s="16">
        <f>VLOOKUP(C120,美股行情!A:C,3,FALSE)</f>
        <v>366.29</v>
      </c>
      <c r="Z120" s="38">
        <f>VLOOKUP(C120,美股行情!A:G,7,FALSE)</f>
        <v>-8.94</v>
      </c>
      <c r="AA120" s="90">
        <f t="shared" ca="1" si="252"/>
        <v>200.08761362391851</v>
      </c>
      <c r="AB120" s="276" t="s">
        <v>2731</v>
      </c>
      <c r="AC120" s="9"/>
    </row>
    <row r="121" spans="1:29" outlineLevel="1">
      <c r="A121" s="224">
        <v>46195</v>
      </c>
      <c r="B121" s="11" t="s">
        <v>19</v>
      </c>
      <c r="C121" s="357" t="s">
        <v>2802</v>
      </c>
      <c r="D121" s="189" t="str">
        <f>VLOOKUP(C121,美股行情!A:C,2,FALSE)</f>
        <v>特斯拉</v>
      </c>
      <c r="E121" s="11">
        <v>0.25090000000000001</v>
      </c>
      <c r="F121" s="11">
        <v>398.56</v>
      </c>
      <c r="G121" s="11">
        <v>100</v>
      </c>
      <c r="H121" s="11">
        <v>0.1</v>
      </c>
      <c r="I121" s="104"/>
      <c r="J121" s="16"/>
      <c r="K121" s="11">
        <f t="shared" ref="K121:K122" si="268">E121*J121</f>
        <v>0</v>
      </c>
      <c r="L121" s="17"/>
      <c r="M121" s="11"/>
      <c r="N121" s="11">
        <v>0</v>
      </c>
      <c r="O121" s="13">
        <f t="shared" ref="O121:O122" si="269">IF(I121="",E121*Y121,0)</f>
        <v>91.902161000000007</v>
      </c>
      <c r="P121" s="14">
        <f t="shared" ref="P121:P122" si="270">IF(I121="",R121-H121,(K121-H121-SUM(L121:N121)+R121-S121-T121)-G121)+(ROUND(R121*V121,0)-ROUND(R121*(1+V121),0)*W121)</f>
        <v>-0.1</v>
      </c>
      <c r="Q121" s="14">
        <f>IF(I121="",(O121-G121-(O121*0.1425%*0.65)-(O121*0.3%)-S121-T121),0)</f>
        <v>-8.4586698596262444</v>
      </c>
      <c r="R121" s="289"/>
      <c r="S121" s="14">
        <v>0</v>
      </c>
      <c r="T121" s="14">
        <f t="shared" ref="T121:T122" si="271">IF(ROUND(R121*(1+V121),0)&gt;20000,ROUND(ROUND(R121*(1+V121),0)*2%,0),0)</f>
        <v>0</v>
      </c>
      <c r="U121" s="69"/>
      <c r="V121" s="69"/>
      <c r="W121" s="70"/>
      <c r="X121" s="15">
        <f t="shared" ref="X121:X122" si="272">(P121+Q121)/G121</f>
        <v>-8.5586698596262445E-2</v>
      </c>
      <c r="Y121" s="16">
        <f>VLOOKUP(C121,美股行情!A:C,3,FALSE)</f>
        <v>366.29</v>
      </c>
      <c r="Z121" s="38">
        <f>VLOOKUP(C121,美股行情!A:G,7,FALSE)</f>
        <v>-8.94</v>
      </c>
      <c r="AA121" s="90">
        <f ca="1">IF(I121="",((TODAY()-A121)*G121)/365.24,((I121-A121)*G121)/365.24)</f>
        <v>31.486146095717885</v>
      </c>
      <c r="AB121" s="276" t="s">
        <v>2731</v>
      </c>
      <c r="AC121" s="9"/>
    </row>
    <row r="122" spans="1:29" outlineLevel="1">
      <c r="A122" s="224">
        <v>46197</v>
      </c>
      <c r="B122" s="11" t="s">
        <v>19</v>
      </c>
      <c r="C122" s="357" t="s">
        <v>2802</v>
      </c>
      <c r="D122" s="189" t="str">
        <f>VLOOKUP(C122,美股行情!A:C,2,FALSE)</f>
        <v>特斯拉</v>
      </c>
      <c r="E122" s="11">
        <v>0.25501000000000001</v>
      </c>
      <c r="F122" s="11">
        <v>392.15</v>
      </c>
      <c r="G122" s="11">
        <v>100</v>
      </c>
      <c r="H122" s="11">
        <v>0.1</v>
      </c>
      <c r="I122" s="104"/>
      <c r="J122" s="16"/>
      <c r="K122" s="11">
        <f t="shared" si="268"/>
        <v>0</v>
      </c>
      <c r="L122" s="17"/>
      <c r="M122" s="11"/>
      <c r="N122" s="11">
        <v>0</v>
      </c>
      <c r="O122" s="13">
        <f t="shared" si="269"/>
        <v>93.407612900000004</v>
      </c>
      <c r="P122" s="14">
        <f t="shared" si="270"/>
        <v>-0.1</v>
      </c>
      <c r="Q122" s="14">
        <f t="shared" ref="Q122" si="273">IF(I122="",(O122-G122-(O122*0.1425%*0.65)-(O122*0.3%)-S122-T122),0)</f>
        <v>-6.9591287401486213</v>
      </c>
      <c r="R122" s="289"/>
      <c r="S122" s="14">
        <v>0</v>
      </c>
      <c r="T122" s="14">
        <f t="shared" si="271"/>
        <v>0</v>
      </c>
      <c r="U122" s="69"/>
      <c r="V122" s="69"/>
      <c r="W122" s="70"/>
      <c r="X122" s="15">
        <f t="shared" si="272"/>
        <v>-7.0591287401486208E-2</v>
      </c>
      <c r="Y122" s="16">
        <f>VLOOKUP(C122,美股行情!A:C,3,FALSE)</f>
        <v>366.29</v>
      </c>
      <c r="Z122" s="38">
        <f>VLOOKUP(C122,美股行情!A:G,7,FALSE)</f>
        <v>-8.94</v>
      </c>
      <c r="AA122" s="90">
        <f t="shared" ref="AA122" ca="1" si="274">IF(I122="",((TODAY()-A122)*G122)/365.24,((I122-A122)*G122)/365.24)</f>
        <v>30.938560946227138</v>
      </c>
      <c r="AB122" s="276" t="s">
        <v>2731</v>
      </c>
      <c r="AC122" s="9"/>
    </row>
    <row r="123" spans="1:29">
      <c r="A123" s="224">
        <v>46136</v>
      </c>
      <c r="B123" s="11" t="s">
        <v>19</v>
      </c>
      <c r="C123" s="357" t="s">
        <v>2873</v>
      </c>
      <c r="D123" s="189" t="str">
        <f>VLOOKUP(C123,美股行情!A:C,2,FALSE)</f>
        <v>禮來製藥</v>
      </c>
      <c r="E123" s="11">
        <v>0.48520000000000002</v>
      </c>
      <c r="F123" s="11">
        <v>927.45</v>
      </c>
      <c r="G123" s="11">
        <v>450</v>
      </c>
      <c r="H123" s="11">
        <v>0.45</v>
      </c>
      <c r="I123" s="104"/>
      <c r="J123" s="16"/>
      <c r="K123" s="11">
        <f t="shared" si="258"/>
        <v>0</v>
      </c>
      <c r="L123" s="17"/>
      <c r="M123" s="11"/>
      <c r="N123" s="11">
        <v>0</v>
      </c>
      <c r="O123" s="13">
        <f t="shared" si="265"/>
        <v>587.232708</v>
      </c>
      <c r="P123" s="14">
        <f t="shared" si="250"/>
        <v>2.3999999999999995</v>
      </c>
      <c r="Q123" s="14">
        <f t="shared" si="251"/>
        <v>134.92708558021502</v>
      </c>
      <c r="R123" s="289">
        <f>1.05+1.21+0.59</f>
        <v>2.8499999999999996</v>
      </c>
      <c r="S123" s="14">
        <v>0</v>
      </c>
      <c r="T123" s="14">
        <f t="shared" si="266"/>
        <v>0</v>
      </c>
      <c r="U123" s="69"/>
      <c r="V123" s="69"/>
      <c r="W123" s="70"/>
      <c r="X123" s="15">
        <f t="shared" si="267"/>
        <v>0.3051713012893667</v>
      </c>
      <c r="Y123" s="16">
        <f>VLOOKUP(C123,美股行情!A:C,3,FALSE)</f>
        <v>1210.29</v>
      </c>
      <c r="Z123" s="38">
        <f>VLOOKUP(C123,美股行情!A:G,7,FALSE)</f>
        <v>43.78</v>
      </c>
      <c r="AA123" s="90">
        <f t="shared" ca="1" si="252"/>
        <v>214.37958602562699</v>
      </c>
      <c r="AB123" s="276" t="s">
        <v>2731</v>
      </c>
      <c r="AC123" s="9"/>
    </row>
    <row r="124" spans="1:29">
      <c r="A124" s="224">
        <v>46258</v>
      </c>
      <c r="B124" s="11" t="s">
        <v>19</v>
      </c>
      <c r="C124" s="401" t="s">
        <v>3257</v>
      </c>
      <c r="D124" s="189" t="str">
        <f>VLOOKUP(C124,美股行情!A:C,2,FALSE)</f>
        <v>Vanguard Total World Stock Index Fund ETF Shares</v>
      </c>
      <c r="E124" s="11">
        <v>48</v>
      </c>
      <c r="F124" s="11">
        <v>160.24</v>
      </c>
      <c r="G124" s="11">
        <v>7691.52</v>
      </c>
      <c r="H124" s="11">
        <v>19.32</v>
      </c>
      <c r="I124" s="104"/>
      <c r="J124" s="16"/>
      <c r="K124" s="11">
        <f t="shared" si="258"/>
        <v>0</v>
      </c>
      <c r="L124" s="17"/>
      <c r="M124" s="11"/>
      <c r="N124" s="11">
        <v>0</v>
      </c>
      <c r="O124" s="13">
        <f t="shared" ref="O124:O125" si="275">IF(I124="",E124*Y124,0)</f>
        <v>7599.36</v>
      </c>
      <c r="P124" s="14">
        <f t="shared" si="250"/>
        <v>-19.32</v>
      </c>
      <c r="Q124" s="14">
        <f t="shared" ref="Q124:Q125" si="276">IF(I124="",(O124-G124-(O124*0.1425%*0.65)-(O124*0.3%)-S124-T124),0)</f>
        <v>-121.99698720000076</v>
      </c>
      <c r="R124" s="289"/>
      <c r="S124" s="14">
        <v>0</v>
      </c>
      <c r="T124" s="14">
        <f t="shared" si="266"/>
        <v>0</v>
      </c>
      <c r="U124" s="69"/>
      <c r="V124" s="69"/>
      <c r="W124" s="70"/>
      <c r="X124" s="15">
        <f t="shared" si="267"/>
        <v>-1.8373089740389516E-2</v>
      </c>
      <c r="Y124" s="16">
        <f>VLOOKUP(C124,美股行情!A:C,3,FALSE)</f>
        <v>158.32</v>
      </c>
      <c r="Z124" s="38">
        <f>VLOOKUP(C124,美股行情!A:G,7,FALSE)</f>
        <v>-1.44</v>
      </c>
      <c r="AA124" s="90">
        <f t="shared" ref="AA124:AA125" ca="1" si="277">IF(I124="",((TODAY()-A124)*G124)/365.24,((I124-A124)*G124)/365.24)</f>
        <v>1095.058153542876</v>
      </c>
      <c r="AB124" s="276" t="s">
        <v>2731</v>
      </c>
      <c r="AC124" s="9"/>
    </row>
    <row r="125" spans="1:29">
      <c r="A125" s="224">
        <v>46258</v>
      </c>
      <c r="B125" s="11" t="s">
        <v>19</v>
      </c>
      <c r="C125" s="400" t="s">
        <v>3136</v>
      </c>
      <c r="D125" s="189" t="str">
        <f>VLOOKUP(C125,美股行情!A:C,2,FALSE)</f>
        <v>景順QQQ ETF</v>
      </c>
      <c r="E125" s="11">
        <v>16</v>
      </c>
      <c r="F125" s="11">
        <v>707.9</v>
      </c>
      <c r="G125" s="11">
        <v>11326.1</v>
      </c>
      <c r="H125" s="11">
        <v>28.32</v>
      </c>
      <c r="I125" s="104"/>
      <c r="J125" s="16"/>
      <c r="K125" s="11">
        <f t="shared" si="258"/>
        <v>0</v>
      </c>
      <c r="L125" s="17"/>
      <c r="M125" s="11"/>
      <c r="N125" s="11">
        <v>0</v>
      </c>
      <c r="O125" s="13">
        <f t="shared" si="275"/>
        <v>11790.4</v>
      </c>
      <c r="P125" s="14">
        <f t="shared" ref="P125" si="278">IF(I125="",R125-H125,(K125-H125-SUM(L125:N125)+R125-S125-T125)-G125)+(ROUND(R125*V125,0)-ROUND(R125*(1+V125),0)*W125)</f>
        <v>-28.32</v>
      </c>
      <c r="Q125" s="14">
        <f t="shared" si="276"/>
        <v>418.00794199999928</v>
      </c>
      <c r="R125" s="289"/>
      <c r="S125" s="14">
        <v>0</v>
      </c>
      <c r="T125" s="14">
        <f t="shared" si="266"/>
        <v>0</v>
      </c>
      <c r="U125" s="69"/>
      <c r="V125" s="69"/>
      <c r="W125" s="70"/>
      <c r="X125" s="15">
        <f t="shared" si="267"/>
        <v>3.4406189420895038E-2</v>
      </c>
      <c r="Y125" s="16">
        <f>VLOOKUP(C125,美股行情!A:C,3,FALSE)</f>
        <v>736.9</v>
      </c>
      <c r="Z125" s="38">
        <f>VLOOKUP(C125,美股行情!A:G,7,FALSE)</f>
        <v>-6.67</v>
      </c>
      <c r="AA125" s="90">
        <f t="shared" ca="1" si="277"/>
        <v>1612.5210820282555</v>
      </c>
      <c r="AB125" s="276" t="s">
        <v>2731</v>
      </c>
      <c r="AC125" s="9"/>
    </row>
    <row r="126" spans="1:29">
      <c r="A126" s="224">
        <v>46302</v>
      </c>
      <c r="B126" s="11" t="s">
        <v>19</v>
      </c>
      <c r="C126" s="402" t="s">
        <v>5758</v>
      </c>
      <c r="D126" s="189" t="str">
        <f>VLOOKUP(C126,美股行情!A:C,2,FALSE)</f>
        <v>Vanguard FTSE All-World UCITS ETF USD Accumulation</v>
      </c>
      <c r="E126" s="11">
        <v>6</v>
      </c>
      <c r="F126" s="11">
        <v>193.14</v>
      </c>
      <c r="G126" s="11">
        <v>1158.8399999999999</v>
      </c>
      <c r="H126" s="11">
        <v>28.32</v>
      </c>
      <c r="I126" s="104"/>
      <c r="J126" s="16"/>
      <c r="K126" s="11">
        <f t="shared" ref="K126" si="279">E126*J126</f>
        <v>0</v>
      </c>
      <c r="L126" s="17"/>
      <c r="M126" s="11"/>
      <c r="N126" s="11">
        <v>0</v>
      </c>
      <c r="O126" s="13">
        <f t="shared" ref="O126" si="280">IF(I126="",E126*Y126,0)</f>
        <v>1152.96</v>
      </c>
      <c r="P126" s="14">
        <f t="shared" si="250"/>
        <v>-28.32</v>
      </c>
      <c r="Q126" s="14">
        <f t="shared" ref="Q126" si="281">IF(I126="",(O126-G126-(O126*0.1425%*0.65)-(O126*0.3%)-S126-T126),0)</f>
        <v>-10.406809199999882</v>
      </c>
      <c r="R126" s="289"/>
      <c r="S126" s="14">
        <v>0</v>
      </c>
      <c r="T126" s="14">
        <f t="shared" ref="T126" si="282">IF(ROUND(R126*(1+V126),0)&gt;20000,ROUND(ROUND(R126*(1+V126),0)*2%,0),0)</f>
        <v>0</v>
      </c>
      <c r="U126" s="69"/>
      <c r="V126" s="69"/>
      <c r="W126" s="70"/>
      <c r="X126" s="15">
        <f t="shared" ref="X126" si="283">(P126+Q126)/G126</f>
        <v>-3.3418598943771263E-2</v>
      </c>
      <c r="Y126" s="16">
        <f>VLOOKUP(C126,美股行情!A:C,3,FALSE)</f>
        <v>192.16</v>
      </c>
      <c r="Z126" s="38">
        <f>VLOOKUP(C126,美股行情!A:G,7,FALSE)</f>
        <v>-0.96</v>
      </c>
      <c r="AA126" s="90">
        <f t="shared" ref="AA126" ca="1" si="284">IF(I126="",((TODAY()-A126)*G126)/365.24,((I126-A126)*G126)/365.24)</f>
        <v>25.382542985434231</v>
      </c>
      <c r="AB126" s="276" t="s">
        <v>2731</v>
      </c>
      <c r="AC126" s="9"/>
    </row>
    <row r="127" spans="1:29" ht="17.25" thickBot="1">
      <c r="A127" s="48"/>
      <c r="B127" s="49"/>
      <c r="C127" s="49"/>
      <c r="D127" s="49"/>
      <c r="E127" s="49"/>
      <c r="F127" s="49"/>
      <c r="G127" s="49"/>
      <c r="H127" s="49"/>
      <c r="I127" s="50"/>
      <c r="J127" s="51"/>
      <c r="K127" s="49"/>
      <c r="L127" s="52"/>
      <c r="M127" s="49"/>
      <c r="N127" s="49"/>
      <c r="O127" s="53"/>
      <c r="P127" s="54"/>
      <c r="Q127" s="54"/>
      <c r="R127" s="54"/>
      <c r="S127" s="54"/>
      <c r="T127" s="60"/>
      <c r="U127" s="54"/>
      <c r="V127" s="54"/>
      <c r="W127" s="78"/>
      <c r="X127" s="55"/>
      <c r="Y127" s="51"/>
      <c r="Z127" s="56"/>
      <c r="AA127" s="28"/>
      <c r="AB127" s="9"/>
      <c r="AC127" s="9"/>
    </row>
    <row r="128" spans="1:29" s="36" customFormat="1" ht="17.25" thickBot="1">
      <c r="A128" s="9"/>
      <c r="B128" s="9"/>
      <c r="C128" s="9"/>
      <c r="D128" s="179" t="s">
        <v>2563</v>
      </c>
      <c r="E128" s="425"/>
      <c r="F128" s="426"/>
      <c r="G128" s="63">
        <f>SUM(G110:G127)</f>
        <v>32753.31</v>
      </c>
      <c r="H128" s="63">
        <f>SUM(H110:H127)</f>
        <v>101.935</v>
      </c>
      <c r="I128" s="425"/>
      <c r="J128" s="426"/>
      <c r="K128" s="63">
        <f t="shared" ref="K128:R128" si="285">SUM(K110:K127)</f>
        <v>3007.45</v>
      </c>
      <c r="L128" s="63">
        <f t="shared" si="285"/>
        <v>3.2800000000000002</v>
      </c>
      <c r="M128" s="63">
        <f t="shared" si="285"/>
        <v>0</v>
      </c>
      <c r="N128" s="63">
        <f t="shared" si="285"/>
        <v>0</v>
      </c>
      <c r="O128" s="63">
        <f t="shared" si="285"/>
        <v>36907.471577099997</v>
      </c>
      <c r="P128" s="102">
        <f t="shared" si="285"/>
        <v>422.1049999999999</v>
      </c>
      <c r="Q128" s="101">
        <f t="shared" si="285"/>
        <v>6506.1036168204091</v>
      </c>
      <c r="R128" s="63">
        <f t="shared" si="285"/>
        <v>16.72</v>
      </c>
      <c r="S128" s="72"/>
      <c r="T128" s="72"/>
      <c r="U128" s="72"/>
      <c r="V128" s="72"/>
      <c r="W128" s="72"/>
      <c r="X128" s="180">
        <f>(P128+Q128)/G128</f>
        <v>0.21152697595511441</v>
      </c>
      <c r="Y128" s="9"/>
      <c r="Z128" s="9"/>
      <c r="AA128" s="87"/>
    </row>
    <row r="129" spans="1:29" s="36" customFormat="1" ht="17.25" thickBot="1">
      <c r="A129" s="9"/>
      <c r="B129" s="9"/>
      <c r="C129" s="9"/>
      <c r="D129" s="179" t="s">
        <v>2575</v>
      </c>
      <c r="E129" s="425"/>
      <c r="F129" s="426"/>
      <c r="G129" s="63">
        <f>G128*匯率!B3</f>
        <v>1036183.71516</v>
      </c>
      <c r="H129" s="63">
        <f>H128*匯率!B3</f>
        <v>3224.8156600000002</v>
      </c>
      <c r="I129" s="425"/>
      <c r="J129" s="426"/>
      <c r="K129" s="63">
        <f>SUM(K110:K128)</f>
        <v>6014.9</v>
      </c>
      <c r="L129" s="63">
        <f>SUM(L110:L128)</f>
        <v>6.5600000000000005</v>
      </c>
      <c r="M129" s="63">
        <f>SUM(M110:M128)</f>
        <v>0</v>
      </c>
      <c r="N129" s="63">
        <f>SUM(N110:N128)</f>
        <v>0</v>
      </c>
      <c r="O129" s="63">
        <f>O128*匯率!B3</f>
        <v>1167604.7708131354</v>
      </c>
      <c r="P129" s="102">
        <f>P128*匯率!B3</f>
        <v>13353.713779999996</v>
      </c>
      <c r="Q129" s="63">
        <f>Q128*匯率!B3</f>
        <v>205827.09402173045</v>
      </c>
      <c r="R129" s="63">
        <f>R128*匯率!B3</f>
        <v>528.95391999999993</v>
      </c>
      <c r="S129" s="72"/>
      <c r="T129" s="72"/>
      <c r="U129" s="72"/>
      <c r="V129" s="72"/>
      <c r="W129" s="72"/>
      <c r="X129" s="180">
        <f>(P129+Q129)/G129</f>
        <v>0.21152697595511441</v>
      </c>
      <c r="Y129" s="9"/>
      <c r="Z129" s="9"/>
      <c r="AA129" s="87"/>
      <c r="AB129" s="276"/>
    </row>
    <row r="130" spans="1:29" ht="17.25" thickBot="1">
      <c r="A130" s="37"/>
      <c r="B130" s="37"/>
      <c r="C130" s="37"/>
      <c r="D130" s="28"/>
    </row>
    <row r="131" spans="1:29" s="8" customFormat="1" ht="17.25" thickBot="1">
      <c r="A131" s="403" t="s">
        <v>2660</v>
      </c>
      <c r="B131" s="404"/>
      <c r="C131" s="405"/>
      <c r="D131" s="251" t="s">
        <v>2728</v>
      </c>
      <c r="E131" s="413"/>
      <c r="F131" s="404"/>
      <c r="G131" s="251" t="s">
        <v>2652</v>
      </c>
      <c r="H131" s="251" t="s">
        <v>25</v>
      </c>
      <c r="I131" s="415"/>
      <c r="J131" s="305"/>
      <c r="K131" s="292"/>
      <c r="L131" s="292"/>
      <c r="M131" s="292"/>
      <c r="N131" s="293"/>
      <c r="O131" s="251" t="s">
        <v>2653</v>
      </c>
      <c r="P131" s="251" t="s">
        <v>2654</v>
      </c>
      <c r="Q131" s="251" t="s">
        <v>2655</v>
      </c>
      <c r="R131" s="251" t="s">
        <v>2656</v>
      </c>
      <c r="S131" s="251" t="s">
        <v>25</v>
      </c>
      <c r="T131" s="251" t="s">
        <v>26</v>
      </c>
      <c r="U131" s="421"/>
      <c r="V131" s="246" t="s">
        <v>28</v>
      </c>
      <c r="W131" s="246" t="s">
        <v>27</v>
      </c>
      <c r="X131" s="251" t="s">
        <v>2657</v>
      </c>
      <c r="Y131" s="251" t="s">
        <v>23</v>
      </c>
      <c r="Z131" s="251" t="s">
        <v>168</v>
      </c>
      <c r="AA131" s="89"/>
      <c r="AB131" s="86"/>
      <c r="AC131" s="182"/>
    </row>
    <row r="132" spans="1:29" outlineLevel="1">
      <c r="A132" s="406"/>
      <c r="B132" s="407"/>
      <c r="C132" s="408"/>
      <c r="D132" s="246" t="s">
        <v>2732</v>
      </c>
      <c r="E132" s="414"/>
      <c r="F132" s="407"/>
      <c r="G132" s="265"/>
      <c r="H132" s="265"/>
      <c r="I132" s="416"/>
      <c r="J132" s="306"/>
      <c r="K132" s="294"/>
      <c r="L132" s="294"/>
      <c r="M132" s="294"/>
      <c r="N132" s="295"/>
      <c r="O132" s="265">
        <f>'Richard-帳戶紀錄'!D323</f>
        <v>210275</v>
      </c>
      <c r="P132" s="266"/>
      <c r="Q132" s="266"/>
      <c r="R132" s="265"/>
      <c r="S132" s="304"/>
      <c r="T132" s="304"/>
      <c r="U132" s="422"/>
      <c r="V132" s="257"/>
      <c r="W132" s="257"/>
      <c r="X132" s="267"/>
      <c r="Y132" s="267"/>
      <c r="Z132" s="268"/>
      <c r="AA132" s="9">
        <f>SUMIF(AB$2:AB$129,D132,AA$2:AA$129)</f>
        <v>0</v>
      </c>
    </row>
    <row r="133" spans="1:29" outlineLevel="1">
      <c r="A133" s="406"/>
      <c r="B133" s="407"/>
      <c r="C133" s="408"/>
      <c r="D133" s="264" t="s">
        <v>2729</v>
      </c>
      <c r="E133" s="414"/>
      <c r="F133" s="407"/>
      <c r="G133" s="265">
        <f>SUMIF(AB$2:AB$129,D133,G$2:G$129)</f>
        <v>953950</v>
      </c>
      <c r="H133" s="265">
        <f>SUMIF(AB$2:AB$129,D133,H$2:H$129)</f>
        <v>1343</v>
      </c>
      <c r="I133" s="416"/>
      <c r="J133" s="306"/>
      <c r="K133" s="294"/>
      <c r="L133" s="294"/>
      <c r="M133" s="294"/>
      <c r="N133" s="295"/>
      <c r="O133" s="265">
        <f>SUMIF(AB$2:AB$129,D133,O$2:O$129)</f>
        <v>482600</v>
      </c>
      <c r="P133" s="266">
        <f>SUMIF(AB$2:AB$129,D133,P$2:P$129)</f>
        <v>117678</v>
      </c>
      <c r="Q133" s="266">
        <f>SUMIF(AB$2:AB$129,"*"&amp;D133&amp;"*",Q$2:Q$129)</f>
        <v>145819.61587324992</v>
      </c>
      <c r="R133" s="265">
        <f>SUMIF(AB$2:AB$129,D133,R$2:R$129)</f>
        <v>7038</v>
      </c>
      <c r="S133" s="257"/>
      <c r="T133" s="257"/>
      <c r="U133" s="422"/>
      <c r="V133" s="257"/>
      <c r="W133" s="257"/>
      <c r="X133" s="267">
        <f>(SUMIF(AB$2:AB$129,D133,P$2:P$129)+SUMIF(AB$2:AB$129,"*"&amp;D133&amp;"*",Q$2:Q$129))/SUMIF(AB$2:AB$129,D133,G$2:G$129)</f>
        <v>0.27621742845353525</v>
      </c>
      <c r="Y133" s="267">
        <f t="shared" ref="Y133:Y134" ca="1" si="286">(P133+Q133)/(AA133)</f>
        <v>0.47377691999069488</v>
      </c>
      <c r="Z133" s="268">
        <f>COUNTIFS(X$2:X$129,"&gt;0",AB$2:AB$129,D133)/COUNTIF(AB$2:AB$129,D133)</f>
        <v>0.8</v>
      </c>
      <c r="AA133" s="9">
        <f ca="1">SUMIF(AB$2:AB$129,D133,AA$2:AA$129)</f>
        <v>556163.89223524253</v>
      </c>
    </row>
    <row r="134" spans="1:29" ht="17.25" outlineLevel="1" thickBot="1">
      <c r="A134" s="406"/>
      <c r="B134" s="407"/>
      <c r="C134" s="408"/>
      <c r="D134" s="247" t="s">
        <v>2734</v>
      </c>
      <c r="E134" s="414"/>
      <c r="F134" s="407"/>
      <c r="G134" s="265">
        <f>SUMIF(AB$2:AB$129,D134,G$2:G$129)</f>
        <v>1186018</v>
      </c>
      <c r="H134" s="265">
        <f>SUMIF(AB$2:AB$129,D134,H$2:H$129)</f>
        <v>1304</v>
      </c>
      <c r="I134" s="416"/>
      <c r="J134" s="306"/>
      <c r="K134" s="294"/>
      <c r="L134" s="294"/>
      <c r="M134" s="294"/>
      <c r="N134" s="295"/>
      <c r="O134" s="265">
        <f>SUMIF(AB$2:AB$129,D134,O$2:O$129)</f>
        <v>564145.39999999979</v>
      </c>
      <c r="P134" s="266">
        <f>SUMIF(AB$2:AB$129,D134,P$2:P$129)</f>
        <v>183930.03999999998</v>
      </c>
      <c r="Q134" s="266">
        <f>SUMIF(AB$2:AB$129,"*"&amp;D134&amp;"*",Q$2:Q$129)</f>
        <v>137534.42412324998</v>
      </c>
      <c r="R134" s="265">
        <f>SUMIF(AB$2:AB$129,D134,R$2:R$129)</f>
        <v>53310.3</v>
      </c>
      <c r="S134" s="303"/>
      <c r="T134" s="303"/>
      <c r="U134" s="422"/>
      <c r="V134" s="261"/>
      <c r="W134" s="261"/>
      <c r="X134" s="267">
        <f>(SUMIF(AB$2:AB$129,D134,P$2:P$129)+SUMIF(AB$2:AB$129,"*"&amp;D134&amp;"*",Q$2:Q$129))/SUMIF(AB$2:AB$129,D134,G$2:G$129)</f>
        <v>0.27104518154298668</v>
      </c>
      <c r="Y134" s="267">
        <f t="shared" ca="1" si="286"/>
        <v>0.36024349803430422</v>
      </c>
      <c r="Z134" s="268">
        <f>COUNTIFS(X$2:X$129,"&gt;0",AB$2:AB$129,D134)/COUNTIF(AB$2:AB$129,D134)</f>
        <v>0.77906976744186052</v>
      </c>
      <c r="AA134" s="9">
        <f ca="1">SUMIF(AB$2:AB$129,D134,AA$2:AA$129)</f>
        <v>892353.27182126825</v>
      </c>
    </row>
    <row r="135" spans="1:29" outlineLevel="1">
      <c r="A135" s="409"/>
      <c r="B135" s="407"/>
      <c r="C135" s="408"/>
      <c r="D135" s="269" t="s">
        <v>2731</v>
      </c>
      <c r="E135" s="407"/>
      <c r="F135" s="407"/>
      <c r="G135" s="265">
        <f>SUMIF(AB$2:AB$129,D135,G$2:G$129)*匯率!B3</f>
        <v>1036183.71516</v>
      </c>
      <c r="H135" s="265">
        <f>SUMIF(AB$2:AB$129,D135,H$2:H$129)*匯率!B3</f>
        <v>3224.8156600000002</v>
      </c>
      <c r="I135" s="417"/>
      <c r="J135" s="306"/>
      <c r="K135" s="294"/>
      <c r="L135" s="294"/>
      <c r="M135" s="294"/>
      <c r="N135" s="295"/>
      <c r="O135" s="265">
        <f>SUMIF(AB$2:AB$129,D135,O$2:O$129)*匯率!B3</f>
        <v>1167604.7708131354</v>
      </c>
      <c r="P135" s="266">
        <f>SUMIF(AB$2:AB$129,D135,P$2:P$129)*匯率!B3</f>
        <v>13353.713779999996</v>
      </c>
      <c r="Q135" s="266">
        <f>SUMIF(AB$2:AB$129,"*"&amp;D135&amp;"*",Q$2:Q$129)*匯率!B3</f>
        <v>205827.09402173045</v>
      </c>
      <c r="R135" s="265">
        <f>SUMIF(AB$2:AB$129,D135,R$2:R$129)*匯率!B3</f>
        <v>528.95391999999993</v>
      </c>
      <c r="S135" s="257"/>
      <c r="T135" s="257"/>
      <c r="U135" s="423"/>
      <c r="V135" s="257"/>
      <c r="W135" s="257"/>
      <c r="X135" s="267">
        <f>(SUMIF(AB$2:AB$129,D135,P$2:P$129)+SUMIF(AB$2:AB$129,"*"&amp;D135&amp;"*",Q$2:Q$129))/SUMIF(AB$2:AB$129,D135,G$2:G$129)</f>
        <v>0.21152697595511441</v>
      </c>
      <c r="Y135" s="267">
        <f ca="1">(P135+Q135)/(AA135)</f>
        <v>11.45006890178748</v>
      </c>
      <c r="Z135" s="268">
        <f>COUNTIFS(X$2:X$129,"&gt;0",AB$2:AB$129,D135)/COUNTIF(AB$2:AB$129,D135)</f>
        <v>0.6875</v>
      </c>
      <c r="AA135" s="9">
        <f ca="1">SUMIF(AB$2:AB$129,D135,AA$2:AA$129)</f>
        <v>19142.313437739569</v>
      </c>
    </row>
    <row r="136" spans="1:29" ht="17.25" outlineLevel="1" thickBot="1">
      <c r="A136" s="409"/>
      <c r="B136" s="407"/>
      <c r="C136" s="408"/>
      <c r="D136" s="248" t="s">
        <v>2781</v>
      </c>
      <c r="E136" s="407"/>
      <c r="F136" s="407"/>
      <c r="G136" s="252"/>
      <c r="H136" s="252"/>
      <c r="I136" s="417"/>
      <c r="J136" s="307"/>
      <c r="K136" s="296"/>
      <c r="L136" s="296"/>
      <c r="M136" s="296"/>
      <c r="N136" s="297"/>
      <c r="O136" s="252">
        <f>'Richard-帳戶紀錄'!G323</f>
        <v>834936.99563999986</v>
      </c>
      <c r="P136" s="253"/>
      <c r="Q136" s="253"/>
      <c r="R136" s="252"/>
      <c r="S136" s="261"/>
      <c r="T136" s="261"/>
      <c r="U136" s="424"/>
      <c r="V136" s="261"/>
      <c r="W136" s="261"/>
      <c r="X136" s="254"/>
      <c r="Y136" s="254"/>
      <c r="Z136" s="255"/>
      <c r="AA136" s="9">
        <f>SUMIF(AB$2:AB$129,D136,AA$2:AA$129)</f>
        <v>0</v>
      </c>
    </row>
    <row r="137" spans="1:29" ht="17.25" outlineLevel="1" thickBot="1">
      <c r="A137" s="410"/>
      <c r="B137" s="411"/>
      <c r="C137" s="412"/>
      <c r="D137" s="248" t="s">
        <v>2860</v>
      </c>
      <c r="E137" s="411"/>
      <c r="F137" s="411"/>
      <c r="G137" s="252">
        <f>SUM(G132:G136)</f>
        <v>3176151.7151600001</v>
      </c>
      <c r="H137" s="252">
        <f>SUM(H132:H136)</f>
        <v>5871.8156600000002</v>
      </c>
      <c r="I137" s="418"/>
      <c r="J137" s="301"/>
      <c r="K137" s="302"/>
      <c r="L137" s="302"/>
      <c r="M137" s="302"/>
      <c r="N137" s="302"/>
      <c r="O137" s="252">
        <f t="shared" ref="O137:W137" si="287">SUM(O132:O136)</f>
        <v>3259562.1664531352</v>
      </c>
      <c r="P137" s="252">
        <f t="shared" si="287"/>
        <v>314961.75377999997</v>
      </c>
      <c r="Q137" s="252">
        <f t="shared" si="287"/>
        <v>489181.13401823037</v>
      </c>
      <c r="R137" s="252">
        <f t="shared" si="287"/>
        <v>60877.253920000003</v>
      </c>
      <c r="S137" s="252"/>
      <c r="T137" s="252"/>
      <c r="U137" s="252">
        <f t="shared" si="287"/>
        <v>0</v>
      </c>
      <c r="V137" s="252">
        <f t="shared" si="287"/>
        <v>0</v>
      </c>
      <c r="W137" s="252">
        <f t="shared" si="287"/>
        <v>0</v>
      </c>
      <c r="X137" s="254">
        <f>(P137+Q137)/G137</f>
        <v>0.25318151017786672</v>
      </c>
      <c r="Y137" s="254"/>
      <c r="Z137" s="252"/>
    </row>
    <row r="138" spans="1:29">
      <c r="B138" s="37"/>
      <c r="C138" s="37"/>
      <c r="D138" s="28"/>
    </row>
    <row r="139" spans="1:29">
      <c r="B139" s="37"/>
      <c r="C139" s="37"/>
      <c r="D139" s="28"/>
    </row>
  </sheetData>
  <autoFilter ref="A1:AA141" xr:uid="{00000000-0009-0000-0000-000001000000}"/>
  <mergeCells count="14">
    <mergeCell ref="A131:C137"/>
    <mergeCell ref="E131:F137"/>
    <mergeCell ref="I131:I137"/>
    <mergeCell ref="Y102:Y108"/>
    <mergeCell ref="U131:U136"/>
    <mergeCell ref="E128:F128"/>
    <mergeCell ref="I128:J128"/>
    <mergeCell ref="A102:C108"/>
    <mergeCell ref="E102:F108"/>
    <mergeCell ref="I102:I108"/>
    <mergeCell ref="J102:J108"/>
    <mergeCell ref="K102:N102"/>
    <mergeCell ref="E129:F129"/>
    <mergeCell ref="I129:J129"/>
  </mergeCells>
  <phoneticPr fontId="74" type="noConversion"/>
  <conditionalFormatting sqref="I70 I101 I110">
    <cfRule type="expression" dxfId="143" priority="343">
      <formula>$I70&gt;(TODAY()-7)</formula>
    </cfRule>
    <cfRule type="expression" dxfId="142" priority="344">
      <formula>$I70&gt;(TODAY()-30)</formula>
    </cfRule>
  </conditionalFormatting>
  <conditionalFormatting sqref="I127">
    <cfRule type="expression" dxfId="141" priority="325">
      <formula>$I127&gt;(TODAY()-7)</formula>
    </cfRule>
    <cfRule type="expression" dxfId="140" priority="326">
      <formula>$I127&gt;(TODAY()-30)</formula>
    </cfRule>
  </conditionalFormatting>
  <conditionalFormatting sqref="Z110:Z127 Z2:Z101">
    <cfRule type="cellIs" dxfId="139" priority="341" operator="lessThan">
      <formula>0</formula>
    </cfRule>
    <cfRule type="cellIs" dxfId="138" priority="342" operator="greaterThan">
      <formula>0</formula>
    </cfRule>
  </conditionalFormatting>
  <conditionalFormatting sqref="Z44:Z68">
    <cfRule type="cellIs" dxfId="137" priority="273" operator="lessThan">
      <formula>0</formula>
    </cfRule>
    <cfRule type="cellIs" dxfId="136" priority="274" operator="greaterThan">
      <formula>0</formula>
    </cfRule>
  </conditionalFormatting>
  <conditionalFormatting sqref="Z119 Z127:Z129">
    <cfRule type="containsText" dxfId="135" priority="21" operator="containsText" text="△">
      <formula>NOT(ISERROR(SEARCH("△",Z119)))</formula>
    </cfRule>
    <cfRule type="containsText" dxfId="134" priority="22" operator="containsText" text="▽">
      <formula>NOT(ISERROR(SEARCH("▽",Z119)))</formula>
    </cfRule>
  </conditionalFormatting>
  <conditionalFormatting sqref="Z1:AA70 Z101:AA101 Z102:Z108 Z109:AA109 Z110:Z113 Z118:Z119 Z130:AA136 AA137 Z138:AA1048576">
    <cfRule type="containsText" dxfId="133" priority="346" operator="containsText" text="▽">
      <formula>NOT(ISERROR(SEARCH("▽",Z1)))</formula>
    </cfRule>
  </conditionalFormatting>
  <conditionalFormatting sqref="Z1:AA70 Z101:AA101 Z110:Z113 Z118:Z119 Z130:AA136 Z102:Z108 Z109:AA109 AA137 Z138:AA1048576">
    <cfRule type="containsText" dxfId="132" priority="345" operator="containsText" text="△">
      <formula>NOT(ISERROR(SEARCH("△",Z1)))</formula>
    </cfRule>
  </conditionalFormatting>
  <conditionalFormatting sqref="Z2:AA69 Z111:AA126 Z71:AA100">
    <cfRule type="containsText" dxfId="131" priority="337" operator="containsText" text="▲">
      <formula>NOT(ISERROR(SEARCH("▲",Z2)))</formula>
    </cfRule>
    <cfRule type="containsText" dxfId="130" priority="338" operator="containsText" text="▼">
      <formula>NOT(ISERROR(SEARCH("▼",Z2)))</formula>
    </cfRule>
  </conditionalFormatting>
  <conditionalFormatting sqref="Z3:AA3">
    <cfRule type="containsText" dxfId="129" priority="313" operator="containsText" text="▲">
      <formula>NOT(ISERROR(SEARCH("▲",Z3)))</formula>
    </cfRule>
    <cfRule type="containsText" dxfId="128" priority="314" operator="containsText" text="▼">
      <formula>NOT(ISERROR(SEARCH("▼",Z3)))</formula>
    </cfRule>
  </conditionalFormatting>
  <conditionalFormatting sqref="Z18:AA68">
    <cfRule type="containsText" dxfId="127" priority="113" operator="containsText" text="▲">
      <formula>NOT(ISERROR(SEARCH("▲",Z18)))</formula>
    </cfRule>
    <cfRule type="containsText" dxfId="126" priority="114" operator="containsText" text="▼">
      <formula>NOT(ISERROR(SEARCH("▼",Z18)))</formula>
    </cfRule>
  </conditionalFormatting>
  <conditionalFormatting sqref="Z19:AA68">
    <cfRule type="containsText" dxfId="125" priority="93" operator="containsText" text="▲">
      <formula>NOT(ISERROR(SEARCH("▲",Z19)))</formula>
    </cfRule>
    <cfRule type="containsText" dxfId="124" priority="94" operator="containsText" text="▼">
      <formula>NOT(ISERROR(SEARCH("▼",Z19)))</formula>
    </cfRule>
  </conditionalFormatting>
  <conditionalFormatting sqref="Z21:AA22">
    <cfRule type="containsText" dxfId="123" priority="107" operator="containsText" text="▲">
      <formula>NOT(ISERROR(SEARCH("▲",Z21)))</formula>
    </cfRule>
    <cfRule type="containsText" dxfId="122" priority="108" operator="containsText" text="▼">
      <formula>NOT(ISERROR(SEARCH("▼",Z21)))</formula>
    </cfRule>
  </conditionalFormatting>
  <conditionalFormatting sqref="Z22:AA22">
    <cfRule type="containsText" dxfId="121" priority="99" operator="containsText" text="▲">
      <formula>NOT(ISERROR(SEARCH("▲",Z22)))</formula>
    </cfRule>
    <cfRule type="containsText" dxfId="120" priority="100" operator="containsText" text="▼">
      <formula>NOT(ISERROR(SEARCH("▼",Z22)))</formula>
    </cfRule>
  </conditionalFormatting>
  <conditionalFormatting sqref="Z23:AA68">
    <cfRule type="containsText" dxfId="119" priority="85" operator="containsText" text="▲">
      <formula>NOT(ISERROR(SEARCH("▲",Z23)))</formula>
    </cfRule>
    <cfRule type="containsText" dxfId="118" priority="86" operator="containsText" text="▼">
      <formula>NOT(ISERROR(SEARCH("▼",Z23)))</formula>
    </cfRule>
  </conditionalFormatting>
  <conditionalFormatting sqref="Z26:AA68">
    <cfRule type="containsText" dxfId="117" priority="269" operator="containsText" text="▲">
      <formula>NOT(ISERROR(SEARCH("▲",Z26)))</formula>
    </cfRule>
    <cfRule type="containsText" dxfId="116" priority="270" operator="containsText" text="▼">
      <formula>NOT(ISERROR(SEARCH("▼",Z26)))</formula>
    </cfRule>
  </conditionalFormatting>
  <conditionalFormatting sqref="Z27:AA68">
    <cfRule type="containsText" dxfId="115" priority="181" operator="containsText" text="▲">
      <formula>NOT(ISERROR(SEARCH("▲",Z27)))</formula>
    </cfRule>
    <cfRule type="containsText" dxfId="114" priority="182" operator="containsText" text="▼">
      <formula>NOT(ISERROR(SEARCH("▼",Z27)))</formula>
    </cfRule>
  </conditionalFormatting>
  <conditionalFormatting sqref="Z28:AA68">
    <cfRule type="containsText" dxfId="113" priority="179" operator="containsText" text="▲">
      <formula>NOT(ISERROR(SEARCH("▲",Z28)))</formula>
    </cfRule>
    <cfRule type="containsText" dxfId="112" priority="180" operator="containsText" text="▼">
      <formula>NOT(ISERROR(SEARCH("▼",Z28)))</formula>
    </cfRule>
  </conditionalFormatting>
  <conditionalFormatting sqref="Z30:AA68">
    <cfRule type="containsText" dxfId="111" priority="169" operator="containsText" text="▲">
      <formula>NOT(ISERROR(SEARCH("▲",Z30)))</formula>
    </cfRule>
    <cfRule type="containsText" dxfId="110" priority="170" operator="containsText" text="▼">
      <formula>NOT(ISERROR(SEARCH("▼",Z30)))</formula>
    </cfRule>
  </conditionalFormatting>
  <conditionalFormatting sqref="Z31:AA68">
    <cfRule type="containsText" dxfId="109" priority="163" operator="containsText" text="▲">
      <formula>NOT(ISERROR(SEARCH("▲",Z31)))</formula>
    </cfRule>
    <cfRule type="containsText" dxfId="108" priority="164" operator="containsText" text="▼">
      <formula>NOT(ISERROR(SEARCH("▼",Z31)))</formula>
    </cfRule>
  </conditionalFormatting>
  <conditionalFormatting sqref="Z32:AA68">
    <cfRule type="containsText" dxfId="107" priority="157" operator="containsText" text="▲">
      <formula>NOT(ISERROR(SEARCH("▲",Z32)))</formula>
    </cfRule>
    <cfRule type="containsText" dxfId="106" priority="158" operator="containsText" text="▼">
      <formula>NOT(ISERROR(SEARCH("▼",Z32)))</formula>
    </cfRule>
  </conditionalFormatting>
  <conditionalFormatting sqref="Z33:AA68">
    <cfRule type="containsText" dxfId="105" priority="151" operator="containsText" text="▲">
      <formula>NOT(ISERROR(SEARCH("▲",Z33)))</formula>
    </cfRule>
    <cfRule type="containsText" dxfId="104" priority="152" operator="containsText" text="▼">
      <formula>NOT(ISERROR(SEARCH("▼",Z33)))</formula>
    </cfRule>
  </conditionalFormatting>
  <conditionalFormatting sqref="Z34:AA68">
    <cfRule type="containsText" dxfId="103" priority="133" operator="containsText" text="▲">
      <formula>NOT(ISERROR(SEARCH("▲",Z34)))</formula>
    </cfRule>
    <cfRule type="containsText" dxfId="102" priority="134" operator="containsText" text="▼">
      <formula>NOT(ISERROR(SEARCH("▼",Z34)))</formula>
    </cfRule>
  </conditionalFormatting>
  <conditionalFormatting sqref="Z35:AA68">
    <cfRule type="containsText" dxfId="101" priority="127" operator="containsText" text="▲">
      <formula>NOT(ISERROR(SEARCH("▲",Z35)))</formula>
    </cfRule>
    <cfRule type="containsText" dxfId="100" priority="128" operator="containsText" text="▼">
      <formula>NOT(ISERROR(SEARCH("▼",Z35)))</formula>
    </cfRule>
  </conditionalFormatting>
  <conditionalFormatting sqref="Z36:AA68">
    <cfRule type="containsText" dxfId="99" priority="121" operator="containsText" text="▲">
      <formula>NOT(ISERROR(SEARCH("▲",Z36)))</formula>
    </cfRule>
    <cfRule type="containsText" dxfId="98" priority="122" operator="containsText" text="▼">
      <formula>NOT(ISERROR(SEARCH("▼",Z36)))</formula>
    </cfRule>
  </conditionalFormatting>
  <conditionalFormatting sqref="Z37:AA68">
    <cfRule type="containsText" dxfId="97" priority="115" operator="containsText" text="▲">
      <formula>NOT(ISERROR(SEARCH("▲",Z37)))</formula>
    </cfRule>
    <cfRule type="containsText" dxfId="96" priority="116" operator="containsText" text="▼">
      <formula>NOT(ISERROR(SEARCH("▼",Z37)))</formula>
    </cfRule>
  </conditionalFormatting>
  <conditionalFormatting sqref="Z38:AA68">
    <cfRule type="containsText" dxfId="95" priority="101" operator="containsText" text="▲">
      <formula>NOT(ISERROR(SEARCH("▲",Z38)))</formula>
    </cfRule>
    <cfRule type="containsText" dxfId="94" priority="102" operator="containsText" text="▼">
      <formula>NOT(ISERROR(SEARCH("▼",Z38)))</formula>
    </cfRule>
  </conditionalFormatting>
  <conditionalFormatting sqref="Z39:AA68">
    <cfRule type="containsText" dxfId="93" priority="103" operator="containsText" text="▲">
      <formula>NOT(ISERROR(SEARCH("▲",Z39)))</formula>
    </cfRule>
    <cfRule type="containsText" dxfId="92" priority="104" operator="containsText" text="▼">
      <formula>NOT(ISERROR(SEARCH("▼",Z39)))</formula>
    </cfRule>
  </conditionalFormatting>
  <conditionalFormatting sqref="Z40:AA68">
    <cfRule type="containsText" dxfId="91" priority="83" operator="containsText" text="▲">
      <formula>NOT(ISERROR(SEARCH("▲",Z40)))</formula>
    </cfRule>
    <cfRule type="containsText" dxfId="90" priority="84" operator="containsText" text="▼">
      <formula>NOT(ISERROR(SEARCH("▼",Z40)))</formula>
    </cfRule>
  </conditionalFormatting>
  <conditionalFormatting sqref="Z41:AA68">
    <cfRule type="containsText" dxfId="89" priority="67" operator="containsText" text="▲">
      <formula>NOT(ISERROR(SEARCH("▲",Z41)))</formula>
    </cfRule>
    <cfRule type="containsText" dxfId="88" priority="68" operator="containsText" text="▼">
      <formula>NOT(ISERROR(SEARCH("▼",Z41)))</formula>
    </cfRule>
  </conditionalFormatting>
  <conditionalFormatting sqref="Z42:AA42">
    <cfRule type="containsText" dxfId="87" priority="155" operator="containsText" text="▲">
      <formula>NOT(ISERROR(SEARCH("▲",Z42)))</formula>
    </cfRule>
    <cfRule type="containsText" dxfId="86" priority="156" operator="containsText" text="▼">
      <formula>NOT(ISERROR(SEARCH("▼",Z42)))</formula>
    </cfRule>
  </conditionalFormatting>
  <conditionalFormatting sqref="Z44:AA68">
    <cfRule type="containsText" dxfId="85" priority="271" operator="containsText" text="▲">
      <formula>NOT(ISERROR(SEARCH("▲",Z44)))</formula>
    </cfRule>
    <cfRule type="containsText" dxfId="84" priority="272" operator="containsText" text="▼">
      <formula>NOT(ISERROR(SEARCH("▼",Z44)))</formula>
    </cfRule>
  </conditionalFormatting>
  <conditionalFormatting sqref="Z45:AA68">
    <cfRule type="containsText" dxfId="83" priority="183" operator="containsText" text="▲">
      <formula>NOT(ISERROR(SEARCH("▲",Z45)))</formula>
    </cfRule>
    <cfRule type="containsText" dxfId="82" priority="184" operator="containsText" text="▼">
      <formula>NOT(ISERROR(SEARCH("▼",Z45)))</formula>
    </cfRule>
  </conditionalFormatting>
  <conditionalFormatting sqref="Z46:AA68">
    <cfRule type="containsText" dxfId="81" priority="267" operator="containsText" text="▲">
      <formula>NOT(ISERROR(SEARCH("▲",Z46)))</formula>
    </cfRule>
    <cfRule type="containsText" dxfId="80" priority="268" operator="containsText" text="▼">
      <formula>NOT(ISERROR(SEARCH("▼",Z46)))</formula>
    </cfRule>
  </conditionalFormatting>
  <conditionalFormatting sqref="Z47:AA68">
    <cfRule type="containsText" dxfId="79" priority="185" operator="containsText" text="▲">
      <formula>NOT(ISERROR(SEARCH("▲",Z47)))</formula>
    </cfRule>
    <cfRule type="containsText" dxfId="78" priority="186" operator="containsText" text="▼">
      <formula>NOT(ISERROR(SEARCH("▼",Z47)))</formula>
    </cfRule>
  </conditionalFormatting>
  <conditionalFormatting sqref="Z48:AA48">
    <cfRule type="containsText" dxfId="77" priority="277" operator="containsText" text="▲">
      <formula>NOT(ISERROR(SEARCH("▲",Z48)))</formula>
    </cfRule>
    <cfRule type="containsText" dxfId="76" priority="278" operator="containsText" text="▼">
      <formula>NOT(ISERROR(SEARCH("▼",Z48)))</formula>
    </cfRule>
  </conditionalFormatting>
  <conditionalFormatting sqref="Z49:AA68">
    <cfRule type="containsText" dxfId="75" priority="265" operator="containsText" text="▲">
      <formula>NOT(ISERROR(SEARCH("▲",Z49)))</formula>
    </cfRule>
    <cfRule type="containsText" dxfId="74" priority="266" operator="containsText" text="▼">
      <formula>NOT(ISERROR(SEARCH("▼",Z49)))</formula>
    </cfRule>
  </conditionalFormatting>
  <conditionalFormatting sqref="Z50:AA51">
    <cfRule type="containsText" dxfId="73" priority="171" operator="containsText" text="▲">
      <formula>NOT(ISERROR(SEARCH("▲",Z50)))</formula>
    </cfRule>
    <cfRule type="containsText" dxfId="72" priority="172" operator="containsText" text="▼">
      <formula>NOT(ISERROR(SEARCH("▼",Z50)))</formula>
    </cfRule>
  </conditionalFormatting>
  <conditionalFormatting sqref="Z52:AA52">
    <cfRule type="containsText" dxfId="71" priority="257" operator="containsText" text="▲">
      <formula>NOT(ISERROR(SEARCH("▲",Z52)))</formula>
    </cfRule>
    <cfRule type="containsText" dxfId="70" priority="258" operator="containsText" text="▼">
      <formula>NOT(ISERROR(SEARCH("▼",Z52)))</formula>
    </cfRule>
  </conditionalFormatting>
  <conditionalFormatting sqref="Z53:AA68">
    <cfRule type="containsText" dxfId="69" priority="165" operator="containsText" text="▲">
      <formula>NOT(ISERROR(SEARCH("▲",Z53)))</formula>
    </cfRule>
    <cfRule type="containsText" dxfId="68" priority="166" operator="containsText" text="▼">
      <formula>NOT(ISERROR(SEARCH("▼",Z53)))</formula>
    </cfRule>
  </conditionalFormatting>
  <conditionalFormatting sqref="Z75:AA75">
    <cfRule type="containsText" dxfId="67" priority="75" operator="containsText" text="▲">
      <formula>NOT(ISERROR(SEARCH("▲",Z75)))</formula>
    </cfRule>
    <cfRule type="containsText" dxfId="66" priority="76" operator="containsText" text="▼">
      <formula>NOT(ISERROR(SEARCH("▼",Z75)))</formula>
    </cfRule>
    <cfRule type="containsText" dxfId="65" priority="79" operator="containsText" text="△">
      <formula>NOT(ISERROR(SEARCH("△",Z75)))</formula>
    </cfRule>
    <cfRule type="containsText" dxfId="64" priority="80" operator="containsText" text="▽">
      <formula>NOT(ISERROR(SEARCH("▽",Z75)))</formula>
    </cfRule>
  </conditionalFormatting>
  <conditionalFormatting sqref="Z75:AA76">
    <cfRule type="containsText" dxfId="63" priority="61" operator="containsText" text="▲">
      <formula>NOT(ISERROR(SEARCH("▲",Z75)))</formula>
    </cfRule>
    <cfRule type="containsText" dxfId="62" priority="62" operator="containsText" text="▼">
      <formula>NOT(ISERROR(SEARCH("▼",Z75)))</formula>
    </cfRule>
  </conditionalFormatting>
  <conditionalFormatting sqref="Z76:AA76">
    <cfRule type="containsText" dxfId="61" priority="65" operator="containsText" text="△">
      <formula>NOT(ISERROR(SEARCH("△",Z76)))</formula>
    </cfRule>
    <cfRule type="containsText" dxfId="60" priority="66" operator="containsText" text="▽">
      <formula>NOT(ISERROR(SEARCH("▽",Z76)))</formula>
    </cfRule>
  </conditionalFormatting>
  <conditionalFormatting sqref="Z76:AA81">
    <cfRule type="containsText" dxfId="59" priority="49" operator="containsText" text="▲">
      <formula>NOT(ISERROR(SEARCH("▲",Z76)))</formula>
    </cfRule>
    <cfRule type="containsText" dxfId="58" priority="50" operator="containsText" text="▼">
      <formula>NOT(ISERROR(SEARCH("▼",Z76)))</formula>
    </cfRule>
  </conditionalFormatting>
  <conditionalFormatting sqref="Z77:AA81">
    <cfRule type="containsText" dxfId="57" priority="47" operator="containsText" text="▲">
      <formula>NOT(ISERROR(SEARCH("▲",Z77)))</formula>
    </cfRule>
    <cfRule type="containsText" dxfId="56" priority="48" operator="containsText" text="▼">
      <formula>NOT(ISERROR(SEARCH("▼",Z77)))</formula>
    </cfRule>
    <cfRule type="containsText" dxfId="55" priority="53" operator="containsText" text="△">
      <formula>NOT(ISERROR(SEARCH("△",Z77)))</formula>
    </cfRule>
    <cfRule type="containsText" dxfId="54" priority="54" operator="containsText" text="▽">
      <formula>NOT(ISERROR(SEARCH("▽",Z77)))</formula>
    </cfRule>
  </conditionalFormatting>
  <conditionalFormatting sqref="Z78:AA81">
    <cfRule type="containsText" dxfId="53" priority="27" operator="containsText" text="▲">
      <formula>NOT(ISERROR(SEARCH("▲",Z78)))</formula>
    </cfRule>
    <cfRule type="containsText" dxfId="52" priority="28" operator="containsText" text="▼">
      <formula>NOT(ISERROR(SEARCH("▼",Z78)))</formula>
    </cfRule>
    <cfRule type="containsText" dxfId="51" priority="29" operator="containsText" text="▲">
      <formula>NOT(ISERROR(SEARCH("▲",Z78)))</formula>
    </cfRule>
    <cfRule type="containsText" dxfId="50" priority="30" operator="containsText" text="▼">
      <formula>NOT(ISERROR(SEARCH("▼",Z78)))</formula>
    </cfRule>
    <cfRule type="containsText" dxfId="49" priority="33" operator="containsText" text="△">
      <formula>NOT(ISERROR(SEARCH("△",Z78)))</formula>
    </cfRule>
    <cfRule type="containsText" dxfId="48" priority="34" operator="containsText" text="▽">
      <formula>NOT(ISERROR(SEARCH("▽",Z78)))</formula>
    </cfRule>
  </conditionalFormatting>
  <conditionalFormatting sqref="Z79:AA81">
    <cfRule type="containsText" dxfId="47" priority="9" operator="containsText" text="▲">
      <formula>NOT(ISERROR(SEARCH("▲",Z79)))</formula>
    </cfRule>
    <cfRule type="containsText" dxfId="46" priority="10" operator="containsText" text="▼">
      <formula>NOT(ISERROR(SEARCH("▼",Z79)))</formula>
    </cfRule>
    <cfRule type="containsText" dxfId="45" priority="11" operator="containsText" text="▲">
      <formula>NOT(ISERROR(SEARCH("▲",Z79)))</formula>
    </cfRule>
    <cfRule type="containsText" dxfId="44" priority="12" operator="containsText" text="▼">
      <formula>NOT(ISERROR(SEARCH("▼",Z79)))</formula>
    </cfRule>
    <cfRule type="containsText" dxfId="43" priority="13" operator="containsText" text="▲">
      <formula>NOT(ISERROR(SEARCH("▲",Z79)))</formula>
    </cfRule>
    <cfRule type="containsText" dxfId="42" priority="14" operator="containsText" text="▼">
      <formula>NOT(ISERROR(SEARCH("▼",Z79)))</formula>
    </cfRule>
    <cfRule type="containsText" dxfId="41" priority="15" operator="containsText" text="△">
      <formula>NOT(ISERROR(SEARCH("△",Z79)))</formula>
    </cfRule>
    <cfRule type="containsText" dxfId="40" priority="16" operator="containsText" text="▽">
      <formula>NOT(ISERROR(SEARCH("▽",Z79)))</formula>
    </cfRule>
  </conditionalFormatting>
  <conditionalFormatting sqref="Z80:AA81">
    <cfRule type="containsText" dxfId="39" priority="1" operator="containsText" text="▲">
      <formula>NOT(ISERROR(SEARCH("▲",Z80)))</formula>
    </cfRule>
    <cfRule type="containsText" dxfId="38" priority="2" operator="containsText" text="▼">
      <formula>NOT(ISERROR(SEARCH("▼",Z80)))</formula>
    </cfRule>
    <cfRule type="containsText" dxfId="37" priority="3" operator="containsText" text="▲">
      <formula>NOT(ISERROR(SEARCH("▲",Z80)))</formula>
    </cfRule>
    <cfRule type="containsText" dxfId="36" priority="4" operator="containsText" text="▼">
      <formula>NOT(ISERROR(SEARCH("▼",Z80)))</formula>
    </cfRule>
    <cfRule type="containsText" dxfId="35" priority="5" operator="containsText" text="▲">
      <formula>NOT(ISERROR(SEARCH("▲",Z80)))</formula>
    </cfRule>
    <cfRule type="containsText" dxfId="34" priority="6" operator="containsText" text="▼">
      <formula>NOT(ISERROR(SEARCH("▼",Z80)))</formula>
    </cfRule>
    <cfRule type="containsText" dxfId="33" priority="7" operator="containsText" text="△">
      <formula>NOT(ISERROR(SEARCH("△",Z80)))</formula>
    </cfRule>
    <cfRule type="containsText" dxfId="32" priority="8" operator="containsText" text="▽">
      <formula>NOT(ISERROR(SEARCH("▽",Z80)))</formula>
    </cfRule>
  </conditionalFormatting>
  <conditionalFormatting sqref="AA2:AA3">
    <cfRule type="containsText" dxfId="31" priority="311" operator="containsText" text="△">
      <formula>NOT(ISERROR(SEARCH("△",AA2)))</formula>
    </cfRule>
    <cfRule type="containsText" dxfId="30" priority="312" operator="containsText" text="▽">
      <formula>NOT(ISERROR(SEARCH("▽",AA2)))</formula>
    </cfRule>
  </conditionalFormatting>
  <conditionalFormatting sqref="AA2:AA4">
    <cfRule type="containsText" dxfId="29" priority="303" operator="containsText" text="△">
      <formula>NOT(ISERROR(SEARCH("△",AA2)))</formula>
    </cfRule>
    <cfRule type="containsText" dxfId="28" priority="304" operator="containsText" text="▽">
      <formula>NOT(ISERROR(SEARCH("▽",AA2)))</formula>
    </cfRule>
  </conditionalFormatting>
  <conditionalFormatting sqref="AA4:AA6">
    <cfRule type="containsText" dxfId="27" priority="299" operator="containsText" text="△">
      <formula>NOT(ISERROR(SEARCH("△",AA4)))</formula>
    </cfRule>
    <cfRule type="containsText" dxfId="26" priority="300" operator="containsText" text="▽">
      <formula>NOT(ISERROR(SEARCH("▽",AA4)))</formula>
    </cfRule>
  </conditionalFormatting>
  <conditionalFormatting sqref="AA5">
    <cfRule type="containsText" dxfId="25" priority="297" operator="containsText" text="△">
      <formula>NOT(ISERROR(SEARCH("△",AA5)))</formula>
    </cfRule>
    <cfRule type="containsText" dxfId="24" priority="298" operator="containsText" text="▽">
      <formula>NOT(ISERROR(SEARCH("▽",AA5)))</formula>
    </cfRule>
  </conditionalFormatting>
  <conditionalFormatting sqref="AA6">
    <cfRule type="containsText" dxfId="23" priority="307" operator="containsText" text="△">
      <formula>NOT(ISERROR(SEARCH("△",AA6)))</formula>
    </cfRule>
    <cfRule type="containsText" dxfId="22" priority="308" operator="containsText" text="▽">
      <formula>NOT(ISERROR(SEARCH("▽",AA6)))</formula>
    </cfRule>
  </conditionalFormatting>
  <conditionalFormatting sqref="AA7">
    <cfRule type="containsText" dxfId="21" priority="293" operator="containsText" text="△">
      <formula>NOT(ISERROR(SEARCH("△",AA7)))</formula>
    </cfRule>
    <cfRule type="containsText" dxfId="20" priority="294" operator="containsText" text="▽">
      <formula>NOT(ISERROR(SEARCH("▽",AA7)))</formula>
    </cfRule>
    <cfRule type="containsText" dxfId="19" priority="295" operator="containsText" text="△">
      <formula>NOT(ISERROR(SEARCH("△",AA7)))</formula>
    </cfRule>
    <cfRule type="containsText" dxfId="18" priority="296" operator="containsText" text="▽">
      <formula>NOT(ISERROR(SEARCH("▽",AA7)))</formula>
    </cfRule>
  </conditionalFormatting>
  <conditionalFormatting sqref="AA24">
    <cfRule type="containsText" dxfId="17" priority="291" operator="containsText" text="△">
      <formula>NOT(ISERROR(SEARCH("△",AA24)))</formula>
    </cfRule>
    <cfRule type="containsText" dxfId="16" priority="292" operator="containsText" text="▽">
      <formula>NOT(ISERROR(SEARCH("▽",AA24)))</formula>
    </cfRule>
  </conditionalFormatting>
  <conditionalFormatting sqref="AA24:AA68">
    <cfRule type="containsText" dxfId="15" priority="287" operator="containsText" text="△">
      <formula>NOT(ISERROR(SEARCH("△",AA24)))</formula>
    </cfRule>
    <cfRule type="containsText" dxfId="14" priority="288" operator="containsText" text="▽">
      <formula>NOT(ISERROR(SEARCH("▽",AA24)))</formula>
    </cfRule>
  </conditionalFormatting>
  <conditionalFormatting sqref="AA25:AA68">
    <cfRule type="containsText" dxfId="13" priority="285" operator="containsText" text="△">
      <formula>NOT(ISERROR(SEARCH("△",AA25)))</formula>
    </cfRule>
    <cfRule type="containsText" dxfId="12" priority="286" operator="containsText" text="▽">
      <formula>NOT(ISERROR(SEARCH("▽",AA25)))</formula>
    </cfRule>
  </conditionalFormatting>
  <conditionalFormatting sqref="AA71">
    <cfRule type="containsText" dxfId="11" priority="281" operator="containsText" text="△">
      <formula>NOT(ISERROR(SEARCH("△",AA71)))</formula>
    </cfRule>
    <cfRule type="containsText" dxfId="10" priority="282" operator="containsText" text="▽">
      <formula>NOT(ISERROR(SEARCH("▽",AA71)))</formula>
    </cfRule>
    <cfRule type="containsText" dxfId="9" priority="283" operator="containsText" text="△">
      <formula>NOT(ISERROR(SEARCH("△",AA71)))</formula>
    </cfRule>
    <cfRule type="containsText" dxfId="8" priority="284" operator="containsText" text="▽">
      <formula>NOT(ISERROR(SEARCH("▽",AA71)))</formula>
    </cfRule>
  </conditionalFormatting>
  <conditionalFormatting sqref="AA102:AA108">
    <cfRule type="containsText" dxfId="7" priority="89" operator="containsText" text="▲">
      <formula>NOT(ISERROR(SEARCH("▲",AA102)))</formula>
    </cfRule>
    <cfRule type="containsText" dxfId="6" priority="90" operator="containsText" text="▼">
      <formula>NOT(ISERROR(SEARCH("▼",AA102)))</formula>
    </cfRule>
    <cfRule type="containsText" dxfId="5" priority="91" operator="containsText" text="▲">
      <formula>NOT(ISERROR(SEARCH("▲",AA102)))</formula>
    </cfRule>
    <cfRule type="containsText" dxfId="4" priority="92" operator="containsText" text="▼">
      <formula>NOT(ISERROR(SEARCH("▼",AA102)))</formula>
    </cfRule>
  </conditionalFormatting>
  <conditionalFormatting sqref="AA131">
    <cfRule type="containsText" dxfId="3" priority="319" operator="containsText" text="△">
      <formula>NOT(ISERROR(SEARCH("△",AA131)))</formula>
    </cfRule>
    <cfRule type="containsText" dxfId="2" priority="320" operator="containsText" text="▽">
      <formula>NOT(ISERROR(SEARCH("▽",AA131)))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E8EE-84AB-4726-8D44-EBE36C225EA5}">
  <sheetPr codeName="工作表5"/>
  <dimension ref="A1:S2316"/>
  <sheetViews>
    <sheetView workbookViewId="0">
      <pane ySplit="2" topLeftCell="A8" activePane="bottomLeft" state="frozen"/>
      <selection pane="bottomLeft" sqref="A1:N2316"/>
    </sheetView>
  </sheetViews>
  <sheetFormatPr defaultRowHeight="16.5"/>
  <cols>
    <col min="1" max="1" width="8.5" style="186" bestFit="1" customWidth="1"/>
    <col min="2" max="2" width="14.25" bestFit="1" customWidth="1"/>
    <col min="3" max="4" width="7.125" bestFit="1" customWidth="1"/>
    <col min="5" max="5" width="10.375" style="178" bestFit="1" customWidth="1"/>
    <col min="6" max="6" width="9" style="176" bestFit="1" customWidth="1"/>
    <col min="7" max="8" width="8.125" bestFit="1" customWidth="1"/>
    <col min="9" max="9" width="10.375" bestFit="1" customWidth="1"/>
    <col min="10" max="10" width="9.25" bestFit="1" customWidth="1"/>
    <col min="11" max="12" width="7.125" bestFit="1" customWidth="1"/>
    <col min="13" max="13" width="9.875" style="175" bestFit="1" customWidth="1"/>
    <col min="14" max="14" width="61.5" customWidth="1"/>
    <col min="16" max="16" width="11.25" customWidth="1"/>
    <col min="18" max="18" width="10.625" customWidth="1"/>
  </cols>
  <sheetData>
    <row r="1" spans="1:19" ht="18" thickTop="1" thickBot="1">
      <c r="A1" s="171" t="s">
        <v>1594</v>
      </c>
      <c r="B1" s="171" t="s">
        <v>1595</v>
      </c>
      <c r="C1" s="171" t="s">
        <v>1596</v>
      </c>
      <c r="D1" s="171" t="s">
        <v>1597</v>
      </c>
      <c r="E1" s="177" t="s">
        <v>1598</v>
      </c>
      <c r="F1" s="171" t="s">
        <v>1599</v>
      </c>
      <c r="G1" s="171" t="s">
        <v>1600</v>
      </c>
      <c r="H1" s="171" t="s">
        <v>1601</v>
      </c>
      <c r="I1" s="171" t="s">
        <v>1602</v>
      </c>
      <c r="J1" s="171" t="s">
        <v>1603</v>
      </c>
      <c r="K1" s="171" t="s">
        <v>1604</v>
      </c>
      <c r="L1" s="171" t="s">
        <v>1605</v>
      </c>
      <c r="M1" s="174" t="s">
        <v>1606</v>
      </c>
      <c r="N1" s="171" t="s">
        <v>3266</v>
      </c>
      <c r="P1" s="171" t="s">
        <v>1590</v>
      </c>
      <c r="Q1" s="172">
        <f>COUNTIF(E:E,"&gt;0")</f>
        <v>442</v>
      </c>
      <c r="R1" s="171" t="s">
        <v>1591</v>
      </c>
      <c r="S1" s="173">
        <f>COUNTIF(E:E,"&lt;0")</f>
        <v>1711</v>
      </c>
    </row>
    <row r="2" spans="1:19" ht="18" thickTop="1" thickBot="1">
      <c r="A2" t="s">
        <v>3099</v>
      </c>
      <c r="B2" t="s">
        <v>3100</v>
      </c>
      <c r="C2">
        <v>15.2</v>
      </c>
      <c r="D2">
        <v>14.94</v>
      </c>
      <c r="E2" s="178">
        <v>-0.84</v>
      </c>
      <c r="F2" s="176">
        <v>-5.32</v>
      </c>
      <c r="G2" t="s">
        <v>5619</v>
      </c>
      <c r="H2">
        <v>91532</v>
      </c>
      <c r="I2">
        <v>40257</v>
      </c>
      <c r="J2" t="s">
        <v>1555</v>
      </c>
      <c r="K2">
        <v>15.23</v>
      </c>
      <c r="L2">
        <v>14.9</v>
      </c>
      <c r="M2" s="175" t="s">
        <v>1555</v>
      </c>
      <c r="N2" t="s">
        <v>1555</v>
      </c>
      <c r="P2" s="171" t="s">
        <v>1592</v>
      </c>
      <c r="Q2" s="172">
        <f>COUNTIF(F:F,"&gt;9.8")</f>
        <v>7</v>
      </c>
      <c r="R2" s="171" t="s">
        <v>1593</v>
      </c>
      <c r="S2" s="173">
        <f>COUNTIF(F:F,"&lt;-9.8")</f>
        <v>35</v>
      </c>
    </row>
    <row r="3" spans="1:19" ht="17.25" thickTop="1">
      <c r="A3" t="s">
        <v>3101</v>
      </c>
      <c r="B3" t="s">
        <v>3102</v>
      </c>
      <c r="C3">
        <v>13.86</v>
      </c>
      <c r="D3">
        <v>13.68</v>
      </c>
      <c r="E3" s="178">
        <v>-0.56999999999999995</v>
      </c>
      <c r="F3" s="176">
        <v>-4</v>
      </c>
      <c r="G3" t="s">
        <v>5286</v>
      </c>
      <c r="H3">
        <v>14503</v>
      </c>
      <c r="I3">
        <v>8219</v>
      </c>
      <c r="J3" t="s">
        <v>1555</v>
      </c>
      <c r="K3">
        <v>13.94</v>
      </c>
      <c r="L3">
        <v>13.68</v>
      </c>
      <c r="M3" s="175" t="s">
        <v>1555</v>
      </c>
      <c r="N3" t="s">
        <v>1555</v>
      </c>
    </row>
    <row r="4" spans="1:19">
      <c r="A4" t="s">
        <v>3182</v>
      </c>
      <c r="B4" t="s">
        <v>3183</v>
      </c>
      <c r="C4">
        <v>9.83</v>
      </c>
      <c r="D4">
        <v>9.73</v>
      </c>
      <c r="E4" s="178">
        <v>-0.41</v>
      </c>
      <c r="F4" s="176">
        <v>-4.04</v>
      </c>
      <c r="G4" t="s">
        <v>5762</v>
      </c>
      <c r="H4">
        <v>6216</v>
      </c>
      <c r="I4">
        <v>4121</v>
      </c>
      <c r="J4" t="s">
        <v>1555</v>
      </c>
      <c r="K4">
        <v>9.83</v>
      </c>
      <c r="L4">
        <v>9.69</v>
      </c>
      <c r="M4" s="175" t="s">
        <v>1555</v>
      </c>
      <c r="N4" t="s">
        <v>1555</v>
      </c>
    </row>
    <row r="5" spans="1:19">
      <c r="A5" t="s">
        <v>3175</v>
      </c>
      <c r="B5" t="s">
        <v>3176</v>
      </c>
      <c r="C5">
        <v>10.59</v>
      </c>
      <c r="D5">
        <v>10.38</v>
      </c>
      <c r="E5" s="178">
        <v>-0.62</v>
      </c>
      <c r="F5" s="176">
        <v>-5.64</v>
      </c>
      <c r="G5" t="s">
        <v>5607</v>
      </c>
      <c r="H5">
        <v>324859</v>
      </c>
      <c r="I5">
        <v>135800</v>
      </c>
      <c r="J5" t="s">
        <v>1555</v>
      </c>
      <c r="K5">
        <v>10.62</v>
      </c>
      <c r="L5">
        <v>10.3</v>
      </c>
      <c r="M5" s="175" t="s">
        <v>1555</v>
      </c>
      <c r="N5" t="s">
        <v>1555</v>
      </c>
    </row>
    <row r="6" spans="1:19">
      <c r="A6" t="s">
        <v>3184</v>
      </c>
      <c r="B6" t="s">
        <v>3185</v>
      </c>
      <c r="C6">
        <v>9.66</v>
      </c>
      <c r="D6">
        <v>9.58</v>
      </c>
      <c r="E6" s="178">
        <v>-0.38</v>
      </c>
      <c r="F6" s="176">
        <v>-3.82</v>
      </c>
      <c r="G6" t="s">
        <v>5211</v>
      </c>
      <c r="H6">
        <v>16309</v>
      </c>
      <c r="I6">
        <v>7584</v>
      </c>
      <c r="J6" t="s">
        <v>1555</v>
      </c>
      <c r="K6">
        <v>9.6999999999999993</v>
      </c>
      <c r="L6">
        <v>9.5500000000000007</v>
      </c>
      <c r="M6" s="175" t="s">
        <v>1555</v>
      </c>
      <c r="N6" t="s">
        <v>1555</v>
      </c>
    </row>
    <row r="7" spans="1:19">
      <c r="A7" t="s">
        <v>3186</v>
      </c>
      <c r="B7" t="s">
        <v>3187</v>
      </c>
      <c r="C7">
        <v>9.08</v>
      </c>
      <c r="D7">
        <v>8.75</v>
      </c>
      <c r="E7" s="178">
        <v>-0.62</v>
      </c>
      <c r="F7" s="176">
        <v>-6.62</v>
      </c>
      <c r="G7" t="s">
        <v>5633</v>
      </c>
      <c r="H7">
        <v>117754</v>
      </c>
      <c r="I7">
        <v>49950</v>
      </c>
      <c r="J7" t="s">
        <v>1555</v>
      </c>
      <c r="K7">
        <v>9.09</v>
      </c>
      <c r="L7">
        <v>8.7100000000000009</v>
      </c>
      <c r="M7" s="175" t="s">
        <v>1555</v>
      </c>
      <c r="N7" t="s">
        <v>1555</v>
      </c>
    </row>
    <row r="8" spans="1:19">
      <c r="A8" t="s">
        <v>3188</v>
      </c>
      <c r="B8" t="s">
        <v>3189</v>
      </c>
      <c r="C8">
        <v>9.6</v>
      </c>
      <c r="D8">
        <v>9.3000000000000007</v>
      </c>
      <c r="E8" s="178">
        <v>-0.61</v>
      </c>
      <c r="F8" s="176">
        <v>-6.16</v>
      </c>
      <c r="G8" t="s">
        <v>5539</v>
      </c>
      <c r="H8">
        <v>1765804</v>
      </c>
      <c r="I8">
        <v>459115</v>
      </c>
      <c r="J8" t="s">
        <v>1555</v>
      </c>
      <c r="K8">
        <v>9.65</v>
      </c>
      <c r="L8">
        <v>9.3000000000000007</v>
      </c>
      <c r="M8" s="175" t="s">
        <v>1555</v>
      </c>
      <c r="N8" t="s">
        <v>1555</v>
      </c>
    </row>
    <row r="9" spans="1:19">
      <c r="A9" t="s">
        <v>3194</v>
      </c>
      <c r="B9" t="s">
        <v>3195</v>
      </c>
      <c r="C9">
        <v>9.81</v>
      </c>
      <c r="D9">
        <v>9.64</v>
      </c>
      <c r="E9" s="178">
        <v>-0.61</v>
      </c>
      <c r="F9" s="176">
        <v>-5.95</v>
      </c>
      <c r="G9" t="s">
        <v>5763</v>
      </c>
      <c r="H9">
        <v>78219</v>
      </c>
      <c r="I9">
        <v>25487</v>
      </c>
      <c r="J9" t="s">
        <v>1555</v>
      </c>
      <c r="K9">
        <v>9.85</v>
      </c>
      <c r="L9">
        <v>9.57</v>
      </c>
      <c r="M9" s="175" t="s">
        <v>1555</v>
      </c>
      <c r="N9" t="s">
        <v>1555</v>
      </c>
    </row>
    <row r="10" spans="1:19">
      <c r="A10" t="s">
        <v>3213</v>
      </c>
      <c r="B10" t="s">
        <v>3214</v>
      </c>
      <c r="C10">
        <v>10.34</v>
      </c>
      <c r="D10">
        <v>10.19</v>
      </c>
      <c r="E10" s="178">
        <v>-0.53</v>
      </c>
      <c r="F10" s="176">
        <v>-4.9400000000000004</v>
      </c>
      <c r="G10" t="s">
        <v>5764</v>
      </c>
      <c r="H10">
        <v>4146</v>
      </c>
      <c r="I10">
        <v>1533</v>
      </c>
      <c r="J10" t="s">
        <v>1555</v>
      </c>
      <c r="K10">
        <v>10.35</v>
      </c>
      <c r="L10">
        <v>10.11</v>
      </c>
      <c r="M10" s="175" t="s">
        <v>1555</v>
      </c>
      <c r="N10" t="s">
        <v>1555</v>
      </c>
    </row>
    <row r="11" spans="1:19">
      <c r="A11" t="s">
        <v>3252</v>
      </c>
      <c r="B11" t="s">
        <v>3253</v>
      </c>
      <c r="C11">
        <v>9.36</v>
      </c>
      <c r="D11">
        <v>9.27</v>
      </c>
      <c r="E11" s="178">
        <v>-0.66</v>
      </c>
      <c r="F11" s="176">
        <v>-6.65</v>
      </c>
      <c r="G11" t="s">
        <v>5765</v>
      </c>
      <c r="H11">
        <v>60471</v>
      </c>
      <c r="I11">
        <v>21351</v>
      </c>
      <c r="J11" t="s">
        <v>1555</v>
      </c>
      <c r="K11">
        <v>9.3699999999999992</v>
      </c>
      <c r="L11">
        <v>9.19</v>
      </c>
      <c r="M11" s="175" t="s">
        <v>1555</v>
      </c>
      <c r="N11" t="s">
        <v>1555</v>
      </c>
    </row>
    <row r="12" spans="1:19">
      <c r="A12" t="s">
        <v>3236</v>
      </c>
      <c r="B12" t="s">
        <v>3237</v>
      </c>
      <c r="C12">
        <v>12.02</v>
      </c>
      <c r="D12">
        <v>11.8</v>
      </c>
      <c r="E12" s="178">
        <v>-0.76</v>
      </c>
      <c r="F12" s="176">
        <v>-6.05</v>
      </c>
      <c r="G12" t="s">
        <v>5688</v>
      </c>
      <c r="H12">
        <v>13058</v>
      </c>
      <c r="I12">
        <v>4452</v>
      </c>
      <c r="J12" t="s">
        <v>1555</v>
      </c>
      <c r="K12">
        <v>12.07</v>
      </c>
      <c r="L12">
        <v>11.76</v>
      </c>
      <c r="M12" s="175" t="s">
        <v>1555</v>
      </c>
      <c r="N12" t="s">
        <v>1555</v>
      </c>
    </row>
    <row r="13" spans="1:19">
      <c r="A13" t="s">
        <v>3242</v>
      </c>
      <c r="B13" t="s">
        <v>3243</v>
      </c>
      <c r="C13">
        <v>10.130000000000001</v>
      </c>
      <c r="D13">
        <v>10.1</v>
      </c>
      <c r="E13" s="178">
        <v>-0.65</v>
      </c>
      <c r="F13" s="176">
        <v>-6.05</v>
      </c>
      <c r="G13" t="s">
        <v>5766</v>
      </c>
      <c r="H13">
        <v>26375</v>
      </c>
      <c r="I13">
        <v>16352</v>
      </c>
      <c r="J13" t="s">
        <v>1555</v>
      </c>
      <c r="K13">
        <v>10.17</v>
      </c>
      <c r="L13">
        <v>10.07</v>
      </c>
      <c r="M13" s="175" t="s">
        <v>1555</v>
      </c>
      <c r="N13" t="s">
        <v>1555</v>
      </c>
    </row>
    <row r="14" spans="1:19">
      <c r="A14" s="274" t="s">
        <v>5369</v>
      </c>
      <c r="B14" t="s">
        <v>5370</v>
      </c>
      <c r="C14">
        <v>9.58</v>
      </c>
      <c r="D14">
        <v>9.33</v>
      </c>
      <c r="E14" s="178">
        <v>-0.51</v>
      </c>
      <c r="F14" s="176">
        <v>-5.18</v>
      </c>
      <c r="G14" t="s">
        <v>5767</v>
      </c>
      <c r="H14">
        <v>59591</v>
      </c>
      <c r="I14">
        <v>0</v>
      </c>
      <c r="J14" t="s">
        <v>1555</v>
      </c>
      <c r="K14">
        <v>9.59</v>
      </c>
      <c r="L14">
        <v>9.2899999999999991</v>
      </c>
      <c r="M14" s="175" t="s">
        <v>1555</v>
      </c>
      <c r="N14" t="s">
        <v>1555</v>
      </c>
    </row>
    <row r="15" spans="1:19">
      <c r="A15">
        <v>50</v>
      </c>
      <c r="B15" t="s">
        <v>1682</v>
      </c>
      <c r="C15">
        <v>110.15</v>
      </c>
      <c r="D15">
        <v>108.9</v>
      </c>
      <c r="E15" s="178">
        <v>-4.0999999999999996</v>
      </c>
      <c r="F15" s="176">
        <v>-3.63</v>
      </c>
      <c r="G15" t="s">
        <v>5768</v>
      </c>
      <c r="H15">
        <v>390829</v>
      </c>
      <c r="I15">
        <v>114796</v>
      </c>
      <c r="J15" t="s">
        <v>1555</v>
      </c>
      <c r="K15">
        <v>110.15</v>
      </c>
      <c r="L15">
        <v>108.55</v>
      </c>
      <c r="M15" s="175" t="s">
        <v>1555</v>
      </c>
      <c r="N15" t="s">
        <v>1555</v>
      </c>
    </row>
    <row r="16" spans="1:19">
      <c r="A16">
        <v>51</v>
      </c>
      <c r="B16" t="s">
        <v>1683</v>
      </c>
      <c r="C16">
        <v>150.9</v>
      </c>
      <c r="D16">
        <v>148.4</v>
      </c>
      <c r="E16" s="178">
        <v>-5.3</v>
      </c>
      <c r="F16" s="176">
        <v>-3.45</v>
      </c>
      <c r="G16" t="s">
        <v>5769</v>
      </c>
      <c r="H16">
        <v>83</v>
      </c>
      <c r="I16">
        <v>63</v>
      </c>
      <c r="J16" t="s">
        <v>1555</v>
      </c>
      <c r="K16">
        <v>150.9</v>
      </c>
      <c r="L16">
        <v>148.1</v>
      </c>
      <c r="M16" s="175" t="s">
        <v>1555</v>
      </c>
      <c r="N16" t="s">
        <v>1555</v>
      </c>
    </row>
    <row r="17" spans="1:14">
      <c r="A17">
        <v>52</v>
      </c>
      <c r="B17" t="s">
        <v>2949</v>
      </c>
      <c r="C17">
        <v>63.65</v>
      </c>
      <c r="D17">
        <v>63.15</v>
      </c>
      <c r="E17" s="178">
        <v>-2.5499999999999998</v>
      </c>
      <c r="F17" s="176">
        <v>-3.88</v>
      </c>
      <c r="G17" t="s">
        <v>5770</v>
      </c>
      <c r="H17">
        <v>55025</v>
      </c>
      <c r="I17">
        <v>21777</v>
      </c>
      <c r="J17" t="s">
        <v>1555</v>
      </c>
      <c r="K17">
        <v>63.95</v>
      </c>
      <c r="L17">
        <v>63.1</v>
      </c>
      <c r="M17" s="175" t="s">
        <v>1555</v>
      </c>
      <c r="N17" t="s">
        <v>1555</v>
      </c>
    </row>
    <row r="18" spans="1:14">
      <c r="A18">
        <v>53</v>
      </c>
      <c r="B18" t="s">
        <v>5371</v>
      </c>
      <c r="C18">
        <v>248.5</v>
      </c>
      <c r="D18">
        <v>243.75</v>
      </c>
      <c r="E18" s="178">
        <v>-9.3000000000000007</v>
      </c>
      <c r="F18" s="176">
        <v>-3.68</v>
      </c>
      <c r="G18" t="s">
        <v>5771</v>
      </c>
      <c r="H18">
        <v>1384</v>
      </c>
      <c r="I18">
        <v>542</v>
      </c>
      <c r="J18" t="s">
        <v>1555</v>
      </c>
      <c r="K18">
        <v>248.5</v>
      </c>
      <c r="L18">
        <v>242.75</v>
      </c>
      <c r="M18" s="175" t="s">
        <v>1555</v>
      </c>
      <c r="N18" t="s">
        <v>1555</v>
      </c>
    </row>
    <row r="19" spans="1:14">
      <c r="A19">
        <v>55</v>
      </c>
      <c r="B19" t="s">
        <v>1684</v>
      </c>
      <c r="C19">
        <v>50.7</v>
      </c>
      <c r="D19">
        <v>51.35</v>
      </c>
      <c r="E19" s="178">
        <v>0.55000000000000004</v>
      </c>
      <c r="F19" s="176">
        <v>1.08</v>
      </c>
      <c r="G19" t="s">
        <v>5772</v>
      </c>
      <c r="H19">
        <v>1645</v>
      </c>
      <c r="I19">
        <v>1031</v>
      </c>
      <c r="J19" t="s">
        <v>1555</v>
      </c>
      <c r="K19">
        <v>51.45</v>
      </c>
      <c r="L19">
        <v>49.5</v>
      </c>
      <c r="M19" s="175" t="s">
        <v>1555</v>
      </c>
      <c r="N19" t="s">
        <v>1555</v>
      </c>
    </row>
    <row r="20" spans="1:14">
      <c r="A20">
        <v>56</v>
      </c>
      <c r="B20" t="s">
        <v>1685</v>
      </c>
      <c r="C20">
        <v>58.4</v>
      </c>
      <c r="D20">
        <v>58.25</v>
      </c>
      <c r="E20" s="178">
        <v>-1.35</v>
      </c>
      <c r="F20" s="176">
        <v>-2.27</v>
      </c>
      <c r="G20" t="s">
        <v>5773</v>
      </c>
      <c r="H20">
        <v>164126</v>
      </c>
      <c r="I20">
        <v>40356</v>
      </c>
      <c r="J20" t="s">
        <v>1555</v>
      </c>
      <c r="K20">
        <v>58.65</v>
      </c>
      <c r="L20">
        <v>57.9</v>
      </c>
      <c r="M20" s="175" t="s">
        <v>1555</v>
      </c>
      <c r="N20" t="s">
        <v>1555</v>
      </c>
    </row>
    <row r="21" spans="1:14">
      <c r="A21">
        <v>57</v>
      </c>
      <c r="B21" t="s">
        <v>1686</v>
      </c>
      <c r="C21">
        <v>326.2</v>
      </c>
      <c r="D21">
        <v>324.95</v>
      </c>
      <c r="E21" s="178">
        <v>-10.85</v>
      </c>
      <c r="F21" s="176">
        <v>-3.23</v>
      </c>
      <c r="G21" t="s">
        <v>5727</v>
      </c>
      <c r="H21">
        <v>59</v>
      </c>
      <c r="I21">
        <v>43</v>
      </c>
      <c r="J21" t="s">
        <v>1555</v>
      </c>
      <c r="K21">
        <v>326.45</v>
      </c>
      <c r="L21">
        <v>324.55</v>
      </c>
      <c r="M21" s="175" t="s">
        <v>1555</v>
      </c>
      <c r="N21" t="s">
        <v>1555</v>
      </c>
    </row>
    <row r="22" spans="1:14">
      <c r="A22">
        <v>61</v>
      </c>
      <c r="B22" t="s">
        <v>1687</v>
      </c>
      <c r="C22">
        <v>22.7</v>
      </c>
      <c r="D22">
        <v>22.33</v>
      </c>
      <c r="E22" s="178">
        <v>-0.82</v>
      </c>
      <c r="F22" s="176">
        <v>-3.54</v>
      </c>
      <c r="G22" t="s">
        <v>5285</v>
      </c>
      <c r="H22">
        <v>150</v>
      </c>
      <c r="I22">
        <v>214</v>
      </c>
      <c r="J22" t="s">
        <v>1555</v>
      </c>
      <c r="K22">
        <v>22.7</v>
      </c>
      <c r="L22">
        <v>22.33</v>
      </c>
      <c r="M22" s="175" t="s">
        <v>1555</v>
      </c>
      <c r="N22" t="s">
        <v>1555</v>
      </c>
    </row>
    <row r="23" spans="1:14">
      <c r="A23">
        <v>6201</v>
      </c>
      <c r="B23" t="s">
        <v>1688</v>
      </c>
      <c r="C23">
        <v>45.98</v>
      </c>
      <c r="D23">
        <v>44.25</v>
      </c>
      <c r="E23" s="178">
        <v>-2.83</v>
      </c>
      <c r="F23" s="176">
        <v>-6.01</v>
      </c>
      <c r="G23" t="s">
        <v>5774</v>
      </c>
      <c r="H23">
        <v>459</v>
      </c>
      <c r="I23">
        <v>199</v>
      </c>
      <c r="J23" t="s">
        <v>1555</v>
      </c>
      <c r="K23">
        <v>45.98</v>
      </c>
      <c r="L23">
        <v>43.95</v>
      </c>
      <c r="M23" s="175" t="s">
        <v>1555</v>
      </c>
      <c r="N23" t="s">
        <v>1555</v>
      </c>
    </row>
    <row r="24" spans="1:14">
      <c r="A24">
        <v>6203</v>
      </c>
      <c r="B24" t="s">
        <v>1689</v>
      </c>
      <c r="C24">
        <v>198.8</v>
      </c>
      <c r="D24">
        <v>196.95</v>
      </c>
      <c r="E24" s="178">
        <v>-8.6999999999999993</v>
      </c>
      <c r="F24" s="176">
        <v>-4.2300000000000004</v>
      </c>
      <c r="G24" t="s">
        <v>5775</v>
      </c>
      <c r="H24">
        <v>4</v>
      </c>
      <c r="I24">
        <v>14</v>
      </c>
      <c r="J24" t="s">
        <v>1555</v>
      </c>
      <c r="K24">
        <v>198.8</v>
      </c>
      <c r="L24">
        <v>196.95</v>
      </c>
      <c r="M24" s="175" t="s">
        <v>1555</v>
      </c>
      <c r="N24" t="s">
        <v>1555</v>
      </c>
    </row>
    <row r="25" spans="1:14">
      <c r="A25">
        <v>6204</v>
      </c>
      <c r="B25" t="s">
        <v>1690</v>
      </c>
      <c r="C25">
        <v>236.25</v>
      </c>
      <c r="D25">
        <v>234.9</v>
      </c>
      <c r="E25" s="178">
        <v>-10.3</v>
      </c>
      <c r="F25" s="176">
        <v>-4.2</v>
      </c>
      <c r="G25" t="s">
        <v>5429</v>
      </c>
      <c r="H25">
        <v>8</v>
      </c>
      <c r="I25">
        <v>22</v>
      </c>
      <c r="J25" t="s">
        <v>1555</v>
      </c>
      <c r="K25">
        <v>236.25</v>
      </c>
      <c r="L25">
        <v>234.9</v>
      </c>
      <c r="M25" s="175" t="s">
        <v>1555</v>
      </c>
      <c r="N25" t="s">
        <v>1555</v>
      </c>
    </row>
    <row r="26" spans="1:14">
      <c r="A26">
        <v>6205</v>
      </c>
      <c r="B26" t="s">
        <v>1691</v>
      </c>
      <c r="C26">
        <v>38.5</v>
      </c>
      <c r="D26">
        <v>38.18</v>
      </c>
      <c r="E26" s="178">
        <v>-0.91</v>
      </c>
      <c r="F26" s="176">
        <v>-2.33</v>
      </c>
      <c r="G26" t="s">
        <v>5776</v>
      </c>
      <c r="H26">
        <v>630</v>
      </c>
      <c r="I26">
        <v>343</v>
      </c>
      <c r="J26" t="s">
        <v>1555</v>
      </c>
      <c r="K26">
        <v>38.54</v>
      </c>
      <c r="L26">
        <v>38.18</v>
      </c>
      <c r="M26" s="175" t="s">
        <v>1555</v>
      </c>
      <c r="N26" t="s">
        <v>1555</v>
      </c>
    </row>
    <row r="27" spans="1:14">
      <c r="A27">
        <v>6206</v>
      </c>
      <c r="B27" t="s">
        <v>1692</v>
      </c>
      <c r="C27">
        <v>35.57</v>
      </c>
      <c r="D27">
        <v>36.159999999999997</v>
      </c>
      <c r="E27" s="178">
        <v>-0.59</v>
      </c>
      <c r="F27" s="176">
        <v>-1.61</v>
      </c>
      <c r="G27" t="s">
        <v>5777</v>
      </c>
      <c r="H27">
        <v>122</v>
      </c>
      <c r="I27">
        <v>43</v>
      </c>
      <c r="J27" t="s">
        <v>1555</v>
      </c>
      <c r="K27">
        <v>36.89</v>
      </c>
      <c r="L27">
        <v>35.57</v>
      </c>
      <c r="M27" s="175" t="s">
        <v>1555</v>
      </c>
      <c r="N27" t="s">
        <v>1555</v>
      </c>
    </row>
    <row r="28" spans="1:14">
      <c r="A28">
        <v>6207</v>
      </c>
      <c r="B28" t="s">
        <v>1994</v>
      </c>
      <c r="C28">
        <v>30.2</v>
      </c>
      <c r="D28">
        <v>29.83</v>
      </c>
      <c r="E28" s="178">
        <v>-0.61</v>
      </c>
      <c r="F28" s="176">
        <v>-2</v>
      </c>
      <c r="G28" t="s">
        <v>5778</v>
      </c>
      <c r="H28">
        <v>360</v>
      </c>
      <c r="I28">
        <v>164</v>
      </c>
      <c r="J28" t="s">
        <v>1555</v>
      </c>
      <c r="K28">
        <v>30.2</v>
      </c>
      <c r="L28">
        <v>29.8</v>
      </c>
      <c r="M28" s="175" t="s">
        <v>1555</v>
      </c>
      <c r="N28" t="s">
        <v>1555</v>
      </c>
    </row>
    <row r="29" spans="1:14">
      <c r="A29">
        <v>6208</v>
      </c>
      <c r="B29" t="s">
        <v>1693</v>
      </c>
      <c r="C29">
        <v>251.45</v>
      </c>
      <c r="D29">
        <v>250.1</v>
      </c>
      <c r="E29" s="178">
        <v>-8.6</v>
      </c>
      <c r="F29" s="176">
        <v>-3.32</v>
      </c>
      <c r="G29" t="s">
        <v>5656</v>
      </c>
      <c r="H29">
        <v>7830</v>
      </c>
      <c r="I29">
        <v>3097</v>
      </c>
      <c r="J29" t="s">
        <v>1555</v>
      </c>
      <c r="K29">
        <v>252.4</v>
      </c>
      <c r="L29">
        <v>249.85</v>
      </c>
      <c r="M29" s="175" t="s">
        <v>1555</v>
      </c>
      <c r="N29" t="s">
        <v>1555</v>
      </c>
    </row>
    <row r="30" spans="1:14">
      <c r="A30" t="s">
        <v>1694</v>
      </c>
      <c r="B30" t="s">
        <v>1695</v>
      </c>
      <c r="C30" t="s">
        <v>1555</v>
      </c>
      <c r="D30" t="s">
        <v>1555</v>
      </c>
      <c r="E30" s="178" t="s">
        <v>1555</v>
      </c>
      <c r="F30" s="176" t="s">
        <v>1555</v>
      </c>
      <c r="G30" t="s">
        <v>1555</v>
      </c>
      <c r="H30">
        <v>0</v>
      </c>
      <c r="I30">
        <v>0</v>
      </c>
      <c r="J30" t="s">
        <v>1555</v>
      </c>
      <c r="K30" t="s">
        <v>1555</v>
      </c>
      <c r="L30" t="s">
        <v>1555</v>
      </c>
      <c r="M30" s="175" t="s">
        <v>1555</v>
      </c>
      <c r="N30" t="s">
        <v>1555</v>
      </c>
    </row>
    <row r="31" spans="1:14">
      <c r="A31" t="s">
        <v>3089</v>
      </c>
      <c r="B31" t="s">
        <v>3090</v>
      </c>
      <c r="C31">
        <v>37.770000000000003</v>
      </c>
      <c r="D31">
        <v>37.14</v>
      </c>
      <c r="E31" s="178">
        <v>-2.64</v>
      </c>
      <c r="F31" s="176">
        <v>-6.64</v>
      </c>
      <c r="G31" t="s">
        <v>5779</v>
      </c>
      <c r="H31">
        <v>641447</v>
      </c>
      <c r="I31">
        <v>165817</v>
      </c>
      <c r="J31" t="s">
        <v>1555</v>
      </c>
      <c r="K31">
        <v>37.880000000000003</v>
      </c>
      <c r="L31">
        <v>37.14</v>
      </c>
      <c r="M31" s="175" t="s">
        <v>1555</v>
      </c>
      <c r="N31" t="s">
        <v>1555</v>
      </c>
    </row>
    <row r="32" spans="1:14">
      <c r="A32" t="s">
        <v>2689</v>
      </c>
      <c r="B32" t="s">
        <v>2690</v>
      </c>
      <c r="C32">
        <v>9.6</v>
      </c>
      <c r="D32">
        <v>9.68</v>
      </c>
      <c r="E32" s="178">
        <v>0.32</v>
      </c>
      <c r="F32" s="176">
        <v>3.42</v>
      </c>
      <c r="G32" t="s">
        <v>5780</v>
      </c>
      <c r="H32">
        <v>237141</v>
      </c>
      <c r="I32">
        <v>81613</v>
      </c>
      <c r="J32" t="s">
        <v>1555</v>
      </c>
      <c r="K32">
        <v>9.6999999999999993</v>
      </c>
      <c r="L32">
        <v>9.57</v>
      </c>
      <c r="M32" s="175" t="s">
        <v>1555</v>
      </c>
      <c r="N32" t="s">
        <v>1555</v>
      </c>
    </row>
    <row r="33" spans="1:14">
      <c r="A33" t="s">
        <v>1696</v>
      </c>
      <c r="B33" t="s">
        <v>1697</v>
      </c>
      <c r="C33">
        <v>41.49</v>
      </c>
      <c r="D33">
        <v>40.1</v>
      </c>
      <c r="E33" s="178">
        <v>-2.38</v>
      </c>
      <c r="F33" s="176">
        <v>-5.6</v>
      </c>
      <c r="G33" t="s">
        <v>5673</v>
      </c>
      <c r="H33">
        <v>4543</v>
      </c>
      <c r="I33">
        <v>2190</v>
      </c>
      <c r="J33" t="s">
        <v>1555</v>
      </c>
      <c r="K33">
        <v>41.49</v>
      </c>
      <c r="L33">
        <v>40.1</v>
      </c>
      <c r="M33" s="175" t="s">
        <v>1555</v>
      </c>
      <c r="N33" t="s">
        <v>1555</v>
      </c>
    </row>
    <row r="34" spans="1:14">
      <c r="A34" t="s">
        <v>1698</v>
      </c>
      <c r="B34" t="s">
        <v>1699</v>
      </c>
      <c r="C34">
        <v>3.38</v>
      </c>
      <c r="D34">
        <v>3.44</v>
      </c>
      <c r="E34" s="178">
        <v>0.11</v>
      </c>
      <c r="F34" s="176">
        <v>3.3</v>
      </c>
      <c r="G34" t="s">
        <v>5781</v>
      </c>
      <c r="H34">
        <v>690</v>
      </c>
      <c r="I34">
        <v>222</v>
      </c>
      <c r="J34" t="s">
        <v>1555</v>
      </c>
      <c r="K34">
        <v>3.44</v>
      </c>
      <c r="L34">
        <v>3.37</v>
      </c>
      <c r="M34" s="175" t="s">
        <v>1555</v>
      </c>
      <c r="N34" t="s">
        <v>1555</v>
      </c>
    </row>
    <row r="35" spans="1:14">
      <c r="A35" t="s">
        <v>1700</v>
      </c>
      <c r="B35" t="s">
        <v>1701</v>
      </c>
      <c r="C35">
        <v>42.65</v>
      </c>
      <c r="D35">
        <v>42.6</v>
      </c>
      <c r="E35" s="178">
        <v>-0.24</v>
      </c>
      <c r="F35" s="176">
        <v>-0.56000000000000005</v>
      </c>
      <c r="G35" t="s">
        <v>5695</v>
      </c>
      <c r="H35">
        <v>2504</v>
      </c>
      <c r="I35">
        <v>1936</v>
      </c>
      <c r="J35" t="s">
        <v>1555</v>
      </c>
      <c r="K35">
        <v>42.83</v>
      </c>
      <c r="L35">
        <v>42.6</v>
      </c>
      <c r="M35" s="175" t="s">
        <v>1555</v>
      </c>
      <c r="N35" t="s">
        <v>1555</v>
      </c>
    </row>
    <row r="36" spans="1:14">
      <c r="A36">
        <v>636</v>
      </c>
      <c r="B36" t="s">
        <v>1702</v>
      </c>
      <c r="C36">
        <v>25.95</v>
      </c>
      <c r="D36">
        <v>25.49</v>
      </c>
      <c r="E36" s="178">
        <v>-0.61</v>
      </c>
      <c r="F36" s="176">
        <v>-2.34</v>
      </c>
      <c r="G36" t="s">
        <v>5782</v>
      </c>
      <c r="H36">
        <v>961</v>
      </c>
      <c r="I36">
        <v>648</v>
      </c>
      <c r="J36" t="s">
        <v>1555</v>
      </c>
      <c r="K36">
        <v>25.95</v>
      </c>
      <c r="L36">
        <v>25.49</v>
      </c>
      <c r="M36" s="175" t="s">
        <v>1555</v>
      </c>
      <c r="N36" t="s">
        <v>1555</v>
      </c>
    </row>
    <row r="37" spans="1:14">
      <c r="A37" t="s">
        <v>1703</v>
      </c>
      <c r="B37" t="s">
        <v>1704</v>
      </c>
      <c r="C37">
        <v>7.82</v>
      </c>
      <c r="D37">
        <v>7.93</v>
      </c>
      <c r="E37" s="178">
        <v>-0.23</v>
      </c>
      <c r="F37" s="176">
        <v>-2.82</v>
      </c>
      <c r="G37" t="s">
        <v>5783</v>
      </c>
      <c r="H37">
        <v>13</v>
      </c>
      <c r="I37">
        <v>11</v>
      </c>
      <c r="J37" t="s">
        <v>1555</v>
      </c>
      <c r="K37">
        <v>7.93</v>
      </c>
      <c r="L37">
        <v>7.82</v>
      </c>
      <c r="M37" s="175" t="s">
        <v>1555</v>
      </c>
      <c r="N37" t="s">
        <v>1555</v>
      </c>
    </row>
    <row r="38" spans="1:14">
      <c r="A38" t="s">
        <v>1705</v>
      </c>
      <c r="B38" t="s">
        <v>1706</v>
      </c>
      <c r="C38">
        <v>17.14</v>
      </c>
      <c r="D38">
        <v>16.68</v>
      </c>
      <c r="E38" s="178">
        <v>-0.98</v>
      </c>
      <c r="F38" s="176">
        <v>-5.55</v>
      </c>
      <c r="G38" t="s">
        <v>5784</v>
      </c>
      <c r="H38">
        <v>38743</v>
      </c>
      <c r="I38">
        <v>16637</v>
      </c>
      <c r="J38" t="s">
        <v>1555</v>
      </c>
      <c r="K38">
        <v>17.16</v>
      </c>
      <c r="L38">
        <v>16.68</v>
      </c>
      <c r="M38" s="175" t="s">
        <v>1555</v>
      </c>
      <c r="N38" t="s">
        <v>1555</v>
      </c>
    </row>
    <row r="39" spans="1:14">
      <c r="A39" t="s">
        <v>1707</v>
      </c>
      <c r="B39" t="s">
        <v>1708</v>
      </c>
      <c r="C39">
        <v>7.2</v>
      </c>
      <c r="D39">
        <v>7.36</v>
      </c>
      <c r="E39" s="178">
        <v>0.25</v>
      </c>
      <c r="F39" s="176">
        <v>3.52</v>
      </c>
      <c r="G39" t="s">
        <v>5346</v>
      </c>
      <c r="H39">
        <v>654</v>
      </c>
      <c r="I39">
        <v>180</v>
      </c>
      <c r="J39" t="s">
        <v>1555</v>
      </c>
      <c r="K39">
        <v>7.36</v>
      </c>
      <c r="L39">
        <v>7.07</v>
      </c>
      <c r="M39" s="175" t="s">
        <v>1555</v>
      </c>
      <c r="N39" t="s">
        <v>1555</v>
      </c>
    </row>
    <row r="40" spans="1:14">
      <c r="A40">
        <v>639</v>
      </c>
      <c r="B40" t="s">
        <v>1709</v>
      </c>
      <c r="C40">
        <v>14.5</v>
      </c>
      <c r="D40">
        <v>14.11</v>
      </c>
      <c r="E40" s="178">
        <v>-0.49</v>
      </c>
      <c r="F40" s="176">
        <v>-3.36</v>
      </c>
      <c r="G40" t="s">
        <v>5785</v>
      </c>
      <c r="H40">
        <v>1647</v>
      </c>
      <c r="I40">
        <v>594</v>
      </c>
      <c r="J40" t="s">
        <v>1555</v>
      </c>
      <c r="K40">
        <v>14.5</v>
      </c>
      <c r="L40">
        <v>14.11</v>
      </c>
      <c r="M40" s="175" t="s">
        <v>1555</v>
      </c>
      <c r="N40" t="s">
        <v>1555</v>
      </c>
    </row>
    <row r="41" spans="1:14">
      <c r="A41" t="s">
        <v>1710</v>
      </c>
      <c r="B41" t="s">
        <v>1711</v>
      </c>
      <c r="C41">
        <v>104.85</v>
      </c>
      <c r="D41">
        <v>104.8</v>
      </c>
      <c r="E41" s="178">
        <v>-4.8499999999999996</v>
      </c>
      <c r="F41" s="176">
        <v>-4.42</v>
      </c>
      <c r="G41" t="s">
        <v>5786</v>
      </c>
      <c r="H41">
        <v>360</v>
      </c>
      <c r="I41">
        <v>28</v>
      </c>
      <c r="J41" t="s">
        <v>1555</v>
      </c>
      <c r="K41">
        <v>105.15</v>
      </c>
      <c r="L41">
        <v>103</v>
      </c>
      <c r="M41" s="175" t="s">
        <v>1555</v>
      </c>
      <c r="N41" t="s">
        <v>1555</v>
      </c>
    </row>
    <row r="42" spans="1:14">
      <c r="A42" t="s">
        <v>1712</v>
      </c>
      <c r="B42" t="s">
        <v>1713</v>
      </c>
      <c r="C42">
        <v>3.72</v>
      </c>
      <c r="D42">
        <v>3.7</v>
      </c>
      <c r="E42" s="178">
        <v>0.05</v>
      </c>
      <c r="F42" s="176">
        <v>1.37</v>
      </c>
      <c r="G42" t="s">
        <v>5787</v>
      </c>
      <c r="H42">
        <v>1883</v>
      </c>
      <c r="I42">
        <v>569</v>
      </c>
      <c r="J42" t="s">
        <v>1555</v>
      </c>
      <c r="K42">
        <v>3.74</v>
      </c>
      <c r="L42">
        <v>3.7</v>
      </c>
      <c r="M42" s="175" t="s">
        <v>1555</v>
      </c>
      <c r="N42" t="s">
        <v>1555</v>
      </c>
    </row>
    <row r="43" spans="1:14">
      <c r="A43" t="s">
        <v>1714</v>
      </c>
      <c r="B43" t="s">
        <v>1715</v>
      </c>
      <c r="C43">
        <v>32.549999999999997</v>
      </c>
      <c r="D43">
        <v>32.51</v>
      </c>
      <c r="E43" s="178">
        <v>-0.2</v>
      </c>
      <c r="F43" s="176">
        <v>-0.61</v>
      </c>
      <c r="G43" t="s">
        <v>5788</v>
      </c>
      <c r="H43">
        <v>972</v>
      </c>
      <c r="I43">
        <v>1338</v>
      </c>
      <c r="J43" t="s">
        <v>1555</v>
      </c>
      <c r="K43">
        <v>32.549999999999997</v>
      </c>
      <c r="L43">
        <v>32.35</v>
      </c>
      <c r="M43" s="175" t="s">
        <v>1555</v>
      </c>
      <c r="N43" t="s">
        <v>1555</v>
      </c>
    </row>
    <row r="44" spans="1:14">
      <c r="A44">
        <v>643</v>
      </c>
      <c r="B44" t="s">
        <v>1716</v>
      </c>
      <c r="C44">
        <v>16.48</v>
      </c>
      <c r="D44">
        <v>15.96</v>
      </c>
      <c r="E44" s="178">
        <v>-0.61</v>
      </c>
      <c r="F44" s="176">
        <v>-3.68</v>
      </c>
      <c r="G44" t="s">
        <v>5789</v>
      </c>
      <c r="H44">
        <v>2595</v>
      </c>
      <c r="I44">
        <v>2558</v>
      </c>
      <c r="J44" t="s">
        <v>1555</v>
      </c>
      <c r="K44">
        <v>16.48</v>
      </c>
      <c r="L44">
        <v>15.96</v>
      </c>
      <c r="M44" s="175" t="s">
        <v>1555</v>
      </c>
      <c r="N44" t="s">
        <v>1555</v>
      </c>
    </row>
    <row r="45" spans="1:14">
      <c r="A45" t="s">
        <v>1717</v>
      </c>
      <c r="B45" t="s">
        <v>1718</v>
      </c>
      <c r="C45">
        <v>3.4</v>
      </c>
      <c r="D45">
        <v>3.37</v>
      </c>
      <c r="E45" s="178">
        <v>-0.09</v>
      </c>
      <c r="F45" s="176">
        <v>-2.6</v>
      </c>
      <c r="G45" t="s">
        <v>5790</v>
      </c>
      <c r="H45">
        <v>27</v>
      </c>
      <c r="I45">
        <v>12</v>
      </c>
      <c r="J45" t="s">
        <v>1555</v>
      </c>
      <c r="K45">
        <v>3.4</v>
      </c>
      <c r="L45">
        <v>3.37</v>
      </c>
      <c r="M45" s="175" t="s">
        <v>1555</v>
      </c>
      <c r="N45" t="s">
        <v>1555</v>
      </c>
    </row>
    <row r="46" spans="1:14">
      <c r="A46">
        <v>645</v>
      </c>
      <c r="B46" t="s">
        <v>1719</v>
      </c>
      <c r="C46">
        <v>57.3</v>
      </c>
      <c r="D46">
        <v>57.1</v>
      </c>
      <c r="E46" s="178">
        <v>-1.25</v>
      </c>
      <c r="F46" s="176">
        <v>-2.14</v>
      </c>
      <c r="G46" t="s">
        <v>5791</v>
      </c>
      <c r="H46">
        <v>114</v>
      </c>
      <c r="I46">
        <v>68</v>
      </c>
      <c r="J46" t="s">
        <v>1555</v>
      </c>
      <c r="K46">
        <v>57.3</v>
      </c>
      <c r="L46">
        <v>56.6</v>
      </c>
      <c r="M46" s="175" t="s">
        <v>1555</v>
      </c>
      <c r="N46" t="s">
        <v>1555</v>
      </c>
    </row>
    <row r="47" spans="1:14">
      <c r="A47">
        <v>646</v>
      </c>
      <c r="B47" t="s">
        <v>1720</v>
      </c>
      <c r="C47">
        <v>78.099999999999994</v>
      </c>
      <c r="D47">
        <v>78.150000000000006</v>
      </c>
      <c r="E47" s="178">
        <v>-1.1000000000000001</v>
      </c>
      <c r="F47" s="176">
        <v>-1.39</v>
      </c>
      <c r="G47" t="s">
        <v>5792</v>
      </c>
      <c r="H47">
        <v>6418</v>
      </c>
      <c r="I47">
        <v>4890</v>
      </c>
      <c r="J47" t="s">
        <v>1555</v>
      </c>
      <c r="K47">
        <v>78.349999999999994</v>
      </c>
      <c r="L47">
        <v>77.95</v>
      </c>
      <c r="M47" s="175" t="s">
        <v>1555</v>
      </c>
      <c r="N47" t="s">
        <v>1555</v>
      </c>
    </row>
    <row r="48" spans="1:14">
      <c r="A48" t="s">
        <v>1721</v>
      </c>
      <c r="B48" t="s">
        <v>1722</v>
      </c>
      <c r="C48">
        <v>139.1</v>
      </c>
      <c r="D48">
        <v>140</v>
      </c>
      <c r="E48" s="178">
        <v>-3.7</v>
      </c>
      <c r="F48" s="176">
        <v>-2.57</v>
      </c>
      <c r="G48" t="s">
        <v>5793</v>
      </c>
      <c r="H48">
        <v>45</v>
      </c>
      <c r="I48">
        <v>47</v>
      </c>
      <c r="J48" t="s">
        <v>1555</v>
      </c>
      <c r="K48">
        <v>140.05000000000001</v>
      </c>
      <c r="L48">
        <v>139.1</v>
      </c>
      <c r="M48" s="175" t="s">
        <v>1555</v>
      </c>
      <c r="N48" t="s">
        <v>1555</v>
      </c>
    </row>
    <row r="49" spans="1:14">
      <c r="A49" t="s">
        <v>1723</v>
      </c>
      <c r="B49" t="s">
        <v>1724</v>
      </c>
      <c r="C49">
        <v>3.94</v>
      </c>
      <c r="D49">
        <v>3.93</v>
      </c>
      <c r="E49" s="178">
        <v>7.0000000000000007E-2</v>
      </c>
      <c r="F49" s="176">
        <v>1.81</v>
      </c>
      <c r="G49" t="s">
        <v>5794</v>
      </c>
      <c r="H49">
        <v>1028</v>
      </c>
      <c r="I49">
        <v>439</v>
      </c>
      <c r="J49" t="s">
        <v>1555</v>
      </c>
      <c r="K49">
        <v>3.94</v>
      </c>
      <c r="L49">
        <v>3.91</v>
      </c>
      <c r="M49" s="175" t="s">
        <v>1555</v>
      </c>
      <c r="N49" t="s">
        <v>1555</v>
      </c>
    </row>
    <row r="50" spans="1:14">
      <c r="A50" t="s">
        <v>1725</v>
      </c>
      <c r="B50" t="s">
        <v>1995</v>
      </c>
      <c r="C50">
        <v>15.39</v>
      </c>
      <c r="D50">
        <v>15.38</v>
      </c>
      <c r="E50" s="178">
        <v>-0.62</v>
      </c>
      <c r="F50" s="176">
        <v>-3.88</v>
      </c>
      <c r="G50" t="s">
        <v>5795</v>
      </c>
      <c r="H50">
        <v>2585</v>
      </c>
      <c r="I50">
        <v>2220</v>
      </c>
      <c r="J50" t="s">
        <v>1555</v>
      </c>
      <c r="K50">
        <v>15.6</v>
      </c>
      <c r="L50">
        <v>15.37</v>
      </c>
      <c r="M50" s="175" t="s">
        <v>1555</v>
      </c>
      <c r="N50" t="s">
        <v>1555</v>
      </c>
    </row>
    <row r="51" spans="1:14">
      <c r="A51" t="s">
        <v>1726</v>
      </c>
      <c r="B51" t="s">
        <v>1996</v>
      </c>
      <c r="C51">
        <v>5.46</v>
      </c>
      <c r="D51">
        <v>5.47</v>
      </c>
      <c r="E51" s="178">
        <v>0.12</v>
      </c>
      <c r="F51" s="176">
        <v>2.2400000000000002</v>
      </c>
      <c r="G51" t="s">
        <v>5796</v>
      </c>
      <c r="H51">
        <v>192</v>
      </c>
      <c r="I51">
        <v>187</v>
      </c>
      <c r="J51" t="s">
        <v>1555</v>
      </c>
      <c r="K51">
        <v>5.47</v>
      </c>
      <c r="L51">
        <v>5.44</v>
      </c>
      <c r="M51" s="175" t="s">
        <v>1555</v>
      </c>
      <c r="N51" t="s">
        <v>1555</v>
      </c>
    </row>
    <row r="52" spans="1:14">
      <c r="A52">
        <v>652</v>
      </c>
      <c r="B52" t="s">
        <v>1727</v>
      </c>
      <c r="C52">
        <v>31.38</v>
      </c>
      <c r="D52">
        <v>32</v>
      </c>
      <c r="E52" s="178">
        <v>0.45</v>
      </c>
      <c r="F52" s="176">
        <v>1.43</v>
      </c>
      <c r="G52" t="s">
        <v>5248</v>
      </c>
      <c r="H52">
        <v>169</v>
      </c>
      <c r="I52">
        <v>301</v>
      </c>
      <c r="J52" t="s">
        <v>1555</v>
      </c>
      <c r="K52">
        <v>32</v>
      </c>
      <c r="L52">
        <v>31.33</v>
      </c>
      <c r="M52" s="175" t="s">
        <v>1555</v>
      </c>
      <c r="N52" t="s">
        <v>1555</v>
      </c>
    </row>
    <row r="53" spans="1:14">
      <c r="A53" t="s">
        <v>1728</v>
      </c>
      <c r="B53" t="s">
        <v>1729</v>
      </c>
      <c r="C53">
        <v>40.42</v>
      </c>
      <c r="D53">
        <v>41.68</v>
      </c>
      <c r="E53" s="178">
        <v>0.7</v>
      </c>
      <c r="F53" s="176">
        <v>1.71</v>
      </c>
      <c r="G53" t="s">
        <v>5276</v>
      </c>
      <c r="H53">
        <v>196</v>
      </c>
      <c r="I53">
        <v>149</v>
      </c>
      <c r="J53" t="s">
        <v>1555</v>
      </c>
      <c r="K53">
        <v>41.75</v>
      </c>
      <c r="L53">
        <v>40.409999999999997</v>
      </c>
      <c r="M53" s="175" t="s">
        <v>1555</v>
      </c>
      <c r="N53" t="s">
        <v>1555</v>
      </c>
    </row>
    <row r="54" spans="1:14">
      <c r="A54" t="s">
        <v>1730</v>
      </c>
      <c r="B54" t="s">
        <v>1731</v>
      </c>
      <c r="C54">
        <v>7.18</v>
      </c>
      <c r="D54">
        <v>7.17</v>
      </c>
      <c r="E54" s="178">
        <v>0</v>
      </c>
      <c r="F54" s="176">
        <v>0</v>
      </c>
      <c r="G54" t="s">
        <v>5268</v>
      </c>
      <c r="H54">
        <v>184</v>
      </c>
      <c r="I54">
        <v>64</v>
      </c>
      <c r="J54" t="s">
        <v>1555</v>
      </c>
      <c r="K54">
        <v>7.23</v>
      </c>
      <c r="L54">
        <v>7.17</v>
      </c>
      <c r="M54" s="175" t="s">
        <v>1555</v>
      </c>
      <c r="N54" t="s">
        <v>1555</v>
      </c>
    </row>
    <row r="55" spans="1:14">
      <c r="A55" t="s">
        <v>1732</v>
      </c>
      <c r="B55" t="s">
        <v>1733</v>
      </c>
      <c r="C55">
        <v>28.48</v>
      </c>
      <c r="D55">
        <v>27.83</v>
      </c>
      <c r="E55" s="178">
        <v>-1.73</v>
      </c>
      <c r="F55" s="176">
        <v>-5.85</v>
      </c>
      <c r="G55" t="s">
        <v>5797</v>
      </c>
      <c r="H55">
        <v>3378</v>
      </c>
      <c r="I55">
        <v>1549</v>
      </c>
      <c r="J55" t="s">
        <v>1555</v>
      </c>
      <c r="K55">
        <v>28.58</v>
      </c>
      <c r="L55">
        <v>27.83</v>
      </c>
      <c r="M55" s="175" t="s">
        <v>1555</v>
      </c>
      <c r="N55" t="s">
        <v>1555</v>
      </c>
    </row>
    <row r="56" spans="1:14">
      <c r="A56" t="s">
        <v>1734</v>
      </c>
      <c r="B56" t="s">
        <v>1735</v>
      </c>
      <c r="C56">
        <v>6.43</v>
      </c>
      <c r="D56">
        <v>6.48</v>
      </c>
      <c r="E56" s="178">
        <v>0.19</v>
      </c>
      <c r="F56" s="176">
        <v>3.02</v>
      </c>
      <c r="G56" t="s">
        <v>5737</v>
      </c>
      <c r="H56">
        <v>79</v>
      </c>
      <c r="I56">
        <v>45</v>
      </c>
      <c r="J56" t="s">
        <v>1555</v>
      </c>
      <c r="K56">
        <v>6.49</v>
      </c>
      <c r="L56">
        <v>6.42</v>
      </c>
      <c r="M56" s="175" t="s">
        <v>1555</v>
      </c>
      <c r="N56" t="s">
        <v>1555</v>
      </c>
    </row>
    <row r="57" spans="1:14">
      <c r="A57">
        <v>657</v>
      </c>
      <c r="B57" t="s">
        <v>1736</v>
      </c>
      <c r="C57">
        <v>77.400000000000006</v>
      </c>
      <c r="D57">
        <v>76.900000000000006</v>
      </c>
      <c r="E57" s="178">
        <v>-3.95</v>
      </c>
      <c r="F57" s="176">
        <v>-4.8899999999999997</v>
      </c>
      <c r="G57" t="s">
        <v>5798</v>
      </c>
      <c r="H57">
        <v>125</v>
      </c>
      <c r="I57">
        <v>39</v>
      </c>
      <c r="J57" t="s">
        <v>1555</v>
      </c>
      <c r="K57">
        <v>77.400000000000006</v>
      </c>
      <c r="L57">
        <v>76.45</v>
      </c>
      <c r="M57" s="175" t="s">
        <v>1555</v>
      </c>
      <c r="N57" t="s">
        <v>1555</v>
      </c>
    </row>
    <row r="58" spans="1:14">
      <c r="A58" t="s">
        <v>1737</v>
      </c>
      <c r="B58" t="s">
        <v>1738</v>
      </c>
      <c r="C58">
        <v>23.78</v>
      </c>
      <c r="D58">
        <v>23.78</v>
      </c>
      <c r="E58" s="178">
        <v>-1.5</v>
      </c>
      <c r="F58" s="176">
        <v>-5.93</v>
      </c>
      <c r="G58">
        <v>4756</v>
      </c>
      <c r="H58">
        <v>2</v>
      </c>
      <c r="I58">
        <v>3</v>
      </c>
      <c r="J58" t="s">
        <v>1555</v>
      </c>
      <c r="K58">
        <v>23.78</v>
      </c>
      <c r="L58">
        <v>23.78</v>
      </c>
      <c r="M58" s="175" t="s">
        <v>1555</v>
      </c>
      <c r="N58" t="s">
        <v>1555</v>
      </c>
    </row>
    <row r="59" spans="1:14">
      <c r="A59">
        <v>660</v>
      </c>
      <c r="B59" t="s">
        <v>1739</v>
      </c>
      <c r="C59">
        <v>45.08</v>
      </c>
      <c r="D59">
        <v>45.21</v>
      </c>
      <c r="E59" s="178">
        <v>-0.15</v>
      </c>
      <c r="F59" s="176">
        <v>-0.33</v>
      </c>
      <c r="G59" t="s">
        <v>5754</v>
      </c>
      <c r="H59">
        <v>11</v>
      </c>
      <c r="I59">
        <v>9</v>
      </c>
      <c r="J59" t="s">
        <v>1555</v>
      </c>
      <c r="K59">
        <v>45.21</v>
      </c>
      <c r="L59">
        <v>45.08</v>
      </c>
      <c r="M59" s="175" t="s">
        <v>1555</v>
      </c>
      <c r="N59" t="s">
        <v>1555</v>
      </c>
    </row>
    <row r="60" spans="1:14">
      <c r="A60">
        <v>661</v>
      </c>
      <c r="B60" t="s">
        <v>1740</v>
      </c>
      <c r="C60">
        <v>86.45</v>
      </c>
      <c r="D60">
        <v>84.2</v>
      </c>
      <c r="E60" s="178">
        <v>-4.3</v>
      </c>
      <c r="F60" s="176">
        <v>-4.8600000000000003</v>
      </c>
      <c r="G60" t="s">
        <v>5799</v>
      </c>
      <c r="H60">
        <v>227</v>
      </c>
      <c r="I60">
        <v>81</v>
      </c>
      <c r="J60" t="s">
        <v>1555</v>
      </c>
      <c r="K60">
        <v>86.45</v>
      </c>
      <c r="L60">
        <v>83.5</v>
      </c>
      <c r="M60" s="175" t="s">
        <v>1555</v>
      </c>
      <c r="N60" t="s">
        <v>1555</v>
      </c>
    </row>
    <row r="61" spans="1:14">
      <c r="A61">
        <v>662</v>
      </c>
      <c r="B61" t="s">
        <v>1741</v>
      </c>
      <c r="C61">
        <v>123.05</v>
      </c>
      <c r="D61">
        <v>123.25</v>
      </c>
      <c r="E61" s="178">
        <v>-3.3</v>
      </c>
      <c r="F61" s="176">
        <v>-2.61</v>
      </c>
      <c r="G61" t="s">
        <v>5800</v>
      </c>
      <c r="H61">
        <v>8922</v>
      </c>
      <c r="I61">
        <v>5495</v>
      </c>
      <c r="J61" t="s">
        <v>1555</v>
      </c>
      <c r="K61">
        <v>123.55</v>
      </c>
      <c r="L61">
        <v>122.85</v>
      </c>
      <c r="M61" s="175" t="s">
        <v>1555</v>
      </c>
      <c r="N61" t="s">
        <v>1555</v>
      </c>
    </row>
    <row r="62" spans="1:14">
      <c r="A62" t="s">
        <v>1742</v>
      </c>
      <c r="B62" t="s">
        <v>1743</v>
      </c>
      <c r="C62">
        <v>108.9</v>
      </c>
      <c r="D62">
        <v>107</v>
      </c>
      <c r="E62" s="178">
        <v>-8.4</v>
      </c>
      <c r="F62" s="176">
        <v>-7.28</v>
      </c>
      <c r="G62" t="s">
        <v>5320</v>
      </c>
      <c r="H62">
        <v>16682</v>
      </c>
      <c r="I62">
        <v>4700</v>
      </c>
      <c r="J62" t="s">
        <v>1555</v>
      </c>
      <c r="K62">
        <v>109.8</v>
      </c>
      <c r="L62">
        <v>106.7</v>
      </c>
      <c r="M62" s="175" t="s">
        <v>1555</v>
      </c>
      <c r="N62" t="s">
        <v>1555</v>
      </c>
    </row>
    <row r="63" spans="1:14">
      <c r="A63" t="s">
        <v>1744</v>
      </c>
      <c r="B63" t="s">
        <v>1745</v>
      </c>
      <c r="C63">
        <v>1.55</v>
      </c>
      <c r="D63">
        <v>1.56</v>
      </c>
      <c r="E63" s="178">
        <v>0.04</v>
      </c>
      <c r="F63" s="176">
        <v>2.63</v>
      </c>
      <c r="G63" t="s">
        <v>5801</v>
      </c>
      <c r="H63">
        <v>37890</v>
      </c>
      <c r="I63">
        <v>11480</v>
      </c>
      <c r="J63" t="s">
        <v>1555</v>
      </c>
      <c r="K63">
        <v>1.57</v>
      </c>
      <c r="L63">
        <v>1.54</v>
      </c>
      <c r="M63" s="175" t="s">
        <v>1555</v>
      </c>
      <c r="N63" t="s">
        <v>1555</v>
      </c>
    </row>
    <row r="64" spans="1:14">
      <c r="A64" t="s">
        <v>1746</v>
      </c>
      <c r="B64" t="s">
        <v>1747</v>
      </c>
      <c r="C64">
        <v>8.76</v>
      </c>
      <c r="D64">
        <v>8.65</v>
      </c>
      <c r="E64" s="178">
        <v>-0.35</v>
      </c>
      <c r="F64" s="176">
        <v>-3.89</v>
      </c>
      <c r="G64" t="s">
        <v>5802</v>
      </c>
      <c r="H64">
        <v>6780</v>
      </c>
      <c r="I64">
        <v>7844</v>
      </c>
      <c r="J64" t="s">
        <v>1555</v>
      </c>
      <c r="K64">
        <v>8.8000000000000007</v>
      </c>
      <c r="L64">
        <v>8.65</v>
      </c>
      <c r="M64" s="175" t="s">
        <v>1555</v>
      </c>
      <c r="N64" t="s">
        <v>1555</v>
      </c>
    </row>
    <row r="65" spans="1:14">
      <c r="A65" t="s">
        <v>1748</v>
      </c>
      <c r="B65" t="s">
        <v>1749</v>
      </c>
      <c r="C65">
        <v>9.35</v>
      </c>
      <c r="D65">
        <v>9.44</v>
      </c>
      <c r="E65" s="178">
        <v>0.19</v>
      </c>
      <c r="F65" s="176">
        <v>2.0499999999999998</v>
      </c>
      <c r="G65" t="s">
        <v>5468</v>
      </c>
      <c r="H65">
        <v>39</v>
      </c>
      <c r="I65">
        <v>60</v>
      </c>
      <c r="J65" t="s">
        <v>1555</v>
      </c>
      <c r="K65">
        <v>9.4499999999999993</v>
      </c>
      <c r="L65">
        <v>9.35</v>
      </c>
      <c r="M65" s="175" t="s">
        <v>1555</v>
      </c>
      <c r="N65" t="s">
        <v>1555</v>
      </c>
    </row>
    <row r="66" spans="1:14">
      <c r="A66">
        <v>668</v>
      </c>
      <c r="B66" t="s">
        <v>1750</v>
      </c>
      <c r="C66">
        <v>61</v>
      </c>
      <c r="D66">
        <v>61.05</v>
      </c>
      <c r="E66" s="178">
        <v>0.15</v>
      </c>
      <c r="F66" s="176">
        <v>0.25</v>
      </c>
      <c r="G66" t="s">
        <v>5603</v>
      </c>
      <c r="H66">
        <v>98</v>
      </c>
      <c r="I66">
        <v>102</v>
      </c>
      <c r="J66" t="s">
        <v>1555</v>
      </c>
      <c r="K66">
        <v>61.15</v>
      </c>
      <c r="L66">
        <v>60.9</v>
      </c>
      <c r="M66" s="175" t="s">
        <v>1555</v>
      </c>
      <c r="N66" t="s">
        <v>1555</v>
      </c>
    </row>
    <row r="67" spans="1:14">
      <c r="A67" t="s">
        <v>1751</v>
      </c>
      <c r="B67" t="s">
        <v>1752</v>
      </c>
      <c r="C67">
        <v>18.88</v>
      </c>
      <c r="D67">
        <v>18.88</v>
      </c>
      <c r="E67" s="178">
        <v>-0.02</v>
      </c>
      <c r="F67" s="176">
        <v>-0.11</v>
      </c>
      <c r="G67">
        <v>3776</v>
      </c>
      <c r="H67">
        <v>2</v>
      </c>
      <c r="I67">
        <v>3</v>
      </c>
      <c r="J67" t="s">
        <v>1555</v>
      </c>
      <c r="K67">
        <v>18.88</v>
      </c>
      <c r="L67">
        <v>18.88</v>
      </c>
      <c r="M67" s="175" t="s">
        <v>1555</v>
      </c>
      <c r="N67" t="s">
        <v>1555</v>
      </c>
    </row>
    <row r="68" spans="1:14">
      <c r="A68" t="s">
        <v>1753</v>
      </c>
      <c r="B68" t="s">
        <v>1754</v>
      </c>
      <c r="C68">
        <v>5.41</v>
      </c>
      <c r="D68">
        <v>5.42</v>
      </c>
      <c r="E68" s="178">
        <v>0.03</v>
      </c>
      <c r="F68" s="176">
        <v>0.56000000000000005</v>
      </c>
      <c r="G68" t="s">
        <v>5803</v>
      </c>
      <c r="H68">
        <v>555</v>
      </c>
      <c r="I68">
        <v>593</v>
      </c>
      <c r="J68" t="s">
        <v>1555</v>
      </c>
      <c r="K68">
        <v>5.42</v>
      </c>
      <c r="L68">
        <v>5.39</v>
      </c>
      <c r="M68" s="175" t="s">
        <v>1555</v>
      </c>
      <c r="N68" t="s">
        <v>1555</v>
      </c>
    </row>
    <row r="69" spans="1:14">
      <c r="A69" t="s">
        <v>1755</v>
      </c>
      <c r="B69" t="s">
        <v>1756</v>
      </c>
      <c r="C69">
        <v>200.5</v>
      </c>
      <c r="D69">
        <v>200.25</v>
      </c>
      <c r="E69" s="178">
        <v>-11.75</v>
      </c>
      <c r="F69" s="176">
        <v>-5.54</v>
      </c>
      <c r="G69" t="s">
        <v>5804</v>
      </c>
      <c r="H69">
        <v>1521</v>
      </c>
      <c r="I69">
        <v>526</v>
      </c>
      <c r="J69" t="s">
        <v>1555</v>
      </c>
      <c r="K69">
        <v>201.1</v>
      </c>
      <c r="L69">
        <v>199</v>
      </c>
      <c r="M69" s="175" t="s">
        <v>1555</v>
      </c>
      <c r="N69" t="s">
        <v>1555</v>
      </c>
    </row>
    <row r="70" spans="1:14">
      <c r="A70" t="s">
        <v>1757</v>
      </c>
      <c r="B70" t="s">
        <v>1758</v>
      </c>
      <c r="C70">
        <v>2.4</v>
      </c>
      <c r="D70">
        <v>2.42</v>
      </c>
      <c r="E70" s="178">
        <v>0.08</v>
      </c>
      <c r="F70" s="176">
        <v>3.42</v>
      </c>
      <c r="G70" t="s">
        <v>5805</v>
      </c>
      <c r="H70">
        <v>5636</v>
      </c>
      <c r="I70">
        <v>1293</v>
      </c>
      <c r="J70" t="s">
        <v>1555</v>
      </c>
      <c r="K70">
        <v>2.42</v>
      </c>
      <c r="L70">
        <v>2.4</v>
      </c>
      <c r="M70" s="175" t="s">
        <v>1555</v>
      </c>
      <c r="N70" t="s">
        <v>1555</v>
      </c>
    </row>
    <row r="71" spans="1:14">
      <c r="A71" t="s">
        <v>2925</v>
      </c>
      <c r="B71" t="s">
        <v>2926</v>
      </c>
      <c r="C71">
        <v>10.36</v>
      </c>
      <c r="D71">
        <v>10.38</v>
      </c>
      <c r="E71" s="178">
        <v>0.05</v>
      </c>
      <c r="F71" s="176">
        <v>0.48</v>
      </c>
      <c r="G71" t="s">
        <v>5806</v>
      </c>
      <c r="H71">
        <v>23461</v>
      </c>
      <c r="I71">
        <v>21861</v>
      </c>
      <c r="J71" t="s">
        <v>1555</v>
      </c>
      <c r="K71">
        <v>10.44</v>
      </c>
      <c r="L71">
        <v>10.36</v>
      </c>
      <c r="M71" s="175" t="s">
        <v>1555</v>
      </c>
      <c r="N71" t="s">
        <v>1555</v>
      </c>
    </row>
    <row r="72" spans="1:14">
      <c r="A72" t="s">
        <v>3127</v>
      </c>
      <c r="B72" t="s">
        <v>3128</v>
      </c>
      <c r="C72">
        <v>29.55</v>
      </c>
      <c r="D72">
        <v>29.64</v>
      </c>
      <c r="E72" s="178">
        <v>0.18</v>
      </c>
      <c r="F72" s="176">
        <v>0.61</v>
      </c>
      <c r="G72" t="s">
        <v>5807</v>
      </c>
      <c r="H72">
        <v>107</v>
      </c>
      <c r="I72">
        <v>71</v>
      </c>
      <c r="J72" t="s">
        <v>1555</v>
      </c>
      <c r="K72">
        <v>29.65</v>
      </c>
      <c r="L72">
        <v>29.55</v>
      </c>
      <c r="M72" s="175" t="s">
        <v>1555</v>
      </c>
      <c r="N72" t="s">
        <v>1555</v>
      </c>
    </row>
    <row r="73" spans="1:14">
      <c r="A73" t="s">
        <v>1759</v>
      </c>
      <c r="B73" t="s">
        <v>1760</v>
      </c>
      <c r="C73">
        <v>329.45</v>
      </c>
      <c r="D73">
        <v>323.89999999999998</v>
      </c>
      <c r="E73" s="178">
        <v>-25.4</v>
      </c>
      <c r="F73" s="176">
        <v>-7.27</v>
      </c>
      <c r="G73" t="s">
        <v>5596</v>
      </c>
      <c r="H73">
        <v>3416</v>
      </c>
      <c r="I73">
        <v>1083</v>
      </c>
      <c r="J73" t="s">
        <v>1555</v>
      </c>
      <c r="K73">
        <v>332.45</v>
      </c>
      <c r="L73">
        <v>323.25</v>
      </c>
      <c r="M73" s="175" t="s">
        <v>1555</v>
      </c>
      <c r="N73" t="s">
        <v>1555</v>
      </c>
    </row>
    <row r="74" spans="1:14">
      <c r="A74" t="s">
        <v>2779</v>
      </c>
      <c r="B74" t="s">
        <v>2780</v>
      </c>
      <c r="C74">
        <v>5.3</v>
      </c>
      <c r="D74">
        <v>5.35</v>
      </c>
      <c r="E74" s="178">
        <v>0.2</v>
      </c>
      <c r="F74" s="176">
        <v>3.88</v>
      </c>
      <c r="G74" t="s">
        <v>5808</v>
      </c>
      <c r="H74">
        <v>12770</v>
      </c>
      <c r="I74">
        <v>4787</v>
      </c>
      <c r="J74" t="s">
        <v>1555</v>
      </c>
      <c r="K74">
        <v>5.36</v>
      </c>
      <c r="L74">
        <v>5.28</v>
      </c>
      <c r="M74" s="175" t="s">
        <v>1555</v>
      </c>
      <c r="N74" t="s">
        <v>1555</v>
      </c>
    </row>
    <row r="75" spans="1:14">
      <c r="A75">
        <v>678</v>
      </c>
      <c r="B75" t="s">
        <v>2279</v>
      </c>
      <c r="C75">
        <v>42.12</v>
      </c>
      <c r="D75">
        <v>42.92</v>
      </c>
      <c r="E75" s="178">
        <v>0.78</v>
      </c>
      <c r="F75" s="176">
        <v>1.85</v>
      </c>
      <c r="G75" t="s">
        <v>5809</v>
      </c>
      <c r="H75">
        <v>104</v>
      </c>
      <c r="I75">
        <v>421</v>
      </c>
      <c r="J75" t="s">
        <v>1555</v>
      </c>
      <c r="K75">
        <v>42.95</v>
      </c>
      <c r="L75">
        <v>41.99</v>
      </c>
      <c r="M75" s="175" t="s">
        <v>1555</v>
      </c>
      <c r="N75" t="s">
        <v>1555</v>
      </c>
    </row>
    <row r="76" spans="1:14">
      <c r="A76" t="s">
        <v>1761</v>
      </c>
      <c r="B76" t="s">
        <v>1762</v>
      </c>
      <c r="C76">
        <v>25.38</v>
      </c>
      <c r="D76">
        <v>25.56</v>
      </c>
      <c r="E76" s="178">
        <v>0.51</v>
      </c>
      <c r="F76" s="176">
        <v>2.04</v>
      </c>
      <c r="G76" t="s">
        <v>5810</v>
      </c>
      <c r="H76">
        <v>67363</v>
      </c>
      <c r="I76">
        <v>21924</v>
      </c>
      <c r="J76" t="s">
        <v>1555</v>
      </c>
      <c r="K76">
        <v>25.61</v>
      </c>
      <c r="L76">
        <v>25.35</v>
      </c>
      <c r="M76" s="175" t="s">
        <v>1555</v>
      </c>
      <c r="N76" t="s">
        <v>1555</v>
      </c>
    </row>
    <row r="77" spans="1:14">
      <c r="A77" t="s">
        <v>1763</v>
      </c>
      <c r="B77" t="s">
        <v>1764</v>
      </c>
      <c r="C77">
        <v>5.97</v>
      </c>
      <c r="D77">
        <v>6.03</v>
      </c>
      <c r="E77" s="178">
        <v>0.2</v>
      </c>
      <c r="F77" s="176">
        <v>3.43</v>
      </c>
      <c r="G77" t="s">
        <v>5714</v>
      </c>
      <c r="H77">
        <v>34606</v>
      </c>
      <c r="I77">
        <v>13408</v>
      </c>
      <c r="J77" t="s">
        <v>1555</v>
      </c>
      <c r="K77">
        <v>6.06</v>
      </c>
      <c r="L77">
        <v>5.96</v>
      </c>
      <c r="M77" s="175" t="s">
        <v>1555</v>
      </c>
      <c r="N77" t="s">
        <v>1555</v>
      </c>
    </row>
    <row r="78" spans="1:14">
      <c r="A78" t="s">
        <v>1765</v>
      </c>
      <c r="B78" t="s">
        <v>1766</v>
      </c>
      <c r="C78">
        <v>22.5</v>
      </c>
      <c r="D78">
        <v>22.49</v>
      </c>
      <c r="E78" s="178">
        <v>-0.28999999999999998</v>
      </c>
      <c r="F78" s="176">
        <v>-1.27</v>
      </c>
      <c r="G78" t="s">
        <v>5811</v>
      </c>
      <c r="H78">
        <v>152</v>
      </c>
      <c r="I78">
        <v>199</v>
      </c>
      <c r="J78" t="s">
        <v>1555</v>
      </c>
      <c r="K78">
        <v>22.51</v>
      </c>
      <c r="L78">
        <v>22.45</v>
      </c>
      <c r="M78" s="175" t="s">
        <v>1555</v>
      </c>
      <c r="N78" t="s">
        <v>1555</v>
      </c>
    </row>
    <row r="79" spans="1:14">
      <c r="A79" t="s">
        <v>1767</v>
      </c>
      <c r="B79" t="s">
        <v>1768</v>
      </c>
      <c r="C79">
        <v>20.93</v>
      </c>
      <c r="D79">
        <v>21.03</v>
      </c>
      <c r="E79" s="178">
        <v>-0.05</v>
      </c>
      <c r="F79" s="176">
        <v>-0.24</v>
      </c>
      <c r="G79" t="s">
        <v>5812</v>
      </c>
      <c r="H79">
        <v>7</v>
      </c>
      <c r="I79">
        <v>0</v>
      </c>
      <c r="J79" t="s">
        <v>1555</v>
      </c>
      <c r="K79">
        <v>21.03</v>
      </c>
      <c r="L79">
        <v>20.93</v>
      </c>
      <c r="M79" s="175" t="s">
        <v>1555</v>
      </c>
      <c r="N79" t="s">
        <v>1555</v>
      </c>
    </row>
    <row r="80" spans="1:14">
      <c r="A80" t="s">
        <v>1769</v>
      </c>
      <c r="B80" t="s">
        <v>1770</v>
      </c>
      <c r="C80">
        <v>22.61</v>
      </c>
      <c r="D80">
        <v>22.66</v>
      </c>
      <c r="E80" s="178">
        <v>0</v>
      </c>
      <c r="F80" s="176">
        <v>0</v>
      </c>
      <c r="G80" t="s">
        <v>5813</v>
      </c>
      <c r="H80">
        <v>68</v>
      </c>
      <c r="I80">
        <v>149</v>
      </c>
      <c r="J80" t="s">
        <v>1555</v>
      </c>
      <c r="K80">
        <v>22.66</v>
      </c>
      <c r="L80">
        <v>22.57</v>
      </c>
      <c r="M80" s="175" t="s">
        <v>1555</v>
      </c>
      <c r="N80" t="s">
        <v>1555</v>
      </c>
    </row>
    <row r="81" spans="1:14">
      <c r="A81" t="s">
        <v>1771</v>
      </c>
      <c r="B81" t="s">
        <v>1772</v>
      </c>
      <c r="C81">
        <v>14.74</v>
      </c>
      <c r="D81">
        <v>14.79</v>
      </c>
      <c r="E81" s="178">
        <v>0.01</v>
      </c>
      <c r="F81" s="176">
        <v>7.0000000000000007E-2</v>
      </c>
      <c r="G81" t="s">
        <v>5543</v>
      </c>
      <c r="H81">
        <v>55</v>
      </c>
      <c r="I81">
        <v>78</v>
      </c>
      <c r="J81" t="s">
        <v>1555</v>
      </c>
      <c r="K81">
        <v>14.79</v>
      </c>
      <c r="L81">
        <v>14.74</v>
      </c>
      <c r="M81" s="175" t="s">
        <v>1555</v>
      </c>
      <c r="N81" t="s">
        <v>1555</v>
      </c>
    </row>
    <row r="82" spans="1:14">
      <c r="A82" t="s">
        <v>3203</v>
      </c>
      <c r="B82" t="s">
        <v>3204</v>
      </c>
      <c r="C82">
        <v>12.48</v>
      </c>
      <c r="D82">
        <v>12.26</v>
      </c>
      <c r="E82" s="178">
        <v>-0.94</v>
      </c>
      <c r="F82" s="176">
        <v>-7.12</v>
      </c>
      <c r="G82" t="s">
        <v>5420</v>
      </c>
      <c r="H82">
        <v>924606</v>
      </c>
      <c r="I82">
        <v>242697</v>
      </c>
      <c r="J82" t="s">
        <v>1555</v>
      </c>
      <c r="K82">
        <v>12.57</v>
      </c>
      <c r="L82">
        <v>12.26</v>
      </c>
      <c r="M82" s="175" t="s">
        <v>1555</v>
      </c>
      <c r="N82" t="s">
        <v>1555</v>
      </c>
    </row>
    <row r="83" spans="1:14">
      <c r="A83" t="s">
        <v>1773</v>
      </c>
      <c r="B83" t="s">
        <v>1774</v>
      </c>
      <c r="C83">
        <v>26.38</v>
      </c>
      <c r="D83">
        <v>26.57</v>
      </c>
      <c r="E83" s="178">
        <v>0.53</v>
      </c>
      <c r="F83" s="176">
        <v>2.04</v>
      </c>
      <c r="G83" t="s">
        <v>5814</v>
      </c>
      <c r="H83">
        <v>37747</v>
      </c>
      <c r="I83">
        <v>14928</v>
      </c>
      <c r="J83" t="s">
        <v>1555</v>
      </c>
      <c r="K83">
        <v>26.62</v>
      </c>
      <c r="L83">
        <v>26.34</v>
      </c>
      <c r="M83" s="175" t="s">
        <v>1555</v>
      </c>
      <c r="N83" t="s">
        <v>1555</v>
      </c>
    </row>
    <row r="84" spans="1:14">
      <c r="A84" t="s">
        <v>2708</v>
      </c>
      <c r="B84" t="s">
        <v>2709</v>
      </c>
      <c r="C84">
        <v>8.8699999999999992</v>
      </c>
      <c r="D84">
        <v>8.8699999999999992</v>
      </c>
      <c r="E84" s="178">
        <v>0.15</v>
      </c>
      <c r="F84" s="176">
        <v>1.72</v>
      </c>
      <c r="G84" t="s">
        <v>5469</v>
      </c>
      <c r="H84">
        <v>250</v>
      </c>
      <c r="I84">
        <v>273</v>
      </c>
      <c r="J84" t="s">
        <v>1555</v>
      </c>
      <c r="K84">
        <v>8.8699999999999992</v>
      </c>
      <c r="L84">
        <v>8.8699999999999992</v>
      </c>
      <c r="M84" s="175" t="s">
        <v>1555</v>
      </c>
      <c r="N84" t="s">
        <v>1555</v>
      </c>
    </row>
    <row r="85" spans="1:14">
      <c r="A85" t="s">
        <v>1775</v>
      </c>
      <c r="B85" t="s">
        <v>1776</v>
      </c>
      <c r="C85">
        <v>5.96</v>
      </c>
      <c r="D85">
        <v>6.01</v>
      </c>
      <c r="E85" s="178">
        <v>0.18</v>
      </c>
      <c r="F85" s="176">
        <v>3.09</v>
      </c>
      <c r="G85" t="s">
        <v>5180</v>
      </c>
      <c r="H85">
        <v>17294</v>
      </c>
      <c r="I85">
        <v>4591</v>
      </c>
      <c r="J85" t="s">
        <v>1555</v>
      </c>
      <c r="K85">
        <v>6.04</v>
      </c>
      <c r="L85">
        <v>5.95</v>
      </c>
      <c r="M85" s="175" t="s">
        <v>1555</v>
      </c>
      <c r="N85" t="s">
        <v>1555</v>
      </c>
    </row>
    <row r="86" spans="1:14">
      <c r="A86" t="s">
        <v>1777</v>
      </c>
      <c r="B86" t="s">
        <v>1778</v>
      </c>
      <c r="C86">
        <v>23.66</v>
      </c>
      <c r="D86">
        <v>23.6</v>
      </c>
      <c r="E86" s="178">
        <v>-0.36</v>
      </c>
      <c r="F86" s="176">
        <v>-1.5</v>
      </c>
      <c r="G86" t="s">
        <v>5554</v>
      </c>
      <c r="H86">
        <v>179</v>
      </c>
      <c r="I86">
        <v>154</v>
      </c>
      <c r="J86" t="s">
        <v>1555</v>
      </c>
      <c r="K86">
        <v>23.66</v>
      </c>
      <c r="L86">
        <v>23.57</v>
      </c>
      <c r="M86" s="175" t="s">
        <v>1555</v>
      </c>
      <c r="N86" t="s">
        <v>1555</v>
      </c>
    </row>
    <row r="87" spans="1:14">
      <c r="A87">
        <v>690</v>
      </c>
      <c r="B87" t="s">
        <v>1779</v>
      </c>
      <c r="C87">
        <v>80.2</v>
      </c>
      <c r="D87">
        <v>78.349999999999994</v>
      </c>
      <c r="E87" s="178">
        <v>-3.75</v>
      </c>
      <c r="F87" s="176">
        <v>-4.57</v>
      </c>
      <c r="G87" t="s">
        <v>5815</v>
      </c>
      <c r="H87">
        <v>1230</v>
      </c>
      <c r="I87">
        <v>347</v>
      </c>
      <c r="J87" t="s">
        <v>1555</v>
      </c>
      <c r="K87">
        <v>80.2</v>
      </c>
      <c r="L87">
        <v>77.8</v>
      </c>
      <c r="M87" s="175" t="s">
        <v>1555</v>
      </c>
      <c r="N87" t="s">
        <v>1555</v>
      </c>
    </row>
    <row r="88" spans="1:14">
      <c r="A88">
        <v>692</v>
      </c>
      <c r="B88" t="s">
        <v>1681</v>
      </c>
      <c r="C88">
        <v>94.8</v>
      </c>
      <c r="D88">
        <v>94.4</v>
      </c>
      <c r="E88" s="178">
        <v>-3.05</v>
      </c>
      <c r="F88" s="176">
        <v>-3.13</v>
      </c>
      <c r="G88" t="s">
        <v>5244</v>
      </c>
      <c r="H88">
        <v>1160</v>
      </c>
      <c r="I88">
        <v>671</v>
      </c>
      <c r="J88" t="s">
        <v>1555</v>
      </c>
      <c r="K88">
        <v>94.9</v>
      </c>
      <c r="L88">
        <v>94</v>
      </c>
      <c r="M88" s="175" t="s">
        <v>1555</v>
      </c>
      <c r="N88" t="s">
        <v>1555</v>
      </c>
    </row>
    <row r="89" spans="1:14">
      <c r="A89" t="s">
        <v>1780</v>
      </c>
      <c r="B89" t="s">
        <v>1781</v>
      </c>
      <c r="C89">
        <v>23.19</v>
      </c>
      <c r="D89">
        <v>23.22</v>
      </c>
      <c r="E89" s="178">
        <v>-0.28000000000000003</v>
      </c>
      <c r="F89" s="176">
        <v>-1.19</v>
      </c>
      <c r="G89" t="s">
        <v>5816</v>
      </c>
      <c r="H89">
        <v>918</v>
      </c>
      <c r="I89">
        <v>565</v>
      </c>
      <c r="J89" t="s">
        <v>1555</v>
      </c>
      <c r="K89">
        <v>23.24</v>
      </c>
      <c r="L89">
        <v>23.16</v>
      </c>
      <c r="M89" s="175" t="s">
        <v>1555</v>
      </c>
      <c r="N89" t="s">
        <v>1555</v>
      </c>
    </row>
    <row r="90" spans="1:14">
      <c r="A90" t="s">
        <v>1782</v>
      </c>
      <c r="B90" t="s">
        <v>1783</v>
      </c>
      <c r="C90">
        <v>42.36</v>
      </c>
      <c r="D90">
        <v>42.47</v>
      </c>
      <c r="E90" s="178">
        <v>0.28999999999999998</v>
      </c>
      <c r="F90" s="176">
        <v>0.69</v>
      </c>
      <c r="G90" t="s">
        <v>5817</v>
      </c>
      <c r="H90">
        <v>476</v>
      </c>
      <c r="I90">
        <v>213</v>
      </c>
      <c r="J90" t="s">
        <v>1555</v>
      </c>
      <c r="K90">
        <v>42.48</v>
      </c>
      <c r="L90">
        <v>42.29</v>
      </c>
      <c r="M90" s="175" t="s">
        <v>1555</v>
      </c>
      <c r="N90" t="s">
        <v>1555</v>
      </c>
    </row>
    <row r="91" spans="1:14">
      <c r="A91" t="s">
        <v>1784</v>
      </c>
      <c r="B91" t="s">
        <v>1785</v>
      </c>
      <c r="C91">
        <v>34.18</v>
      </c>
      <c r="D91">
        <v>34.57</v>
      </c>
      <c r="E91" s="178">
        <v>0.43</v>
      </c>
      <c r="F91" s="176">
        <v>1.26</v>
      </c>
      <c r="G91" t="s">
        <v>5818</v>
      </c>
      <c r="H91">
        <v>696</v>
      </c>
      <c r="I91">
        <v>450</v>
      </c>
      <c r="J91" t="s">
        <v>1555</v>
      </c>
      <c r="K91">
        <v>34.590000000000003</v>
      </c>
      <c r="L91">
        <v>34.18</v>
      </c>
      <c r="M91" s="175" t="s">
        <v>1555</v>
      </c>
      <c r="N91" t="s">
        <v>1555</v>
      </c>
    </row>
    <row r="92" spans="1:14">
      <c r="A92" t="s">
        <v>1786</v>
      </c>
      <c r="B92" t="s">
        <v>1787</v>
      </c>
      <c r="C92">
        <v>27.67</v>
      </c>
      <c r="D92">
        <v>27.88</v>
      </c>
      <c r="E92" s="178">
        <v>0.59</v>
      </c>
      <c r="F92" s="176">
        <v>2.16</v>
      </c>
      <c r="G92" t="s">
        <v>5493</v>
      </c>
      <c r="H92">
        <v>6214</v>
      </c>
      <c r="I92">
        <v>2290</v>
      </c>
      <c r="J92" t="s">
        <v>1555</v>
      </c>
      <c r="K92">
        <v>27.91</v>
      </c>
      <c r="L92">
        <v>27.63</v>
      </c>
      <c r="M92" s="175" t="s">
        <v>1555</v>
      </c>
      <c r="N92" t="s">
        <v>1555</v>
      </c>
    </row>
    <row r="93" spans="1:14">
      <c r="A93" t="s">
        <v>1788</v>
      </c>
      <c r="B93" t="s">
        <v>1789</v>
      </c>
      <c r="C93">
        <v>34.56</v>
      </c>
      <c r="D93">
        <v>34.81</v>
      </c>
      <c r="E93" s="178">
        <v>0.39</v>
      </c>
      <c r="F93" s="176">
        <v>1.1299999999999999</v>
      </c>
      <c r="G93" t="s">
        <v>5819</v>
      </c>
      <c r="H93">
        <v>635</v>
      </c>
      <c r="I93">
        <v>345</v>
      </c>
      <c r="J93" t="s">
        <v>1555</v>
      </c>
      <c r="K93">
        <v>34.81</v>
      </c>
      <c r="L93">
        <v>34.56</v>
      </c>
      <c r="M93" s="175" t="s">
        <v>1555</v>
      </c>
      <c r="N93" t="s">
        <v>1555</v>
      </c>
    </row>
    <row r="94" spans="1:14">
      <c r="A94">
        <v>700</v>
      </c>
      <c r="B94" t="s">
        <v>1790</v>
      </c>
      <c r="C94">
        <v>16.829999999999998</v>
      </c>
      <c r="D94">
        <v>16.93</v>
      </c>
      <c r="E94" s="178">
        <v>-0.26</v>
      </c>
      <c r="F94" s="176">
        <v>-1.51</v>
      </c>
      <c r="G94" t="s">
        <v>5455</v>
      </c>
      <c r="H94">
        <v>184</v>
      </c>
      <c r="I94">
        <v>160</v>
      </c>
      <c r="J94" t="s">
        <v>1555</v>
      </c>
      <c r="K94">
        <v>16.989999999999998</v>
      </c>
      <c r="L94">
        <v>16.78</v>
      </c>
      <c r="M94" s="175" t="s">
        <v>1555</v>
      </c>
      <c r="N94" t="s">
        <v>1555</v>
      </c>
    </row>
    <row r="95" spans="1:14">
      <c r="A95">
        <v>701</v>
      </c>
      <c r="B95" t="s">
        <v>1791</v>
      </c>
      <c r="C95">
        <v>42.21</v>
      </c>
      <c r="D95">
        <v>42.31</v>
      </c>
      <c r="E95" s="178">
        <v>0.08</v>
      </c>
      <c r="F95" s="176">
        <v>0.19</v>
      </c>
      <c r="G95" t="s">
        <v>5820</v>
      </c>
      <c r="H95">
        <v>471</v>
      </c>
      <c r="I95">
        <v>369</v>
      </c>
      <c r="J95" t="s">
        <v>1555</v>
      </c>
      <c r="K95">
        <v>42.45</v>
      </c>
      <c r="L95">
        <v>42.08</v>
      </c>
      <c r="M95" s="175" t="s">
        <v>1555</v>
      </c>
      <c r="N95" t="s">
        <v>1555</v>
      </c>
    </row>
    <row r="96" spans="1:14">
      <c r="A96">
        <v>702</v>
      </c>
      <c r="B96" t="s">
        <v>1792</v>
      </c>
      <c r="C96">
        <v>23.61</v>
      </c>
      <c r="D96">
        <v>23.74</v>
      </c>
      <c r="E96" s="178">
        <v>-0.15</v>
      </c>
      <c r="F96" s="176">
        <v>-0.63</v>
      </c>
      <c r="G96" t="s">
        <v>5821</v>
      </c>
      <c r="H96">
        <v>20</v>
      </c>
      <c r="I96">
        <v>134</v>
      </c>
      <c r="J96" t="s">
        <v>1555</v>
      </c>
      <c r="K96">
        <v>23.95</v>
      </c>
      <c r="L96">
        <v>23.61</v>
      </c>
      <c r="M96" s="175" t="s">
        <v>1555</v>
      </c>
      <c r="N96" t="s">
        <v>1555</v>
      </c>
    </row>
    <row r="97" spans="1:14">
      <c r="A97">
        <v>703</v>
      </c>
      <c r="B97" t="s">
        <v>1793</v>
      </c>
      <c r="C97">
        <v>18.760000000000002</v>
      </c>
      <c r="D97">
        <v>18.510000000000002</v>
      </c>
      <c r="E97" s="178">
        <v>-0.43</v>
      </c>
      <c r="F97" s="176">
        <v>-2.27</v>
      </c>
      <c r="G97" t="s">
        <v>5822</v>
      </c>
      <c r="H97">
        <v>433</v>
      </c>
      <c r="I97">
        <v>39</v>
      </c>
      <c r="J97" t="s">
        <v>1555</v>
      </c>
      <c r="K97">
        <v>18.760000000000002</v>
      </c>
      <c r="L97">
        <v>18.46</v>
      </c>
      <c r="M97" s="175" t="s">
        <v>1555</v>
      </c>
      <c r="N97" t="s">
        <v>1555</v>
      </c>
    </row>
    <row r="98" spans="1:14">
      <c r="A98" t="s">
        <v>2927</v>
      </c>
      <c r="B98" t="s">
        <v>2928</v>
      </c>
      <c r="C98">
        <v>19.149999999999999</v>
      </c>
      <c r="D98">
        <v>19.12</v>
      </c>
      <c r="E98" s="178">
        <v>7.0000000000000007E-2</v>
      </c>
      <c r="F98" s="176">
        <v>0.37</v>
      </c>
      <c r="G98" t="s">
        <v>5823</v>
      </c>
      <c r="H98">
        <v>838</v>
      </c>
      <c r="I98">
        <v>418</v>
      </c>
      <c r="J98" t="s">
        <v>1555</v>
      </c>
      <c r="K98">
        <v>19.190000000000001</v>
      </c>
      <c r="L98">
        <v>19.09</v>
      </c>
      <c r="M98" s="175" t="s">
        <v>1555</v>
      </c>
      <c r="N98" t="s">
        <v>1555</v>
      </c>
    </row>
    <row r="99" spans="1:14">
      <c r="A99" t="s">
        <v>1794</v>
      </c>
      <c r="B99" t="s">
        <v>1795</v>
      </c>
      <c r="C99" t="s">
        <v>1555</v>
      </c>
      <c r="D99" t="s">
        <v>1555</v>
      </c>
      <c r="E99" s="178" t="s">
        <v>1555</v>
      </c>
      <c r="F99" s="176" t="s">
        <v>1555</v>
      </c>
      <c r="G99" t="s">
        <v>1555</v>
      </c>
      <c r="H99">
        <v>0</v>
      </c>
      <c r="I99">
        <v>0</v>
      </c>
      <c r="J99" t="s">
        <v>1555</v>
      </c>
      <c r="K99" t="s">
        <v>1555</v>
      </c>
      <c r="L99" t="s">
        <v>1555</v>
      </c>
      <c r="M99" s="175" t="s">
        <v>1555</v>
      </c>
      <c r="N99" t="s">
        <v>1555</v>
      </c>
    </row>
    <row r="100" spans="1:14">
      <c r="A100" t="s">
        <v>1796</v>
      </c>
      <c r="B100" t="s">
        <v>1797</v>
      </c>
      <c r="C100">
        <v>71.05</v>
      </c>
      <c r="D100">
        <v>70.900000000000006</v>
      </c>
      <c r="E100" s="178">
        <v>-0.7</v>
      </c>
      <c r="F100" s="176">
        <v>-0.98</v>
      </c>
      <c r="G100" t="s">
        <v>5348</v>
      </c>
      <c r="H100">
        <v>3618</v>
      </c>
      <c r="I100">
        <v>3387</v>
      </c>
      <c r="J100" t="s">
        <v>1555</v>
      </c>
      <c r="K100">
        <v>71.599999999999994</v>
      </c>
      <c r="L100">
        <v>70.7</v>
      </c>
      <c r="M100" s="175" t="s">
        <v>1555</v>
      </c>
      <c r="N100" t="s">
        <v>1555</v>
      </c>
    </row>
    <row r="101" spans="1:14">
      <c r="A101">
        <v>709</v>
      </c>
      <c r="B101" t="s">
        <v>1798</v>
      </c>
      <c r="C101">
        <v>38.85</v>
      </c>
      <c r="D101">
        <v>38.97</v>
      </c>
      <c r="E101" s="178">
        <v>-0.08</v>
      </c>
      <c r="F101" s="176">
        <v>-0.2</v>
      </c>
      <c r="G101" t="s">
        <v>5241</v>
      </c>
      <c r="H101">
        <v>33</v>
      </c>
      <c r="I101">
        <v>56</v>
      </c>
      <c r="J101" t="s">
        <v>1555</v>
      </c>
      <c r="K101">
        <v>39.049999999999997</v>
      </c>
      <c r="L101">
        <v>38.83</v>
      </c>
      <c r="M101" s="175" t="s">
        <v>1555</v>
      </c>
      <c r="N101" t="s">
        <v>1555</v>
      </c>
    </row>
    <row r="102" spans="1:14">
      <c r="A102" t="s">
        <v>1799</v>
      </c>
      <c r="B102" t="s">
        <v>1997</v>
      </c>
      <c r="C102">
        <v>18.59</v>
      </c>
      <c r="D102">
        <v>18.72</v>
      </c>
      <c r="E102" s="178">
        <v>7.0000000000000007E-2</v>
      </c>
      <c r="F102" s="176">
        <v>0.38</v>
      </c>
      <c r="G102" t="s">
        <v>5236</v>
      </c>
      <c r="H102">
        <v>187</v>
      </c>
      <c r="I102">
        <v>375</v>
      </c>
      <c r="J102" t="s">
        <v>1555</v>
      </c>
      <c r="K102">
        <v>18.73</v>
      </c>
      <c r="L102">
        <v>18.59</v>
      </c>
      <c r="M102" s="175" t="s">
        <v>1555</v>
      </c>
      <c r="N102" t="s">
        <v>1555</v>
      </c>
    </row>
    <row r="103" spans="1:14">
      <c r="A103" t="s">
        <v>1800</v>
      </c>
      <c r="B103" t="s">
        <v>1998</v>
      </c>
      <c r="C103">
        <v>14.94</v>
      </c>
      <c r="D103">
        <v>15.08</v>
      </c>
      <c r="E103" s="178">
        <v>0.19</v>
      </c>
      <c r="F103" s="176">
        <v>1.28</v>
      </c>
      <c r="G103" t="s">
        <v>5269</v>
      </c>
      <c r="H103">
        <v>133</v>
      </c>
      <c r="I103">
        <v>177</v>
      </c>
      <c r="J103" t="s">
        <v>1555</v>
      </c>
      <c r="K103">
        <v>15.08</v>
      </c>
      <c r="L103">
        <v>14.94</v>
      </c>
      <c r="M103" s="175" t="s">
        <v>1555</v>
      </c>
      <c r="N103" t="s">
        <v>1555</v>
      </c>
    </row>
    <row r="104" spans="1:14">
      <c r="A104">
        <v>712</v>
      </c>
      <c r="B104" t="s">
        <v>1999</v>
      </c>
      <c r="C104">
        <v>7</v>
      </c>
      <c r="D104">
        <v>6.99</v>
      </c>
      <c r="E104" s="178">
        <v>-0.05</v>
      </c>
      <c r="F104" s="176">
        <v>-0.71</v>
      </c>
      <c r="G104" t="s">
        <v>5487</v>
      </c>
      <c r="H104">
        <v>59672</v>
      </c>
      <c r="I104">
        <v>58200</v>
      </c>
      <c r="J104" t="s">
        <v>1555</v>
      </c>
      <c r="K104">
        <v>7</v>
      </c>
      <c r="L104">
        <v>6.97</v>
      </c>
      <c r="M104" s="175" t="s">
        <v>1555</v>
      </c>
      <c r="N104" t="s">
        <v>1555</v>
      </c>
    </row>
    <row r="105" spans="1:14">
      <c r="A105">
        <v>713</v>
      </c>
      <c r="B105" t="s">
        <v>1801</v>
      </c>
      <c r="C105">
        <v>64.75</v>
      </c>
      <c r="D105">
        <v>65.5</v>
      </c>
      <c r="E105" s="178">
        <v>0.7</v>
      </c>
      <c r="F105" s="176">
        <v>1.08</v>
      </c>
      <c r="G105" t="s">
        <v>5824</v>
      </c>
      <c r="H105">
        <v>19524</v>
      </c>
      <c r="I105">
        <v>5174</v>
      </c>
      <c r="J105" t="s">
        <v>1555</v>
      </c>
      <c r="K105">
        <v>65.75</v>
      </c>
      <c r="L105">
        <v>64.75</v>
      </c>
      <c r="M105" s="175" t="s">
        <v>1555</v>
      </c>
      <c r="N105" t="s">
        <v>1555</v>
      </c>
    </row>
    <row r="106" spans="1:14">
      <c r="A106">
        <v>714</v>
      </c>
      <c r="B106" t="s">
        <v>1802</v>
      </c>
      <c r="C106">
        <v>20.69</v>
      </c>
      <c r="D106">
        <v>20.96</v>
      </c>
      <c r="E106" s="178">
        <v>0.14000000000000001</v>
      </c>
      <c r="F106" s="176">
        <v>0.67</v>
      </c>
      <c r="G106" t="s">
        <v>5825</v>
      </c>
      <c r="H106">
        <v>1027</v>
      </c>
      <c r="I106">
        <v>251</v>
      </c>
      <c r="J106" t="s">
        <v>1555</v>
      </c>
      <c r="K106">
        <v>21</v>
      </c>
      <c r="L106">
        <v>20.66</v>
      </c>
      <c r="M106" s="175" t="s">
        <v>1555</v>
      </c>
      <c r="N106" t="s">
        <v>1555</v>
      </c>
    </row>
    <row r="107" spans="1:14">
      <c r="A107" t="s">
        <v>2953</v>
      </c>
      <c r="B107" t="s">
        <v>2954</v>
      </c>
      <c r="C107">
        <v>75.95</v>
      </c>
      <c r="D107">
        <v>75.3</v>
      </c>
      <c r="E107" s="178">
        <v>-2.1</v>
      </c>
      <c r="F107" s="176">
        <v>-2.71</v>
      </c>
      <c r="G107" t="s">
        <v>5400</v>
      </c>
      <c r="H107">
        <v>1930</v>
      </c>
      <c r="I107">
        <v>2543</v>
      </c>
      <c r="J107" t="s">
        <v>1555</v>
      </c>
      <c r="K107">
        <v>76</v>
      </c>
      <c r="L107">
        <v>74.75</v>
      </c>
      <c r="M107" s="175" t="s">
        <v>1555</v>
      </c>
      <c r="N107" t="s">
        <v>1555</v>
      </c>
    </row>
    <row r="108" spans="1:14">
      <c r="A108">
        <v>717</v>
      </c>
      <c r="B108" t="s">
        <v>1803</v>
      </c>
      <c r="C108">
        <v>14.4</v>
      </c>
      <c r="D108">
        <v>14.44</v>
      </c>
      <c r="E108" s="178">
        <v>-0.1</v>
      </c>
      <c r="F108" s="176">
        <v>-0.69</v>
      </c>
      <c r="G108" t="s">
        <v>5419</v>
      </c>
      <c r="H108">
        <v>180</v>
      </c>
      <c r="I108">
        <v>118</v>
      </c>
      <c r="J108" t="s">
        <v>1555</v>
      </c>
      <c r="K108">
        <v>14.44</v>
      </c>
      <c r="L108">
        <v>14.39</v>
      </c>
      <c r="M108" s="175" t="s">
        <v>1555</v>
      </c>
      <c r="N108" t="s">
        <v>1555</v>
      </c>
    </row>
    <row r="109" spans="1:14">
      <c r="A109" t="s">
        <v>1804</v>
      </c>
      <c r="B109" t="s">
        <v>1805</v>
      </c>
      <c r="C109">
        <v>31.47</v>
      </c>
      <c r="D109">
        <v>31.55</v>
      </c>
      <c r="E109" s="178">
        <v>0.19</v>
      </c>
      <c r="F109" s="176">
        <v>0.61</v>
      </c>
      <c r="G109" t="s">
        <v>5288</v>
      </c>
      <c r="H109">
        <v>4443</v>
      </c>
      <c r="I109">
        <v>1939</v>
      </c>
      <c r="J109" t="s">
        <v>1555</v>
      </c>
      <c r="K109">
        <v>31.57</v>
      </c>
      <c r="L109">
        <v>31.39</v>
      </c>
      <c r="M109" s="175" t="s">
        <v>1555</v>
      </c>
      <c r="N109" t="s">
        <v>1555</v>
      </c>
    </row>
    <row r="110" spans="1:14">
      <c r="A110" t="s">
        <v>1806</v>
      </c>
      <c r="B110" t="s">
        <v>1807</v>
      </c>
      <c r="C110">
        <v>31.49</v>
      </c>
      <c r="D110">
        <v>31.68</v>
      </c>
      <c r="E110" s="178">
        <v>0.45</v>
      </c>
      <c r="F110" s="176">
        <v>1.44</v>
      </c>
      <c r="G110" t="s">
        <v>5653</v>
      </c>
      <c r="H110">
        <v>12261</v>
      </c>
      <c r="I110">
        <v>6959</v>
      </c>
      <c r="J110" t="s">
        <v>1555</v>
      </c>
      <c r="K110">
        <v>31.69</v>
      </c>
      <c r="L110">
        <v>31.44</v>
      </c>
      <c r="M110" s="175" t="s">
        <v>1555</v>
      </c>
      <c r="N110" t="s">
        <v>1555</v>
      </c>
    </row>
    <row r="111" spans="1:14">
      <c r="A111" t="s">
        <v>1808</v>
      </c>
      <c r="B111" t="s">
        <v>2000</v>
      </c>
      <c r="C111">
        <v>33.42</v>
      </c>
      <c r="D111">
        <v>33.65</v>
      </c>
      <c r="E111" s="178">
        <v>0.4</v>
      </c>
      <c r="F111" s="176">
        <v>1.2</v>
      </c>
      <c r="G111" t="s">
        <v>5262</v>
      </c>
      <c r="H111">
        <v>4250</v>
      </c>
      <c r="I111">
        <v>3065</v>
      </c>
      <c r="J111" t="s">
        <v>1555</v>
      </c>
      <c r="K111">
        <v>33.68</v>
      </c>
      <c r="L111">
        <v>33.409999999999997</v>
      </c>
      <c r="M111" s="175" t="s">
        <v>1555</v>
      </c>
      <c r="N111" t="s">
        <v>1555</v>
      </c>
    </row>
    <row r="112" spans="1:14">
      <c r="A112" t="s">
        <v>1809</v>
      </c>
      <c r="B112" t="s">
        <v>2001</v>
      </c>
      <c r="C112">
        <v>28.75</v>
      </c>
      <c r="D112">
        <v>29.01</v>
      </c>
      <c r="E112" s="178">
        <v>0.44</v>
      </c>
      <c r="F112" s="176">
        <v>1.54</v>
      </c>
      <c r="G112" t="s">
        <v>5826</v>
      </c>
      <c r="H112">
        <v>844</v>
      </c>
      <c r="I112">
        <v>297</v>
      </c>
      <c r="J112" t="s">
        <v>1555</v>
      </c>
      <c r="K112">
        <v>29.01</v>
      </c>
      <c r="L112">
        <v>28.73</v>
      </c>
      <c r="M112" s="175" t="s">
        <v>1555</v>
      </c>
      <c r="N112" t="s">
        <v>1555</v>
      </c>
    </row>
    <row r="113" spans="1:14">
      <c r="A113" t="s">
        <v>1810</v>
      </c>
      <c r="B113" t="s">
        <v>2002</v>
      </c>
      <c r="C113">
        <v>32.26</v>
      </c>
      <c r="D113">
        <v>32.479999999999997</v>
      </c>
      <c r="E113" s="178">
        <v>0.42</v>
      </c>
      <c r="F113" s="176">
        <v>1.31</v>
      </c>
      <c r="G113" t="s">
        <v>5827</v>
      </c>
      <c r="H113">
        <v>3897</v>
      </c>
      <c r="I113">
        <v>3659</v>
      </c>
      <c r="J113" t="s">
        <v>1555</v>
      </c>
      <c r="K113">
        <v>32.49</v>
      </c>
      <c r="L113">
        <v>32.26</v>
      </c>
      <c r="M113" s="175" t="s">
        <v>1555</v>
      </c>
      <c r="N113" t="s">
        <v>1555</v>
      </c>
    </row>
    <row r="114" spans="1:14">
      <c r="A114" t="s">
        <v>1811</v>
      </c>
      <c r="B114" t="s">
        <v>1812</v>
      </c>
      <c r="C114">
        <v>33.520000000000003</v>
      </c>
      <c r="D114">
        <v>33.79</v>
      </c>
      <c r="E114" s="178">
        <v>0.44</v>
      </c>
      <c r="F114" s="176">
        <v>1.32</v>
      </c>
      <c r="G114" t="s">
        <v>5828</v>
      </c>
      <c r="H114">
        <v>15109</v>
      </c>
      <c r="I114">
        <v>9602</v>
      </c>
      <c r="J114" t="s">
        <v>1555</v>
      </c>
      <c r="K114">
        <v>33.83</v>
      </c>
      <c r="L114">
        <v>33.5</v>
      </c>
      <c r="M114" s="175" t="s">
        <v>1555</v>
      </c>
      <c r="N114" t="s">
        <v>1555</v>
      </c>
    </row>
    <row r="115" spans="1:14">
      <c r="A115" t="s">
        <v>1813</v>
      </c>
      <c r="B115" t="s">
        <v>2632</v>
      </c>
      <c r="C115">
        <v>31.89</v>
      </c>
      <c r="D115">
        <v>31.85</v>
      </c>
      <c r="E115" s="178">
        <v>0.28000000000000003</v>
      </c>
      <c r="F115" s="176">
        <v>0.89</v>
      </c>
      <c r="G115" t="s">
        <v>5707</v>
      </c>
      <c r="H115">
        <v>280</v>
      </c>
      <c r="I115">
        <v>174</v>
      </c>
      <c r="J115" t="s">
        <v>1555</v>
      </c>
      <c r="K115">
        <v>31.89</v>
      </c>
      <c r="L115">
        <v>31.71</v>
      </c>
      <c r="M115" s="175" t="s">
        <v>1555</v>
      </c>
      <c r="N115" t="s">
        <v>1555</v>
      </c>
    </row>
    <row r="116" spans="1:14">
      <c r="A116" t="s">
        <v>1814</v>
      </c>
      <c r="B116" t="s">
        <v>2633</v>
      </c>
      <c r="C116">
        <v>39.31</v>
      </c>
      <c r="D116">
        <v>39.43</v>
      </c>
      <c r="E116" s="178">
        <v>0.03</v>
      </c>
      <c r="F116" s="176">
        <v>0.08</v>
      </c>
      <c r="G116" t="s">
        <v>5829</v>
      </c>
      <c r="H116">
        <v>237</v>
      </c>
      <c r="I116">
        <v>142</v>
      </c>
      <c r="J116" t="s">
        <v>1555</v>
      </c>
      <c r="K116">
        <v>39.43</v>
      </c>
      <c r="L116">
        <v>39.31</v>
      </c>
      <c r="M116" s="175" t="s">
        <v>1555</v>
      </c>
      <c r="N116" t="s">
        <v>1555</v>
      </c>
    </row>
    <row r="117" spans="1:14">
      <c r="A117">
        <v>728</v>
      </c>
      <c r="B117" t="s">
        <v>1815</v>
      </c>
      <c r="C117">
        <v>67.25</v>
      </c>
      <c r="D117">
        <v>66.75</v>
      </c>
      <c r="E117" s="178">
        <v>-2.75</v>
      </c>
      <c r="F117" s="176">
        <v>-3.96</v>
      </c>
      <c r="G117" t="s">
        <v>5830</v>
      </c>
      <c r="H117">
        <v>457</v>
      </c>
      <c r="I117">
        <v>207</v>
      </c>
      <c r="J117" t="s">
        <v>1555</v>
      </c>
      <c r="K117">
        <v>67.45</v>
      </c>
      <c r="L117">
        <v>66.349999999999994</v>
      </c>
      <c r="M117" s="175" t="s">
        <v>1555</v>
      </c>
      <c r="N117" t="s">
        <v>1555</v>
      </c>
    </row>
    <row r="118" spans="1:14">
      <c r="A118">
        <v>730</v>
      </c>
      <c r="B118" t="s">
        <v>1816</v>
      </c>
      <c r="C118">
        <v>29.8</v>
      </c>
      <c r="D118">
        <v>29.74</v>
      </c>
      <c r="E118" s="178">
        <v>-0.15</v>
      </c>
      <c r="F118" s="176">
        <v>-0.5</v>
      </c>
      <c r="G118" t="s">
        <v>5546</v>
      </c>
      <c r="H118">
        <v>112</v>
      </c>
      <c r="I118">
        <v>85</v>
      </c>
      <c r="J118" t="s">
        <v>1555</v>
      </c>
      <c r="K118">
        <v>29.8</v>
      </c>
      <c r="L118">
        <v>29.4</v>
      </c>
      <c r="M118" s="175" t="s">
        <v>1555</v>
      </c>
      <c r="N118" t="s">
        <v>1555</v>
      </c>
    </row>
    <row r="119" spans="1:14">
      <c r="A119">
        <v>731</v>
      </c>
      <c r="B119" t="s">
        <v>2003</v>
      </c>
      <c r="C119">
        <v>101</v>
      </c>
      <c r="D119">
        <v>101.85</v>
      </c>
      <c r="E119" s="178">
        <v>0.1</v>
      </c>
      <c r="F119" s="176">
        <v>0.1</v>
      </c>
      <c r="G119" t="s">
        <v>5831</v>
      </c>
      <c r="H119">
        <v>555</v>
      </c>
      <c r="I119">
        <v>445</v>
      </c>
      <c r="J119" t="s">
        <v>1555</v>
      </c>
      <c r="K119">
        <v>102.05</v>
      </c>
      <c r="L119">
        <v>101</v>
      </c>
      <c r="M119" s="175" t="s">
        <v>1555</v>
      </c>
      <c r="N119" t="s">
        <v>1555</v>
      </c>
    </row>
    <row r="120" spans="1:14">
      <c r="A120">
        <v>733</v>
      </c>
      <c r="B120" t="s">
        <v>1817</v>
      </c>
      <c r="C120">
        <v>76.8</v>
      </c>
      <c r="D120">
        <v>76.099999999999994</v>
      </c>
      <c r="E120" s="178">
        <v>-3.2</v>
      </c>
      <c r="F120" s="176">
        <v>-4.04</v>
      </c>
      <c r="G120" t="s">
        <v>5832</v>
      </c>
      <c r="H120">
        <v>598</v>
      </c>
      <c r="I120">
        <v>753</v>
      </c>
      <c r="J120" t="s">
        <v>1555</v>
      </c>
      <c r="K120">
        <v>77.900000000000006</v>
      </c>
      <c r="L120">
        <v>75.599999999999994</v>
      </c>
      <c r="M120" s="175" t="s">
        <v>1555</v>
      </c>
      <c r="N120" t="s">
        <v>1555</v>
      </c>
    </row>
    <row r="121" spans="1:14">
      <c r="A121" t="s">
        <v>1818</v>
      </c>
      <c r="B121" t="s">
        <v>1819</v>
      </c>
      <c r="C121">
        <v>15.24</v>
      </c>
      <c r="D121">
        <v>15.24</v>
      </c>
      <c r="E121" s="178">
        <v>0.09</v>
      </c>
      <c r="F121" s="176">
        <v>0.59</v>
      </c>
      <c r="G121" t="s">
        <v>5833</v>
      </c>
      <c r="H121">
        <v>28</v>
      </c>
      <c r="I121">
        <v>2217</v>
      </c>
      <c r="J121" t="s">
        <v>1555</v>
      </c>
      <c r="K121">
        <v>15.24</v>
      </c>
      <c r="L121">
        <v>15.24</v>
      </c>
      <c r="M121" s="175" t="s">
        <v>1555</v>
      </c>
      <c r="N121" t="s">
        <v>1555</v>
      </c>
    </row>
    <row r="122" spans="1:14">
      <c r="A122">
        <v>735</v>
      </c>
      <c r="B122" t="s">
        <v>1820</v>
      </c>
      <c r="C122">
        <v>98.25</v>
      </c>
      <c r="D122">
        <v>96.65</v>
      </c>
      <c r="E122" s="178">
        <v>-7.25</v>
      </c>
      <c r="F122" s="176">
        <v>-6.98</v>
      </c>
      <c r="G122" t="s">
        <v>5834</v>
      </c>
      <c r="H122">
        <v>4680</v>
      </c>
      <c r="I122">
        <v>2378</v>
      </c>
      <c r="J122" t="s">
        <v>1555</v>
      </c>
      <c r="K122">
        <v>98.25</v>
      </c>
      <c r="L122">
        <v>96.4</v>
      </c>
      <c r="M122" s="175" t="s">
        <v>1555</v>
      </c>
      <c r="N122" t="s">
        <v>1555</v>
      </c>
    </row>
    <row r="123" spans="1:14">
      <c r="A123">
        <v>736</v>
      </c>
      <c r="B123" t="s">
        <v>1821</v>
      </c>
      <c r="C123">
        <v>31.14</v>
      </c>
      <c r="D123">
        <v>31.24</v>
      </c>
      <c r="E123" s="178">
        <v>-0.54</v>
      </c>
      <c r="F123" s="176">
        <v>-1.7</v>
      </c>
      <c r="G123" t="s">
        <v>5326</v>
      </c>
      <c r="H123">
        <v>74</v>
      </c>
      <c r="I123">
        <v>174</v>
      </c>
      <c r="J123" t="s">
        <v>1555</v>
      </c>
      <c r="K123">
        <v>31.33</v>
      </c>
      <c r="L123">
        <v>31.14</v>
      </c>
      <c r="M123" s="175" t="s">
        <v>1555</v>
      </c>
      <c r="N123" t="s">
        <v>1555</v>
      </c>
    </row>
    <row r="124" spans="1:14">
      <c r="A124">
        <v>737</v>
      </c>
      <c r="B124" t="s">
        <v>2801</v>
      </c>
      <c r="C124">
        <v>40.549999999999997</v>
      </c>
      <c r="D124">
        <v>40.33</v>
      </c>
      <c r="E124" s="178">
        <v>-1.03</v>
      </c>
      <c r="F124" s="176">
        <v>-2.4900000000000002</v>
      </c>
      <c r="G124" t="s">
        <v>5517</v>
      </c>
      <c r="H124">
        <v>367</v>
      </c>
      <c r="I124">
        <v>90</v>
      </c>
      <c r="J124" t="s">
        <v>1555</v>
      </c>
      <c r="K124">
        <v>40.549999999999997</v>
      </c>
      <c r="L124">
        <v>40.159999999999997</v>
      </c>
      <c r="M124" s="175" t="s">
        <v>1555</v>
      </c>
      <c r="N124" t="s">
        <v>1555</v>
      </c>
    </row>
    <row r="125" spans="1:14">
      <c r="A125" t="s">
        <v>1822</v>
      </c>
      <c r="B125" t="s">
        <v>1823</v>
      </c>
      <c r="C125">
        <v>44.56</v>
      </c>
      <c r="D125">
        <v>44.28</v>
      </c>
      <c r="E125" s="178">
        <v>-2.59</v>
      </c>
      <c r="F125" s="176">
        <v>-5.53</v>
      </c>
      <c r="G125" t="s">
        <v>5835</v>
      </c>
      <c r="H125">
        <v>13971</v>
      </c>
      <c r="I125">
        <v>2411</v>
      </c>
      <c r="J125" t="s">
        <v>1555</v>
      </c>
      <c r="K125">
        <v>44.63</v>
      </c>
      <c r="L125">
        <v>44.26</v>
      </c>
      <c r="M125" s="175" t="s">
        <v>1555</v>
      </c>
      <c r="N125" t="s">
        <v>1555</v>
      </c>
    </row>
    <row r="126" spans="1:14">
      <c r="A126">
        <v>739</v>
      </c>
      <c r="B126" t="s">
        <v>1824</v>
      </c>
      <c r="C126">
        <v>25.71</v>
      </c>
      <c r="D126">
        <v>25.17</v>
      </c>
      <c r="E126" s="178">
        <v>-0.73</v>
      </c>
      <c r="F126" s="176">
        <v>-2.82</v>
      </c>
      <c r="G126" t="s">
        <v>5836</v>
      </c>
      <c r="H126">
        <v>273</v>
      </c>
      <c r="I126">
        <v>78</v>
      </c>
      <c r="J126" t="s">
        <v>1555</v>
      </c>
      <c r="K126">
        <v>25.71</v>
      </c>
      <c r="L126">
        <v>25.17</v>
      </c>
      <c r="M126" s="175" t="s">
        <v>1555</v>
      </c>
      <c r="N126" t="s">
        <v>1555</v>
      </c>
    </row>
    <row r="127" spans="1:14">
      <c r="A127" t="s">
        <v>1825</v>
      </c>
      <c r="B127" t="s">
        <v>1826</v>
      </c>
      <c r="C127">
        <v>36.53</v>
      </c>
      <c r="D127">
        <v>36.78</v>
      </c>
      <c r="E127" s="178">
        <v>0.45</v>
      </c>
      <c r="F127" s="176">
        <v>1.24</v>
      </c>
      <c r="G127" t="s">
        <v>5837</v>
      </c>
      <c r="H127">
        <v>2262</v>
      </c>
      <c r="I127">
        <v>2293</v>
      </c>
      <c r="J127" t="s">
        <v>1555</v>
      </c>
      <c r="K127">
        <v>36.78</v>
      </c>
      <c r="L127">
        <v>36.51</v>
      </c>
      <c r="M127" s="175" t="s">
        <v>1555</v>
      </c>
      <c r="N127" t="s">
        <v>1555</v>
      </c>
    </row>
    <row r="128" spans="1:14">
      <c r="A128" t="s">
        <v>1827</v>
      </c>
      <c r="B128" t="s">
        <v>1828</v>
      </c>
      <c r="C128">
        <v>36.700000000000003</v>
      </c>
      <c r="D128">
        <v>37.049999999999997</v>
      </c>
      <c r="E128" s="178">
        <v>0.03</v>
      </c>
      <c r="F128" s="176">
        <v>0.08</v>
      </c>
      <c r="G128" t="s">
        <v>5733</v>
      </c>
      <c r="H128">
        <v>169</v>
      </c>
      <c r="I128">
        <v>126</v>
      </c>
      <c r="J128" t="s">
        <v>1555</v>
      </c>
      <c r="K128">
        <v>37.1</v>
      </c>
      <c r="L128">
        <v>36.700000000000003</v>
      </c>
      <c r="M128" s="175" t="s">
        <v>1555</v>
      </c>
      <c r="N128" t="s">
        <v>1555</v>
      </c>
    </row>
    <row r="129" spans="1:14">
      <c r="A129" t="s">
        <v>1829</v>
      </c>
      <c r="B129" t="s">
        <v>1830</v>
      </c>
      <c r="C129">
        <v>33.99</v>
      </c>
      <c r="D129">
        <v>34.299999999999997</v>
      </c>
      <c r="E129" s="178">
        <v>0.51</v>
      </c>
      <c r="F129" s="176">
        <v>1.51</v>
      </c>
      <c r="G129" t="s">
        <v>5838</v>
      </c>
      <c r="H129">
        <v>1412</v>
      </c>
      <c r="I129">
        <v>1368</v>
      </c>
      <c r="J129" t="s">
        <v>1555</v>
      </c>
      <c r="K129">
        <v>34.31</v>
      </c>
      <c r="L129">
        <v>33.99</v>
      </c>
      <c r="M129" s="175" t="s">
        <v>1555</v>
      </c>
      <c r="N129" t="s">
        <v>1555</v>
      </c>
    </row>
    <row r="130" spans="1:14">
      <c r="A130" t="s">
        <v>1831</v>
      </c>
      <c r="B130" t="s">
        <v>1832</v>
      </c>
      <c r="C130">
        <v>30.19</v>
      </c>
      <c r="D130">
        <v>30.37</v>
      </c>
      <c r="E130" s="178">
        <v>0.32</v>
      </c>
      <c r="F130" s="176">
        <v>1.06</v>
      </c>
      <c r="G130" t="s">
        <v>5839</v>
      </c>
      <c r="H130">
        <v>112</v>
      </c>
      <c r="I130">
        <v>128</v>
      </c>
      <c r="J130" t="s">
        <v>1555</v>
      </c>
      <c r="K130">
        <v>30.37</v>
      </c>
      <c r="L130">
        <v>30.19</v>
      </c>
      <c r="M130" s="175" t="s">
        <v>1555</v>
      </c>
      <c r="N130" t="s">
        <v>1555</v>
      </c>
    </row>
    <row r="131" spans="1:14">
      <c r="A131" t="s">
        <v>1833</v>
      </c>
      <c r="B131" t="s">
        <v>1834</v>
      </c>
      <c r="C131">
        <v>31.39</v>
      </c>
      <c r="D131">
        <v>31.39</v>
      </c>
      <c r="E131" s="178">
        <v>0.4</v>
      </c>
      <c r="F131" s="176">
        <v>1.29</v>
      </c>
      <c r="G131" t="s">
        <v>5332</v>
      </c>
      <c r="H131">
        <v>106</v>
      </c>
      <c r="I131">
        <v>126</v>
      </c>
      <c r="J131" t="s">
        <v>1555</v>
      </c>
      <c r="K131">
        <v>31.39</v>
      </c>
      <c r="L131">
        <v>31.39</v>
      </c>
      <c r="M131" s="175" t="s">
        <v>1555</v>
      </c>
      <c r="N131" t="s">
        <v>1555</v>
      </c>
    </row>
    <row r="132" spans="1:14">
      <c r="A132" t="s">
        <v>1835</v>
      </c>
      <c r="B132" t="s">
        <v>1836</v>
      </c>
      <c r="C132">
        <v>29.56</v>
      </c>
      <c r="D132">
        <v>29.74</v>
      </c>
      <c r="E132" s="178">
        <v>0.45</v>
      </c>
      <c r="F132" s="176">
        <v>1.54</v>
      </c>
      <c r="G132" t="s">
        <v>5840</v>
      </c>
      <c r="H132">
        <v>11284</v>
      </c>
      <c r="I132">
        <v>5162</v>
      </c>
      <c r="J132" t="s">
        <v>1555</v>
      </c>
      <c r="K132">
        <v>29.76</v>
      </c>
      <c r="L132">
        <v>29.51</v>
      </c>
      <c r="M132" s="175" t="s">
        <v>1555</v>
      </c>
      <c r="N132" t="s">
        <v>1555</v>
      </c>
    </row>
    <row r="133" spans="1:14">
      <c r="A133">
        <v>752</v>
      </c>
      <c r="B133" t="s">
        <v>1837</v>
      </c>
      <c r="C133">
        <v>22.3</v>
      </c>
      <c r="D133">
        <v>22.2</v>
      </c>
      <c r="E133" s="178">
        <v>-0.42</v>
      </c>
      <c r="F133" s="176">
        <v>-1.86</v>
      </c>
      <c r="G133" t="s">
        <v>5841</v>
      </c>
      <c r="H133">
        <v>1182</v>
      </c>
      <c r="I133">
        <v>1095</v>
      </c>
      <c r="J133" t="s">
        <v>1555</v>
      </c>
      <c r="K133">
        <v>22.31</v>
      </c>
      <c r="L133">
        <v>22.14</v>
      </c>
      <c r="M133" s="175" t="s">
        <v>1555</v>
      </c>
      <c r="N133" t="s">
        <v>1555</v>
      </c>
    </row>
    <row r="134" spans="1:14">
      <c r="A134" t="s">
        <v>1838</v>
      </c>
      <c r="B134" t="s">
        <v>1839</v>
      </c>
      <c r="C134">
        <v>8.35</v>
      </c>
      <c r="D134">
        <v>8.2799999999999994</v>
      </c>
      <c r="E134" s="178">
        <v>-0.37</v>
      </c>
      <c r="F134" s="176">
        <v>-4.28</v>
      </c>
      <c r="G134" t="s">
        <v>5222</v>
      </c>
      <c r="H134">
        <v>15720</v>
      </c>
      <c r="I134">
        <v>10739</v>
      </c>
      <c r="J134" t="s">
        <v>1555</v>
      </c>
      <c r="K134">
        <v>8.42</v>
      </c>
      <c r="L134">
        <v>8.26</v>
      </c>
      <c r="M134" s="175" t="s">
        <v>1555</v>
      </c>
      <c r="N134" t="s">
        <v>1555</v>
      </c>
    </row>
    <row r="135" spans="1:14">
      <c r="A135" t="s">
        <v>1840</v>
      </c>
      <c r="B135" t="s">
        <v>1841</v>
      </c>
      <c r="C135">
        <v>31.54</v>
      </c>
      <c r="D135">
        <v>31.2</v>
      </c>
      <c r="E135" s="178">
        <v>0.43</v>
      </c>
      <c r="F135" s="176">
        <v>1.4</v>
      </c>
      <c r="G135" t="s">
        <v>5842</v>
      </c>
      <c r="H135">
        <v>148</v>
      </c>
      <c r="I135">
        <v>172</v>
      </c>
      <c r="J135" t="s">
        <v>1555</v>
      </c>
      <c r="K135">
        <v>31.54</v>
      </c>
      <c r="L135">
        <v>31</v>
      </c>
      <c r="M135" s="175" t="s">
        <v>1555</v>
      </c>
      <c r="N135" t="s">
        <v>1555</v>
      </c>
    </row>
    <row r="136" spans="1:14">
      <c r="A136" t="s">
        <v>1842</v>
      </c>
      <c r="B136" t="s">
        <v>2004</v>
      </c>
      <c r="C136">
        <v>31.35</v>
      </c>
      <c r="D136">
        <v>31.52</v>
      </c>
      <c r="E136" s="178">
        <v>0.48</v>
      </c>
      <c r="F136" s="176">
        <v>1.55</v>
      </c>
      <c r="G136" t="s">
        <v>5843</v>
      </c>
      <c r="H136">
        <v>206</v>
      </c>
      <c r="I136">
        <v>178</v>
      </c>
      <c r="J136" t="s">
        <v>1555</v>
      </c>
      <c r="K136">
        <v>31.56</v>
      </c>
      <c r="L136">
        <v>31.35</v>
      </c>
      <c r="M136" s="175" t="s">
        <v>1555</v>
      </c>
      <c r="N136" t="s">
        <v>1555</v>
      </c>
    </row>
    <row r="137" spans="1:14">
      <c r="A137" t="s">
        <v>1843</v>
      </c>
      <c r="B137" t="s">
        <v>2005</v>
      </c>
      <c r="C137">
        <v>29.36</v>
      </c>
      <c r="D137">
        <v>29.74</v>
      </c>
      <c r="E137" s="178">
        <v>0.36</v>
      </c>
      <c r="F137" s="176">
        <v>1.23</v>
      </c>
      <c r="G137" t="s">
        <v>5560</v>
      </c>
      <c r="H137">
        <v>274</v>
      </c>
      <c r="I137">
        <v>184</v>
      </c>
      <c r="J137" t="s">
        <v>1555</v>
      </c>
      <c r="K137">
        <v>29.78</v>
      </c>
      <c r="L137">
        <v>29.36</v>
      </c>
      <c r="M137" s="175" t="s">
        <v>1555</v>
      </c>
      <c r="N137" t="s">
        <v>1555</v>
      </c>
    </row>
    <row r="138" spans="1:14">
      <c r="A138">
        <v>757</v>
      </c>
      <c r="B138" t="s">
        <v>1844</v>
      </c>
      <c r="C138">
        <v>144</v>
      </c>
      <c r="D138">
        <v>144.15</v>
      </c>
      <c r="E138" s="178">
        <v>-4.25</v>
      </c>
      <c r="F138" s="176">
        <v>-2.86</v>
      </c>
      <c r="G138" t="s">
        <v>5540</v>
      </c>
      <c r="H138">
        <v>1340</v>
      </c>
      <c r="I138">
        <v>1222</v>
      </c>
      <c r="J138" t="s">
        <v>1555</v>
      </c>
      <c r="K138">
        <v>144.44999999999999</v>
      </c>
      <c r="L138">
        <v>143.55000000000001</v>
      </c>
      <c r="M138" s="175" t="s">
        <v>1555</v>
      </c>
      <c r="N138" t="s">
        <v>1555</v>
      </c>
    </row>
    <row r="139" spans="1:14">
      <c r="A139" t="s">
        <v>1845</v>
      </c>
      <c r="B139" t="s">
        <v>2006</v>
      </c>
      <c r="C139">
        <v>49.81</v>
      </c>
      <c r="D139">
        <v>50</v>
      </c>
      <c r="E139" s="178">
        <v>0.75</v>
      </c>
      <c r="F139" s="176">
        <v>1.52</v>
      </c>
      <c r="G139" t="s">
        <v>5338</v>
      </c>
      <c r="H139">
        <v>105</v>
      </c>
      <c r="I139">
        <v>101</v>
      </c>
      <c r="J139" t="s">
        <v>1555</v>
      </c>
      <c r="K139">
        <v>50</v>
      </c>
      <c r="L139">
        <v>49.81</v>
      </c>
      <c r="M139" s="175" t="s">
        <v>1555</v>
      </c>
      <c r="N139" t="s">
        <v>1555</v>
      </c>
    </row>
    <row r="140" spans="1:14">
      <c r="A140" t="s">
        <v>1846</v>
      </c>
      <c r="B140" t="s">
        <v>2007</v>
      </c>
      <c r="C140">
        <v>52.35</v>
      </c>
      <c r="D140">
        <v>52.55</v>
      </c>
      <c r="E140" s="178">
        <v>0.85</v>
      </c>
      <c r="F140" s="176">
        <v>1.64</v>
      </c>
      <c r="G140" t="s">
        <v>5844</v>
      </c>
      <c r="H140">
        <v>109</v>
      </c>
      <c r="I140">
        <v>101</v>
      </c>
      <c r="J140" t="s">
        <v>1555</v>
      </c>
      <c r="K140">
        <v>52.55</v>
      </c>
      <c r="L140">
        <v>52.35</v>
      </c>
      <c r="M140" s="175" t="s">
        <v>1555</v>
      </c>
      <c r="N140" t="s">
        <v>1555</v>
      </c>
    </row>
    <row r="141" spans="1:14">
      <c r="A141" t="s">
        <v>1847</v>
      </c>
      <c r="B141" t="s">
        <v>2008</v>
      </c>
      <c r="C141">
        <v>51.2</v>
      </c>
      <c r="D141">
        <v>51.4</v>
      </c>
      <c r="E141" s="178">
        <v>0.55000000000000004</v>
      </c>
      <c r="F141" s="176">
        <v>1.08</v>
      </c>
      <c r="G141" t="s">
        <v>5845</v>
      </c>
      <c r="H141">
        <v>138</v>
      </c>
      <c r="I141">
        <v>113</v>
      </c>
      <c r="J141" t="s">
        <v>1555</v>
      </c>
      <c r="K141">
        <v>51.5</v>
      </c>
      <c r="L141">
        <v>51.15</v>
      </c>
      <c r="M141" s="175" t="s">
        <v>1555</v>
      </c>
      <c r="N141" t="s">
        <v>1555</v>
      </c>
    </row>
    <row r="142" spans="1:14">
      <c r="A142" t="s">
        <v>1848</v>
      </c>
      <c r="B142" t="s">
        <v>1849</v>
      </c>
      <c r="C142">
        <v>32.380000000000003</v>
      </c>
      <c r="D142">
        <v>32.880000000000003</v>
      </c>
      <c r="E142" s="178">
        <v>0.5</v>
      </c>
      <c r="F142" s="176">
        <v>1.54</v>
      </c>
      <c r="G142" t="s">
        <v>5846</v>
      </c>
      <c r="H142">
        <v>611</v>
      </c>
      <c r="I142">
        <v>461</v>
      </c>
      <c r="J142" t="s">
        <v>1555</v>
      </c>
      <c r="K142">
        <v>32.89</v>
      </c>
      <c r="L142">
        <v>32.380000000000003</v>
      </c>
      <c r="M142" s="175" t="s">
        <v>1555</v>
      </c>
      <c r="N142" t="s">
        <v>1555</v>
      </c>
    </row>
    <row r="143" spans="1:14">
      <c r="A143">
        <v>762</v>
      </c>
      <c r="B143" t="s">
        <v>1850</v>
      </c>
      <c r="C143">
        <v>113.35</v>
      </c>
      <c r="D143">
        <v>113.35</v>
      </c>
      <c r="E143" s="178">
        <v>-5.65</v>
      </c>
      <c r="F143" s="176">
        <v>-4.75</v>
      </c>
      <c r="G143" t="s">
        <v>5485</v>
      </c>
      <c r="H143">
        <v>243</v>
      </c>
      <c r="I143">
        <v>132</v>
      </c>
      <c r="J143" t="s">
        <v>1555</v>
      </c>
      <c r="K143">
        <v>113.5</v>
      </c>
      <c r="L143">
        <v>112.65</v>
      </c>
      <c r="M143" s="175" t="s">
        <v>1555</v>
      </c>
      <c r="N143" t="s">
        <v>1555</v>
      </c>
    </row>
    <row r="144" spans="1:14">
      <c r="A144" t="s">
        <v>1851</v>
      </c>
      <c r="B144" t="s">
        <v>1852</v>
      </c>
      <c r="C144">
        <v>34.79</v>
      </c>
      <c r="D144">
        <v>34.42</v>
      </c>
      <c r="E144" s="178">
        <v>-1.03</v>
      </c>
      <c r="F144" s="176">
        <v>-2.91</v>
      </c>
      <c r="G144" t="s">
        <v>5847</v>
      </c>
      <c r="H144">
        <v>438</v>
      </c>
      <c r="I144">
        <v>268</v>
      </c>
      <c r="J144" t="s">
        <v>1555</v>
      </c>
      <c r="K144">
        <v>34.79</v>
      </c>
      <c r="L144">
        <v>34.340000000000003</v>
      </c>
      <c r="M144" s="175" t="s">
        <v>1555</v>
      </c>
      <c r="N144" t="s">
        <v>1555</v>
      </c>
    </row>
    <row r="145" spans="1:14">
      <c r="A145" t="s">
        <v>1853</v>
      </c>
      <c r="B145" t="s">
        <v>1854</v>
      </c>
      <c r="C145">
        <v>26.25</v>
      </c>
      <c r="D145">
        <v>26.53</v>
      </c>
      <c r="E145" s="178">
        <v>0.54</v>
      </c>
      <c r="F145" s="176">
        <v>2.08</v>
      </c>
      <c r="G145" t="s">
        <v>5848</v>
      </c>
      <c r="H145">
        <v>3109</v>
      </c>
      <c r="I145">
        <v>3438</v>
      </c>
      <c r="J145" t="s">
        <v>1555</v>
      </c>
      <c r="K145">
        <v>26.57</v>
      </c>
      <c r="L145">
        <v>26.25</v>
      </c>
      <c r="M145" s="175" t="s">
        <v>1555</v>
      </c>
      <c r="N145" t="s">
        <v>1555</v>
      </c>
    </row>
    <row r="146" spans="1:14">
      <c r="A146" t="s">
        <v>1855</v>
      </c>
      <c r="B146" t="s">
        <v>2009</v>
      </c>
      <c r="C146">
        <v>47.09</v>
      </c>
      <c r="D146">
        <v>47.62</v>
      </c>
      <c r="E146" s="178">
        <v>1.02</v>
      </c>
      <c r="F146" s="176">
        <v>2.19</v>
      </c>
      <c r="G146" t="s">
        <v>5849</v>
      </c>
      <c r="H146">
        <v>1248</v>
      </c>
      <c r="I146">
        <v>488</v>
      </c>
      <c r="J146" t="s">
        <v>1555</v>
      </c>
      <c r="K146">
        <v>47.67</v>
      </c>
      <c r="L146">
        <v>47.09</v>
      </c>
      <c r="M146" s="175" t="s">
        <v>1555</v>
      </c>
      <c r="N146" t="s">
        <v>1555</v>
      </c>
    </row>
    <row r="147" spans="1:14">
      <c r="A147">
        <v>770</v>
      </c>
      <c r="B147" t="s">
        <v>1856</v>
      </c>
      <c r="C147">
        <v>64.849999999999994</v>
      </c>
      <c r="D147">
        <v>64.349999999999994</v>
      </c>
      <c r="E147" s="178">
        <v>-2.2000000000000002</v>
      </c>
      <c r="F147" s="176">
        <v>-3.31</v>
      </c>
      <c r="G147" t="s">
        <v>5850</v>
      </c>
      <c r="H147">
        <v>1102</v>
      </c>
      <c r="I147">
        <v>451</v>
      </c>
      <c r="J147" t="s">
        <v>1555</v>
      </c>
      <c r="K147">
        <v>64.849999999999994</v>
      </c>
      <c r="L147">
        <v>63.9</v>
      </c>
      <c r="M147" s="175" t="s">
        <v>1555</v>
      </c>
      <c r="N147" t="s">
        <v>1555</v>
      </c>
    </row>
    <row r="148" spans="1:14">
      <c r="A148">
        <v>771</v>
      </c>
      <c r="B148" t="s">
        <v>1857</v>
      </c>
      <c r="C148">
        <v>14.9</v>
      </c>
      <c r="D148">
        <v>14.9</v>
      </c>
      <c r="E148" s="178">
        <v>-0.03</v>
      </c>
      <c r="F148" s="176">
        <v>-0.2</v>
      </c>
      <c r="G148" t="s">
        <v>5851</v>
      </c>
      <c r="H148">
        <v>7</v>
      </c>
      <c r="I148">
        <v>35</v>
      </c>
      <c r="J148" t="s">
        <v>1555</v>
      </c>
      <c r="K148">
        <v>14.9</v>
      </c>
      <c r="L148">
        <v>14.9</v>
      </c>
      <c r="M148" s="175" t="s">
        <v>1555</v>
      </c>
      <c r="N148" t="s">
        <v>1555</v>
      </c>
    </row>
    <row r="149" spans="1:14">
      <c r="A149" t="s">
        <v>1858</v>
      </c>
      <c r="B149" t="s">
        <v>1859</v>
      </c>
      <c r="C149">
        <v>31.88</v>
      </c>
      <c r="D149">
        <v>32.119999999999997</v>
      </c>
      <c r="E149" s="178">
        <v>0.46</v>
      </c>
      <c r="F149" s="176">
        <v>1.45</v>
      </c>
      <c r="G149" t="s">
        <v>5267</v>
      </c>
      <c r="H149">
        <v>5689</v>
      </c>
      <c r="I149">
        <v>2339</v>
      </c>
      <c r="J149" t="s">
        <v>1555</v>
      </c>
      <c r="K149">
        <v>32.15</v>
      </c>
      <c r="L149">
        <v>31.88</v>
      </c>
      <c r="M149" s="175" t="s">
        <v>1555</v>
      </c>
      <c r="N149" t="s">
        <v>1555</v>
      </c>
    </row>
    <row r="150" spans="1:14">
      <c r="A150" t="s">
        <v>1860</v>
      </c>
      <c r="B150" t="s">
        <v>1861</v>
      </c>
      <c r="C150">
        <v>34.06</v>
      </c>
      <c r="D150">
        <v>34.31</v>
      </c>
      <c r="E150" s="178">
        <v>0.43</v>
      </c>
      <c r="F150" s="176">
        <v>1.27</v>
      </c>
      <c r="G150" t="s">
        <v>5852</v>
      </c>
      <c r="H150">
        <v>1035</v>
      </c>
      <c r="I150">
        <v>999</v>
      </c>
      <c r="J150" t="s">
        <v>1555</v>
      </c>
      <c r="K150">
        <v>34.33</v>
      </c>
      <c r="L150">
        <v>34.06</v>
      </c>
      <c r="M150" s="175" t="s">
        <v>1555</v>
      </c>
      <c r="N150" t="s">
        <v>1555</v>
      </c>
    </row>
    <row r="151" spans="1:14">
      <c r="A151" t="s">
        <v>1862</v>
      </c>
      <c r="B151" t="s">
        <v>3207</v>
      </c>
      <c r="C151">
        <v>30.41</v>
      </c>
      <c r="D151">
        <v>30.54</v>
      </c>
      <c r="E151" s="178">
        <v>0.34</v>
      </c>
      <c r="F151" s="176">
        <v>1.1299999999999999</v>
      </c>
      <c r="G151" t="s">
        <v>5853</v>
      </c>
      <c r="H151">
        <v>120</v>
      </c>
      <c r="I151">
        <v>107</v>
      </c>
      <c r="J151" t="s">
        <v>1555</v>
      </c>
      <c r="K151">
        <v>30.56</v>
      </c>
      <c r="L151">
        <v>30.41</v>
      </c>
      <c r="M151" s="175" t="s">
        <v>1555</v>
      </c>
      <c r="N151" t="s">
        <v>1555</v>
      </c>
    </row>
    <row r="152" spans="1:14">
      <c r="A152" t="s">
        <v>1863</v>
      </c>
      <c r="B152" t="s">
        <v>1864</v>
      </c>
      <c r="C152">
        <v>30.81</v>
      </c>
      <c r="D152">
        <v>30.92</v>
      </c>
      <c r="E152" s="178">
        <v>0.43</v>
      </c>
      <c r="F152" s="176">
        <v>1.41</v>
      </c>
      <c r="G152" t="s">
        <v>5399</v>
      </c>
      <c r="H152">
        <v>126</v>
      </c>
      <c r="I152">
        <v>143</v>
      </c>
      <c r="J152" t="s">
        <v>1555</v>
      </c>
      <c r="K152">
        <v>30.92</v>
      </c>
      <c r="L152">
        <v>30.77</v>
      </c>
      <c r="M152" s="175" t="s">
        <v>1555</v>
      </c>
      <c r="N152" t="s">
        <v>1555</v>
      </c>
    </row>
    <row r="153" spans="1:14">
      <c r="A153" t="s">
        <v>1865</v>
      </c>
      <c r="B153" t="s">
        <v>1866</v>
      </c>
      <c r="C153">
        <v>32.83</v>
      </c>
      <c r="D153">
        <v>32.869999999999997</v>
      </c>
      <c r="E153" s="178">
        <v>0.57999999999999996</v>
      </c>
      <c r="F153" s="176">
        <v>1.8</v>
      </c>
      <c r="G153" t="s">
        <v>5730</v>
      </c>
      <c r="H153">
        <v>121</v>
      </c>
      <c r="I153">
        <v>122</v>
      </c>
      <c r="J153" t="s">
        <v>1555</v>
      </c>
      <c r="K153">
        <v>32.869999999999997</v>
      </c>
      <c r="L153">
        <v>32.83</v>
      </c>
      <c r="M153" s="175" t="s">
        <v>1555</v>
      </c>
      <c r="N153" t="s">
        <v>1555</v>
      </c>
    </row>
    <row r="154" spans="1:14">
      <c r="A154" t="s">
        <v>1867</v>
      </c>
      <c r="B154" t="s">
        <v>1868</v>
      </c>
      <c r="C154">
        <v>26.47</v>
      </c>
      <c r="D154">
        <v>26.76</v>
      </c>
      <c r="E154" s="178">
        <v>0.55000000000000004</v>
      </c>
      <c r="F154" s="176">
        <v>2.1</v>
      </c>
      <c r="G154" t="s">
        <v>5854</v>
      </c>
      <c r="H154">
        <v>436</v>
      </c>
      <c r="I154">
        <v>370</v>
      </c>
      <c r="J154" t="s">
        <v>1555</v>
      </c>
      <c r="K154">
        <v>26.8</v>
      </c>
      <c r="L154">
        <v>26.47</v>
      </c>
      <c r="M154" s="175" t="s">
        <v>1555</v>
      </c>
      <c r="N154" t="s">
        <v>1555</v>
      </c>
    </row>
    <row r="155" spans="1:14">
      <c r="A155" t="s">
        <v>1869</v>
      </c>
      <c r="B155" t="s">
        <v>1870</v>
      </c>
      <c r="C155">
        <v>35.97</v>
      </c>
      <c r="D155">
        <v>36.270000000000003</v>
      </c>
      <c r="E155" s="178">
        <v>0.38</v>
      </c>
      <c r="F155" s="176">
        <v>1.06</v>
      </c>
      <c r="G155" t="s">
        <v>5710</v>
      </c>
      <c r="H155">
        <v>290</v>
      </c>
      <c r="I155">
        <v>271</v>
      </c>
      <c r="J155" t="s">
        <v>1555</v>
      </c>
      <c r="K155">
        <v>36.28</v>
      </c>
      <c r="L155">
        <v>35.97</v>
      </c>
      <c r="M155" s="175" t="s">
        <v>1555</v>
      </c>
      <c r="N155" t="s">
        <v>1555</v>
      </c>
    </row>
    <row r="156" spans="1:14">
      <c r="A156" t="s">
        <v>1871</v>
      </c>
      <c r="B156" t="s">
        <v>1872</v>
      </c>
      <c r="C156">
        <v>26.45</v>
      </c>
      <c r="D156">
        <v>26.56</v>
      </c>
      <c r="E156" s="178">
        <v>0.45</v>
      </c>
      <c r="F156" s="176">
        <v>1.72</v>
      </c>
      <c r="G156" t="s">
        <v>5855</v>
      </c>
      <c r="H156">
        <v>271</v>
      </c>
      <c r="I156">
        <v>172</v>
      </c>
      <c r="J156" t="s">
        <v>1555</v>
      </c>
      <c r="K156">
        <v>26.61</v>
      </c>
      <c r="L156">
        <v>26.45</v>
      </c>
      <c r="M156" s="175" t="s">
        <v>1555</v>
      </c>
      <c r="N156" t="s">
        <v>1555</v>
      </c>
    </row>
    <row r="157" spans="1:14">
      <c r="A157" t="s">
        <v>1873</v>
      </c>
      <c r="B157" t="s">
        <v>1874</v>
      </c>
      <c r="C157">
        <v>29.36</v>
      </c>
      <c r="D157">
        <v>29.3</v>
      </c>
      <c r="E157" s="178">
        <v>0.43</v>
      </c>
      <c r="F157" s="176">
        <v>1.49</v>
      </c>
      <c r="G157" t="s">
        <v>5856</v>
      </c>
      <c r="H157">
        <v>932</v>
      </c>
      <c r="I157">
        <v>138</v>
      </c>
      <c r="J157" t="s">
        <v>1555</v>
      </c>
      <c r="K157">
        <v>29.36</v>
      </c>
      <c r="L157">
        <v>29.16</v>
      </c>
      <c r="M157" s="175" t="s">
        <v>1555</v>
      </c>
      <c r="N157" t="s">
        <v>1555</v>
      </c>
    </row>
    <row r="158" spans="1:14">
      <c r="A158">
        <v>783</v>
      </c>
      <c r="B158" t="s">
        <v>1875</v>
      </c>
      <c r="C158">
        <v>25.12</v>
      </c>
      <c r="D158">
        <v>24.88</v>
      </c>
      <c r="E158" s="178">
        <v>-1.1100000000000001</v>
      </c>
      <c r="F158" s="176">
        <v>-4.2699999999999996</v>
      </c>
      <c r="G158" t="s">
        <v>5264</v>
      </c>
      <c r="H158">
        <v>100</v>
      </c>
      <c r="I158">
        <v>45</v>
      </c>
      <c r="J158" t="s">
        <v>1555</v>
      </c>
      <c r="K158">
        <v>25.12</v>
      </c>
      <c r="L158">
        <v>24.88</v>
      </c>
      <c r="M158" s="175" t="s">
        <v>1555</v>
      </c>
      <c r="N158" t="s">
        <v>1555</v>
      </c>
    </row>
    <row r="159" spans="1:14">
      <c r="A159" t="s">
        <v>1876</v>
      </c>
      <c r="B159" t="s">
        <v>1877</v>
      </c>
      <c r="C159">
        <v>33.840000000000003</v>
      </c>
      <c r="D159">
        <v>33.83</v>
      </c>
      <c r="E159" s="178">
        <v>0.46</v>
      </c>
      <c r="F159" s="176">
        <v>1.38</v>
      </c>
      <c r="G159" t="s">
        <v>5857</v>
      </c>
      <c r="H159">
        <v>51</v>
      </c>
      <c r="I159">
        <v>104</v>
      </c>
      <c r="J159" t="s">
        <v>1555</v>
      </c>
      <c r="K159">
        <v>33.840000000000003</v>
      </c>
      <c r="L159">
        <v>33.83</v>
      </c>
      <c r="M159" s="175" t="s">
        <v>1555</v>
      </c>
      <c r="N159" t="s">
        <v>1555</v>
      </c>
    </row>
    <row r="160" spans="1:14">
      <c r="A160" t="s">
        <v>1878</v>
      </c>
      <c r="B160" t="s">
        <v>1879</v>
      </c>
      <c r="C160">
        <v>31.08</v>
      </c>
      <c r="D160">
        <v>31.43</v>
      </c>
      <c r="E160" s="178">
        <v>0.35</v>
      </c>
      <c r="F160" s="176">
        <v>1.1299999999999999</v>
      </c>
      <c r="G160" t="s">
        <v>5399</v>
      </c>
      <c r="H160">
        <v>124</v>
      </c>
      <c r="I160">
        <v>23</v>
      </c>
      <c r="J160" t="s">
        <v>1555</v>
      </c>
      <c r="K160">
        <v>31.47</v>
      </c>
      <c r="L160">
        <v>31.08</v>
      </c>
      <c r="M160" s="175" t="s">
        <v>1555</v>
      </c>
      <c r="N160" t="s">
        <v>1555</v>
      </c>
    </row>
    <row r="161" spans="1:14">
      <c r="A161" t="s">
        <v>1880</v>
      </c>
      <c r="B161" t="s">
        <v>1881</v>
      </c>
      <c r="C161">
        <v>31.04</v>
      </c>
      <c r="D161">
        <v>31.24</v>
      </c>
      <c r="E161" s="178">
        <v>0.48</v>
      </c>
      <c r="F161" s="176">
        <v>1.56</v>
      </c>
      <c r="G161" t="s">
        <v>5858</v>
      </c>
      <c r="H161">
        <v>91</v>
      </c>
      <c r="I161">
        <v>9</v>
      </c>
      <c r="J161" t="s">
        <v>1555</v>
      </c>
      <c r="K161">
        <v>31.24</v>
      </c>
      <c r="L161">
        <v>31.02</v>
      </c>
      <c r="M161" s="175" t="s">
        <v>1555</v>
      </c>
      <c r="N161" t="s">
        <v>1555</v>
      </c>
    </row>
    <row r="162" spans="1:14">
      <c r="A162" t="s">
        <v>1882</v>
      </c>
      <c r="B162" t="s">
        <v>1883</v>
      </c>
      <c r="C162">
        <v>28.85</v>
      </c>
      <c r="D162">
        <v>29.03</v>
      </c>
      <c r="E162" s="178">
        <v>0.52</v>
      </c>
      <c r="F162" s="176">
        <v>1.82</v>
      </c>
      <c r="G162" t="s">
        <v>5859</v>
      </c>
      <c r="H162">
        <v>139</v>
      </c>
      <c r="I162">
        <v>30</v>
      </c>
      <c r="J162" t="s">
        <v>1555</v>
      </c>
      <c r="K162">
        <v>29.09</v>
      </c>
      <c r="L162">
        <v>28.85</v>
      </c>
      <c r="M162" s="175" t="s">
        <v>1555</v>
      </c>
      <c r="N162" t="s">
        <v>1555</v>
      </c>
    </row>
    <row r="163" spans="1:14">
      <c r="A163" t="s">
        <v>1884</v>
      </c>
      <c r="B163" t="s">
        <v>2010</v>
      </c>
      <c r="C163">
        <v>45.5</v>
      </c>
      <c r="D163">
        <v>45.92</v>
      </c>
      <c r="E163" s="178">
        <v>0.89</v>
      </c>
      <c r="F163" s="176">
        <v>1.98</v>
      </c>
      <c r="G163" t="s">
        <v>5860</v>
      </c>
      <c r="H163">
        <v>114</v>
      </c>
      <c r="I163">
        <v>135</v>
      </c>
      <c r="J163" t="s">
        <v>1555</v>
      </c>
      <c r="K163">
        <v>45.92</v>
      </c>
      <c r="L163">
        <v>45.5</v>
      </c>
      <c r="M163" s="175" t="s">
        <v>1555</v>
      </c>
      <c r="N163" t="s">
        <v>1555</v>
      </c>
    </row>
    <row r="164" spans="1:14">
      <c r="A164" t="s">
        <v>1885</v>
      </c>
      <c r="B164" t="s">
        <v>2011</v>
      </c>
      <c r="C164">
        <v>57.3</v>
      </c>
      <c r="D164">
        <v>57.3</v>
      </c>
      <c r="E164" s="178">
        <v>0.35</v>
      </c>
      <c r="F164" s="176">
        <v>0.61</v>
      </c>
      <c r="G164" t="s">
        <v>5861</v>
      </c>
      <c r="H164">
        <v>11</v>
      </c>
      <c r="I164">
        <v>107</v>
      </c>
      <c r="J164" t="s">
        <v>1555</v>
      </c>
      <c r="K164">
        <v>57.3</v>
      </c>
      <c r="L164">
        <v>57.3</v>
      </c>
      <c r="M164" s="175" t="s">
        <v>1555</v>
      </c>
      <c r="N164" t="s">
        <v>1555</v>
      </c>
    </row>
    <row r="165" spans="1:14">
      <c r="A165" t="s">
        <v>1886</v>
      </c>
      <c r="B165" t="s">
        <v>1887</v>
      </c>
      <c r="C165">
        <v>29.72</v>
      </c>
      <c r="D165">
        <v>30.19</v>
      </c>
      <c r="E165" s="178">
        <v>0.51</v>
      </c>
      <c r="F165" s="176">
        <v>1.72</v>
      </c>
      <c r="G165" t="s">
        <v>5862</v>
      </c>
      <c r="H165">
        <v>380</v>
      </c>
      <c r="I165">
        <v>207</v>
      </c>
      <c r="J165" t="s">
        <v>1555</v>
      </c>
      <c r="K165">
        <v>30.2</v>
      </c>
      <c r="L165">
        <v>29.72</v>
      </c>
      <c r="M165" s="175" t="s">
        <v>1555</v>
      </c>
      <c r="N165" t="s">
        <v>1555</v>
      </c>
    </row>
    <row r="166" spans="1:14">
      <c r="A166" t="s">
        <v>1888</v>
      </c>
      <c r="B166" t="s">
        <v>1889</v>
      </c>
      <c r="C166">
        <v>25.55</v>
      </c>
      <c r="D166">
        <v>25.69</v>
      </c>
      <c r="E166" s="178">
        <v>0.51</v>
      </c>
      <c r="F166" s="176">
        <v>2.0299999999999998</v>
      </c>
      <c r="G166" t="s">
        <v>5284</v>
      </c>
      <c r="H166">
        <v>8379</v>
      </c>
      <c r="I166">
        <v>6090</v>
      </c>
      <c r="J166" t="s">
        <v>1555</v>
      </c>
      <c r="K166">
        <v>25.74</v>
      </c>
      <c r="L166">
        <v>25.48</v>
      </c>
      <c r="M166" s="175" t="s">
        <v>1555</v>
      </c>
      <c r="N166" t="s">
        <v>1555</v>
      </c>
    </row>
    <row r="167" spans="1:14">
      <c r="A167" t="s">
        <v>1890</v>
      </c>
      <c r="B167" t="s">
        <v>1891</v>
      </c>
      <c r="C167">
        <v>28.24</v>
      </c>
      <c r="D167">
        <v>28.38</v>
      </c>
      <c r="E167" s="178">
        <v>0.43</v>
      </c>
      <c r="F167" s="176">
        <v>1.54</v>
      </c>
      <c r="G167" t="s">
        <v>5863</v>
      </c>
      <c r="H167">
        <v>383</v>
      </c>
      <c r="I167">
        <v>259</v>
      </c>
      <c r="J167" t="s">
        <v>1555</v>
      </c>
      <c r="K167">
        <v>28.4</v>
      </c>
      <c r="L167">
        <v>28.24</v>
      </c>
      <c r="M167" s="175" t="s">
        <v>1555</v>
      </c>
      <c r="N167" t="s">
        <v>1555</v>
      </c>
    </row>
    <row r="168" spans="1:14">
      <c r="A168">
        <v>830</v>
      </c>
      <c r="B168" t="s">
        <v>1892</v>
      </c>
      <c r="C168">
        <v>83</v>
      </c>
      <c r="D168">
        <v>83.35</v>
      </c>
      <c r="E168" s="178">
        <v>-3.75</v>
      </c>
      <c r="F168" s="176">
        <v>-4.3099999999999996</v>
      </c>
      <c r="G168" t="s">
        <v>5311</v>
      </c>
      <c r="H168">
        <v>18910</v>
      </c>
      <c r="I168">
        <v>10793</v>
      </c>
      <c r="J168" t="s">
        <v>1555</v>
      </c>
      <c r="K168">
        <v>83.45</v>
      </c>
      <c r="L168">
        <v>82.5</v>
      </c>
      <c r="M168" s="175" t="s">
        <v>1555</v>
      </c>
      <c r="N168" t="s">
        <v>1555</v>
      </c>
    </row>
    <row r="169" spans="1:14">
      <c r="A169" t="s">
        <v>1893</v>
      </c>
      <c r="B169" t="s">
        <v>1894</v>
      </c>
      <c r="C169">
        <v>32.950000000000003</v>
      </c>
      <c r="D169">
        <v>32.950000000000003</v>
      </c>
      <c r="E169" s="178">
        <v>0.44</v>
      </c>
      <c r="F169" s="176">
        <v>1.35</v>
      </c>
      <c r="G169" t="s">
        <v>5321</v>
      </c>
      <c r="H169">
        <v>142</v>
      </c>
      <c r="I169">
        <v>125</v>
      </c>
      <c r="J169" t="s">
        <v>1555</v>
      </c>
      <c r="K169">
        <v>32.950000000000003</v>
      </c>
      <c r="L169">
        <v>32.950000000000003</v>
      </c>
      <c r="M169" s="175" t="s">
        <v>1555</v>
      </c>
      <c r="N169" t="s">
        <v>1555</v>
      </c>
    </row>
    <row r="170" spans="1:14">
      <c r="A170" t="s">
        <v>1895</v>
      </c>
      <c r="B170" t="s">
        <v>1896</v>
      </c>
      <c r="C170">
        <v>27.2</v>
      </c>
      <c r="D170">
        <v>27.35</v>
      </c>
      <c r="E170" s="178">
        <v>0.44</v>
      </c>
      <c r="F170" s="176">
        <v>1.64</v>
      </c>
      <c r="G170" t="s">
        <v>5375</v>
      </c>
      <c r="H170">
        <v>8</v>
      </c>
      <c r="I170">
        <v>71</v>
      </c>
      <c r="J170" t="s">
        <v>1555</v>
      </c>
      <c r="K170">
        <v>27.35</v>
      </c>
      <c r="L170">
        <v>27.2</v>
      </c>
      <c r="M170" s="175" t="s">
        <v>1555</v>
      </c>
      <c r="N170" t="s">
        <v>1555</v>
      </c>
    </row>
    <row r="171" spans="1:14">
      <c r="A171" t="s">
        <v>1897</v>
      </c>
      <c r="B171" t="s">
        <v>1898</v>
      </c>
      <c r="C171">
        <v>28.57</v>
      </c>
      <c r="D171">
        <v>28.57</v>
      </c>
      <c r="E171" s="178">
        <v>0.49</v>
      </c>
      <c r="F171" s="176">
        <v>1.75</v>
      </c>
      <c r="G171" t="s">
        <v>5353</v>
      </c>
      <c r="H171">
        <v>100</v>
      </c>
      <c r="I171">
        <v>102</v>
      </c>
      <c r="J171" t="s">
        <v>1555</v>
      </c>
      <c r="K171">
        <v>28.57</v>
      </c>
      <c r="L171">
        <v>28.57</v>
      </c>
      <c r="M171" s="175" t="s">
        <v>1555</v>
      </c>
      <c r="N171" t="s">
        <v>1555</v>
      </c>
    </row>
    <row r="172" spans="1:14">
      <c r="A172" t="s">
        <v>1899</v>
      </c>
      <c r="B172" t="s">
        <v>1900</v>
      </c>
      <c r="C172">
        <v>26.95</v>
      </c>
      <c r="D172">
        <v>27.15</v>
      </c>
      <c r="E172" s="178">
        <v>0.44</v>
      </c>
      <c r="F172" s="176">
        <v>1.65</v>
      </c>
      <c r="G172" t="s">
        <v>5864</v>
      </c>
      <c r="H172">
        <v>107</v>
      </c>
      <c r="I172">
        <v>138</v>
      </c>
      <c r="J172" t="s">
        <v>1555</v>
      </c>
      <c r="K172">
        <v>27.15</v>
      </c>
      <c r="L172">
        <v>26.95</v>
      </c>
      <c r="M172" s="175" t="s">
        <v>1555</v>
      </c>
      <c r="N172" t="s">
        <v>1555</v>
      </c>
    </row>
    <row r="173" spans="1:14">
      <c r="A173" t="s">
        <v>1901</v>
      </c>
      <c r="B173" t="s">
        <v>1902</v>
      </c>
      <c r="C173">
        <v>28.56</v>
      </c>
      <c r="D173">
        <v>28.85</v>
      </c>
      <c r="E173" s="178">
        <v>0.28999999999999998</v>
      </c>
      <c r="F173" s="176">
        <v>1.02</v>
      </c>
      <c r="G173" t="s">
        <v>5865</v>
      </c>
      <c r="H173">
        <v>623</v>
      </c>
      <c r="I173">
        <v>189</v>
      </c>
      <c r="J173" t="s">
        <v>1555</v>
      </c>
      <c r="K173">
        <v>28.9</v>
      </c>
      <c r="L173">
        <v>28.56</v>
      </c>
      <c r="M173" s="175" t="s">
        <v>1555</v>
      </c>
      <c r="N173" t="s">
        <v>1555</v>
      </c>
    </row>
    <row r="174" spans="1:14">
      <c r="A174" t="s">
        <v>1903</v>
      </c>
      <c r="B174" t="s">
        <v>3208</v>
      </c>
      <c r="C174">
        <v>30.12</v>
      </c>
      <c r="D174">
        <v>30.23</v>
      </c>
      <c r="E174" s="178">
        <v>0.49</v>
      </c>
      <c r="F174" s="176">
        <v>1.65</v>
      </c>
      <c r="G174" t="s">
        <v>5232</v>
      </c>
      <c r="H174">
        <v>101</v>
      </c>
      <c r="I174">
        <v>144</v>
      </c>
      <c r="J174" t="s">
        <v>1555</v>
      </c>
      <c r="K174">
        <v>30.23</v>
      </c>
      <c r="L174">
        <v>30.12</v>
      </c>
      <c r="M174" s="175" t="s">
        <v>1555</v>
      </c>
      <c r="N174" t="s">
        <v>1555</v>
      </c>
    </row>
    <row r="175" spans="1:14">
      <c r="A175" t="s">
        <v>1904</v>
      </c>
      <c r="B175" t="s">
        <v>1905</v>
      </c>
      <c r="C175">
        <v>32.299999999999997</v>
      </c>
      <c r="D175">
        <v>32.31</v>
      </c>
      <c r="E175" s="178">
        <v>0.36</v>
      </c>
      <c r="F175" s="176">
        <v>1.1299999999999999</v>
      </c>
      <c r="G175" t="s">
        <v>5866</v>
      </c>
      <c r="H175">
        <v>102</v>
      </c>
      <c r="I175">
        <v>147</v>
      </c>
      <c r="J175" t="s">
        <v>1555</v>
      </c>
      <c r="K175">
        <v>32.31</v>
      </c>
      <c r="L175">
        <v>32.299999999999997</v>
      </c>
      <c r="M175" s="175" t="s">
        <v>1555</v>
      </c>
      <c r="N175" t="s">
        <v>1555</v>
      </c>
    </row>
    <row r="176" spans="1:14">
      <c r="A176" t="s">
        <v>1906</v>
      </c>
      <c r="B176" t="s">
        <v>1907</v>
      </c>
      <c r="C176">
        <v>34.93</v>
      </c>
      <c r="D176">
        <v>34.909999999999997</v>
      </c>
      <c r="E176" s="178">
        <v>0.35</v>
      </c>
      <c r="F176" s="176">
        <v>1.01</v>
      </c>
      <c r="G176" t="s">
        <v>5685</v>
      </c>
      <c r="H176">
        <v>101</v>
      </c>
      <c r="I176">
        <v>113</v>
      </c>
      <c r="J176" t="s">
        <v>1555</v>
      </c>
      <c r="K176">
        <v>34.93</v>
      </c>
      <c r="L176">
        <v>34.909999999999997</v>
      </c>
      <c r="M176" s="175" t="s">
        <v>1555</v>
      </c>
      <c r="N176" t="s">
        <v>1555</v>
      </c>
    </row>
    <row r="177" spans="1:14">
      <c r="A177" t="s">
        <v>1908</v>
      </c>
      <c r="B177" t="s">
        <v>1909</v>
      </c>
      <c r="C177">
        <v>32.93</v>
      </c>
      <c r="D177">
        <v>33.090000000000003</v>
      </c>
      <c r="E177" s="178">
        <v>0.38</v>
      </c>
      <c r="F177" s="176">
        <v>1.1599999999999999</v>
      </c>
      <c r="G177" t="s">
        <v>5355</v>
      </c>
      <c r="H177">
        <v>127</v>
      </c>
      <c r="I177">
        <v>424</v>
      </c>
      <c r="J177" t="s">
        <v>1555</v>
      </c>
      <c r="K177">
        <v>33.090000000000003</v>
      </c>
      <c r="L177">
        <v>32.909999999999997</v>
      </c>
      <c r="M177" s="175" t="s">
        <v>1555</v>
      </c>
      <c r="N177" t="s">
        <v>1555</v>
      </c>
    </row>
    <row r="178" spans="1:14">
      <c r="A178" t="s">
        <v>1910</v>
      </c>
      <c r="B178" t="s">
        <v>1911</v>
      </c>
      <c r="C178">
        <v>37.79</v>
      </c>
      <c r="D178">
        <v>37.950000000000003</v>
      </c>
      <c r="E178" s="178">
        <v>0.22</v>
      </c>
      <c r="F178" s="176">
        <v>0.57999999999999996</v>
      </c>
      <c r="G178" t="s">
        <v>5867</v>
      </c>
      <c r="H178">
        <v>2</v>
      </c>
      <c r="I178">
        <v>312</v>
      </c>
      <c r="J178" t="s">
        <v>1555</v>
      </c>
      <c r="K178">
        <v>37.950000000000003</v>
      </c>
      <c r="L178">
        <v>37.79</v>
      </c>
      <c r="M178" s="175" t="s">
        <v>1555</v>
      </c>
      <c r="N178" t="s">
        <v>1555</v>
      </c>
    </row>
    <row r="179" spans="1:14">
      <c r="A179">
        <v>850</v>
      </c>
      <c r="B179" t="s">
        <v>1912</v>
      </c>
      <c r="C179">
        <v>95.55</v>
      </c>
      <c r="D179">
        <v>93.3</v>
      </c>
      <c r="E179" s="178">
        <v>-3.7</v>
      </c>
      <c r="F179" s="176">
        <v>-3.81</v>
      </c>
      <c r="G179" t="s">
        <v>5868</v>
      </c>
      <c r="H179">
        <v>940</v>
      </c>
      <c r="I179">
        <v>417</v>
      </c>
      <c r="J179" t="s">
        <v>1555</v>
      </c>
      <c r="K179">
        <v>95.55</v>
      </c>
      <c r="L179">
        <v>93.05</v>
      </c>
      <c r="M179" s="175" t="s">
        <v>1555</v>
      </c>
      <c r="N179" t="s">
        <v>1555</v>
      </c>
    </row>
    <row r="180" spans="1:14">
      <c r="A180">
        <v>851</v>
      </c>
      <c r="B180" t="s">
        <v>1913</v>
      </c>
      <c r="C180">
        <v>73.849999999999994</v>
      </c>
      <c r="D180">
        <v>71.849999999999994</v>
      </c>
      <c r="E180" s="178">
        <v>-2</v>
      </c>
      <c r="F180" s="176">
        <v>-2.71</v>
      </c>
      <c r="G180" t="s">
        <v>5869</v>
      </c>
      <c r="H180">
        <v>119</v>
      </c>
      <c r="I180">
        <v>55</v>
      </c>
      <c r="J180" t="s">
        <v>1555</v>
      </c>
      <c r="K180">
        <v>73.849999999999994</v>
      </c>
      <c r="L180">
        <v>71.650000000000006</v>
      </c>
      <c r="M180" s="175" t="s">
        <v>1555</v>
      </c>
      <c r="N180" t="s">
        <v>1555</v>
      </c>
    </row>
    <row r="181" spans="1:14">
      <c r="A181" t="s">
        <v>1914</v>
      </c>
      <c r="B181" t="s">
        <v>1915</v>
      </c>
      <c r="C181">
        <v>33.04</v>
      </c>
      <c r="D181">
        <v>33.200000000000003</v>
      </c>
      <c r="E181" s="178">
        <v>-0.2</v>
      </c>
      <c r="F181" s="176">
        <v>-0.6</v>
      </c>
      <c r="G181" t="s">
        <v>5727</v>
      </c>
      <c r="H181">
        <v>580</v>
      </c>
      <c r="I181">
        <v>407</v>
      </c>
      <c r="J181" t="s">
        <v>1555</v>
      </c>
      <c r="K181">
        <v>33.21</v>
      </c>
      <c r="L181">
        <v>33.04</v>
      </c>
      <c r="M181" s="175" t="s">
        <v>1555</v>
      </c>
      <c r="N181" t="s">
        <v>1555</v>
      </c>
    </row>
    <row r="182" spans="1:14">
      <c r="A182" t="s">
        <v>1916</v>
      </c>
      <c r="B182" t="s">
        <v>1917</v>
      </c>
      <c r="C182">
        <v>26.17</v>
      </c>
      <c r="D182">
        <v>26.29</v>
      </c>
      <c r="E182" s="178">
        <v>0.38</v>
      </c>
      <c r="F182" s="176">
        <v>1.47</v>
      </c>
      <c r="G182" t="s">
        <v>5870</v>
      </c>
      <c r="H182">
        <v>1171</v>
      </c>
      <c r="I182">
        <v>1139</v>
      </c>
      <c r="J182" t="s">
        <v>1555</v>
      </c>
      <c r="K182">
        <v>26.31</v>
      </c>
      <c r="L182">
        <v>26.17</v>
      </c>
      <c r="M182" s="175" t="s">
        <v>1555</v>
      </c>
      <c r="N182" t="s">
        <v>1555</v>
      </c>
    </row>
    <row r="183" spans="1:14">
      <c r="A183" t="s">
        <v>1918</v>
      </c>
      <c r="B183" t="s">
        <v>1919</v>
      </c>
      <c r="C183">
        <v>37.840000000000003</v>
      </c>
      <c r="D183">
        <v>37.85</v>
      </c>
      <c r="E183" s="178">
        <v>0.17</v>
      </c>
      <c r="F183" s="176">
        <v>0.45</v>
      </c>
      <c r="G183" t="s">
        <v>5306</v>
      </c>
      <c r="H183">
        <v>53</v>
      </c>
      <c r="I183">
        <v>5</v>
      </c>
      <c r="J183" t="s">
        <v>1555</v>
      </c>
      <c r="K183">
        <v>37.85</v>
      </c>
      <c r="L183">
        <v>37.840000000000003</v>
      </c>
      <c r="M183" s="175" t="s">
        <v>1555</v>
      </c>
      <c r="N183" t="s">
        <v>1555</v>
      </c>
    </row>
    <row r="184" spans="1:14">
      <c r="A184" t="s">
        <v>1920</v>
      </c>
      <c r="B184" t="s">
        <v>1921</v>
      </c>
      <c r="C184">
        <v>21.91</v>
      </c>
      <c r="D184">
        <v>22.1</v>
      </c>
      <c r="E184" s="178">
        <v>0.44</v>
      </c>
      <c r="F184" s="176">
        <v>2.0299999999999998</v>
      </c>
      <c r="G184" t="s">
        <v>5871</v>
      </c>
      <c r="H184">
        <v>2864</v>
      </c>
      <c r="I184">
        <v>1050</v>
      </c>
      <c r="J184" t="s">
        <v>1555</v>
      </c>
      <c r="K184">
        <v>22.13</v>
      </c>
      <c r="L184">
        <v>21.91</v>
      </c>
      <c r="M184" s="175" t="s">
        <v>1555</v>
      </c>
      <c r="N184" t="s">
        <v>1555</v>
      </c>
    </row>
    <row r="185" spans="1:14">
      <c r="A185">
        <v>858</v>
      </c>
      <c r="B185" t="s">
        <v>1922</v>
      </c>
      <c r="C185">
        <v>36.619999999999997</v>
      </c>
      <c r="D185">
        <v>36.64</v>
      </c>
      <c r="E185" s="178">
        <v>-0.48</v>
      </c>
      <c r="F185" s="176">
        <v>-1.29</v>
      </c>
      <c r="G185" t="s">
        <v>5872</v>
      </c>
      <c r="H185">
        <v>400</v>
      </c>
      <c r="I185">
        <v>427</v>
      </c>
      <c r="J185" t="s">
        <v>1555</v>
      </c>
      <c r="K185">
        <v>36.69</v>
      </c>
      <c r="L185">
        <v>36.53</v>
      </c>
      <c r="M185" s="175" t="s">
        <v>1555</v>
      </c>
      <c r="N185" t="s">
        <v>1555</v>
      </c>
    </row>
    <row r="186" spans="1:14">
      <c r="A186" t="s">
        <v>1923</v>
      </c>
      <c r="B186" t="s">
        <v>1924</v>
      </c>
      <c r="C186">
        <v>41.19</v>
      </c>
      <c r="D186">
        <v>41.36</v>
      </c>
      <c r="E186" s="178">
        <v>0.24</v>
      </c>
      <c r="F186" s="176">
        <v>0.57999999999999996</v>
      </c>
      <c r="G186" t="s">
        <v>5662</v>
      </c>
      <c r="H186">
        <v>3282</v>
      </c>
      <c r="I186">
        <v>2969</v>
      </c>
      <c r="J186" t="s">
        <v>1555</v>
      </c>
      <c r="K186">
        <v>41.37</v>
      </c>
      <c r="L186">
        <v>41.14</v>
      </c>
      <c r="M186" s="175" t="s">
        <v>1555</v>
      </c>
      <c r="N186" t="s">
        <v>1555</v>
      </c>
    </row>
    <row r="187" spans="1:14">
      <c r="A187" t="s">
        <v>1925</v>
      </c>
      <c r="B187" t="s">
        <v>2012</v>
      </c>
      <c r="C187">
        <v>38.299999999999997</v>
      </c>
      <c r="D187">
        <v>38.47</v>
      </c>
      <c r="E187" s="178">
        <v>0.17</v>
      </c>
      <c r="F187" s="176">
        <v>0.44</v>
      </c>
      <c r="G187" t="s">
        <v>5576</v>
      </c>
      <c r="H187">
        <v>86</v>
      </c>
      <c r="I187">
        <v>107</v>
      </c>
      <c r="J187" t="s">
        <v>1555</v>
      </c>
      <c r="K187">
        <v>38.479999999999997</v>
      </c>
      <c r="L187">
        <v>38.299999999999997</v>
      </c>
      <c r="M187" s="175" t="s">
        <v>1555</v>
      </c>
      <c r="N187" t="s">
        <v>1555</v>
      </c>
    </row>
    <row r="188" spans="1:14">
      <c r="A188">
        <v>861</v>
      </c>
      <c r="B188" t="s">
        <v>1926</v>
      </c>
      <c r="C188">
        <v>84.7</v>
      </c>
      <c r="D188">
        <v>83.8</v>
      </c>
      <c r="E188" s="178">
        <v>-3.7</v>
      </c>
      <c r="F188" s="176">
        <v>-4.2300000000000004</v>
      </c>
      <c r="G188" t="s">
        <v>5809</v>
      </c>
      <c r="H188">
        <v>53</v>
      </c>
      <c r="I188">
        <v>147</v>
      </c>
      <c r="J188" t="s">
        <v>1555</v>
      </c>
      <c r="K188">
        <v>84.7</v>
      </c>
      <c r="L188">
        <v>83.25</v>
      </c>
      <c r="M188" s="175" t="s">
        <v>1555</v>
      </c>
      <c r="N188" t="s">
        <v>1555</v>
      </c>
    </row>
    <row r="189" spans="1:14">
      <c r="A189" t="s">
        <v>1927</v>
      </c>
      <c r="B189" t="s">
        <v>1928</v>
      </c>
      <c r="C189">
        <v>29.66</v>
      </c>
      <c r="D189">
        <v>29.98</v>
      </c>
      <c r="E189" s="178">
        <v>0.4</v>
      </c>
      <c r="F189" s="176">
        <v>1.35</v>
      </c>
      <c r="G189" t="s">
        <v>5873</v>
      </c>
      <c r="H189">
        <v>25</v>
      </c>
      <c r="I189">
        <v>413</v>
      </c>
      <c r="J189" t="s">
        <v>1555</v>
      </c>
      <c r="K189">
        <v>30</v>
      </c>
      <c r="L189">
        <v>29.66</v>
      </c>
      <c r="M189" s="175" t="s">
        <v>1555</v>
      </c>
      <c r="N189" t="s">
        <v>1555</v>
      </c>
    </row>
    <row r="190" spans="1:14">
      <c r="A190" t="s">
        <v>1929</v>
      </c>
      <c r="B190" t="s">
        <v>1930</v>
      </c>
      <c r="C190">
        <v>29.93</v>
      </c>
      <c r="D190">
        <v>29.93</v>
      </c>
      <c r="E190" s="178">
        <v>0.33</v>
      </c>
      <c r="F190" s="176">
        <v>1.1100000000000001</v>
      </c>
      <c r="G190" t="s">
        <v>5691</v>
      </c>
      <c r="H190">
        <v>2</v>
      </c>
      <c r="I190">
        <v>410</v>
      </c>
      <c r="J190" t="s">
        <v>1555</v>
      </c>
      <c r="K190">
        <v>29.93</v>
      </c>
      <c r="L190">
        <v>29.93</v>
      </c>
      <c r="M190" s="175" t="s">
        <v>1555</v>
      </c>
      <c r="N190" t="s">
        <v>1555</v>
      </c>
    </row>
    <row r="191" spans="1:14">
      <c r="A191" t="s">
        <v>1931</v>
      </c>
      <c r="B191" t="s">
        <v>1932</v>
      </c>
      <c r="C191">
        <v>46.86</v>
      </c>
      <c r="D191">
        <v>46.95</v>
      </c>
      <c r="E191" s="178">
        <v>0.22</v>
      </c>
      <c r="F191" s="176">
        <v>0.47</v>
      </c>
      <c r="G191" t="s">
        <v>5749</v>
      </c>
      <c r="H191">
        <v>1927</v>
      </c>
      <c r="I191">
        <v>825</v>
      </c>
      <c r="J191" t="s">
        <v>1555</v>
      </c>
      <c r="K191">
        <v>46.97</v>
      </c>
      <c r="L191">
        <v>46.76</v>
      </c>
      <c r="M191" s="175" t="s">
        <v>1555</v>
      </c>
      <c r="N191" t="s">
        <v>1555</v>
      </c>
    </row>
    <row r="192" spans="1:14">
      <c r="A192" t="s">
        <v>1933</v>
      </c>
      <c r="B192" t="s">
        <v>1934</v>
      </c>
      <c r="C192">
        <v>49.54</v>
      </c>
      <c r="D192">
        <v>49.75</v>
      </c>
      <c r="E192" s="178">
        <v>0.21</v>
      </c>
      <c r="F192" s="176">
        <v>0.42</v>
      </c>
      <c r="G192" t="s">
        <v>5514</v>
      </c>
      <c r="H192">
        <v>8144</v>
      </c>
      <c r="I192">
        <v>2887</v>
      </c>
      <c r="J192" t="s">
        <v>1555</v>
      </c>
      <c r="K192">
        <v>49.8</v>
      </c>
      <c r="L192">
        <v>49.43</v>
      </c>
      <c r="M192" s="175" t="s">
        <v>1555</v>
      </c>
      <c r="N192" t="s">
        <v>1555</v>
      </c>
    </row>
    <row r="193" spans="1:14">
      <c r="A193" t="s">
        <v>1935</v>
      </c>
      <c r="B193" t="s">
        <v>3209</v>
      </c>
      <c r="C193">
        <v>29.22</v>
      </c>
      <c r="D193">
        <v>29.15</v>
      </c>
      <c r="E193" s="178">
        <v>0.31</v>
      </c>
      <c r="F193" s="176">
        <v>1.07</v>
      </c>
      <c r="G193" t="s">
        <v>5386</v>
      </c>
      <c r="H193">
        <v>422</v>
      </c>
      <c r="I193">
        <v>487</v>
      </c>
      <c r="J193" t="s">
        <v>1555</v>
      </c>
      <c r="K193">
        <v>29.22</v>
      </c>
      <c r="L193">
        <v>29.15</v>
      </c>
      <c r="M193" s="175" t="s">
        <v>1555</v>
      </c>
      <c r="N193" t="s">
        <v>1555</v>
      </c>
    </row>
    <row r="194" spans="1:14">
      <c r="A194" t="s">
        <v>1936</v>
      </c>
      <c r="B194" t="s">
        <v>1937</v>
      </c>
      <c r="C194">
        <v>26.82</v>
      </c>
      <c r="D194">
        <v>26.88</v>
      </c>
      <c r="E194" s="178">
        <v>0.21</v>
      </c>
      <c r="F194" s="176">
        <v>0.79</v>
      </c>
      <c r="G194" t="s">
        <v>5874</v>
      </c>
      <c r="H194">
        <v>6</v>
      </c>
      <c r="I194">
        <v>48</v>
      </c>
      <c r="J194" t="s">
        <v>1555</v>
      </c>
      <c r="K194">
        <v>26.88</v>
      </c>
      <c r="L194">
        <v>26.82</v>
      </c>
      <c r="M194" s="175" t="s">
        <v>1555</v>
      </c>
      <c r="N194" t="s">
        <v>1555</v>
      </c>
    </row>
    <row r="195" spans="1:14">
      <c r="A195">
        <v>875</v>
      </c>
      <c r="B195" t="s">
        <v>1938</v>
      </c>
      <c r="C195">
        <v>58.5</v>
      </c>
      <c r="D195">
        <v>58.5</v>
      </c>
      <c r="E195" s="178">
        <v>-2.15</v>
      </c>
      <c r="F195" s="176">
        <v>-3.54</v>
      </c>
      <c r="G195" t="s">
        <v>5712</v>
      </c>
      <c r="H195">
        <v>340</v>
      </c>
      <c r="I195">
        <v>182</v>
      </c>
      <c r="J195" t="s">
        <v>1555</v>
      </c>
      <c r="K195">
        <v>58.65</v>
      </c>
      <c r="L195">
        <v>58.45</v>
      </c>
      <c r="M195" s="175" t="s">
        <v>1555</v>
      </c>
      <c r="N195" t="s">
        <v>1555</v>
      </c>
    </row>
    <row r="196" spans="1:14">
      <c r="A196">
        <v>876</v>
      </c>
      <c r="B196" t="s">
        <v>1939</v>
      </c>
      <c r="C196">
        <v>85</v>
      </c>
      <c r="D196">
        <v>86.05</v>
      </c>
      <c r="E196" s="178">
        <v>-4.45</v>
      </c>
      <c r="F196" s="176">
        <v>-4.92</v>
      </c>
      <c r="G196" t="s">
        <v>5875</v>
      </c>
      <c r="H196">
        <v>354</v>
      </c>
      <c r="I196">
        <v>194</v>
      </c>
      <c r="J196" t="s">
        <v>1555</v>
      </c>
      <c r="K196">
        <v>86.1</v>
      </c>
      <c r="L196">
        <v>85</v>
      </c>
      <c r="M196" s="175" t="s">
        <v>1555</v>
      </c>
      <c r="N196" t="s">
        <v>1555</v>
      </c>
    </row>
    <row r="197" spans="1:14">
      <c r="A197">
        <v>877</v>
      </c>
      <c r="B197" t="s">
        <v>2013</v>
      </c>
      <c r="C197">
        <v>30.6</v>
      </c>
      <c r="D197">
        <v>29.92</v>
      </c>
      <c r="E197" s="178">
        <v>-1.8</v>
      </c>
      <c r="F197" s="176">
        <v>-5.67</v>
      </c>
      <c r="G197" t="s">
        <v>5409</v>
      </c>
      <c r="H197">
        <v>5894</v>
      </c>
      <c r="I197">
        <v>4647</v>
      </c>
      <c r="J197" t="s">
        <v>1555</v>
      </c>
      <c r="K197">
        <v>30.9</v>
      </c>
      <c r="L197">
        <v>29.91</v>
      </c>
      <c r="M197" s="175" t="s">
        <v>1555</v>
      </c>
      <c r="N197" t="s">
        <v>1555</v>
      </c>
    </row>
    <row r="198" spans="1:14">
      <c r="A198">
        <v>878</v>
      </c>
      <c r="B198" t="s">
        <v>1940</v>
      </c>
      <c r="C198">
        <v>34.97</v>
      </c>
      <c r="D198">
        <v>35.090000000000003</v>
      </c>
      <c r="E198" s="178">
        <v>-0.38</v>
      </c>
      <c r="F198" s="176">
        <v>-1.07</v>
      </c>
      <c r="G198" t="s">
        <v>5876</v>
      </c>
      <c r="H198">
        <v>48622</v>
      </c>
      <c r="I198">
        <v>27441</v>
      </c>
      <c r="J198" t="s">
        <v>1555</v>
      </c>
      <c r="K198">
        <v>35.26</v>
      </c>
      <c r="L198">
        <v>34.93</v>
      </c>
      <c r="M198" s="175" t="s">
        <v>1555</v>
      </c>
      <c r="N198" t="s">
        <v>1555</v>
      </c>
    </row>
    <row r="199" spans="1:14">
      <c r="A199">
        <v>881</v>
      </c>
      <c r="B199" t="s">
        <v>2805</v>
      </c>
      <c r="C199">
        <v>50.25</v>
      </c>
      <c r="D199">
        <v>49.95</v>
      </c>
      <c r="E199" s="178">
        <v>-2.15</v>
      </c>
      <c r="F199" s="176">
        <v>-4.13</v>
      </c>
      <c r="G199" t="s">
        <v>5780</v>
      </c>
      <c r="H199">
        <v>45605</v>
      </c>
      <c r="I199">
        <v>16908</v>
      </c>
      <c r="J199" t="s">
        <v>1555</v>
      </c>
      <c r="K199">
        <v>50.5</v>
      </c>
      <c r="L199">
        <v>49.95</v>
      </c>
      <c r="M199" s="175" t="s">
        <v>1555</v>
      </c>
      <c r="N199" t="s">
        <v>1555</v>
      </c>
    </row>
    <row r="200" spans="1:14">
      <c r="A200">
        <v>882</v>
      </c>
      <c r="B200" t="s">
        <v>1941</v>
      </c>
      <c r="C200">
        <v>15.15</v>
      </c>
      <c r="D200">
        <v>15.05</v>
      </c>
      <c r="E200" s="178">
        <v>-0.18</v>
      </c>
      <c r="F200" s="176">
        <v>-1.18</v>
      </c>
      <c r="G200" t="s">
        <v>5308</v>
      </c>
      <c r="H200">
        <v>7774</v>
      </c>
      <c r="I200">
        <v>6883</v>
      </c>
      <c r="J200" t="s">
        <v>1555</v>
      </c>
      <c r="K200">
        <v>15.16</v>
      </c>
      <c r="L200">
        <v>15.04</v>
      </c>
      <c r="M200" s="175" t="s">
        <v>1555</v>
      </c>
      <c r="N200" t="s">
        <v>1555</v>
      </c>
    </row>
    <row r="201" spans="1:14">
      <c r="A201" t="s">
        <v>1942</v>
      </c>
      <c r="B201" t="s">
        <v>1943</v>
      </c>
      <c r="C201">
        <v>28.06</v>
      </c>
      <c r="D201">
        <v>28.25</v>
      </c>
      <c r="E201" s="178">
        <v>0.39</v>
      </c>
      <c r="F201" s="176">
        <v>1.4</v>
      </c>
      <c r="G201" t="s">
        <v>5877</v>
      </c>
      <c r="H201">
        <v>31</v>
      </c>
      <c r="I201">
        <v>326</v>
      </c>
      <c r="J201" t="s">
        <v>1555</v>
      </c>
      <c r="K201">
        <v>28.25</v>
      </c>
      <c r="L201">
        <v>28.06</v>
      </c>
      <c r="M201" s="175" t="s">
        <v>1555</v>
      </c>
      <c r="N201" t="s">
        <v>1555</v>
      </c>
    </row>
    <row r="202" spans="1:14">
      <c r="A202">
        <v>885</v>
      </c>
      <c r="B202" t="s">
        <v>1944</v>
      </c>
      <c r="C202">
        <v>17.46</v>
      </c>
      <c r="D202">
        <v>17.64</v>
      </c>
      <c r="E202" s="178">
        <v>0.01</v>
      </c>
      <c r="F202" s="176">
        <v>0.06</v>
      </c>
      <c r="G202" t="s">
        <v>5878</v>
      </c>
      <c r="H202">
        <v>2158</v>
      </c>
      <c r="I202">
        <v>1161</v>
      </c>
      <c r="J202" t="s">
        <v>1555</v>
      </c>
      <c r="K202">
        <v>17.66</v>
      </c>
      <c r="L202">
        <v>17.46</v>
      </c>
      <c r="M202" s="175" t="s">
        <v>1555</v>
      </c>
      <c r="N202" t="s">
        <v>1555</v>
      </c>
    </row>
    <row r="203" spans="1:14">
      <c r="A203">
        <v>886</v>
      </c>
      <c r="B203" t="s">
        <v>1945</v>
      </c>
      <c r="C203">
        <v>49.3</v>
      </c>
      <c r="D203">
        <v>49.1</v>
      </c>
      <c r="E203" s="178">
        <v>-1.5</v>
      </c>
      <c r="F203" s="176">
        <v>-2.96</v>
      </c>
      <c r="G203" t="s">
        <v>5212</v>
      </c>
      <c r="H203">
        <v>24</v>
      </c>
      <c r="I203">
        <v>33</v>
      </c>
      <c r="J203" t="s">
        <v>1555</v>
      </c>
      <c r="K203">
        <v>49.3</v>
      </c>
      <c r="L203">
        <v>49.09</v>
      </c>
      <c r="M203" s="175" t="s">
        <v>1555</v>
      </c>
      <c r="N203" t="s">
        <v>1555</v>
      </c>
    </row>
    <row r="204" spans="1:14">
      <c r="A204">
        <v>887</v>
      </c>
      <c r="B204" t="s">
        <v>1946</v>
      </c>
      <c r="C204">
        <v>14.27</v>
      </c>
      <c r="D204">
        <v>13.86</v>
      </c>
      <c r="E204" s="178">
        <v>-0.61</v>
      </c>
      <c r="F204" s="176">
        <v>-4.22</v>
      </c>
      <c r="G204" t="s">
        <v>5211</v>
      </c>
      <c r="H204">
        <v>11233</v>
      </c>
      <c r="I204">
        <v>5096</v>
      </c>
      <c r="J204" t="s">
        <v>1555</v>
      </c>
      <c r="K204">
        <v>14.27</v>
      </c>
      <c r="L204">
        <v>13.86</v>
      </c>
      <c r="M204" s="175" t="s">
        <v>1555</v>
      </c>
      <c r="N204" t="s">
        <v>1555</v>
      </c>
    </row>
    <row r="205" spans="1:14">
      <c r="A205">
        <v>888</v>
      </c>
      <c r="B205" t="s">
        <v>1947</v>
      </c>
      <c r="C205">
        <v>34.700000000000003</v>
      </c>
      <c r="D205">
        <v>34.35</v>
      </c>
      <c r="E205" s="178">
        <v>-1.59</v>
      </c>
      <c r="F205" s="176">
        <v>-4.42</v>
      </c>
      <c r="G205" t="s">
        <v>5784</v>
      </c>
      <c r="H205">
        <v>19071</v>
      </c>
      <c r="I205">
        <v>7404</v>
      </c>
      <c r="J205" t="s">
        <v>1555</v>
      </c>
      <c r="K205">
        <v>34.840000000000003</v>
      </c>
      <c r="L205">
        <v>34.35</v>
      </c>
      <c r="M205" s="175" t="s">
        <v>1555</v>
      </c>
      <c r="N205" t="s">
        <v>1555</v>
      </c>
    </row>
    <row r="206" spans="1:14">
      <c r="A206" t="s">
        <v>1948</v>
      </c>
      <c r="B206" t="s">
        <v>1949</v>
      </c>
      <c r="C206">
        <v>30.56</v>
      </c>
      <c r="D206">
        <v>30.79</v>
      </c>
      <c r="E206" s="178">
        <v>0.41</v>
      </c>
      <c r="F206" s="176">
        <v>1.35</v>
      </c>
      <c r="G206" t="s">
        <v>5239</v>
      </c>
      <c r="H206">
        <v>104</v>
      </c>
      <c r="I206">
        <v>125</v>
      </c>
      <c r="J206" t="s">
        <v>1555</v>
      </c>
      <c r="K206">
        <v>30.79</v>
      </c>
      <c r="L206">
        <v>30.56</v>
      </c>
      <c r="M206" s="175" t="s">
        <v>1555</v>
      </c>
      <c r="N206" t="s">
        <v>1555</v>
      </c>
    </row>
    <row r="207" spans="1:14">
      <c r="A207">
        <v>891</v>
      </c>
      <c r="B207" t="s">
        <v>1950</v>
      </c>
      <c r="C207">
        <v>36</v>
      </c>
      <c r="D207">
        <v>35.75</v>
      </c>
      <c r="E207" s="178">
        <v>-1.62</v>
      </c>
      <c r="F207" s="176">
        <v>-4.34</v>
      </c>
      <c r="G207" t="s">
        <v>5879</v>
      </c>
      <c r="H207">
        <v>47817</v>
      </c>
      <c r="I207">
        <v>15499</v>
      </c>
      <c r="J207" t="s">
        <v>1555</v>
      </c>
      <c r="K207">
        <v>36.229999999999997</v>
      </c>
      <c r="L207">
        <v>35.58</v>
      </c>
      <c r="M207" s="175" t="s">
        <v>1555</v>
      </c>
      <c r="N207" t="s">
        <v>1555</v>
      </c>
    </row>
    <row r="208" spans="1:14">
      <c r="A208">
        <v>892</v>
      </c>
      <c r="B208" t="s">
        <v>1951</v>
      </c>
      <c r="C208">
        <v>41.45</v>
      </c>
      <c r="D208">
        <v>40.76</v>
      </c>
      <c r="E208" s="178">
        <v>-2.23</v>
      </c>
      <c r="F208" s="176">
        <v>-5.19</v>
      </c>
      <c r="G208" t="s">
        <v>5385</v>
      </c>
      <c r="H208">
        <v>8150</v>
      </c>
      <c r="I208">
        <v>4108</v>
      </c>
      <c r="J208" t="s">
        <v>1555</v>
      </c>
      <c r="K208">
        <v>41.53</v>
      </c>
      <c r="L208">
        <v>40.57</v>
      </c>
      <c r="M208" s="175" t="s">
        <v>1555</v>
      </c>
      <c r="N208" t="s">
        <v>1555</v>
      </c>
    </row>
    <row r="209" spans="1:14">
      <c r="A209">
        <v>893</v>
      </c>
      <c r="B209" t="s">
        <v>1952</v>
      </c>
      <c r="C209">
        <v>44.39</v>
      </c>
      <c r="D209">
        <v>44.18</v>
      </c>
      <c r="E209" s="178">
        <v>-2.0299999999999998</v>
      </c>
      <c r="F209" s="176">
        <v>-4.3899999999999997</v>
      </c>
      <c r="G209" t="s">
        <v>5880</v>
      </c>
      <c r="H209">
        <v>774</v>
      </c>
      <c r="I209">
        <v>725</v>
      </c>
      <c r="J209" t="s">
        <v>1555</v>
      </c>
      <c r="K209">
        <v>44.39</v>
      </c>
      <c r="L209">
        <v>43.95</v>
      </c>
      <c r="M209" s="175" t="s">
        <v>1555</v>
      </c>
      <c r="N209" t="s">
        <v>1555</v>
      </c>
    </row>
    <row r="210" spans="1:14">
      <c r="A210">
        <v>894</v>
      </c>
      <c r="B210" t="s">
        <v>1953</v>
      </c>
      <c r="C210">
        <v>49.79</v>
      </c>
      <c r="D210">
        <v>47.78</v>
      </c>
      <c r="E210" s="178">
        <v>-2.77</v>
      </c>
      <c r="F210" s="176">
        <v>-5.48</v>
      </c>
      <c r="G210" t="s">
        <v>5679</v>
      </c>
      <c r="H210">
        <v>3557</v>
      </c>
      <c r="I210">
        <v>918</v>
      </c>
      <c r="J210" t="s">
        <v>1555</v>
      </c>
      <c r="K210">
        <v>49.79</v>
      </c>
      <c r="L210">
        <v>47.25</v>
      </c>
      <c r="M210" s="175" t="s">
        <v>1555</v>
      </c>
      <c r="N210" t="s">
        <v>1555</v>
      </c>
    </row>
    <row r="211" spans="1:14">
      <c r="A211">
        <v>895</v>
      </c>
      <c r="B211" t="s">
        <v>1954</v>
      </c>
      <c r="C211">
        <v>50.95</v>
      </c>
      <c r="D211">
        <v>50.45</v>
      </c>
      <c r="E211" s="178">
        <v>-2.0499999999999998</v>
      </c>
      <c r="F211" s="176">
        <v>-3.9</v>
      </c>
      <c r="G211" t="s">
        <v>5881</v>
      </c>
      <c r="H211">
        <v>333</v>
      </c>
      <c r="I211">
        <v>280</v>
      </c>
      <c r="J211" t="s">
        <v>1555</v>
      </c>
      <c r="K211">
        <v>50.95</v>
      </c>
      <c r="L211">
        <v>50.2</v>
      </c>
      <c r="M211" s="175" t="s">
        <v>1555</v>
      </c>
      <c r="N211" t="s">
        <v>1555</v>
      </c>
    </row>
    <row r="212" spans="1:14">
      <c r="A212">
        <v>896</v>
      </c>
      <c r="B212" t="s">
        <v>1955</v>
      </c>
      <c r="C212">
        <v>27.63</v>
      </c>
      <c r="D212">
        <v>27.22</v>
      </c>
      <c r="E212" s="178">
        <v>-1.21</v>
      </c>
      <c r="F212" s="176">
        <v>-4.26</v>
      </c>
      <c r="G212" t="s">
        <v>5347</v>
      </c>
      <c r="H212">
        <v>10706</v>
      </c>
      <c r="I212">
        <v>4152</v>
      </c>
      <c r="J212" t="s">
        <v>1555</v>
      </c>
      <c r="K212">
        <v>27.68</v>
      </c>
      <c r="L212">
        <v>27.1</v>
      </c>
      <c r="M212" s="175" t="s">
        <v>1555</v>
      </c>
      <c r="N212" t="s">
        <v>1555</v>
      </c>
    </row>
    <row r="213" spans="1:14">
      <c r="A213">
        <v>897</v>
      </c>
      <c r="B213" t="s">
        <v>1956</v>
      </c>
      <c r="C213">
        <v>13.88</v>
      </c>
      <c r="D213">
        <v>14</v>
      </c>
      <c r="E213" s="178">
        <v>0.18</v>
      </c>
      <c r="F213" s="176">
        <v>1.3</v>
      </c>
      <c r="G213" t="s">
        <v>5882</v>
      </c>
      <c r="H213">
        <v>850</v>
      </c>
      <c r="I213">
        <v>1246</v>
      </c>
      <c r="J213" t="s">
        <v>1555</v>
      </c>
      <c r="K213">
        <v>14</v>
      </c>
      <c r="L213">
        <v>13.88</v>
      </c>
      <c r="M213" s="175" t="s">
        <v>1555</v>
      </c>
      <c r="N213" t="s">
        <v>1555</v>
      </c>
    </row>
    <row r="214" spans="1:14">
      <c r="A214">
        <v>898</v>
      </c>
      <c r="B214" t="s">
        <v>1957</v>
      </c>
      <c r="C214">
        <v>11.4</v>
      </c>
      <c r="D214">
        <v>11.46</v>
      </c>
      <c r="E214" s="178">
        <v>0.06</v>
      </c>
      <c r="F214" s="176">
        <v>0.53</v>
      </c>
      <c r="G214" t="s">
        <v>5562</v>
      </c>
      <c r="H214">
        <v>316</v>
      </c>
      <c r="I214">
        <v>807</v>
      </c>
      <c r="J214" t="s">
        <v>1555</v>
      </c>
      <c r="K214">
        <v>11.5</v>
      </c>
      <c r="L214">
        <v>11.4</v>
      </c>
      <c r="M214" s="175" t="s">
        <v>1555</v>
      </c>
      <c r="N214" t="s">
        <v>1555</v>
      </c>
    </row>
    <row r="215" spans="1:14">
      <c r="A215">
        <v>899</v>
      </c>
      <c r="B215" t="s">
        <v>1958</v>
      </c>
      <c r="C215">
        <v>21.53</v>
      </c>
      <c r="D215">
        <v>21.45</v>
      </c>
      <c r="E215" s="178">
        <v>-0.57999999999999996</v>
      </c>
      <c r="F215" s="176">
        <v>-2.63</v>
      </c>
      <c r="G215" t="s">
        <v>5589</v>
      </c>
      <c r="H215">
        <v>256</v>
      </c>
      <c r="I215">
        <v>39</v>
      </c>
      <c r="J215" t="s">
        <v>1555</v>
      </c>
      <c r="K215">
        <v>21.54</v>
      </c>
      <c r="L215">
        <v>21.45</v>
      </c>
      <c r="M215" s="175" t="s">
        <v>1555</v>
      </c>
      <c r="N215" t="s">
        <v>1555</v>
      </c>
    </row>
    <row r="216" spans="1:14">
      <c r="A216">
        <v>900</v>
      </c>
      <c r="B216" t="s">
        <v>1959</v>
      </c>
      <c r="C216">
        <v>19.850000000000001</v>
      </c>
      <c r="D216">
        <v>19.84</v>
      </c>
      <c r="E216" s="178">
        <v>-0.13</v>
      </c>
      <c r="F216" s="176">
        <v>-0.65</v>
      </c>
      <c r="G216" t="s">
        <v>5883</v>
      </c>
      <c r="H216">
        <v>4473</v>
      </c>
      <c r="I216">
        <v>6151</v>
      </c>
      <c r="J216" t="s">
        <v>1555</v>
      </c>
      <c r="K216">
        <v>19.93</v>
      </c>
      <c r="L216">
        <v>19.79</v>
      </c>
      <c r="M216" s="175" t="s">
        <v>1555</v>
      </c>
      <c r="N216" t="s">
        <v>1555</v>
      </c>
    </row>
    <row r="217" spans="1:14">
      <c r="A217">
        <v>901</v>
      </c>
      <c r="B217" t="s">
        <v>1960</v>
      </c>
      <c r="C217">
        <v>46.1</v>
      </c>
      <c r="D217">
        <v>45.53</v>
      </c>
      <c r="E217" s="178">
        <v>-2.5499999999999998</v>
      </c>
      <c r="F217" s="176">
        <v>-5.3</v>
      </c>
      <c r="G217" t="s">
        <v>5884</v>
      </c>
      <c r="H217">
        <v>484</v>
      </c>
      <c r="I217">
        <v>110</v>
      </c>
      <c r="J217" t="s">
        <v>1555</v>
      </c>
      <c r="K217">
        <v>46.15</v>
      </c>
      <c r="L217">
        <v>45.22</v>
      </c>
      <c r="M217" s="175" t="s">
        <v>1555</v>
      </c>
      <c r="N217" t="s">
        <v>1555</v>
      </c>
    </row>
    <row r="218" spans="1:14">
      <c r="A218">
        <v>902</v>
      </c>
      <c r="B218" t="s">
        <v>1961</v>
      </c>
      <c r="C218">
        <v>12.26</v>
      </c>
      <c r="D218">
        <v>12.07</v>
      </c>
      <c r="E218" s="178">
        <v>-0.71</v>
      </c>
      <c r="F218" s="176">
        <v>-5.56</v>
      </c>
      <c r="G218" t="s">
        <v>5885</v>
      </c>
      <c r="H218">
        <v>1708</v>
      </c>
      <c r="I218">
        <v>843</v>
      </c>
      <c r="J218" t="s">
        <v>1555</v>
      </c>
      <c r="K218">
        <v>12.26</v>
      </c>
      <c r="L218">
        <v>12.02</v>
      </c>
      <c r="M218" s="175" t="s">
        <v>1555</v>
      </c>
      <c r="N218" t="s">
        <v>1555</v>
      </c>
    </row>
    <row r="219" spans="1:14">
      <c r="A219">
        <v>903</v>
      </c>
      <c r="B219" t="s">
        <v>1962</v>
      </c>
      <c r="C219">
        <v>21.17</v>
      </c>
      <c r="D219">
        <v>21.09</v>
      </c>
      <c r="E219" s="178">
        <v>-0.85</v>
      </c>
      <c r="F219" s="176">
        <v>-3.87</v>
      </c>
      <c r="G219" t="s">
        <v>5361</v>
      </c>
      <c r="H219">
        <v>310</v>
      </c>
      <c r="I219">
        <v>94</v>
      </c>
      <c r="J219" t="s">
        <v>1555</v>
      </c>
      <c r="K219">
        <v>21.17</v>
      </c>
      <c r="L219">
        <v>21</v>
      </c>
      <c r="M219" s="175" t="s">
        <v>1555</v>
      </c>
      <c r="N219" t="s">
        <v>1555</v>
      </c>
    </row>
    <row r="220" spans="1:14">
      <c r="A220">
        <v>904</v>
      </c>
      <c r="B220" t="s">
        <v>3210</v>
      </c>
      <c r="C220">
        <v>41.43</v>
      </c>
      <c r="D220">
        <v>41.22</v>
      </c>
      <c r="E220" s="178">
        <v>-1.87</v>
      </c>
      <c r="F220" s="176">
        <v>-4.34</v>
      </c>
      <c r="G220" t="s">
        <v>5886</v>
      </c>
      <c r="H220">
        <v>15727</v>
      </c>
      <c r="I220">
        <v>6349</v>
      </c>
      <c r="J220" t="s">
        <v>1555</v>
      </c>
      <c r="K220">
        <v>41.61</v>
      </c>
      <c r="L220">
        <v>41.06</v>
      </c>
      <c r="M220" s="175" t="s">
        <v>1555</v>
      </c>
      <c r="N220" t="s">
        <v>1555</v>
      </c>
    </row>
    <row r="221" spans="1:14">
      <c r="A221">
        <v>905</v>
      </c>
      <c r="B221" t="s">
        <v>1963</v>
      </c>
      <c r="C221">
        <v>26.9</v>
      </c>
      <c r="D221">
        <v>26.72</v>
      </c>
      <c r="E221" s="178">
        <v>-1.1100000000000001</v>
      </c>
      <c r="F221" s="176">
        <v>-3.99</v>
      </c>
      <c r="G221" t="s">
        <v>5887</v>
      </c>
      <c r="H221">
        <v>2796</v>
      </c>
      <c r="I221">
        <v>1146</v>
      </c>
      <c r="J221" t="s">
        <v>1555</v>
      </c>
      <c r="K221">
        <v>26.95</v>
      </c>
      <c r="L221">
        <v>26.6</v>
      </c>
      <c r="M221" s="175" t="s">
        <v>1555</v>
      </c>
      <c r="N221" t="s">
        <v>1555</v>
      </c>
    </row>
    <row r="222" spans="1:14">
      <c r="A222">
        <v>907</v>
      </c>
      <c r="B222" t="s">
        <v>1964</v>
      </c>
      <c r="C222">
        <v>18.36</v>
      </c>
      <c r="D222">
        <v>18.46</v>
      </c>
      <c r="E222" s="178">
        <v>0.09</v>
      </c>
      <c r="F222" s="176">
        <v>0.49</v>
      </c>
      <c r="G222" t="s">
        <v>5888</v>
      </c>
      <c r="H222">
        <v>1181</v>
      </c>
      <c r="I222">
        <v>898</v>
      </c>
      <c r="J222" t="s">
        <v>1555</v>
      </c>
      <c r="K222">
        <v>18.5</v>
      </c>
      <c r="L222">
        <v>18.36</v>
      </c>
      <c r="M222" s="175" t="s">
        <v>1555</v>
      </c>
      <c r="N222" t="s">
        <v>1555</v>
      </c>
    </row>
    <row r="223" spans="1:14">
      <c r="A223">
        <v>908</v>
      </c>
      <c r="B223" t="s">
        <v>1965</v>
      </c>
      <c r="C223">
        <v>14.52</v>
      </c>
      <c r="D223">
        <v>14.55</v>
      </c>
      <c r="E223" s="178">
        <v>0</v>
      </c>
      <c r="F223" s="176">
        <v>0</v>
      </c>
      <c r="G223" t="s">
        <v>5889</v>
      </c>
      <c r="H223">
        <v>13</v>
      </c>
      <c r="I223">
        <v>99</v>
      </c>
      <c r="J223" t="s">
        <v>1555</v>
      </c>
      <c r="K223">
        <v>14.55</v>
      </c>
      <c r="L223">
        <v>14.52</v>
      </c>
      <c r="M223" s="175" t="s">
        <v>1555</v>
      </c>
      <c r="N223" t="s">
        <v>1555</v>
      </c>
    </row>
    <row r="224" spans="1:14">
      <c r="A224">
        <v>909</v>
      </c>
      <c r="B224" t="s">
        <v>1966</v>
      </c>
      <c r="C224">
        <v>42.48</v>
      </c>
      <c r="D224">
        <v>41.64</v>
      </c>
      <c r="E224" s="178">
        <v>-3.07</v>
      </c>
      <c r="F224" s="176">
        <v>-6.87</v>
      </c>
      <c r="G224" t="s">
        <v>5890</v>
      </c>
      <c r="H224">
        <v>5183</v>
      </c>
      <c r="I224">
        <v>2169</v>
      </c>
      <c r="J224" t="s">
        <v>1555</v>
      </c>
      <c r="K224">
        <v>42.48</v>
      </c>
      <c r="L224">
        <v>41.06</v>
      </c>
      <c r="M224" s="175" t="s">
        <v>1555</v>
      </c>
      <c r="N224" t="s">
        <v>1555</v>
      </c>
    </row>
    <row r="225" spans="1:14">
      <c r="A225">
        <v>910</v>
      </c>
      <c r="B225" t="s">
        <v>1967</v>
      </c>
      <c r="C225">
        <v>50</v>
      </c>
      <c r="D225">
        <v>49.9</v>
      </c>
      <c r="E225" s="178">
        <v>-2.6</v>
      </c>
      <c r="F225" s="176">
        <v>-4.95</v>
      </c>
      <c r="G225" t="s">
        <v>5610</v>
      </c>
      <c r="H225">
        <v>1819</v>
      </c>
      <c r="I225">
        <v>879</v>
      </c>
      <c r="J225" t="s">
        <v>1555</v>
      </c>
      <c r="K225">
        <v>50.1</v>
      </c>
      <c r="L225">
        <v>49.61</v>
      </c>
      <c r="M225" s="175" t="s">
        <v>1555</v>
      </c>
      <c r="N225" t="s">
        <v>1555</v>
      </c>
    </row>
    <row r="226" spans="1:14">
      <c r="A226">
        <v>911</v>
      </c>
      <c r="B226" t="s">
        <v>1968</v>
      </c>
      <c r="C226">
        <v>52.95</v>
      </c>
      <c r="D226">
        <v>52.6</v>
      </c>
      <c r="E226" s="178">
        <v>-3.05</v>
      </c>
      <c r="F226" s="176">
        <v>-5.48</v>
      </c>
      <c r="G226" t="s">
        <v>5519</v>
      </c>
      <c r="H226">
        <v>306</v>
      </c>
      <c r="I226">
        <v>208</v>
      </c>
      <c r="J226" t="s">
        <v>1555</v>
      </c>
      <c r="K226">
        <v>53.1</v>
      </c>
      <c r="L226">
        <v>52.55</v>
      </c>
      <c r="M226" s="175" t="s">
        <v>1555</v>
      </c>
      <c r="N226" t="s">
        <v>1555</v>
      </c>
    </row>
    <row r="227" spans="1:14">
      <c r="A227">
        <v>912</v>
      </c>
      <c r="B227" t="s">
        <v>1969</v>
      </c>
      <c r="C227">
        <v>35.79</v>
      </c>
      <c r="D227">
        <v>34.74</v>
      </c>
      <c r="E227" s="178">
        <v>-1.36</v>
      </c>
      <c r="F227" s="176">
        <v>-3.77</v>
      </c>
      <c r="G227" t="s">
        <v>5211</v>
      </c>
      <c r="H227">
        <v>4529</v>
      </c>
      <c r="I227">
        <v>2515</v>
      </c>
      <c r="J227" t="s">
        <v>1555</v>
      </c>
      <c r="K227">
        <v>35.79</v>
      </c>
      <c r="L227">
        <v>34.659999999999997</v>
      </c>
      <c r="M227" s="175" t="s">
        <v>1555</v>
      </c>
      <c r="N227" t="s">
        <v>1555</v>
      </c>
    </row>
    <row r="228" spans="1:14">
      <c r="A228">
        <v>913</v>
      </c>
      <c r="B228" t="s">
        <v>1970</v>
      </c>
      <c r="C228">
        <v>49.81</v>
      </c>
      <c r="D228">
        <v>48.25</v>
      </c>
      <c r="E228" s="178">
        <v>-3.2</v>
      </c>
      <c r="F228" s="176">
        <v>-6.22</v>
      </c>
      <c r="G228" t="s">
        <v>5891</v>
      </c>
      <c r="H228">
        <v>3502</v>
      </c>
      <c r="I228">
        <v>1703</v>
      </c>
      <c r="J228" t="s">
        <v>1555</v>
      </c>
      <c r="K228">
        <v>49.81</v>
      </c>
      <c r="L228">
        <v>48.04</v>
      </c>
      <c r="M228" s="175" t="s">
        <v>1555</v>
      </c>
      <c r="N228" t="s">
        <v>1555</v>
      </c>
    </row>
    <row r="229" spans="1:14">
      <c r="A229">
        <v>915</v>
      </c>
      <c r="B229" t="s">
        <v>1971</v>
      </c>
      <c r="C229">
        <v>33.39</v>
      </c>
      <c r="D229">
        <v>33.450000000000003</v>
      </c>
      <c r="E229" s="178">
        <v>-0.06</v>
      </c>
      <c r="F229" s="176">
        <v>-0.18</v>
      </c>
      <c r="G229" t="s">
        <v>5892</v>
      </c>
      <c r="H229">
        <v>2417</v>
      </c>
      <c r="I229">
        <v>2187</v>
      </c>
      <c r="J229" t="s">
        <v>1555</v>
      </c>
      <c r="K229">
        <v>33.54</v>
      </c>
      <c r="L229">
        <v>33.22</v>
      </c>
      <c r="M229" s="175" t="s">
        <v>1555</v>
      </c>
      <c r="N229" t="s">
        <v>1555</v>
      </c>
    </row>
    <row r="230" spans="1:14">
      <c r="A230">
        <v>916</v>
      </c>
      <c r="B230" t="s">
        <v>1972</v>
      </c>
      <c r="C230">
        <v>27.8</v>
      </c>
      <c r="D230">
        <v>27.57</v>
      </c>
      <c r="E230" s="178">
        <v>-0.28999999999999998</v>
      </c>
      <c r="F230" s="176">
        <v>-1.04</v>
      </c>
      <c r="G230" t="s">
        <v>5893</v>
      </c>
      <c r="H230">
        <v>771</v>
      </c>
      <c r="I230">
        <v>1149</v>
      </c>
      <c r="J230" t="s">
        <v>1555</v>
      </c>
      <c r="K230">
        <v>27.8</v>
      </c>
      <c r="L230">
        <v>27.52</v>
      </c>
      <c r="M230" s="175" t="s">
        <v>1555</v>
      </c>
      <c r="N230" t="s">
        <v>1555</v>
      </c>
    </row>
    <row r="231" spans="1:14">
      <c r="A231">
        <v>917</v>
      </c>
      <c r="B231" t="s">
        <v>1973</v>
      </c>
      <c r="C231">
        <v>22.4</v>
      </c>
      <c r="D231">
        <v>22.33</v>
      </c>
      <c r="E231" s="178">
        <v>-0.15</v>
      </c>
      <c r="F231" s="176">
        <v>-0.67</v>
      </c>
      <c r="G231" t="s">
        <v>5577</v>
      </c>
      <c r="H231">
        <v>545</v>
      </c>
      <c r="I231">
        <v>846</v>
      </c>
      <c r="J231" t="s">
        <v>1555</v>
      </c>
      <c r="K231">
        <v>22.4</v>
      </c>
      <c r="L231">
        <v>22.28</v>
      </c>
      <c r="M231" s="175" t="s">
        <v>1555</v>
      </c>
      <c r="N231" t="s">
        <v>1555</v>
      </c>
    </row>
    <row r="232" spans="1:14">
      <c r="A232">
        <v>918</v>
      </c>
      <c r="B232" t="s">
        <v>1974</v>
      </c>
      <c r="C232">
        <v>34.14</v>
      </c>
      <c r="D232">
        <v>34.15</v>
      </c>
      <c r="E232" s="178">
        <v>-0.37</v>
      </c>
      <c r="F232" s="176">
        <v>-1.07</v>
      </c>
      <c r="G232" t="s">
        <v>5418</v>
      </c>
      <c r="H232">
        <v>41235</v>
      </c>
      <c r="I232">
        <v>25717</v>
      </c>
      <c r="J232" t="s">
        <v>1555</v>
      </c>
      <c r="K232">
        <v>34.270000000000003</v>
      </c>
      <c r="L232">
        <v>33.96</v>
      </c>
      <c r="M232" s="175" t="s">
        <v>1555</v>
      </c>
      <c r="N232" t="s">
        <v>1555</v>
      </c>
    </row>
    <row r="233" spans="1:14">
      <c r="A233">
        <v>919</v>
      </c>
      <c r="B233" t="s">
        <v>1975</v>
      </c>
      <c r="C233">
        <v>32.200000000000003</v>
      </c>
      <c r="D233">
        <v>32.380000000000003</v>
      </c>
      <c r="E233" s="178">
        <v>-0.11</v>
      </c>
      <c r="F233" s="176">
        <v>-0.34</v>
      </c>
      <c r="G233" t="s">
        <v>5894</v>
      </c>
      <c r="H233">
        <v>81717</v>
      </c>
      <c r="I233">
        <v>72768</v>
      </c>
      <c r="J233" t="s">
        <v>1555</v>
      </c>
      <c r="K233">
        <v>32.51</v>
      </c>
      <c r="L233">
        <v>32.17</v>
      </c>
      <c r="M233" s="175" t="s">
        <v>1555</v>
      </c>
      <c r="N233" t="s">
        <v>1555</v>
      </c>
    </row>
    <row r="234" spans="1:14">
      <c r="A234">
        <v>920</v>
      </c>
      <c r="B234" t="s">
        <v>1976</v>
      </c>
      <c r="C234">
        <v>24.46</v>
      </c>
      <c r="D234">
        <v>24.23</v>
      </c>
      <c r="E234" s="178">
        <v>-1.1200000000000001</v>
      </c>
      <c r="F234" s="176">
        <v>-4.42</v>
      </c>
      <c r="G234" t="s">
        <v>5895</v>
      </c>
      <c r="H234">
        <v>507</v>
      </c>
      <c r="I234">
        <v>299</v>
      </c>
      <c r="J234" t="s">
        <v>1555</v>
      </c>
      <c r="K234">
        <v>24.46</v>
      </c>
      <c r="L234">
        <v>24.12</v>
      </c>
      <c r="M234" s="175" t="s">
        <v>1555</v>
      </c>
      <c r="N234" t="s">
        <v>1555</v>
      </c>
    </row>
    <row r="235" spans="1:14">
      <c r="A235">
        <v>921</v>
      </c>
      <c r="B235" t="s">
        <v>1977</v>
      </c>
      <c r="C235">
        <v>24.23</v>
      </c>
      <c r="D235">
        <v>24.02</v>
      </c>
      <c r="E235" s="178">
        <v>-0.43</v>
      </c>
      <c r="F235" s="176">
        <v>-1.76</v>
      </c>
      <c r="G235" t="s">
        <v>5372</v>
      </c>
      <c r="H235">
        <v>211</v>
      </c>
      <c r="I235">
        <v>552</v>
      </c>
      <c r="J235" t="s">
        <v>1555</v>
      </c>
      <c r="K235">
        <v>24.23</v>
      </c>
      <c r="L235">
        <v>23.95</v>
      </c>
      <c r="M235" s="175" t="s">
        <v>1555</v>
      </c>
      <c r="N235" t="s">
        <v>1555</v>
      </c>
    </row>
    <row r="236" spans="1:14">
      <c r="A236">
        <v>922</v>
      </c>
      <c r="B236" t="s">
        <v>2014</v>
      </c>
      <c r="C236">
        <v>43.3</v>
      </c>
      <c r="D236">
        <v>42.31</v>
      </c>
      <c r="E236" s="178">
        <v>-1.74</v>
      </c>
      <c r="F236" s="176">
        <v>-3.95</v>
      </c>
      <c r="G236" t="s">
        <v>5444</v>
      </c>
      <c r="H236">
        <v>48097</v>
      </c>
      <c r="I236">
        <v>13222</v>
      </c>
      <c r="J236" t="s">
        <v>1555</v>
      </c>
      <c r="K236">
        <v>43.3</v>
      </c>
      <c r="L236">
        <v>42.14</v>
      </c>
      <c r="M236" s="175" t="s">
        <v>1555</v>
      </c>
      <c r="N236" t="s">
        <v>1555</v>
      </c>
    </row>
    <row r="237" spans="1:14">
      <c r="A237">
        <v>923</v>
      </c>
      <c r="B237" t="s">
        <v>2280</v>
      </c>
      <c r="C237">
        <v>40.06</v>
      </c>
      <c r="D237">
        <v>39.9</v>
      </c>
      <c r="E237" s="178">
        <v>-1.54</v>
      </c>
      <c r="F237" s="176">
        <v>-3.72</v>
      </c>
      <c r="G237" t="s">
        <v>5896</v>
      </c>
      <c r="H237">
        <v>7727</v>
      </c>
      <c r="I237">
        <v>3172</v>
      </c>
      <c r="J237" t="s">
        <v>1555</v>
      </c>
      <c r="K237">
        <v>40.200000000000003</v>
      </c>
      <c r="L237">
        <v>39.729999999999997</v>
      </c>
      <c r="M237" s="175" t="s">
        <v>1555</v>
      </c>
      <c r="N237" t="s">
        <v>1555</v>
      </c>
    </row>
    <row r="238" spans="1:14">
      <c r="A238">
        <v>924</v>
      </c>
      <c r="B238" t="s">
        <v>2015</v>
      </c>
      <c r="C238">
        <v>33.799999999999997</v>
      </c>
      <c r="D238">
        <v>33.93</v>
      </c>
      <c r="E238" s="178">
        <v>-0.69</v>
      </c>
      <c r="F238" s="176">
        <v>-1.99</v>
      </c>
      <c r="G238" t="s">
        <v>5897</v>
      </c>
      <c r="H238">
        <v>1543</v>
      </c>
      <c r="I238">
        <v>1392</v>
      </c>
      <c r="J238" t="s">
        <v>1555</v>
      </c>
      <c r="K238">
        <v>33.96</v>
      </c>
      <c r="L238">
        <v>33.78</v>
      </c>
      <c r="M238" s="175" t="s">
        <v>1555</v>
      </c>
      <c r="N238" t="s">
        <v>1555</v>
      </c>
    </row>
    <row r="239" spans="1:14">
      <c r="A239">
        <v>926</v>
      </c>
      <c r="B239" t="s">
        <v>2016</v>
      </c>
      <c r="C239">
        <v>27.23</v>
      </c>
      <c r="D239">
        <v>27.25</v>
      </c>
      <c r="E239" s="178">
        <v>-0.22</v>
      </c>
      <c r="F239" s="176">
        <v>-0.8</v>
      </c>
      <c r="G239" t="s">
        <v>5898</v>
      </c>
      <c r="H239">
        <v>465</v>
      </c>
      <c r="I239">
        <v>447</v>
      </c>
      <c r="J239" t="s">
        <v>1555</v>
      </c>
      <c r="K239">
        <v>27.27</v>
      </c>
      <c r="L239">
        <v>27.17</v>
      </c>
      <c r="M239" s="175" t="s">
        <v>1555</v>
      </c>
      <c r="N239" t="s">
        <v>1555</v>
      </c>
    </row>
    <row r="240" spans="1:14">
      <c r="A240">
        <v>927</v>
      </c>
      <c r="B240" t="s">
        <v>2017</v>
      </c>
      <c r="C240">
        <v>38.659999999999997</v>
      </c>
      <c r="D240">
        <v>38.049999999999997</v>
      </c>
      <c r="E240" s="178">
        <v>-1.78</v>
      </c>
      <c r="F240" s="176">
        <v>-4.47</v>
      </c>
      <c r="G240" t="s">
        <v>5899</v>
      </c>
      <c r="H240">
        <v>219575</v>
      </c>
      <c r="I240">
        <v>76666</v>
      </c>
      <c r="J240" t="s">
        <v>1555</v>
      </c>
      <c r="K240">
        <v>38.86</v>
      </c>
      <c r="L240">
        <v>38.049999999999997</v>
      </c>
      <c r="M240" s="175" t="s">
        <v>1555</v>
      </c>
      <c r="N240" t="s">
        <v>1555</v>
      </c>
    </row>
    <row r="241" spans="1:14">
      <c r="A241">
        <v>928</v>
      </c>
      <c r="B241" t="s">
        <v>2018</v>
      </c>
      <c r="C241">
        <v>33.4</v>
      </c>
      <c r="D241">
        <v>32.46</v>
      </c>
      <c r="E241" s="178">
        <v>-2.04</v>
      </c>
      <c r="F241" s="176">
        <v>-5.91</v>
      </c>
      <c r="G241" t="s">
        <v>5900</v>
      </c>
      <c r="H241">
        <v>999</v>
      </c>
      <c r="I241">
        <v>627</v>
      </c>
      <c r="J241" t="s">
        <v>1555</v>
      </c>
      <c r="K241">
        <v>33.4</v>
      </c>
      <c r="L241">
        <v>32.229999999999997</v>
      </c>
      <c r="M241" s="175" t="s">
        <v>1555</v>
      </c>
      <c r="N241" t="s">
        <v>1555</v>
      </c>
    </row>
    <row r="242" spans="1:14">
      <c r="A242">
        <v>929</v>
      </c>
      <c r="B242" t="s">
        <v>2019</v>
      </c>
      <c r="C242">
        <v>29.71</v>
      </c>
      <c r="D242">
        <v>29.72</v>
      </c>
      <c r="E242" s="178">
        <v>-0.48</v>
      </c>
      <c r="F242" s="176">
        <v>-1.59</v>
      </c>
      <c r="G242" t="s">
        <v>5901</v>
      </c>
      <c r="H242">
        <v>83909</v>
      </c>
      <c r="I242">
        <v>37791</v>
      </c>
      <c r="J242" t="s">
        <v>1555</v>
      </c>
      <c r="K242">
        <v>29.88</v>
      </c>
      <c r="L242">
        <v>29.65</v>
      </c>
      <c r="M242" s="175" t="s">
        <v>1555</v>
      </c>
      <c r="N242" t="s">
        <v>1555</v>
      </c>
    </row>
    <row r="243" spans="1:14">
      <c r="A243">
        <v>930</v>
      </c>
      <c r="B243" t="s">
        <v>2263</v>
      </c>
      <c r="C243">
        <v>23.52</v>
      </c>
      <c r="D243">
        <v>23.37</v>
      </c>
      <c r="E243" s="178">
        <v>-0.36</v>
      </c>
      <c r="F243" s="176">
        <v>-1.52</v>
      </c>
      <c r="G243" t="s">
        <v>5902</v>
      </c>
      <c r="H243">
        <v>1216</v>
      </c>
      <c r="I243">
        <v>1291</v>
      </c>
      <c r="J243" t="s">
        <v>1555</v>
      </c>
      <c r="K243">
        <v>23.52</v>
      </c>
      <c r="L243">
        <v>23.3</v>
      </c>
      <c r="M243" s="175" t="s">
        <v>1555</v>
      </c>
      <c r="N243" t="s">
        <v>1555</v>
      </c>
    </row>
    <row r="244" spans="1:14">
      <c r="A244" t="s">
        <v>2281</v>
      </c>
      <c r="B244" t="s">
        <v>2282</v>
      </c>
      <c r="C244">
        <v>12.83</v>
      </c>
      <c r="D244">
        <v>12.93</v>
      </c>
      <c r="E244" s="178">
        <v>0.26</v>
      </c>
      <c r="F244" s="176">
        <v>2.0499999999999998</v>
      </c>
      <c r="G244" t="s">
        <v>5903</v>
      </c>
      <c r="H244">
        <v>5851</v>
      </c>
      <c r="I244">
        <v>3235</v>
      </c>
      <c r="J244" t="s">
        <v>1555</v>
      </c>
      <c r="K244">
        <v>12.95</v>
      </c>
      <c r="L244">
        <v>12.82</v>
      </c>
      <c r="M244" s="175" t="s">
        <v>1555</v>
      </c>
      <c r="N244" t="s">
        <v>1555</v>
      </c>
    </row>
    <row r="245" spans="1:14">
      <c r="A245">
        <v>932</v>
      </c>
      <c r="B245" t="s">
        <v>2287</v>
      </c>
      <c r="C245">
        <v>17.920000000000002</v>
      </c>
      <c r="D245">
        <v>17.93</v>
      </c>
      <c r="E245" s="178">
        <v>-0.03</v>
      </c>
      <c r="F245" s="176">
        <v>-0.17</v>
      </c>
      <c r="G245" t="s">
        <v>5904</v>
      </c>
      <c r="H245">
        <v>485</v>
      </c>
      <c r="I245">
        <v>518</v>
      </c>
      <c r="J245" t="s">
        <v>1555</v>
      </c>
      <c r="K245">
        <v>17.95</v>
      </c>
      <c r="L245">
        <v>17.84</v>
      </c>
      <c r="M245" s="175" t="s">
        <v>1555</v>
      </c>
      <c r="N245" t="s">
        <v>1555</v>
      </c>
    </row>
    <row r="246" spans="1:14">
      <c r="A246" t="s">
        <v>2298</v>
      </c>
      <c r="B246" t="s">
        <v>2299</v>
      </c>
      <c r="C246">
        <v>15.26</v>
      </c>
      <c r="D246">
        <v>15.36</v>
      </c>
      <c r="E246" s="178">
        <v>0.19</v>
      </c>
      <c r="F246" s="176">
        <v>1.25</v>
      </c>
      <c r="G246" t="s">
        <v>5668</v>
      </c>
      <c r="H246">
        <v>21364</v>
      </c>
      <c r="I246">
        <v>8717</v>
      </c>
      <c r="J246" t="s">
        <v>1555</v>
      </c>
      <c r="K246">
        <v>15.38</v>
      </c>
      <c r="L246">
        <v>15.26</v>
      </c>
      <c r="M246" s="175" t="s">
        <v>1555</v>
      </c>
      <c r="N246" t="s">
        <v>1555</v>
      </c>
    </row>
    <row r="247" spans="1:14">
      <c r="A247">
        <v>934</v>
      </c>
      <c r="B247" t="s">
        <v>2302</v>
      </c>
      <c r="C247">
        <v>30.12</v>
      </c>
      <c r="D247">
        <v>30.01</v>
      </c>
      <c r="E247" s="178">
        <v>-0.3</v>
      </c>
      <c r="F247" s="176">
        <v>-0.99</v>
      </c>
      <c r="G247" t="s">
        <v>5251</v>
      </c>
      <c r="H247">
        <v>11813</v>
      </c>
      <c r="I247">
        <v>8082</v>
      </c>
      <c r="J247" t="s">
        <v>1555</v>
      </c>
      <c r="K247">
        <v>30.2</v>
      </c>
      <c r="L247">
        <v>29.97</v>
      </c>
      <c r="M247" s="175" t="s">
        <v>1555</v>
      </c>
      <c r="N247" t="s">
        <v>1555</v>
      </c>
    </row>
    <row r="248" spans="1:14">
      <c r="A248">
        <v>935</v>
      </c>
      <c r="B248" t="s">
        <v>2303</v>
      </c>
      <c r="C248">
        <v>57.75</v>
      </c>
      <c r="D248">
        <v>56.85</v>
      </c>
      <c r="E248" s="178">
        <v>-3.65</v>
      </c>
      <c r="F248" s="176">
        <v>-6.03</v>
      </c>
      <c r="G248" t="s">
        <v>5454</v>
      </c>
      <c r="H248">
        <v>34618</v>
      </c>
      <c r="I248">
        <v>11065</v>
      </c>
      <c r="J248" t="s">
        <v>1555</v>
      </c>
      <c r="K248">
        <v>58</v>
      </c>
      <c r="L248">
        <v>56.65</v>
      </c>
      <c r="M248" s="175" t="s">
        <v>1555</v>
      </c>
      <c r="N248" t="s">
        <v>1555</v>
      </c>
    </row>
    <row r="249" spans="1:14">
      <c r="A249">
        <v>936</v>
      </c>
      <c r="B249" t="s">
        <v>2306</v>
      </c>
      <c r="C249">
        <v>21.67</v>
      </c>
      <c r="D249">
        <v>21.51</v>
      </c>
      <c r="E249" s="178">
        <v>-0.3</v>
      </c>
      <c r="F249" s="176">
        <v>-1.38</v>
      </c>
      <c r="G249" t="s">
        <v>5905</v>
      </c>
      <c r="H249">
        <v>534</v>
      </c>
      <c r="I249">
        <v>524</v>
      </c>
      <c r="J249" t="s">
        <v>1555</v>
      </c>
      <c r="K249">
        <v>21.67</v>
      </c>
      <c r="L249">
        <v>21.44</v>
      </c>
      <c r="M249" s="175" t="s">
        <v>1555</v>
      </c>
      <c r="N249" t="s">
        <v>1555</v>
      </c>
    </row>
    <row r="250" spans="1:14">
      <c r="A250" t="s">
        <v>2311</v>
      </c>
      <c r="B250" t="s">
        <v>2312</v>
      </c>
      <c r="C250">
        <v>13.95</v>
      </c>
      <c r="D250">
        <v>14.04</v>
      </c>
      <c r="E250" s="178">
        <v>0.17</v>
      </c>
      <c r="F250" s="176">
        <v>1.23</v>
      </c>
      <c r="G250" t="s">
        <v>5906</v>
      </c>
      <c r="H250">
        <v>136624</v>
      </c>
      <c r="I250">
        <v>48828</v>
      </c>
      <c r="J250" t="s">
        <v>1555</v>
      </c>
      <c r="K250">
        <v>14.05</v>
      </c>
      <c r="L250">
        <v>13.94</v>
      </c>
      <c r="M250" s="175" t="s">
        <v>1555</v>
      </c>
      <c r="N250" t="s">
        <v>1555</v>
      </c>
    </row>
    <row r="251" spans="1:14">
      <c r="A251">
        <v>938</v>
      </c>
      <c r="B251" t="s">
        <v>2647</v>
      </c>
      <c r="C251">
        <v>27.37</v>
      </c>
      <c r="D251">
        <v>27.39</v>
      </c>
      <c r="E251" s="178">
        <v>-0.09</v>
      </c>
      <c r="F251" s="176">
        <v>-0.33</v>
      </c>
      <c r="G251" t="s">
        <v>5907</v>
      </c>
      <c r="H251">
        <v>456</v>
      </c>
      <c r="I251">
        <v>794</v>
      </c>
      <c r="J251" t="s">
        <v>1555</v>
      </c>
      <c r="K251">
        <v>27.5</v>
      </c>
      <c r="L251">
        <v>27.25</v>
      </c>
      <c r="M251" s="175" t="s">
        <v>1555</v>
      </c>
      <c r="N251" t="s">
        <v>1555</v>
      </c>
    </row>
    <row r="252" spans="1:14">
      <c r="A252">
        <v>939</v>
      </c>
      <c r="B252" t="s">
        <v>2341</v>
      </c>
      <c r="C252">
        <v>24.73</v>
      </c>
      <c r="D252">
        <v>24.87</v>
      </c>
      <c r="E252" s="178">
        <v>0.05</v>
      </c>
      <c r="F252" s="176">
        <v>0.2</v>
      </c>
      <c r="G252" t="s">
        <v>5180</v>
      </c>
      <c r="H252">
        <v>4223</v>
      </c>
      <c r="I252">
        <v>3482</v>
      </c>
      <c r="J252" t="s">
        <v>1555</v>
      </c>
      <c r="K252">
        <v>24.89</v>
      </c>
      <c r="L252">
        <v>24.65</v>
      </c>
      <c r="M252" s="175" t="s">
        <v>1555</v>
      </c>
      <c r="N252" t="s">
        <v>1555</v>
      </c>
    </row>
    <row r="253" spans="1:14">
      <c r="A253">
        <v>940</v>
      </c>
      <c r="B253" t="s">
        <v>2348</v>
      </c>
      <c r="C253">
        <v>13.38</v>
      </c>
      <c r="D253">
        <v>13.38</v>
      </c>
      <c r="E253" s="178">
        <v>-0.12</v>
      </c>
      <c r="F253" s="176">
        <v>-0.89</v>
      </c>
      <c r="G253" t="s">
        <v>5671</v>
      </c>
      <c r="H253">
        <v>10446</v>
      </c>
      <c r="I253">
        <v>12599</v>
      </c>
      <c r="J253" t="s">
        <v>1555</v>
      </c>
      <c r="K253">
        <v>13.45</v>
      </c>
      <c r="L253">
        <v>13.33</v>
      </c>
      <c r="M253" s="175" t="s">
        <v>1555</v>
      </c>
      <c r="N253" t="s">
        <v>1555</v>
      </c>
    </row>
    <row r="254" spans="1:14">
      <c r="A254">
        <v>941</v>
      </c>
      <c r="B254" t="s">
        <v>2338</v>
      </c>
      <c r="C254">
        <v>25.25</v>
      </c>
      <c r="D254">
        <v>25.1</v>
      </c>
      <c r="E254" s="178">
        <v>-0.88</v>
      </c>
      <c r="F254" s="176">
        <v>-3.39</v>
      </c>
      <c r="G254" t="s">
        <v>5908</v>
      </c>
      <c r="H254">
        <v>1227</v>
      </c>
      <c r="I254">
        <v>2713</v>
      </c>
      <c r="J254" t="s">
        <v>1555</v>
      </c>
      <c r="K254">
        <v>25.25</v>
      </c>
      <c r="L254">
        <v>24.96</v>
      </c>
      <c r="M254" s="175" t="s">
        <v>1555</v>
      </c>
      <c r="N254" t="s">
        <v>1555</v>
      </c>
    </row>
    <row r="255" spans="1:14">
      <c r="A255" t="s">
        <v>2352</v>
      </c>
      <c r="B255" t="s">
        <v>2353</v>
      </c>
      <c r="C255">
        <v>13.47</v>
      </c>
      <c r="D255">
        <v>13.6</v>
      </c>
      <c r="E255" s="178">
        <v>0.2</v>
      </c>
      <c r="F255" s="176">
        <v>1.49</v>
      </c>
      <c r="G255" t="s">
        <v>5909</v>
      </c>
      <c r="H255">
        <v>2724</v>
      </c>
      <c r="I255">
        <v>1122</v>
      </c>
      <c r="J255" t="s">
        <v>1555</v>
      </c>
      <c r="K255">
        <v>13.61</v>
      </c>
      <c r="L255">
        <v>13.47</v>
      </c>
      <c r="M255" s="175" t="s">
        <v>1555</v>
      </c>
      <c r="N255" t="s">
        <v>1555</v>
      </c>
    </row>
    <row r="256" spans="1:14">
      <c r="A256">
        <v>943</v>
      </c>
      <c r="B256" t="s">
        <v>2452</v>
      </c>
      <c r="C256">
        <v>21.65</v>
      </c>
      <c r="D256">
        <v>21.61</v>
      </c>
      <c r="E256" s="178">
        <v>-0.27</v>
      </c>
      <c r="F256" s="176">
        <v>-1.23</v>
      </c>
      <c r="G256" t="s">
        <v>5910</v>
      </c>
      <c r="H256">
        <v>3676</v>
      </c>
      <c r="I256">
        <v>2525</v>
      </c>
      <c r="J256" t="s">
        <v>1555</v>
      </c>
      <c r="K256">
        <v>21.7</v>
      </c>
      <c r="L256">
        <v>21.55</v>
      </c>
      <c r="M256" s="175" t="s">
        <v>1555</v>
      </c>
      <c r="N256" t="s">
        <v>1555</v>
      </c>
    </row>
    <row r="257" spans="1:14">
      <c r="A257">
        <v>944</v>
      </c>
      <c r="B257" t="s">
        <v>2400</v>
      </c>
      <c r="C257">
        <v>22.49</v>
      </c>
      <c r="D257">
        <v>22.52</v>
      </c>
      <c r="E257" s="178">
        <v>-0.24</v>
      </c>
      <c r="F257" s="176">
        <v>-1.05</v>
      </c>
      <c r="G257" t="s">
        <v>5159</v>
      </c>
      <c r="H257">
        <v>98</v>
      </c>
      <c r="I257">
        <v>124</v>
      </c>
      <c r="J257" t="s">
        <v>1555</v>
      </c>
      <c r="K257">
        <v>22.59</v>
      </c>
      <c r="L257">
        <v>22.43</v>
      </c>
      <c r="M257" s="175" t="s">
        <v>1555</v>
      </c>
      <c r="N257" t="s">
        <v>1555</v>
      </c>
    </row>
    <row r="258" spans="1:14">
      <c r="A258" t="s">
        <v>2354</v>
      </c>
      <c r="B258" t="s">
        <v>2355</v>
      </c>
      <c r="C258">
        <v>14.39</v>
      </c>
      <c r="D258">
        <v>14.39</v>
      </c>
      <c r="E258" s="178">
        <v>0</v>
      </c>
      <c r="F258" s="176">
        <v>0</v>
      </c>
      <c r="G258" t="s">
        <v>5431</v>
      </c>
      <c r="H258">
        <v>9316</v>
      </c>
      <c r="I258">
        <v>5211</v>
      </c>
      <c r="J258" t="s">
        <v>1555</v>
      </c>
      <c r="K258">
        <v>14.42</v>
      </c>
      <c r="L258">
        <v>14.36</v>
      </c>
      <c r="M258" s="175" t="s">
        <v>1555</v>
      </c>
      <c r="N258" t="s">
        <v>1555</v>
      </c>
    </row>
    <row r="259" spans="1:14">
      <c r="A259">
        <v>946</v>
      </c>
      <c r="B259" t="s">
        <v>2401</v>
      </c>
      <c r="C259">
        <v>15.48</v>
      </c>
      <c r="D259">
        <v>15.46</v>
      </c>
      <c r="E259" s="178">
        <v>-0.23</v>
      </c>
      <c r="F259" s="176">
        <v>-1.47</v>
      </c>
      <c r="G259" t="s">
        <v>5497</v>
      </c>
      <c r="H259">
        <v>1240</v>
      </c>
      <c r="I259">
        <v>1739</v>
      </c>
      <c r="J259" t="s">
        <v>1555</v>
      </c>
      <c r="K259">
        <v>15.55</v>
      </c>
      <c r="L259">
        <v>15.41</v>
      </c>
      <c r="M259" s="175" t="s">
        <v>1555</v>
      </c>
      <c r="N259" t="s">
        <v>1555</v>
      </c>
    </row>
    <row r="260" spans="1:14">
      <c r="A260">
        <v>947</v>
      </c>
      <c r="B260" t="s">
        <v>2564</v>
      </c>
      <c r="C260">
        <v>37.85</v>
      </c>
      <c r="D260">
        <v>37.340000000000003</v>
      </c>
      <c r="E260" s="178">
        <v>-1.69</v>
      </c>
      <c r="F260" s="176">
        <v>-4.33</v>
      </c>
      <c r="G260" t="s">
        <v>5424</v>
      </c>
      <c r="H260">
        <v>38942</v>
      </c>
      <c r="I260">
        <v>15740</v>
      </c>
      <c r="J260" t="s">
        <v>1555</v>
      </c>
      <c r="K260">
        <v>37.85</v>
      </c>
      <c r="L260">
        <v>36.75</v>
      </c>
      <c r="M260" s="175" t="s">
        <v>1555</v>
      </c>
      <c r="N260" t="s">
        <v>1555</v>
      </c>
    </row>
    <row r="261" spans="1:14">
      <c r="A261" t="s">
        <v>2565</v>
      </c>
      <c r="B261" t="s">
        <v>2566</v>
      </c>
      <c r="C261">
        <v>8.9700000000000006</v>
      </c>
      <c r="D261">
        <v>9.0399999999999991</v>
      </c>
      <c r="E261" s="178">
        <v>0.13</v>
      </c>
      <c r="F261" s="176">
        <v>1.46</v>
      </c>
      <c r="G261" t="s">
        <v>5713</v>
      </c>
      <c r="H261">
        <v>6643</v>
      </c>
      <c r="I261">
        <v>5537</v>
      </c>
      <c r="J261" t="s">
        <v>1555</v>
      </c>
      <c r="K261">
        <v>9.0500000000000007</v>
      </c>
      <c r="L261">
        <v>8.9600000000000009</v>
      </c>
      <c r="M261" s="175" t="s">
        <v>1555</v>
      </c>
      <c r="N261" t="s">
        <v>1555</v>
      </c>
    </row>
    <row r="262" spans="1:14">
      <c r="A262">
        <v>949</v>
      </c>
      <c r="B262" t="s">
        <v>2576</v>
      </c>
      <c r="C262">
        <v>22.58</v>
      </c>
      <c r="D262">
        <v>22.45</v>
      </c>
      <c r="E262" s="178">
        <v>-0.21</v>
      </c>
      <c r="F262" s="176">
        <v>-0.93</v>
      </c>
      <c r="G262" t="s">
        <v>5911</v>
      </c>
      <c r="H262">
        <v>594</v>
      </c>
      <c r="I262">
        <v>262</v>
      </c>
      <c r="J262" t="s">
        <v>1555</v>
      </c>
      <c r="K262">
        <v>22.58</v>
      </c>
      <c r="L262">
        <v>22.28</v>
      </c>
      <c r="M262" s="175" t="s">
        <v>1555</v>
      </c>
      <c r="N262" t="s">
        <v>1555</v>
      </c>
    </row>
    <row r="263" spans="1:14">
      <c r="A263" t="s">
        <v>2578</v>
      </c>
      <c r="B263" t="s">
        <v>2579</v>
      </c>
      <c r="C263">
        <v>13.4</v>
      </c>
      <c r="D263">
        <v>13.49</v>
      </c>
      <c r="E263" s="178">
        <v>0.19</v>
      </c>
      <c r="F263" s="176">
        <v>1.43</v>
      </c>
      <c r="G263" t="s">
        <v>5912</v>
      </c>
      <c r="H263">
        <v>6771</v>
      </c>
      <c r="I263">
        <v>3946</v>
      </c>
      <c r="J263" t="s">
        <v>1555</v>
      </c>
      <c r="K263">
        <v>13.5</v>
      </c>
      <c r="L263">
        <v>13.38</v>
      </c>
      <c r="M263" s="175" t="s">
        <v>1555</v>
      </c>
      <c r="N263" t="s">
        <v>1555</v>
      </c>
    </row>
    <row r="264" spans="1:14">
      <c r="A264">
        <v>951</v>
      </c>
      <c r="B264" t="s">
        <v>2585</v>
      </c>
      <c r="C264">
        <v>17.03</v>
      </c>
      <c r="D264">
        <v>16.649999999999999</v>
      </c>
      <c r="E264" s="178">
        <v>-1.77</v>
      </c>
      <c r="F264" s="176">
        <v>-9.61</v>
      </c>
      <c r="G264" t="s">
        <v>5262</v>
      </c>
      <c r="H264">
        <v>8628</v>
      </c>
      <c r="I264">
        <v>1802</v>
      </c>
      <c r="J264" t="s">
        <v>1555</v>
      </c>
      <c r="K264">
        <v>17.03</v>
      </c>
      <c r="L264">
        <v>16.5</v>
      </c>
      <c r="M264" s="175" t="s">
        <v>1555</v>
      </c>
      <c r="N264" t="s">
        <v>1555</v>
      </c>
    </row>
    <row r="265" spans="1:14">
      <c r="A265">
        <v>952</v>
      </c>
      <c r="B265" t="s">
        <v>2606</v>
      </c>
      <c r="C265">
        <v>18.38</v>
      </c>
      <c r="D265">
        <v>17.86</v>
      </c>
      <c r="E265" s="178">
        <v>-0.68</v>
      </c>
      <c r="F265" s="176">
        <v>-3.67</v>
      </c>
      <c r="G265" t="s">
        <v>5183</v>
      </c>
      <c r="H265">
        <v>7006</v>
      </c>
      <c r="I265">
        <v>1656</v>
      </c>
      <c r="J265" t="s">
        <v>1555</v>
      </c>
      <c r="K265">
        <v>18.38</v>
      </c>
      <c r="L265">
        <v>17.739999999999998</v>
      </c>
      <c r="M265" s="175" t="s">
        <v>1555</v>
      </c>
      <c r="N265" t="s">
        <v>1555</v>
      </c>
    </row>
    <row r="266" spans="1:14">
      <c r="A266" t="s">
        <v>2598</v>
      </c>
      <c r="B266" t="s">
        <v>2599</v>
      </c>
      <c r="C266">
        <v>9.52</v>
      </c>
      <c r="D266">
        <v>9.5399999999999991</v>
      </c>
      <c r="E266" s="178">
        <v>0</v>
      </c>
      <c r="F266" s="176">
        <v>0</v>
      </c>
      <c r="G266" t="s">
        <v>5913</v>
      </c>
      <c r="H266">
        <v>60478</v>
      </c>
      <c r="I266">
        <v>24261</v>
      </c>
      <c r="J266" t="s">
        <v>1555</v>
      </c>
      <c r="K266">
        <v>9.5500000000000007</v>
      </c>
      <c r="L266">
        <v>9.51</v>
      </c>
      <c r="M266" s="175" t="s">
        <v>1555</v>
      </c>
      <c r="N266" t="s">
        <v>1555</v>
      </c>
    </row>
    <row r="267" spans="1:14">
      <c r="A267">
        <v>954</v>
      </c>
      <c r="B267" t="s">
        <v>2594</v>
      </c>
      <c r="C267">
        <v>18.05</v>
      </c>
      <c r="D267">
        <v>18.05</v>
      </c>
      <c r="E267" s="178">
        <v>-1.63</v>
      </c>
      <c r="F267" s="176">
        <v>-8.2799999999999994</v>
      </c>
      <c r="G267" t="s">
        <v>5172</v>
      </c>
      <c r="H267">
        <v>6008</v>
      </c>
      <c r="I267">
        <v>2141</v>
      </c>
      <c r="J267" t="s">
        <v>1555</v>
      </c>
      <c r="K267">
        <v>18.100000000000001</v>
      </c>
      <c r="L267">
        <v>17.62</v>
      </c>
      <c r="M267" s="175" t="s">
        <v>1555</v>
      </c>
      <c r="N267" t="s">
        <v>1555</v>
      </c>
    </row>
    <row r="268" spans="1:14">
      <c r="A268">
        <v>955</v>
      </c>
      <c r="B268" t="s">
        <v>2595</v>
      </c>
      <c r="C268">
        <v>16.2</v>
      </c>
      <c r="D268">
        <v>16.170000000000002</v>
      </c>
      <c r="E268" s="178">
        <v>-0.06</v>
      </c>
      <c r="F268" s="176">
        <v>-0.37</v>
      </c>
      <c r="G268" t="s">
        <v>5661</v>
      </c>
      <c r="H268">
        <v>3852</v>
      </c>
      <c r="I268">
        <v>2365</v>
      </c>
      <c r="J268" t="s">
        <v>1555</v>
      </c>
      <c r="K268">
        <v>16.22</v>
      </c>
      <c r="L268">
        <v>16.03</v>
      </c>
      <c r="M268" s="175" t="s">
        <v>1555</v>
      </c>
      <c r="N268" t="s">
        <v>1555</v>
      </c>
    </row>
    <row r="269" spans="1:14">
      <c r="A269">
        <v>956</v>
      </c>
      <c r="B269" t="s">
        <v>2596</v>
      </c>
      <c r="C269">
        <v>13.57</v>
      </c>
      <c r="D269">
        <v>13.62</v>
      </c>
      <c r="E269" s="178">
        <v>-0.02</v>
      </c>
      <c r="F269" s="176">
        <v>-0.15</v>
      </c>
      <c r="G269" t="s">
        <v>5914</v>
      </c>
      <c r="H269">
        <v>131</v>
      </c>
      <c r="I269">
        <v>267</v>
      </c>
      <c r="J269" t="s">
        <v>1555</v>
      </c>
      <c r="K269">
        <v>13.66</v>
      </c>
      <c r="L269">
        <v>13.56</v>
      </c>
      <c r="M269" s="175" t="s">
        <v>1555</v>
      </c>
      <c r="N269" t="s">
        <v>1555</v>
      </c>
    </row>
    <row r="270" spans="1:14">
      <c r="A270" t="s">
        <v>2609</v>
      </c>
      <c r="B270" t="s">
        <v>2610</v>
      </c>
      <c r="C270">
        <v>12.72</v>
      </c>
      <c r="D270">
        <v>12.82</v>
      </c>
      <c r="E270" s="178">
        <v>0.18</v>
      </c>
      <c r="F270" s="176">
        <v>1.42</v>
      </c>
      <c r="G270" t="s">
        <v>5915</v>
      </c>
      <c r="H270">
        <v>843</v>
      </c>
      <c r="I270">
        <v>454</v>
      </c>
      <c r="J270" t="s">
        <v>1555</v>
      </c>
      <c r="K270">
        <v>12.84</v>
      </c>
      <c r="L270">
        <v>12.72</v>
      </c>
      <c r="M270" s="175" t="s">
        <v>1555</v>
      </c>
      <c r="N270" t="s">
        <v>1555</v>
      </c>
    </row>
    <row r="271" spans="1:14">
      <c r="A271" t="s">
        <v>2620</v>
      </c>
      <c r="B271" t="s">
        <v>2621</v>
      </c>
      <c r="C271">
        <v>8.82</v>
      </c>
      <c r="D271">
        <v>8.8800000000000008</v>
      </c>
      <c r="E271" s="178">
        <v>0.14000000000000001</v>
      </c>
      <c r="F271" s="176">
        <v>1.6</v>
      </c>
      <c r="G271" t="s">
        <v>5299</v>
      </c>
      <c r="H271">
        <v>468</v>
      </c>
      <c r="I271">
        <v>907</v>
      </c>
      <c r="J271" t="s">
        <v>1555</v>
      </c>
      <c r="K271">
        <v>8.89</v>
      </c>
      <c r="L271">
        <v>8.82</v>
      </c>
      <c r="M271" s="175" t="s">
        <v>1555</v>
      </c>
      <c r="N271" t="s">
        <v>1555</v>
      </c>
    </row>
    <row r="272" spans="1:14">
      <c r="A272" t="s">
        <v>2600</v>
      </c>
      <c r="B272" t="s">
        <v>2601</v>
      </c>
      <c r="C272">
        <v>8.83</v>
      </c>
      <c r="D272">
        <v>8.9</v>
      </c>
      <c r="E272" s="178">
        <v>0.09</v>
      </c>
      <c r="F272" s="176">
        <v>1.02</v>
      </c>
      <c r="G272" t="s">
        <v>5916</v>
      </c>
      <c r="H272">
        <v>1937</v>
      </c>
      <c r="I272">
        <v>1264</v>
      </c>
      <c r="J272" t="s">
        <v>1555</v>
      </c>
      <c r="K272">
        <v>8.91</v>
      </c>
      <c r="L272">
        <v>8.83</v>
      </c>
      <c r="M272" s="175" t="s">
        <v>1555</v>
      </c>
      <c r="N272" t="s">
        <v>1555</v>
      </c>
    </row>
    <row r="273" spans="1:14">
      <c r="A273">
        <v>960</v>
      </c>
      <c r="B273" t="s">
        <v>2622</v>
      </c>
      <c r="C273">
        <v>23.79</v>
      </c>
      <c r="D273">
        <v>23.58</v>
      </c>
      <c r="E273" s="178">
        <v>-0.6</v>
      </c>
      <c r="F273" s="176">
        <v>-2.48</v>
      </c>
      <c r="G273" t="s">
        <v>5917</v>
      </c>
      <c r="H273">
        <v>535</v>
      </c>
      <c r="I273">
        <v>522</v>
      </c>
      <c r="J273" t="s">
        <v>1555</v>
      </c>
      <c r="K273">
        <v>23.79</v>
      </c>
      <c r="L273">
        <v>23.53</v>
      </c>
      <c r="M273" s="175" t="s">
        <v>1555</v>
      </c>
      <c r="N273" t="s">
        <v>1555</v>
      </c>
    </row>
    <row r="274" spans="1:14">
      <c r="A274">
        <v>961</v>
      </c>
      <c r="B274" t="s">
        <v>2643</v>
      </c>
      <c r="C274">
        <v>13.44</v>
      </c>
      <c r="D274">
        <v>13.47</v>
      </c>
      <c r="E274" s="178">
        <v>-0.04</v>
      </c>
      <c r="F274" s="176">
        <v>-0.3</v>
      </c>
      <c r="G274" t="s">
        <v>5918</v>
      </c>
      <c r="H274">
        <v>31696</v>
      </c>
      <c r="I274">
        <v>33913</v>
      </c>
      <c r="J274" t="s">
        <v>1555</v>
      </c>
      <c r="K274">
        <v>13.55</v>
      </c>
      <c r="L274">
        <v>13.41</v>
      </c>
      <c r="M274" s="175" t="s">
        <v>1555</v>
      </c>
      <c r="N274" t="s">
        <v>1555</v>
      </c>
    </row>
    <row r="275" spans="1:14">
      <c r="A275">
        <v>962</v>
      </c>
      <c r="B275" t="s">
        <v>2681</v>
      </c>
      <c r="C275">
        <v>15</v>
      </c>
      <c r="D275">
        <v>14.92</v>
      </c>
      <c r="E275" s="178">
        <v>-0.31</v>
      </c>
      <c r="F275" s="176">
        <v>-2.04</v>
      </c>
      <c r="G275" t="s">
        <v>5919</v>
      </c>
      <c r="H275">
        <v>25442</v>
      </c>
      <c r="I275">
        <v>11478</v>
      </c>
      <c r="J275" t="s">
        <v>1555</v>
      </c>
      <c r="K275">
        <v>15.06</v>
      </c>
      <c r="L275">
        <v>14.88</v>
      </c>
      <c r="M275" s="175" t="s">
        <v>1555</v>
      </c>
      <c r="N275" t="s">
        <v>1555</v>
      </c>
    </row>
    <row r="276" spans="1:14">
      <c r="A276">
        <v>963</v>
      </c>
      <c r="B276" t="s">
        <v>2671</v>
      </c>
      <c r="C276">
        <v>12.66</v>
      </c>
      <c r="D276">
        <v>12.67</v>
      </c>
      <c r="E276" s="178">
        <v>-0.01</v>
      </c>
      <c r="F276" s="176">
        <v>-0.08</v>
      </c>
      <c r="G276" t="s">
        <v>5920</v>
      </c>
      <c r="H276">
        <v>1569</v>
      </c>
      <c r="I276">
        <v>1116</v>
      </c>
      <c r="J276" t="s">
        <v>1555</v>
      </c>
      <c r="K276">
        <v>12.7</v>
      </c>
      <c r="L276">
        <v>12.65</v>
      </c>
      <c r="M276" s="175" t="s">
        <v>1555</v>
      </c>
      <c r="N276" t="s">
        <v>1555</v>
      </c>
    </row>
    <row r="277" spans="1:14">
      <c r="A277">
        <v>964</v>
      </c>
      <c r="B277" t="s">
        <v>2672</v>
      </c>
      <c r="C277">
        <v>15.06</v>
      </c>
      <c r="D277">
        <v>14.94</v>
      </c>
      <c r="E277" s="178">
        <v>-0.25</v>
      </c>
      <c r="F277" s="176">
        <v>-1.65</v>
      </c>
      <c r="G277" t="s">
        <v>5921</v>
      </c>
      <c r="H277">
        <v>2622</v>
      </c>
      <c r="I277">
        <v>1909</v>
      </c>
      <c r="J277" t="s">
        <v>1555</v>
      </c>
      <c r="K277">
        <v>15.06</v>
      </c>
      <c r="L277">
        <v>14.91</v>
      </c>
      <c r="M277" s="175" t="s">
        <v>1555</v>
      </c>
      <c r="N277" t="s">
        <v>1555</v>
      </c>
    </row>
    <row r="278" spans="1:14">
      <c r="A278">
        <v>965</v>
      </c>
      <c r="B278" t="s">
        <v>2676</v>
      </c>
      <c r="C278">
        <v>24.42</v>
      </c>
      <c r="D278">
        <v>24.37</v>
      </c>
      <c r="E278" s="178">
        <v>-0.63</v>
      </c>
      <c r="F278" s="176">
        <v>-2.52</v>
      </c>
      <c r="G278" t="s">
        <v>5922</v>
      </c>
      <c r="H278">
        <v>2116</v>
      </c>
      <c r="I278">
        <v>2026</v>
      </c>
      <c r="J278" t="s">
        <v>1555</v>
      </c>
      <c r="K278">
        <v>24.42</v>
      </c>
      <c r="L278">
        <v>24.31</v>
      </c>
      <c r="M278" s="175" t="s">
        <v>1555</v>
      </c>
      <c r="N278" t="s">
        <v>1555</v>
      </c>
    </row>
    <row r="279" spans="1:14">
      <c r="A279" t="s">
        <v>2693</v>
      </c>
      <c r="B279" t="s">
        <v>2694</v>
      </c>
      <c r="C279">
        <v>13.22</v>
      </c>
      <c r="D279">
        <v>13.31</v>
      </c>
      <c r="E279" s="178">
        <v>0.19</v>
      </c>
      <c r="F279" s="176">
        <v>1.45</v>
      </c>
      <c r="G279" t="s">
        <v>5923</v>
      </c>
      <c r="H279">
        <v>777</v>
      </c>
      <c r="I279">
        <v>1034</v>
      </c>
      <c r="J279" t="s">
        <v>1555</v>
      </c>
      <c r="K279">
        <v>13.32</v>
      </c>
      <c r="L279">
        <v>13.21</v>
      </c>
      <c r="M279" s="175" t="s">
        <v>1555</v>
      </c>
      <c r="N279" t="s">
        <v>1555</v>
      </c>
    </row>
    <row r="280" spans="1:14">
      <c r="A280" t="s">
        <v>2682</v>
      </c>
      <c r="B280" t="s">
        <v>2683</v>
      </c>
      <c r="C280">
        <v>8.75</v>
      </c>
      <c r="D280">
        <v>8.8000000000000007</v>
      </c>
      <c r="E280" s="178">
        <v>0.15</v>
      </c>
      <c r="F280" s="176">
        <v>1.73</v>
      </c>
      <c r="G280" t="s">
        <v>5924</v>
      </c>
      <c r="H280">
        <v>935</v>
      </c>
      <c r="I280">
        <v>370</v>
      </c>
      <c r="J280" t="s">
        <v>1555</v>
      </c>
      <c r="K280">
        <v>8.81</v>
      </c>
      <c r="L280">
        <v>8.74</v>
      </c>
      <c r="M280" s="175" t="s">
        <v>1555</v>
      </c>
      <c r="N280" t="s">
        <v>1555</v>
      </c>
    </row>
    <row r="281" spans="1:14">
      <c r="A281" t="s">
        <v>2684</v>
      </c>
      <c r="B281" t="s">
        <v>2685</v>
      </c>
      <c r="C281">
        <v>8.8000000000000007</v>
      </c>
      <c r="D281">
        <v>8.86</v>
      </c>
      <c r="E281" s="178">
        <v>0.11</v>
      </c>
      <c r="F281" s="176">
        <v>1.26</v>
      </c>
      <c r="G281" t="s">
        <v>5925</v>
      </c>
      <c r="H281">
        <v>3396</v>
      </c>
      <c r="I281">
        <v>825</v>
      </c>
      <c r="J281" t="s">
        <v>1555</v>
      </c>
      <c r="K281">
        <v>8.8699999999999992</v>
      </c>
      <c r="L281">
        <v>8.8000000000000007</v>
      </c>
      <c r="M281" s="175" t="s">
        <v>1555</v>
      </c>
      <c r="N281" t="s">
        <v>1555</v>
      </c>
    </row>
    <row r="282" spans="1:14">
      <c r="A282" t="s">
        <v>2686</v>
      </c>
      <c r="B282" t="s">
        <v>2687</v>
      </c>
      <c r="C282">
        <v>7.73</v>
      </c>
      <c r="D282">
        <v>7.84</v>
      </c>
      <c r="E282" s="178">
        <v>0.28000000000000003</v>
      </c>
      <c r="F282" s="176">
        <v>3.7</v>
      </c>
      <c r="G282" t="s">
        <v>5516</v>
      </c>
      <c r="H282">
        <v>3155</v>
      </c>
      <c r="I282">
        <v>996</v>
      </c>
      <c r="J282" t="s">
        <v>1555</v>
      </c>
      <c r="K282">
        <v>7.84</v>
      </c>
      <c r="L282">
        <v>7.72</v>
      </c>
      <c r="M282" s="175" t="s">
        <v>1555</v>
      </c>
      <c r="N282" t="s">
        <v>1555</v>
      </c>
    </row>
    <row r="283" spans="1:14">
      <c r="A283" t="s">
        <v>2698</v>
      </c>
      <c r="B283" t="s">
        <v>3211</v>
      </c>
      <c r="C283">
        <v>8.84</v>
      </c>
      <c r="D283">
        <v>8.92</v>
      </c>
      <c r="E283" s="178">
        <v>0.12</v>
      </c>
      <c r="F283" s="176">
        <v>1.36</v>
      </c>
      <c r="G283" t="s">
        <v>5926</v>
      </c>
      <c r="H283">
        <v>3533</v>
      </c>
      <c r="I283">
        <v>1358</v>
      </c>
      <c r="J283" t="s">
        <v>1555</v>
      </c>
      <c r="K283">
        <v>8.93</v>
      </c>
      <c r="L283">
        <v>8.84</v>
      </c>
      <c r="M283" s="175" t="s">
        <v>1555</v>
      </c>
      <c r="N283" t="s">
        <v>1555</v>
      </c>
    </row>
    <row r="284" spans="1:14">
      <c r="A284">
        <v>971</v>
      </c>
      <c r="B284" t="s">
        <v>2705</v>
      </c>
      <c r="C284">
        <v>18.350000000000001</v>
      </c>
      <c r="D284">
        <v>18.079999999999998</v>
      </c>
      <c r="E284" s="178">
        <v>-0.26</v>
      </c>
      <c r="F284" s="176">
        <v>-1.42</v>
      </c>
      <c r="G284" t="s">
        <v>5927</v>
      </c>
      <c r="H284">
        <v>116</v>
      </c>
      <c r="I284">
        <v>506</v>
      </c>
      <c r="J284" t="s">
        <v>1555</v>
      </c>
      <c r="K284">
        <v>18.350000000000001</v>
      </c>
      <c r="L284">
        <v>18.010000000000002</v>
      </c>
      <c r="M284" s="175" t="s">
        <v>1555</v>
      </c>
      <c r="N284" t="s">
        <v>1555</v>
      </c>
    </row>
    <row r="285" spans="1:14">
      <c r="A285">
        <v>972</v>
      </c>
      <c r="B285" t="s">
        <v>2706</v>
      </c>
      <c r="C285">
        <v>22</v>
      </c>
      <c r="D285">
        <v>22.04</v>
      </c>
      <c r="E285" s="178">
        <v>0.08</v>
      </c>
      <c r="F285" s="176">
        <v>0.36</v>
      </c>
      <c r="G285" t="s">
        <v>5350</v>
      </c>
      <c r="H285">
        <v>140</v>
      </c>
      <c r="I285">
        <v>79</v>
      </c>
      <c r="J285" t="s">
        <v>1555</v>
      </c>
      <c r="K285">
        <v>22.1</v>
      </c>
      <c r="L285">
        <v>22</v>
      </c>
      <c r="M285" s="175" t="s">
        <v>1555</v>
      </c>
      <c r="N285" t="s">
        <v>1555</v>
      </c>
    </row>
    <row r="286" spans="1:14">
      <c r="A286">
        <v>9800</v>
      </c>
      <c r="B286" t="s">
        <v>2725</v>
      </c>
      <c r="C286">
        <v>13.32</v>
      </c>
      <c r="D286">
        <v>13.35</v>
      </c>
      <c r="E286" s="178">
        <v>-0.35</v>
      </c>
      <c r="F286" s="176">
        <v>-2.5499999999999998</v>
      </c>
      <c r="G286" t="s">
        <v>5928</v>
      </c>
      <c r="H286">
        <v>3779</v>
      </c>
      <c r="I286">
        <v>1063</v>
      </c>
      <c r="J286" t="s">
        <v>1555</v>
      </c>
      <c r="K286">
        <v>13.37</v>
      </c>
      <c r="L286">
        <v>13.31</v>
      </c>
      <c r="M286" s="175" t="s">
        <v>1555</v>
      </c>
      <c r="N286" t="s">
        <v>1555</v>
      </c>
    </row>
    <row r="287" spans="1:14">
      <c r="A287">
        <v>9801</v>
      </c>
      <c r="B287" t="s">
        <v>2726</v>
      </c>
      <c r="C287">
        <v>11.37</v>
      </c>
      <c r="D287">
        <v>11.49</v>
      </c>
      <c r="E287" s="178">
        <v>-0.34</v>
      </c>
      <c r="F287" s="176">
        <v>-2.87</v>
      </c>
      <c r="G287" t="s">
        <v>5929</v>
      </c>
      <c r="H287">
        <v>600</v>
      </c>
      <c r="I287">
        <v>529</v>
      </c>
      <c r="J287" t="s">
        <v>1555</v>
      </c>
      <c r="K287">
        <v>11.51</v>
      </c>
      <c r="L287">
        <v>11.37</v>
      </c>
      <c r="M287" s="175" t="s">
        <v>1555</v>
      </c>
      <c r="N287" t="s">
        <v>1555</v>
      </c>
    </row>
    <row r="288" spans="1:14">
      <c r="A288">
        <v>9802</v>
      </c>
      <c r="B288" t="s">
        <v>2799</v>
      </c>
      <c r="C288">
        <v>19.739999999999998</v>
      </c>
      <c r="D288">
        <v>19.62</v>
      </c>
      <c r="E288" s="178">
        <v>-0.54</v>
      </c>
      <c r="F288" s="176">
        <v>-2.68</v>
      </c>
      <c r="G288" t="s">
        <v>5930</v>
      </c>
      <c r="H288">
        <v>3610</v>
      </c>
      <c r="I288">
        <v>3570</v>
      </c>
      <c r="J288" t="s">
        <v>1555</v>
      </c>
      <c r="K288">
        <v>19.75</v>
      </c>
      <c r="L288">
        <v>19.510000000000002</v>
      </c>
      <c r="M288" s="175" t="s">
        <v>1555</v>
      </c>
      <c r="N288" t="s">
        <v>1555</v>
      </c>
    </row>
    <row r="289" spans="1:14">
      <c r="A289">
        <v>9803</v>
      </c>
      <c r="B289" t="s">
        <v>3108</v>
      </c>
      <c r="C289">
        <v>21.11</v>
      </c>
      <c r="D289">
        <v>21.02</v>
      </c>
      <c r="E289" s="178">
        <v>-0.7</v>
      </c>
      <c r="F289" s="176">
        <v>-3.22</v>
      </c>
      <c r="G289" t="s">
        <v>5489</v>
      </c>
      <c r="H289">
        <v>13175</v>
      </c>
      <c r="I289">
        <v>5634</v>
      </c>
      <c r="J289" t="s">
        <v>1555</v>
      </c>
      <c r="K289">
        <v>21.2</v>
      </c>
      <c r="L289">
        <v>20.95</v>
      </c>
      <c r="M289" s="175" t="s">
        <v>1555</v>
      </c>
      <c r="N289" t="s">
        <v>1555</v>
      </c>
    </row>
    <row r="290" spans="1:14">
      <c r="A290">
        <v>9804</v>
      </c>
      <c r="B290" t="s">
        <v>2806</v>
      </c>
      <c r="C290">
        <v>23.58</v>
      </c>
      <c r="D290">
        <v>23.21</v>
      </c>
      <c r="E290" s="178">
        <v>-0.94</v>
      </c>
      <c r="F290" s="176">
        <v>-3.89</v>
      </c>
      <c r="G290" t="s">
        <v>5931</v>
      </c>
      <c r="H290">
        <v>1828</v>
      </c>
      <c r="I290">
        <v>690</v>
      </c>
      <c r="J290" t="s">
        <v>1555</v>
      </c>
      <c r="K290">
        <v>23.58</v>
      </c>
      <c r="L290">
        <v>23.1</v>
      </c>
      <c r="M290" s="175" t="s">
        <v>1555</v>
      </c>
      <c r="N290" t="s">
        <v>1555</v>
      </c>
    </row>
    <row r="291" spans="1:14">
      <c r="A291">
        <v>9805</v>
      </c>
      <c r="B291" t="s">
        <v>3212</v>
      </c>
      <c r="C291">
        <v>14.89</v>
      </c>
      <c r="D291">
        <v>15</v>
      </c>
      <c r="E291" s="178">
        <v>-0.41</v>
      </c>
      <c r="F291" s="176">
        <v>-2.66</v>
      </c>
      <c r="G291" t="s">
        <v>5282</v>
      </c>
      <c r="H291">
        <v>7795</v>
      </c>
      <c r="I291">
        <v>4516</v>
      </c>
      <c r="J291" t="s">
        <v>1555</v>
      </c>
      <c r="K291">
        <v>15.03</v>
      </c>
      <c r="L291">
        <v>14.89</v>
      </c>
      <c r="M291" s="175" t="s">
        <v>1555</v>
      </c>
      <c r="N291" t="s">
        <v>1555</v>
      </c>
    </row>
    <row r="292" spans="1:14">
      <c r="A292">
        <v>9806</v>
      </c>
      <c r="B292" t="s">
        <v>2807</v>
      </c>
      <c r="C292">
        <v>14.24</v>
      </c>
      <c r="D292">
        <v>14.02</v>
      </c>
      <c r="E292" s="178">
        <v>-0.12</v>
      </c>
      <c r="F292" s="176">
        <v>-0.85</v>
      </c>
      <c r="G292" t="s">
        <v>5676</v>
      </c>
      <c r="H292">
        <v>45</v>
      </c>
      <c r="I292">
        <v>181</v>
      </c>
      <c r="J292" t="s">
        <v>1555</v>
      </c>
      <c r="K292">
        <v>14.24</v>
      </c>
      <c r="L292">
        <v>13.95</v>
      </c>
      <c r="M292" s="175" t="s">
        <v>1555</v>
      </c>
      <c r="N292" t="s">
        <v>1555</v>
      </c>
    </row>
    <row r="293" spans="1:14">
      <c r="A293">
        <v>9807</v>
      </c>
      <c r="B293" t="s">
        <v>2808</v>
      </c>
      <c r="C293">
        <v>17.37</v>
      </c>
      <c r="D293">
        <v>17.45</v>
      </c>
      <c r="E293" s="178">
        <v>-0.6</v>
      </c>
      <c r="F293" s="176">
        <v>-3.32</v>
      </c>
      <c r="G293" t="s">
        <v>5674</v>
      </c>
      <c r="H293">
        <v>13</v>
      </c>
      <c r="I293">
        <v>59</v>
      </c>
      <c r="J293" t="s">
        <v>1555</v>
      </c>
      <c r="K293">
        <v>17.45</v>
      </c>
      <c r="L293">
        <v>17.37</v>
      </c>
      <c r="M293" s="175" t="s">
        <v>1555</v>
      </c>
      <c r="N293" t="s">
        <v>1555</v>
      </c>
    </row>
    <row r="294" spans="1:14">
      <c r="A294">
        <v>9808</v>
      </c>
      <c r="B294" t="s">
        <v>2809</v>
      </c>
      <c r="C294">
        <v>31.6</v>
      </c>
      <c r="D294">
        <v>31.41</v>
      </c>
      <c r="E294" s="178">
        <v>-0.85</v>
      </c>
      <c r="F294" s="176">
        <v>-2.63</v>
      </c>
      <c r="G294" t="s">
        <v>5932</v>
      </c>
      <c r="H294">
        <v>112</v>
      </c>
      <c r="I294">
        <v>122</v>
      </c>
      <c r="J294" t="s">
        <v>1555</v>
      </c>
      <c r="K294">
        <v>31.6</v>
      </c>
      <c r="L294">
        <v>31.26</v>
      </c>
      <c r="M294" s="175" t="s">
        <v>1555</v>
      </c>
      <c r="N294" t="s">
        <v>1555</v>
      </c>
    </row>
    <row r="295" spans="1:14">
      <c r="A295">
        <v>9809</v>
      </c>
      <c r="B295" t="s">
        <v>2914</v>
      </c>
      <c r="C295">
        <v>18.350000000000001</v>
      </c>
      <c r="D295">
        <v>18.22</v>
      </c>
      <c r="E295" s="178">
        <v>-0.56000000000000005</v>
      </c>
      <c r="F295" s="176">
        <v>-2.98</v>
      </c>
      <c r="G295" t="s">
        <v>5933</v>
      </c>
      <c r="H295">
        <v>383</v>
      </c>
      <c r="I295">
        <v>112</v>
      </c>
      <c r="J295" t="s">
        <v>1555</v>
      </c>
      <c r="K295">
        <v>18.350000000000001</v>
      </c>
      <c r="L295">
        <v>18.21</v>
      </c>
      <c r="M295" s="175" t="s">
        <v>1555</v>
      </c>
      <c r="N295" t="s">
        <v>1555</v>
      </c>
    </row>
    <row r="296" spans="1:14">
      <c r="A296" t="s">
        <v>2810</v>
      </c>
      <c r="B296" t="s">
        <v>2811</v>
      </c>
      <c r="C296">
        <v>24.8</v>
      </c>
      <c r="D296">
        <v>24.5</v>
      </c>
      <c r="E296" s="178">
        <v>-1.45</v>
      </c>
      <c r="F296" s="176">
        <v>-5.59</v>
      </c>
      <c r="G296" t="s">
        <v>5580</v>
      </c>
      <c r="H296">
        <v>18447</v>
      </c>
      <c r="I296">
        <v>6622</v>
      </c>
      <c r="J296" t="s">
        <v>1555</v>
      </c>
      <c r="K296">
        <v>24.91</v>
      </c>
      <c r="L296">
        <v>24.31</v>
      </c>
      <c r="M296" s="175" t="s">
        <v>1555</v>
      </c>
      <c r="N296" t="s">
        <v>1555</v>
      </c>
    </row>
    <row r="297" spans="1:14">
      <c r="A297" t="s">
        <v>2719</v>
      </c>
      <c r="B297" t="s">
        <v>2720</v>
      </c>
      <c r="C297">
        <v>8.9499999999999993</v>
      </c>
      <c r="D297">
        <v>9.0500000000000007</v>
      </c>
      <c r="E297" s="178">
        <v>0.13</v>
      </c>
      <c r="F297" s="176">
        <v>1.46</v>
      </c>
      <c r="G297" t="s">
        <v>5934</v>
      </c>
      <c r="H297">
        <v>1012</v>
      </c>
      <c r="I297">
        <v>396</v>
      </c>
      <c r="J297" t="s">
        <v>1555</v>
      </c>
      <c r="K297">
        <v>9.0500000000000007</v>
      </c>
      <c r="L297">
        <v>8.9499999999999993</v>
      </c>
      <c r="M297" s="175" t="s">
        <v>1555</v>
      </c>
      <c r="N297" t="s">
        <v>1555</v>
      </c>
    </row>
    <row r="298" spans="1:14">
      <c r="A298" t="s">
        <v>2855</v>
      </c>
      <c r="B298" t="s">
        <v>2856</v>
      </c>
      <c r="C298">
        <v>19.600000000000001</v>
      </c>
      <c r="D298">
        <v>19.66</v>
      </c>
      <c r="E298" s="178">
        <v>0.09</v>
      </c>
      <c r="F298" s="176">
        <v>0.46</v>
      </c>
      <c r="G298" t="s">
        <v>5935</v>
      </c>
      <c r="H298">
        <v>588</v>
      </c>
      <c r="I298">
        <v>1052</v>
      </c>
      <c r="J298" t="s">
        <v>1555</v>
      </c>
      <c r="K298">
        <v>19.68</v>
      </c>
      <c r="L298">
        <v>19.600000000000001</v>
      </c>
      <c r="M298" s="175" t="s">
        <v>1555</v>
      </c>
      <c r="N298" t="s">
        <v>1555</v>
      </c>
    </row>
    <row r="299" spans="1:14">
      <c r="A299" t="s">
        <v>2861</v>
      </c>
      <c r="B299" t="s">
        <v>2862</v>
      </c>
      <c r="C299">
        <v>12.2</v>
      </c>
      <c r="D299">
        <v>12.2</v>
      </c>
      <c r="E299" s="178">
        <v>-0.19</v>
      </c>
      <c r="F299" s="176">
        <v>-1.53</v>
      </c>
      <c r="G299" t="s">
        <v>5936</v>
      </c>
      <c r="H299">
        <v>78</v>
      </c>
      <c r="I299">
        <v>262</v>
      </c>
      <c r="J299" t="s">
        <v>1555</v>
      </c>
      <c r="K299">
        <v>12.22</v>
      </c>
      <c r="L299">
        <v>12.18</v>
      </c>
      <c r="M299" s="175" t="s">
        <v>1555</v>
      </c>
      <c r="N299" t="s">
        <v>1555</v>
      </c>
    </row>
    <row r="300" spans="1:14">
      <c r="A300">
        <v>9810</v>
      </c>
      <c r="B300" t="s">
        <v>3109</v>
      </c>
      <c r="C300">
        <v>21.62</v>
      </c>
      <c r="D300">
        <v>21.62</v>
      </c>
      <c r="E300" s="178">
        <v>-0.2</v>
      </c>
      <c r="F300" s="176">
        <v>-0.92</v>
      </c>
      <c r="G300" t="s">
        <v>5937</v>
      </c>
      <c r="H300">
        <v>62</v>
      </c>
      <c r="I300">
        <v>203</v>
      </c>
      <c r="J300" t="s">
        <v>1555</v>
      </c>
      <c r="K300">
        <v>21.64</v>
      </c>
      <c r="L300">
        <v>21.57</v>
      </c>
      <c r="M300" s="175" t="s">
        <v>1555</v>
      </c>
      <c r="N300" t="s">
        <v>1555</v>
      </c>
    </row>
    <row r="301" spans="1:14">
      <c r="A301">
        <v>9811</v>
      </c>
      <c r="B301" t="s">
        <v>2851</v>
      </c>
      <c r="C301">
        <v>13.65</v>
      </c>
      <c r="D301">
        <v>13.65</v>
      </c>
      <c r="E301" s="178">
        <v>-0.24</v>
      </c>
      <c r="F301" s="176">
        <v>-1.73</v>
      </c>
      <c r="G301" t="s">
        <v>5503</v>
      </c>
      <c r="H301">
        <v>1959</v>
      </c>
      <c r="I301">
        <v>915</v>
      </c>
      <c r="J301" t="s">
        <v>1555</v>
      </c>
      <c r="K301">
        <v>13.68</v>
      </c>
      <c r="L301">
        <v>13.63</v>
      </c>
      <c r="M301" s="175" t="s">
        <v>1555</v>
      </c>
      <c r="N301" t="s">
        <v>1555</v>
      </c>
    </row>
    <row r="302" spans="1:14">
      <c r="A302">
        <v>9812</v>
      </c>
      <c r="B302" t="s">
        <v>2886</v>
      </c>
      <c r="C302">
        <v>13.08</v>
      </c>
      <c r="D302">
        <v>12.99</v>
      </c>
      <c r="E302" s="178">
        <v>-0.22</v>
      </c>
      <c r="F302" s="176">
        <v>-1.67</v>
      </c>
      <c r="G302" t="s">
        <v>5938</v>
      </c>
      <c r="H302">
        <v>557</v>
      </c>
      <c r="I302">
        <v>296</v>
      </c>
      <c r="J302" t="s">
        <v>1555</v>
      </c>
      <c r="K302">
        <v>13.08</v>
      </c>
      <c r="L302">
        <v>12.89</v>
      </c>
      <c r="M302" s="175" t="s">
        <v>1555</v>
      </c>
      <c r="N302" t="s">
        <v>1555</v>
      </c>
    </row>
    <row r="303" spans="1:14">
      <c r="A303">
        <v>9813</v>
      </c>
      <c r="B303" t="s">
        <v>2922</v>
      </c>
      <c r="C303">
        <v>11.66</v>
      </c>
      <c r="D303">
        <v>11.65</v>
      </c>
      <c r="E303" s="178">
        <v>-0.19</v>
      </c>
      <c r="F303" s="176">
        <v>-1.6</v>
      </c>
      <c r="G303" t="s">
        <v>5900</v>
      </c>
      <c r="H303">
        <v>2801</v>
      </c>
      <c r="I303">
        <v>1816</v>
      </c>
      <c r="J303" t="s">
        <v>1555</v>
      </c>
      <c r="K303">
        <v>11.67</v>
      </c>
      <c r="L303">
        <v>11.63</v>
      </c>
      <c r="M303" s="175" t="s">
        <v>1555</v>
      </c>
      <c r="N303" t="s">
        <v>1555</v>
      </c>
    </row>
    <row r="304" spans="1:14">
      <c r="A304">
        <v>9814</v>
      </c>
      <c r="B304" t="s">
        <v>2960</v>
      </c>
      <c r="C304">
        <v>11.58</v>
      </c>
      <c r="D304">
        <v>11.62</v>
      </c>
      <c r="E304" s="178">
        <v>-0.09</v>
      </c>
      <c r="F304" s="176">
        <v>-0.77</v>
      </c>
      <c r="G304" t="s">
        <v>5939</v>
      </c>
      <c r="H304">
        <v>543</v>
      </c>
      <c r="I304">
        <v>1213</v>
      </c>
      <c r="J304" t="s">
        <v>1555</v>
      </c>
      <c r="K304">
        <v>11.62</v>
      </c>
      <c r="L304">
        <v>11.55</v>
      </c>
      <c r="M304" s="175" t="s">
        <v>1555</v>
      </c>
      <c r="N304" t="s">
        <v>1555</v>
      </c>
    </row>
    <row r="305" spans="1:14">
      <c r="A305">
        <v>9815</v>
      </c>
      <c r="B305" t="s">
        <v>3009</v>
      </c>
      <c r="C305">
        <v>12</v>
      </c>
      <c r="D305">
        <v>11.99</v>
      </c>
      <c r="E305" s="178">
        <v>-0.32</v>
      </c>
      <c r="F305" s="176">
        <v>-2.6</v>
      </c>
      <c r="G305" t="s">
        <v>5940</v>
      </c>
      <c r="H305">
        <v>2740</v>
      </c>
      <c r="I305">
        <v>1707</v>
      </c>
      <c r="J305" t="s">
        <v>1555</v>
      </c>
      <c r="K305">
        <v>12.01</v>
      </c>
      <c r="L305">
        <v>11.95</v>
      </c>
      <c r="M305" s="175" t="s">
        <v>1555</v>
      </c>
      <c r="N305" t="s">
        <v>1555</v>
      </c>
    </row>
    <row r="306" spans="1:14">
      <c r="A306">
        <v>9816</v>
      </c>
      <c r="B306" t="s">
        <v>3058</v>
      </c>
      <c r="C306">
        <v>16.260000000000002</v>
      </c>
      <c r="D306">
        <v>16.190000000000001</v>
      </c>
      <c r="E306" s="178">
        <v>-0.46</v>
      </c>
      <c r="F306" s="176">
        <v>-2.76</v>
      </c>
      <c r="G306" t="s">
        <v>5941</v>
      </c>
      <c r="H306">
        <v>373226</v>
      </c>
      <c r="I306">
        <v>139803</v>
      </c>
      <c r="J306" t="s">
        <v>1555</v>
      </c>
      <c r="K306">
        <v>16.32</v>
      </c>
      <c r="L306">
        <v>16.18</v>
      </c>
      <c r="M306" s="175" t="s">
        <v>1555</v>
      </c>
      <c r="N306" t="s">
        <v>1555</v>
      </c>
    </row>
    <row r="307" spans="1:14">
      <c r="A307">
        <v>9817</v>
      </c>
      <c r="B307" t="s">
        <v>3068</v>
      </c>
      <c r="C307">
        <v>8.51</v>
      </c>
      <c r="D307">
        <v>8.58</v>
      </c>
      <c r="E307" s="178">
        <v>7.0000000000000007E-2</v>
      </c>
      <c r="F307" s="176">
        <v>0.82</v>
      </c>
      <c r="G307" t="s">
        <v>5942</v>
      </c>
      <c r="H307">
        <v>850</v>
      </c>
      <c r="I307">
        <v>1055</v>
      </c>
      <c r="J307" t="s">
        <v>1555</v>
      </c>
      <c r="K307">
        <v>8.59</v>
      </c>
      <c r="L307">
        <v>8.51</v>
      </c>
      <c r="M307" s="175" t="s">
        <v>1555</v>
      </c>
      <c r="N307" t="s">
        <v>1555</v>
      </c>
    </row>
    <row r="308" spans="1:14">
      <c r="A308">
        <v>9818</v>
      </c>
      <c r="B308" t="s">
        <v>3081</v>
      </c>
      <c r="C308">
        <v>20.78</v>
      </c>
      <c r="D308">
        <v>20.88</v>
      </c>
      <c r="E308" s="178">
        <v>-0.67</v>
      </c>
      <c r="F308" s="176">
        <v>-3.11</v>
      </c>
      <c r="G308" t="s">
        <v>5943</v>
      </c>
      <c r="H308">
        <v>386</v>
      </c>
      <c r="I308">
        <v>50</v>
      </c>
      <c r="J308" t="s">
        <v>1555</v>
      </c>
      <c r="K308">
        <v>20.9</v>
      </c>
      <c r="L308">
        <v>20.78</v>
      </c>
      <c r="M308" s="175" t="s">
        <v>1555</v>
      </c>
      <c r="N308" t="s">
        <v>1555</v>
      </c>
    </row>
    <row r="309" spans="1:14">
      <c r="A309">
        <v>9819</v>
      </c>
      <c r="B309" t="s">
        <v>3132</v>
      </c>
      <c r="C309">
        <v>9.64</v>
      </c>
      <c r="D309">
        <v>9.68</v>
      </c>
      <c r="E309" s="178">
        <v>-0.35</v>
      </c>
      <c r="F309" s="176">
        <v>-3.49</v>
      </c>
      <c r="G309" t="s">
        <v>5944</v>
      </c>
      <c r="H309">
        <v>7307</v>
      </c>
      <c r="I309">
        <v>5482</v>
      </c>
      <c r="J309" t="s">
        <v>1555</v>
      </c>
      <c r="K309">
        <v>9.7100000000000009</v>
      </c>
      <c r="L309">
        <v>9.6199999999999992</v>
      </c>
      <c r="M309" s="175" t="s">
        <v>1555</v>
      </c>
      <c r="N309" t="s">
        <v>1555</v>
      </c>
    </row>
    <row r="310" spans="1:14">
      <c r="A310" t="s">
        <v>2812</v>
      </c>
      <c r="B310" t="s">
        <v>2813</v>
      </c>
      <c r="C310">
        <v>30</v>
      </c>
      <c r="D310">
        <v>29.4</v>
      </c>
      <c r="E310" s="178">
        <v>-1.79</v>
      </c>
      <c r="F310" s="176">
        <v>-5.74</v>
      </c>
      <c r="G310" t="s">
        <v>5945</v>
      </c>
      <c r="H310">
        <v>394176</v>
      </c>
      <c r="I310">
        <v>128698</v>
      </c>
      <c r="J310" t="s">
        <v>1555</v>
      </c>
      <c r="K310">
        <v>30.04</v>
      </c>
      <c r="L310">
        <v>29.4</v>
      </c>
      <c r="M310" s="175" t="s">
        <v>1555</v>
      </c>
      <c r="N310" t="s">
        <v>1555</v>
      </c>
    </row>
    <row r="311" spans="1:14">
      <c r="A311" t="s">
        <v>2793</v>
      </c>
      <c r="B311" t="s">
        <v>2794</v>
      </c>
      <c r="C311">
        <v>9.02</v>
      </c>
      <c r="D311">
        <v>8.9700000000000006</v>
      </c>
      <c r="E311" s="178">
        <v>-0.05</v>
      </c>
      <c r="F311" s="176">
        <v>-0.55000000000000004</v>
      </c>
      <c r="G311" t="s">
        <v>5827</v>
      </c>
      <c r="H311">
        <v>14176</v>
      </c>
      <c r="I311">
        <v>10942</v>
      </c>
      <c r="J311" t="s">
        <v>1555</v>
      </c>
      <c r="K311">
        <v>9.02</v>
      </c>
      <c r="L311">
        <v>8.9700000000000006</v>
      </c>
      <c r="M311" s="175" t="s">
        <v>1555</v>
      </c>
      <c r="N311" t="s">
        <v>1555</v>
      </c>
    </row>
    <row r="312" spans="1:14">
      <c r="A312" t="s">
        <v>2883</v>
      </c>
      <c r="B312" t="s">
        <v>2884</v>
      </c>
      <c r="C312">
        <v>10.16</v>
      </c>
      <c r="D312">
        <v>10.19</v>
      </c>
      <c r="E312" s="178">
        <v>0</v>
      </c>
      <c r="F312" s="176">
        <v>0</v>
      </c>
      <c r="G312" t="s">
        <v>5946</v>
      </c>
      <c r="H312">
        <v>3503</v>
      </c>
      <c r="I312">
        <v>1709</v>
      </c>
      <c r="J312" t="s">
        <v>1555</v>
      </c>
      <c r="K312">
        <v>10.210000000000001</v>
      </c>
      <c r="L312">
        <v>10.16</v>
      </c>
      <c r="M312" s="175" t="s">
        <v>1555</v>
      </c>
      <c r="N312" t="s">
        <v>1555</v>
      </c>
    </row>
    <row r="313" spans="1:14">
      <c r="A313" t="s">
        <v>2901</v>
      </c>
      <c r="B313" t="s">
        <v>2902</v>
      </c>
      <c r="C313">
        <v>11.66</v>
      </c>
      <c r="D313">
        <v>11.66</v>
      </c>
      <c r="E313" s="178">
        <v>-0.06</v>
      </c>
      <c r="F313" s="176">
        <v>-0.51</v>
      </c>
      <c r="G313" t="s">
        <v>5947</v>
      </c>
      <c r="H313">
        <v>2870</v>
      </c>
      <c r="I313">
        <v>1709</v>
      </c>
      <c r="J313" t="s">
        <v>1555</v>
      </c>
      <c r="K313">
        <v>11.67</v>
      </c>
      <c r="L313">
        <v>11.61</v>
      </c>
      <c r="M313" s="175" t="s">
        <v>1555</v>
      </c>
      <c r="N313" t="s">
        <v>1555</v>
      </c>
    </row>
    <row r="314" spans="1:14">
      <c r="A314">
        <v>9820</v>
      </c>
      <c r="B314" t="s">
        <v>3133</v>
      </c>
      <c r="C314">
        <v>10.25</v>
      </c>
      <c r="D314">
        <v>10.24</v>
      </c>
      <c r="E314" s="178">
        <v>-0.39</v>
      </c>
      <c r="F314" s="176">
        <v>-3.67</v>
      </c>
      <c r="G314" t="s">
        <v>5948</v>
      </c>
      <c r="H314">
        <v>6333</v>
      </c>
      <c r="I314">
        <v>5371</v>
      </c>
      <c r="J314" t="s">
        <v>1555</v>
      </c>
      <c r="K314">
        <v>10.28</v>
      </c>
      <c r="L314">
        <v>10.199999999999999</v>
      </c>
      <c r="M314" s="175" t="s">
        <v>1555</v>
      </c>
      <c r="N314" t="s">
        <v>1555</v>
      </c>
    </row>
    <row r="315" spans="1:14">
      <c r="A315">
        <v>9821</v>
      </c>
      <c r="B315" t="s">
        <v>3191</v>
      </c>
      <c r="C315">
        <v>12.05</v>
      </c>
      <c r="D315">
        <v>12</v>
      </c>
      <c r="E315" s="178">
        <v>-0.55000000000000004</v>
      </c>
      <c r="F315" s="176">
        <v>-4.38</v>
      </c>
      <c r="G315" t="s">
        <v>5340</v>
      </c>
      <c r="H315">
        <v>19287</v>
      </c>
      <c r="I315">
        <v>8444</v>
      </c>
      <c r="J315" t="s">
        <v>1555</v>
      </c>
      <c r="K315">
        <v>12.09</v>
      </c>
      <c r="L315">
        <v>12</v>
      </c>
      <c r="M315" s="175" t="s">
        <v>1555</v>
      </c>
      <c r="N315" t="s">
        <v>1555</v>
      </c>
    </row>
    <row r="316" spans="1:14">
      <c r="A316">
        <v>9822</v>
      </c>
      <c r="B316" t="s">
        <v>3180</v>
      </c>
      <c r="C316">
        <v>8.91</v>
      </c>
      <c r="D316">
        <v>8.91</v>
      </c>
      <c r="E316" s="178">
        <v>-0.38</v>
      </c>
      <c r="F316" s="176">
        <v>-4.09</v>
      </c>
      <c r="G316" t="s">
        <v>5667</v>
      </c>
      <c r="H316">
        <v>739</v>
      </c>
      <c r="I316">
        <v>328</v>
      </c>
      <c r="J316" t="s">
        <v>1555</v>
      </c>
      <c r="K316">
        <v>8.99</v>
      </c>
      <c r="L316">
        <v>8.8699999999999992</v>
      </c>
      <c r="M316" s="175" t="s">
        <v>1555</v>
      </c>
      <c r="N316" t="s">
        <v>1555</v>
      </c>
    </row>
    <row r="317" spans="1:14">
      <c r="A317">
        <v>9823</v>
      </c>
      <c r="B317" t="s">
        <v>3196</v>
      </c>
      <c r="C317">
        <v>10.61</v>
      </c>
      <c r="D317">
        <v>10.64</v>
      </c>
      <c r="E317" s="178">
        <v>-0.13</v>
      </c>
      <c r="F317" s="176">
        <v>-1.21</v>
      </c>
      <c r="G317" t="s">
        <v>5921</v>
      </c>
      <c r="H317">
        <v>3709</v>
      </c>
      <c r="I317">
        <v>2928</v>
      </c>
      <c r="J317" t="s">
        <v>1555</v>
      </c>
      <c r="K317">
        <v>10.65</v>
      </c>
      <c r="L317">
        <v>10.6</v>
      </c>
      <c r="M317" s="175" t="s">
        <v>1555</v>
      </c>
      <c r="N317" t="s">
        <v>1555</v>
      </c>
    </row>
    <row r="318" spans="1:14">
      <c r="A318">
        <v>9824</v>
      </c>
      <c r="B318" t="s">
        <v>3197</v>
      </c>
      <c r="C318">
        <v>10.38</v>
      </c>
      <c r="D318">
        <v>10.37</v>
      </c>
      <c r="E318" s="178">
        <v>-0.32</v>
      </c>
      <c r="F318" s="176">
        <v>-2.99</v>
      </c>
      <c r="G318" t="s">
        <v>5949</v>
      </c>
      <c r="H318">
        <v>3703</v>
      </c>
      <c r="I318">
        <v>2341</v>
      </c>
      <c r="J318" t="s">
        <v>1555</v>
      </c>
      <c r="K318">
        <v>10.4</v>
      </c>
      <c r="L318">
        <v>10.33</v>
      </c>
      <c r="M318" s="175" t="s">
        <v>1555</v>
      </c>
      <c r="N318" t="s">
        <v>1555</v>
      </c>
    </row>
    <row r="319" spans="1:14">
      <c r="A319">
        <v>9825</v>
      </c>
      <c r="B319" t="s">
        <v>3216</v>
      </c>
      <c r="C319">
        <v>9.82</v>
      </c>
      <c r="D319">
        <v>9.7899999999999991</v>
      </c>
      <c r="E319" s="178">
        <v>-0.2</v>
      </c>
      <c r="F319" s="176">
        <v>-2</v>
      </c>
      <c r="G319" t="s">
        <v>5950</v>
      </c>
      <c r="H319">
        <v>117</v>
      </c>
      <c r="I319">
        <v>544</v>
      </c>
      <c r="J319" t="s">
        <v>1555</v>
      </c>
      <c r="K319">
        <v>9.82</v>
      </c>
      <c r="L319">
        <v>9.77</v>
      </c>
      <c r="M319" s="175" t="s">
        <v>1555</v>
      </c>
      <c r="N319" t="s">
        <v>1555</v>
      </c>
    </row>
    <row r="320" spans="1:14">
      <c r="A320">
        <v>9826</v>
      </c>
      <c r="B320" t="s">
        <v>3238</v>
      </c>
      <c r="C320">
        <v>10.06</v>
      </c>
      <c r="D320">
        <v>10.08</v>
      </c>
      <c r="E320" s="178">
        <v>-0.08</v>
      </c>
      <c r="F320" s="176">
        <v>-0.79</v>
      </c>
      <c r="G320" t="s">
        <v>5183</v>
      </c>
      <c r="H320">
        <v>12513</v>
      </c>
      <c r="I320">
        <v>8113</v>
      </c>
      <c r="J320" t="s">
        <v>1555</v>
      </c>
      <c r="K320">
        <v>10.1</v>
      </c>
      <c r="L320">
        <v>10.029999999999999</v>
      </c>
      <c r="M320" s="175" t="s">
        <v>1555</v>
      </c>
      <c r="N320" t="s">
        <v>1555</v>
      </c>
    </row>
    <row r="321" spans="1:14">
      <c r="A321">
        <v>9827</v>
      </c>
      <c r="B321" t="s">
        <v>3254</v>
      </c>
      <c r="C321">
        <v>10.16</v>
      </c>
      <c r="D321">
        <v>10.07</v>
      </c>
      <c r="E321" s="178">
        <v>-0.37</v>
      </c>
      <c r="F321" s="176">
        <v>-3.54</v>
      </c>
      <c r="G321" t="s">
        <v>5951</v>
      </c>
      <c r="H321">
        <v>6042</v>
      </c>
      <c r="I321">
        <v>3536</v>
      </c>
      <c r="J321" t="s">
        <v>1555</v>
      </c>
      <c r="K321">
        <v>10.16</v>
      </c>
      <c r="L321">
        <v>10.07</v>
      </c>
      <c r="M321" s="175" t="s">
        <v>1555</v>
      </c>
      <c r="N321" t="s">
        <v>1555</v>
      </c>
    </row>
    <row r="322" spans="1:14">
      <c r="A322">
        <v>9828</v>
      </c>
      <c r="B322" t="s">
        <v>3255</v>
      </c>
      <c r="C322">
        <v>10</v>
      </c>
      <c r="D322">
        <v>9.99</v>
      </c>
      <c r="E322" s="178">
        <v>-0.72</v>
      </c>
      <c r="F322" s="176">
        <v>-6.72</v>
      </c>
      <c r="G322" t="s">
        <v>5699</v>
      </c>
      <c r="H322">
        <v>121654</v>
      </c>
      <c r="I322">
        <v>61893</v>
      </c>
      <c r="J322" t="s">
        <v>1555</v>
      </c>
      <c r="K322">
        <v>10.130000000000001</v>
      </c>
      <c r="L322">
        <v>9.9</v>
      </c>
      <c r="M322" s="175" t="s">
        <v>1555</v>
      </c>
      <c r="N322" t="s">
        <v>1555</v>
      </c>
    </row>
    <row r="323" spans="1:14">
      <c r="A323">
        <v>9829</v>
      </c>
      <c r="B323" t="s">
        <v>3244</v>
      </c>
      <c r="C323">
        <v>8.82</v>
      </c>
      <c r="D323">
        <v>8.66</v>
      </c>
      <c r="E323" s="178">
        <v>-0.95</v>
      </c>
      <c r="F323" s="176">
        <v>-9.89</v>
      </c>
      <c r="G323" t="s">
        <v>5413</v>
      </c>
      <c r="H323">
        <v>116907</v>
      </c>
      <c r="I323">
        <v>43392</v>
      </c>
      <c r="J323" t="s">
        <v>1555</v>
      </c>
      <c r="K323">
        <v>8.8699999999999992</v>
      </c>
      <c r="L323">
        <v>8.66</v>
      </c>
      <c r="M323" s="175" t="s">
        <v>1555</v>
      </c>
      <c r="N323" t="s">
        <v>1555</v>
      </c>
    </row>
    <row r="324" spans="1:14">
      <c r="A324" t="s">
        <v>2814</v>
      </c>
      <c r="B324" t="s">
        <v>2815</v>
      </c>
      <c r="C324">
        <v>22.59</v>
      </c>
      <c r="D324">
        <v>22.25</v>
      </c>
      <c r="E324" s="178">
        <v>-1.26</v>
      </c>
      <c r="F324" s="176">
        <v>-5.36</v>
      </c>
      <c r="G324" t="s">
        <v>5952</v>
      </c>
      <c r="H324">
        <v>44885</v>
      </c>
      <c r="I324">
        <v>15730</v>
      </c>
      <c r="J324" t="s">
        <v>1555</v>
      </c>
      <c r="K324">
        <v>22.69</v>
      </c>
      <c r="L324">
        <v>22.14</v>
      </c>
      <c r="M324" s="175" t="s">
        <v>1555</v>
      </c>
      <c r="N324" t="s">
        <v>1555</v>
      </c>
    </row>
    <row r="325" spans="1:14">
      <c r="A325" t="s">
        <v>2816</v>
      </c>
      <c r="B325" t="s">
        <v>2817</v>
      </c>
      <c r="C325">
        <v>9.3000000000000007</v>
      </c>
      <c r="D325">
        <v>9.36</v>
      </c>
      <c r="E325" s="178">
        <v>0.16</v>
      </c>
      <c r="F325" s="176">
        <v>1.74</v>
      </c>
      <c r="G325" t="s">
        <v>5953</v>
      </c>
      <c r="H325">
        <v>35</v>
      </c>
      <c r="I325">
        <v>26</v>
      </c>
      <c r="J325" t="s">
        <v>1555</v>
      </c>
      <c r="K325">
        <v>9.36</v>
      </c>
      <c r="L325">
        <v>9.3000000000000007</v>
      </c>
      <c r="M325" s="175" t="s">
        <v>1555</v>
      </c>
      <c r="N325" t="s">
        <v>1555</v>
      </c>
    </row>
    <row r="326" spans="1:14">
      <c r="A326" t="s">
        <v>2915</v>
      </c>
      <c r="B326" t="s">
        <v>2916</v>
      </c>
      <c r="C326">
        <v>9.4700000000000006</v>
      </c>
      <c r="D326">
        <v>9.51</v>
      </c>
      <c r="E326" s="178">
        <v>0.09</v>
      </c>
      <c r="F326" s="176">
        <v>0.96</v>
      </c>
      <c r="G326" t="s">
        <v>5954</v>
      </c>
      <c r="H326">
        <v>1650</v>
      </c>
      <c r="I326">
        <v>1058</v>
      </c>
      <c r="J326" t="s">
        <v>1555</v>
      </c>
      <c r="K326">
        <v>9.52</v>
      </c>
      <c r="L326">
        <v>9.4499999999999993</v>
      </c>
      <c r="M326" s="175" t="s">
        <v>1555</v>
      </c>
      <c r="N326" t="s">
        <v>1555</v>
      </c>
    </row>
    <row r="327" spans="1:14">
      <c r="A327" t="s">
        <v>2974</v>
      </c>
      <c r="B327" t="s">
        <v>2975</v>
      </c>
      <c r="C327">
        <v>15.22</v>
      </c>
      <c r="D327">
        <v>14.85</v>
      </c>
      <c r="E327" s="178">
        <v>-0.5</v>
      </c>
      <c r="F327" s="176">
        <v>-3.26</v>
      </c>
      <c r="G327" t="s">
        <v>5449</v>
      </c>
      <c r="H327">
        <v>140</v>
      </c>
      <c r="I327">
        <v>310</v>
      </c>
      <c r="J327" t="s">
        <v>1555</v>
      </c>
      <c r="K327">
        <v>15.22</v>
      </c>
      <c r="L327">
        <v>14.69</v>
      </c>
      <c r="M327" s="175" t="s">
        <v>1555</v>
      </c>
      <c r="N327" t="s">
        <v>1555</v>
      </c>
    </row>
    <row r="328" spans="1:14">
      <c r="A328" t="s">
        <v>2818</v>
      </c>
      <c r="B328" t="s">
        <v>2819</v>
      </c>
      <c r="C328">
        <v>12.55</v>
      </c>
      <c r="D328">
        <v>12.53</v>
      </c>
      <c r="E328" s="178">
        <v>-0.45</v>
      </c>
      <c r="F328" s="176">
        <v>-3.47</v>
      </c>
      <c r="G328" t="s">
        <v>5955</v>
      </c>
      <c r="H328">
        <v>2095</v>
      </c>
      <c r="I328">
        <v>733</v>
      </c>
      <c r="J328" t="s">
        <v>1555</v>
      </c>
      <c r="K328">
        <v>12.57</v>
      </c>
      <c r="L328">
        <v>12.47</v>
      </c>
      <c r="M328" s="175" t="s">
        <v>1555</v>
      </c>
      <c r="N328" t="s">
        <v>1555</v>
      </c>
    </row>
    <row r="329" spans="1:14">
      <c r="A329" t="s">
        <v>2820</v>
      </c>
      <c r="B329" t="s">
        <v>2821</v>
      </c>
      <c r="C329">
        <v>14.81</v>
      </c>
      <c r="D329">
        <v>14.94</v>
      </c>
      <c r="E329" s="178">
        <v>0.32</v>
      </c>
      <c r="F329" s="176">
        <v>2.19</v>
      </c>
      <c r="G329" t="s">
        <v>5956</v>
      </c>
      <c r="H329">
        <v>1171</v>
      </c>
      <c r="I329">
        <v>596</v>
      </c>
      <c r="J329" t="s">
        <v>1555</v>
      </c>
      <c r="K329">
        <v>14.95</v>
      </c>
      <c r="L329">
        <v>14.8</v>
      </c>
      <c r="M329" s="175" t="s">
        <v>1555</v>
      </c>
      <c r="N329" t="s">
        <v>1555</v>
      </c>
    </row>
    <row r="330" spans="1:14">
      <c r="A330" t="s">
        <v>2917</v>
      </c>
      <c r="B330" t="s">
        <v>2918</v>
      </c>
      <c r="C330">
        <v>9.75</v>
      </c>
      <c r="D330">
        <v>9.7899999999999991</v>
      </c>
      <c r="E330" s="178">
        <v>7.0000000000000007E-2</v>
      </c>
      <c r="F330" s="176">
        <v>0.72</v>
      </c>
      <c r="G330" t="s">
        <v>5957</v>
      </c>
      <c r="H330">
        <v>1841</v>
      </c>
      <c r="I330">
        <v>852</v>
      </c>
      <c r="J330" t="s">
        <v>1555</v>
      </c>
      <c r="K330">
        <v>9.8000000000000007</v>
      </c>
      <c r="L330">
        <v>9.75</v>
      </c>
      <c r="M330" s="175" t="s">
        <v>1555</v>
      </c>
      <c r="N330" t="s">
        <v>1555</v>
      </c>
    </row>
    <row r="331" spans="1:14">
      <c r="A331" t="s">
        <v>2842</v>
      </c>
      <c r="B331" t="s">
        <v>2843</v>
      </c>
      <c r="C331">
        <v>15.96</v>
      </c>
      <c r="D331">
        <v>15.85</v>
      </c>
      <c r="E331" s="178">
        <v>-0.49</v>
      </c>
      <c r="F331" s="176">
        <v>-3</v>
      </c>
      <c r="G331" t="s">
        <v>5958</v>
      </c>
      <c r="H331">
        <v>25213</v>
      </c>
      <c r="I331">
        <v>10940</v>
      </c>
      <c r="J331" t="s">
        <v>1555</v>
      </c>
      <c r="K331">
        <v>16.05</v>
      </c>
      <c r="L331">
        <v>15.81</v>
      </c>
      <c r="M331" s="175" t="s">
        <v>1555</v>
      </c>
      <c r="N331" t="s">
        <v>1555</v>
      </c>
    </row>
    <row r="332" spans="1:14">
      <c r="A332" t="s">
        <v>2822</v>
      </c>
      <c r="B332" t="s">
        <v>2823</v>
      </c>
      <c r="C332">
        <v>15.46</v>
      </c>
      <c r="D332">
        <v>15.58</v>
      </c>
      <c r="E332" s="178">
        <v>0.25</v>
      </c>
      <c r="F332" s="176">
        <v>1.63</v>
      </c>
      <c r="G332" t="s">
        <v>5959</v>
      </c>
      <c r="H332">
        <v>1382</v>
      </c>
      <c r="I332">
        <v>944</v>
      </c>
      <c r="J332" t="s">
        <v>1555</v>
      </c>
      <c r="K332">
        <v>15.59</v>
      </c>
      <c r="L332">
        <v>15.45</v>
      </c>
      <c r="M332" s="175" t="s">
        <v>1555</v>
      </c>
      <c r="N332" t="s">
        <v>1555</v>
      </c>
    </row>
    <row r="333" spans="1:14">
      <c r="A333" t="s">
        <v>3059</v>
      </c>
      <c r="B333" t="s">
        <v>3060</v>
      </c>
      <c r="C333">
        <v>9.65</v>
      </c>
      <c r="D333">
        <v>9.65</v>
      </c>
      <c r="E333" s="178">
        <v>-0.02</v>
      </c>
      <c r="F333" s="176">
        <v>-0.21</v>
      </c>
      <c r="G333" t="s">
        <v>5960</v>
      </c>
      <c r="H333">
        <v>26159</v>
      </c>
      <c r="I333">
        <v>11241</v>
      </c>
      <c r="J333" t="s">
        <v>1555</v>
      </c>
      <c r="K333">
        <v>9.67</v>
      </c>
      <c r="L333">
        <v>9.6300000000000008</v>
      </c>
      <c r="M333" s="175" t="s">
        <v>1555</v>
      </c>
      <c r="N333" t="s">
        <v>1555</v>
      </c>
    </row>
    <row r="334" spans="1:14">
      <c r="A334" t="s">
        <v>2846</v>
      </c>
      <c r="B334" t="s">
        <v>2847</v>
      </c>
      <c r="C334">
        <v>23.24</v>
      </c>
      <c r="D334">
        <v>23.04</v>
      </c>
      <c r="E334" s="178">
        <v>-0.76</v>
      </c>
      <c r="F334" s="176">
        <v>-3.19</v>
      </c>
      <c r="G334" t="s">
        <v>5961</v>
      </c>
      <c r="H334">
        <v>194580</v>
      </c>
      <c r="I334">
        <v>100999</v>
      </c>
      <c r="J334" t="s">
        <v>1555</v>
      </c>
      <c r="K334">
        <v>23.29</v>
      </c>
      <c r="L334">
        <v>23.04</v>
      </c>
      <c r="M334" s="175" t="s">
        <v>1555</v>
      </c>
      <c r="N334" t="s">
        <v>1555</v>
      </c>
    </row>
    <row r="335" spans="1:14">
      <c r="A335" t="s">
        <v>2878</v>
      </c>
      <c r="B335" t="s">
        <v>2879</v>
      </c>
      <c r="C335">
        <v>10.14</v>
      </c>
      <c r="D335">
        <v>10.199999999999999</v>
      </c>
      <c r="E335" s="178">
        <v>0.05</v>
      </c>
      <c r="F335" s="176">
        <v>0.49</v>
      </c>
      <c r="G335" t="s">
        <v>5962</v>
      </c>
      <c r="H335">
        <v>9657</v>
      </c>
      <c r="I335">
        <v>7340</v>
      </c>
      <c r="J335" t="s">
        <v>1555</v>
      </c>
      <c r="K335">
        <v>10.210000000000001</v>
      </c>
      <c r="L335">
        <v>10.14</v>
      </c>
      <c r="M335" s="175" t="s">
        <v>1555</v>
      </c>
      <c r="N335" t="s">
        <v>1555</v>
      </c>
    </row>
    <row r="336" spans="1:14">
      <c r="A336" t="s">
        <v>3091</v>
      </c>
      <c r="B336" t="s">
        <v>3092</v>
      </c>
      <c r="C336">
        <v>9.68</v>
      </c>
      <c r="D336">
        <v>9.73</v>
      </c>
      <c r="E336" s="178">
        <v>0.1</v>
      </c>
      <c r="F336" s="176">
        <v>1.04</v>
      </c>
      <c r="G336" t="s">
        <v>5963</v>
      </c>
      <c r="H336">
        <v>4706</v>
      </c>
      <c r="I336">
        <v>1827</v>
      </c>
      <c r="J336" t="s">
        <v>1555</v>
      </c>
      <c r="K336">
        <v>9.74</v>
      </c>
      <c r="L336">
        <v>9.66</v>
      </c>
      <c r="M336" s="175" t="s">
        <v>1555</v>
      </c>
      <c r="N336" t="s">
        <v>1555</v>
      </c>
    </row>
    <row r="337" spans="1:14">
      <c r="A337" t="s">
        <v>2868</v>
      </c>
      <c r="B337" t="s">
        <v>2869</v>
      </c>
      <c r="C337">
        <v>14.34</v>
      </c>
      <c r="D337">
        <v>14.29</v>
      </c>
      <c r="E337" s="178">
        <v>-0.57999999999999996</v>
      </c>
      <c r="F337" s="176">
        <v>-3.9</v>
      </c>
      <c r="G337" t="s">
        <v>5964</v>
      </c>
      <c r="H337">
        <v>185</v>
      </c>
      <c r="I337">
        <v>336</v>
      </c>
      <c r="J337" t="s">
        <v>1555</v>
      </c>
      <c r="K337">
        <v>14.34</v>
      </c>
      <c r="L337">
        <v>14.22</v>
      </c>
      <c r="M337" s="175" t="s">
        <v>1555</v>
      </c>
      <c r="N337" t="s">
        <v>1555</v>
      </c>
    </row>
    <row r="338" spans="1:14">
      <c r="A338" t="s">
        <v>2936</v>
      </c>
      <c r="B338" t="s">
        <v>2937</v>
      </c>
      <c r="C338">
        <v>9.34</v>
      </c>
      <c r="D338">
        <v>9.39</v>
      </c>
      <c r="E338" s="178">
        <v>0.09</v>
      </c>
      <c r="F338" s="176">
        <v>0.97</v>
      </c>
      <c r="G338" t="s">
        <v>5965</v>
      </c>
      <c r="H338">
        <v>103</v>
      </c>
      <c r="I338">
        <v>33</v>
      </c>
      <c r="J338" t="s">
        <v>1555</v>
      </c>
      <c r="K338">
        <v>9.39</v>
      </c>
      <c r="L338">
        <v>9.34</v>
      </c>
      <c r="M338" s="175" t="s">
        <v>1555</v>
      </c>
      <c r="N338" t="s">
        <v>1555</v>
      </c>
    </row>
    <row r="339" spans="1:14">
      <c r="A339" t="s">
        <v>3110</v>
      </c>
      <c r="B339" t="s">
        <v>3111</v>
      </c>
      <c r="C339">
        <v>14.1</v>
      </c>
      <c r="D339">
        <v>14.17</v>
      </c>
      <c r="E339" s="178">
        <v>0.09</v>
      </c>
      <c r="F339" s="176">
        <v>0.64</v>
      </c>
      <c r="G339" t="s">
        <v>5966</v>
      </c>
      <c r="H339">
        <v>2342</v>
      </c>
      <c r="I339">
        <v>628</v>
      </c>
      <c r="J339" t="s">
        <v>1555</v>
      </c>
      <c r="K339">
        <v>14.18</v>
      </c>
      <c r="L339">
        <v>14</v>
      </c>
      <c r="M339" s="175" t="s">
        <v>1555</v>
      </c>
      <c r="N339" t="s">
        <v>1555</v>
      </c>
    </row>
    <row r="340" spans="1:14">
      <c r="A340" t="s">
        <v>2976</v>
      </c>
      <c r="B340" t="s">
        <v>2977</v>
      </c>
      <c r="C340">
        <v>16.5</v>
      </c>
      <c r="D340">
        <v>16.21</v>
      </c>
      <c r="E340" s="178">
        <v>-1.06</v>
      </c>
      <c r="F340" s="176">
        <v>-6.14</v>
      </c>
      <c r="G340" t="s">
        <v>5967</v>
      </c>
      <c r="H340">
        <v>3052</v>
      </c>
      <c r="I340">
        <v>1386</v>
      </c>
      <c r="J340" t="s">
        <v>1555</v>
      </c>
      <c r="K340">
        <v>16.62</v>
      </c>
      <c r="L340">
        <v>16.09</v>
      </c>
      <c r="M340" s="175" t="s">
        <v>1555</v>
      </c>
      <c r="N340" t="s">
        <v>1555</v>
      </c>
    </row>
    <row r="341" spans="1:14">
      <c r="A341" t="s">
        <v>3010</v>
      </c>
      <c r="B341" t="s">
        <v>3011</v>
      </c>
      <c r="C341">
        <v>15.6</v>
      </c>
      <c r="D341">
        <v>15.58</v>
      </c>
      <c r="E341" s="178">
        <v>0.03</v>
      </c>
      <c r="F341" s="176">
        <v>0.19</v>
      </c>
      <c r="G341" t="s">
        <v>5968</v>
      </c>
      <c r="H341">
        <v>1573</v>
      </c>
      <c r="I341">
        <v>400</v>
      </c>
      <c r="J341" t="s">
        <v>1555</v>
      </c>
      <c r="K341">
        <v>15.62</v>
      </c>
      <c r="L341">
        <v>15.52</v>
      </c>
      <c r="M341" s="175" t="s">
        <v>1555</v>
      </c>
      <c r="N341" t="s">
        <v>1555</v>
      </c>
    </row>
    <row r="342" spans="1:14">
      <c r="A342" t="s">
        <v>3245</v>
      </c>
      <c r="B342" t="s">
        <v>3246</v>
      </c>
      <c r="C342">
        <v>9.68</v>
      </c>
      <c r="D342">
        <v>9.81</v>
      </c>
      <c r="E342" s="178">
        <v>0.23</v>
      </c>
      <c r="F342" s="176">
        <v>2.4</v>
      </c>
      <c r="G342" t="s">
        <v>5969</v>
      </c>
      <c r="H342">
        <v>6532</v>
      </c>
      <c r="I342">
        <v>2629</v>
      </c>
      <c r="J342" t="s">
        <v>1555</v>
      </c>
      <c r="K342">
        <v>9.82</v>
      </c>
      <c r="L342">
        <v>9.68</v>
      </c>
      <c r="M342" s="175" t="s">
        <v>1555</v>
      </c>
      <c r="N342" t="s">
        <v>1555</v>
      </c>
    </row>
    <row r="343" spans="1:14">
      <c r="A343" t="s">
        <v>2934</v>
      </c>
      <c r="B343" t="s">
        <v>2935</v>
      </c>
      <c r="C343">
        <v>15.62</v>
      </c>
      <c r="D343">
        <v>15.38</v>
      </c>
      <c r="E343" s="178">
        <v>-1.22</v>
      </c>
      <c r="F343" s="176">
        <v>-7.35</v>
      </c>
      <c r="G343" t="s">
        <v>5970</v>
      </c>
      <c r="H343">
        <v>64506</v>
      </c>
      <c r="I343">
        <v>20329</v>
      </c>
      <c r="J343" t="s">
        <v>1555</v>
      </c>
      <c r="K343">
        <v>15.63</v>
      </c>
      <c r="L343">
        <v>15.3</v>
      </c>
      <c r="M343" s="175" t="s">
        <v>1555</v>
      </c>
      <c r="N343" t="s">
        <v>1555</v>
      </c>
    </row>
    <row r="344" spans="1:14">
      <c r="A344" t="s">
        <v>3083</v>
      </c>
      <c r="B344" t="s">
        <v>3084</v>
      </c>
      <c r="C344">
        <v>19.059999999999999</v>
      </c>
      <c r="D344">
        <v>19.05</v>
      </c>
      <c r="E344" s="178">
        <v>-0.09</v>
      </c>
      <c r="F344" s="176">
        <v>-0.47</v>
      </c>
      <c r="G344" t="s">
        <v>5971</v>
      </c>
      <c r="H344">
        <v>2074</v>
      </c>
      <c r="I344">
        <v>1249</v>
      </c>
      <c r="J344" t="s">
        <v>1555</v>
      </c>
      <c r="K344">
        <v>19.079999999999998</v>
      </c>
      <c r="L344">
        <v>19.04</v>
      </c>
      <c r="M344" s="175" t="s">
        <v>1555</v>
      </c>
      <c r="N344" t="s">
        <v>1555</v>
      </c>
    </row>
    <row r="345" spans="1:14">
      <c r="A345" t="s">
        <v>2929</v>
      </c>
      <c r="B345" t="s">
        <v>2930</v>
      </c>
      <c r="C345">
        <v>17.309999999999999</v>
      </c>
      <c r="D345">
        <v>17.260000000000002</v>
      </c>
      <c r="E345" s="178">
        <v>-0.77</v>
      </c>
      <c r="F345" s="176">
        <v>-4.2699999999999996</v>
      </c>
      <c r="G345" t="s">
        <v>5972</v>
      </c>
      <c r="H345">
        <v>2255</v>
      </c>
      <c r="I345">
        <v>655</v>
      </c>
      <c r="J345" t="s">
        <v>1555</v>
      </c>
      <c r="K345">
        <v>17.309999999999999</v>
      </c>
      <c r="L345">
        <v>17.190000000000001</v>
      </c>
      <c r="M345" s="175" t="s">
        <v>1555</v>
      </c>
      <c r="N345" t="s">
        <v>1555</v>
      </c>
    </row>
    <row r="346" spans="1:14">
      <c r="A346" t="s">
        <v>3093</v>
      </c>
      <c r="B346" t="s">
        <v>3094</v>
      </c>
      <c r="C346">
        <v>9.9499999999999993</v>
      </c>
      <c r="D346">
        <v>9.92</v>
      </c>
      <c r="E346" s="178">
        <v>-0.05</v>
      </c>
      <c r="F346" s="176">
        <v>-0.5</v>
      </c>
      <c r="G346" t="s">
        <v>5973</v>
      </c>
      <c r="H346">
        <v>7037</v>
      </c>
      <c r="I346">
        <v>5011</v>
      </c>
      <c r="J346" t="s">
        <v>1555</v>
      </c>
      <c r="K346">
        <v>9.9499999999999993</v>
      </c>
      <c r="L346">
        <v>9.91</v>
      </c>
      <c r="M346" s="175" t="s">
        <v>1555</v>
      </c>
      <c r="N346" t="s">
        <v>1555</v>
      </c>
    </row>
    <row r="347" spans="1:14">
      <c r="A347" t="s">
        <v>2961</v>
      </c>
      <c r="B347" t="s">
        <v>2962</v>
      </c>
      <c r="C347">
        <v>15.05</v>
      </c>
      <c r="D347">
        <v>14.95</v>
      </c>
      <c r="E347" s="178">
        <v>-1</v>
      </c>
      <c r="F347" s="176">
        <v>-6.27</v>
      </c>
      <c r="G347" t="s">
        <v>5974</v>
      </c>
      <c r="H347">
        <v>23511</v>
      </c>
      <c r="I347">
        <v>11794</v>
      </c>
      <c r="J347" t="s">
        <v>1555</v>
      </c>
      <c r="K347">
        <v>15.06</v>
      </c>
      <c r="L347">
        <v>14.86</v>
      </c>
      <c r="M347" s="175" t="s">
        <v>1555</v>
      </c>
      <c r="N347" t="s">
        <v>1555</v>
      </c>
    </row>
    <row r="348" spans="1:14">
      <c r="A348" t="s">
        <v>3205</v>
      </c>
      <c r="B348" t="s">
        <v>3206</v>
      </c>
      <c r="C348">
        <v>9.94</v>
      </c>
      <c r="D348">
        <v>9.92</v>
      </c>
      <c r="E348" s="178">
        <v>-0.02</v>
      </c>
      <c r="F348" s="176">
        <v>-0.2</v>
      </c>
      <c r="G348" t="s">
        <v>5975</v>
      </c>
      <c r="H348">
        <v>2171</v>
      </c>
      <c r="I348">
        <v>2400</v>
      </c>
      <c r="J348" t="s">
        <v>1555</v>
      </c>
      <c r="K348">
        <v>9.94</v>
      </c>
      <c r="L348">
        <v>9.91</v>
      </c>
      <c r="M348" s="175" t="s">
        <v>1555</v>
      </c>
      <c r="N348" t="s">
        <v>1555</v>
      </c>
    </row>
    <row r="349" spans="1:14">
      <c r="A349" t="s">
        <v>2963</v>
      </c>
      <c r="B349" t="s">
        <v>2964</v>
      </c>
      <c r="C349">
        <v>17.510000000000002</v>
      </c>
      <c r="D349">
        <v>17.170000000000002</v>
      </c>
      <c r="E349" s="178">
        <v>-1.1299999999999999</v>
      </c>
      <c r="F349" s="176">
        <v>-6.17</v>
      </c>
      <c r="G349" t="s">
        <v>5528</v>
      </c>
      <c r="H349">
        <v>145888</v>
      </c>
      <c r="I349">
        <v>61534</v>
      </c>
      <c r="J349" t="s">
        <v>1555</v>
      </c>
      <c r="K349">
        <v>17.510000000000002</v>
      </c>
      <c r="L349">
        <v>17.09</v>
      </c>
      <c r="M349" s="175" t="s">
        <v>1555</v>
      </c>
      <c r="N349" t="s">
        <v>1555</v>
      </c>
    </row>
    <row r="350" spans="1:14">
      <c r="A350" t="s">
        <v>3239</v>
      </c>
      <c r="B350" t="s">
        <v>3240</v>
      </c>
      <c r="C350">
        <v>14.64</v>
      </c>
      <c r="D350">
        <v>14.78</v>
      </c>
      <c r="E350" s="178">
        <v>0.25</v>
      </c>
      <c r="F350" s="176">
        <v>1.72</v>
      </c>
      <c r="G350" t="s">
        <v>5976</v>
      </c>
      <c r="H350">
        <v>1618</v>
      </c>
      <c r="I350">
        <v>625</v>
      </c>
      <c r="J350" t="s">
        <v>1555</v>
      </c>
      <c r="K350">
        <v>14.8</v>
      </c>
      <c r="L350">
        <v>14.64</v>
      </c>
      <c r="M350" s="175" t="s">
        <v>1555</v>
      </c>
      <c r="N350" t="s">
        <v>1555</v>
      </c>
    </row>
    <row r="351" spans="1:14">
      <c r="A351" t="s">
        <v>2978</v>
      </c>
      <c r="B351" t="s">
        <v>2979</v>
      </c>
      <c r="C351">
        <v>18.78</v>
      </c>
      <c r="D351">
        <v>18.28</v>
      </c>
      <c r="E351" s="178">
        <v>-1.24</v>
      </c>
      <c r="F351" s="176">
        <v>-6.35</v>
      </c>
      <c r="G351" t="s">
        <v>5478</v>
      </c>
      <c r="H351">
        <v>164304</v>
      </c>
      <c r="I351">
        <v>65983</v>
      </c>
      <c r="J351" t="s">
        <v>1555</v>
      </c>
      <c r="K351">
        <v>18.79</v>
      </c>
      <c r="L351">
        <v>18.28</v>
      </c>
      <c r="M351" s="175" t="s">
        <v>1555</v>
      </c>
      <c r="N351" t="s">
        <v>1555</v>
      </c>
    </row>
    <row r="352" spans="1:14">
      <c r="A352" t="s">
        <v>5389</v>
      </c>
      <c r="B352" t="s">
        <v>5390</v>
      </c>
      <c r="C352">
        <v>9.8000000000000007</v>
      </c>
      <c r="D352">
        <v>9.8000000000000007</v>
      </c>
      <c r="E352" s="178">
        <v>-0.05</v>
      </c>
      <c r="F352" s="176">
        <v>-0.51</v>
      </c>
      <c r="G352" t="s">
        <v>5464</v>
      </c>
      <c r="H352">
        <v>47</v>
      </c>
      <c r="I352">
        <v>0</v>
      </c>
      <c r="J352" t="s">
        <v>1555</v>
      </c>
      <c r="K352">
        <v>9.81</v>
      </c>
      <c r="L352">
        <v>9.8000000000000007</v>
      </c>
      <c r="M352" s="175" t="s">
        <v>1555</v>
      </c>
      <c r="N352" t="s">
        <v>1555</v>
      </c>
    </row>
    <row r="353" spans="1:14">
      <c r="A353" t="s">
        <v>3061</v>
      </c>
      <c r="B353" t="s">
        <v>3062</v>
      </c>
      <c r="C353">
        <v>13.48</v>
      </c>
      <c r="D353">
        <v>13.21</v>
      </c>
      <c r="E353" s="178">
        <v>-0.9</v>
      </c>
      <c r="F353" s="176">
        <v>-6.38</v>
      </c>
      <c r="G353" t="s">
        <v>5515</v>
      </c>
      <c r="H353">
        <v>9160</v>
      </c>
      <c r="I353">
        <v>3913</v>
      </c>
      <c r="J353" t="s">
        <v>1555</v>
      </c>
      <c r="K353">
        <v>13.52</v>
      </c>
      <c r="L353">
        <v>13.17</v>
      </c>
      <c r="M353" s="175" t="s">
        <v>1555</v>
      </c>
      <c r="N353" t="s">
        <v>1555</v>
      </c>
    </row>
    <row r="354" spans="1:14">
      <c r="A354" t="s">
        <v>2981</v>
      </c>
      <c r="B354" t="s">
        <v>2982</v>
      </c>
      <c r="C354">
        <v>16.64</v>
      </c>
      <c r="D354">
        <v>16.41</v>
      </c>
      <c r="E354" s="178">
        <v>-1.05</v>
      </c>
      <c r="F354" s="176">
        <v>-6.01</v>
      </c>
      <c r="G354" t="s">
        <v>5222</v>
      </c>
      <c r="H354">
        <v>7941</v>
      </c>
      <c r="I354">
        <v>5068</v>
      </c>
      <c r="J354" t="s">
        <v>1555</v>
      </c>
      <c r="K354">
        <v>16.75</v>
      </c>
      <c r="L354">
        <v>16.260000000000002</v>
      </c>
      <c r="M354" s="175" t="s">
        <v>1555</v>
      </c>
      <c r="N354" t="s">
        <v>1555</v>
      </c>
    </row>
    <row r="355" spans="1:14">
      <c r="A355" t="s">
        <v>3012</v>
      </c>
      <c r="B355" t="s">
        <v>3013</v>
      </c>
      <c r="C355">
        <v>17.3</v>
      </c>
      <c r="D355">
        <v>16.899999999999999</v>
      </c>
      <c r="E355" s="178">
        <v>-1.17</v>
      </c>
      <c r="F355" s="176">
        <v>-6.47</v>
      </c>
      <c r="G355" t="s">
        <v>5211</v>
      </c>
      <c r="H355">
        <v>9198</v>
      </c>
      <c r="I355">
        <v>3331</v>
      </c>
      <c r="J355" t="s">
        <v>1555</v>
      </c>
      <c r="K355">
        <v>17.3</v>
      </c>
      <c r="L355">
        <v>16.8</v>
      </c>
      <c r="M355" s="175" t="s">
        <v>1555</v>
      </c>
      <c r="N355" t="s">
        <v>1555</v>
      </c>
    </row>
    <row r="356" spans="1:14">
      <c r="A356" t="s">
        <v>3085</v>
      </c>
      <c r="B356" t="s">
        <v>3086</v>
      </c>
      <c r="C356">
        <v>14.46</v>
      </c>
      <c r="D356">
        <v>14.19</v>
      </c>
      <c r="E356" s="178">
        <v>-0.88</v>
      </c>
      <c r="F356" s="176">
        <v>-5.84</v>
      </c>
      <c r="G356" t="s">
        <v>5977</v>
      </c>
      <c r="H356">
        <v>45719</v>
      </c>
      <c r="I356">
        <v>18973</v>
      </c>
      <c r="J356" t="s">
        <v>1555</v>
      </c>
      <c r="K356">
        <v>14.51</v>
      </c>
      <c r="L356">
        <v>14.17</v>
      </c>
      <c r="M356" s="175" t="s">
        <v>1555</v>
      </c>
      <c r="N356" t="s">
        <v>1555</v>
      </c>
    </row>
    <row r="357" spans="1:14">
      <c r="A357" t="s">
        <v>3105</v>
      </c>
      <c r="B357" t="s">
        <v>3106</v>
      </c>
      <c r="C357">
        <v>10.87</v>
      </c>
      <c r="D357">
        <v>10.87</v>
      </c>
      <c r="E357" s="178">
        <v>-0.61</v>
      </c>
      <c r="F357" s="176">
        <v>-5.31</v>
      </c>
      <c r="G357" t="s">
        <v>5827</v>
      </c>
      <c r="H357">
        <v>11688</v>
      </c>
      <c r="I357">
        <v>7885</v>
      </c>
      <c r="J357" t="s">
        <v>1555</v>
      </c>
      <c r="K357">
        <v>10.92</v>
      </c>
      <c r="L357">
        <v>10.81</v>
      </c>
      <c r="M357" s="175" t="s">
        <v>1555</v>
      </c>
      <c r="N357" t="s">
        <v>1555</v>
      </c>
    </row>
    <row r="358" spans="1:14">
      <c r="A358" t="s">
        <v>3112</v>
      </c>
      <c r="B358" t="s">
        <v>3113</v>
      </c>
      <c r="C358">
        <v>16.05</v>
      </c>
      <c r="D358">
        <v>16.010000000000002</v>
      </c>
      <c r="E358" s="178">
        <v>-0.06</v>
      </c>
      <c r="F358" s="176">
        <v>-0.37</v>
      </c>
      <c r="G358" t="s">
        <v>5403</v>
      </c>
      <c r="H358">
        <v>9558</v>
      </c>
      <c r="I358">
        <v>23474</v>
      </c>
      <c r="J358" t="s">
        <v>1555</v>
      </c>
      <c r="K358">
        <v>16.05</v>
      </c>
      <c r="L358">
        <v>15.98</v>
      </c>
      <c r="M358" s="175" t="s">
        <v>1555</v>
      </c>
      <c r="N358" t="s">
        <v>1555</v>
      </c>
    </row>
    <row r="359" spans="1:14">
      <c r="A359" t="s">
        <v>3163</v>
      </c>
      <c r="B359" t="s">
        <v>3164</v>
      </c>
      <c r="C359">
        <v>10.97</v>
      </c>
      <c r="D359">
        <v>10.85</v>
      </c>
      <c r="E359" s="178">
        <v>-0.5</v>
      </c>
      <c r="F359" s="176">
        <v>-4.41</v>
      </c>
      <c r="G359" t="s">
        <v>5547</v>
      </c>
      <c r="H359">
        <v>20514</v>
      </c>
      <c r="I359">
        <v>7187</v>
      </c>
      <c r="J359" t="s">
        <v>1555</v>
      </c>
      <c r="K359">
        <v>11.01</v>
      </c>
      <c r="L359">
        <v>10.8</v>
      </c>
      <c r="M359" s="175" t="s">
        <v>1555</v>
      </c>
      <c r="N359" t="s">
        <v>1555</v>
      </c>
    </row>
    <row r="360" spans="1:14">
      <c r="A360">
        <v>20000</v>
      </c>
      <c r="B360" t="s">
        <v>1978</v>
      </c>
      <c r="C360" t="s">
        <v>1555</v>
      </c>
      <c r="D360" t="s">
        <v>1555</v>
      </c>
      <c r="E360" s="178" t="s">
        <v>1555</v>
      </c>
      <c r="F360" s="176" t="s">
        <v>1555</v>
      </c>
      <c r="G360" t="s">
        <v>1555</v>
      </c>
      <c r="H360">
        <v>0</v>
      </c>
      <c r="I360">
        <v>1</v>
      </c>
      <c r="J360" t="s">
        <v>1555</v>
      </c>
      <c r="K360" t="s">
        <v>1555</v>
      </c>
      <c r="L360" t="s">
        <v>1555</v>
      </c>
      <c r="M360" s="175" t="s">
        <v>1555</v>
      </c>
      <c r="N360" t="s">
        <v>1555</v>
      </c>
    </row>
    <row r="361" spans="1:14">
      <c r="A361">
        <v>20001</v>
      </c>
      <c r="B361" t="s">
        <v>1979</v>
      </c>
      <c r="C361" t="s">
        <v>1555</v>
      </c>
      <c r="D361" t="s">
        <v>1555</v>
      </c>
      <c r="E361" s="178" t="s">
        <v>1555</v>
      </c>
      <c r="F361" s="176" t="s">
        <v>1555</v>
      </c>
      <c r="G361" t="s">
        <v>1555</v>
      </c>
      <c r="H361">
        <v>0</v>
      </c>
      <c r="I361">
        <v>0</v>
      </c>
      <c r="J361" t="s">
        <v>1555</v>
      </c>
      <c r="K361" t="s">
        <v>1555</v>
      </c>
      <c r="L361" t="s">
        <v>1555</v>
      </c>
      <c r="M361" s="175" t="s">
        <v>1555</v>
      </c>
      <c r="N361" t="s">
        <v>1555</v>
      </c>
    </row>
    <row r="362" spans="1:14">
      <c r="A362">
        <v>20011</v>
      </c>
      <c r="B362" t="s">
        <v>1980</v>
      </c>
      <c r="C362" t="s">
        <v>1555</v>
      </c>
      <c r="D362" t="s">
        <v>1555</v>
      </c>
      <c r="E362" s="178" t="s">
        <v>1555</v>
      </c>
      <c r="F362" s="176" t="s">
        <v>1555</v>
      </c>
      <c r="G362" t="s">
        <v>1555</v>
      </c>
      <c r="H362">
        <v>0</v>
      </c>
      <c r="I362">
        <v>0</v>
      </c>
      <c r="J362" t="s">
        <v>1555</v>
      </c>
      <c r="K362" t="s">
        <v>1555</v>
      </c>
      <c r="L362" t="s">
        <v>1555</v>
      </c>
      <c r="M362" s="175" t="s">
        <v>1555</v>
      </c>
      <c r="N362" t="s">
        <v>1555</v>
      </c>
    </row>
    <row r="363" spans="1:14">
      <c r="A363">
        <v>20012</v>
      </c>
      <c r="B363" t="s">
        <v>1981</v>
      </c>
      <c r="C363" t="s">
        <v>1555</v>
      </c>
      <c r="D363" t="s">
        <v>1555</v>
      </c>
      <c r="E363" s="178" t="s">
        <v>1555</v>
      </c>
      <c r="F363" s="176" t="s">
        <v>1555</v>
      </c>
      <c r="G363" t="s">
        <v>1555</v>
      </c>
      <c r="H363">
        <v>0</v>
      </c>
      <c r="I363">
        <v>0</v>
      </c>
      <c r="J363" t="s">
        <v>1555</v>
      </c>
      <c r="K363" t="s">
        <v>1555</v>
      </c>
      <c r="L363" t="s">
        <v>1555</v>
      </c>
      <c r="M363" s="175" t="s">
        <v>1555</v>
      </c>
      <c r="N363" t="s">
        <v>1555</v>
      </c>
    </row>
    <row r="364" spans="1:14">
      <c r="A364" t="s">
        <v>1982</v>
      </c>
      <c r="B364" t="s">
        <v>1983</v>
      </c>
      <c r="C364">
        <v>154</v>
      </c>
      <c r="D364">
        <v>138.65</v>
      </c>
      <c r="E364" s="178">
        <v>-21.05</v>
      </c>
      <c r="F364" s="176">
        <v>-13.18</v>
      </c>
      <c r="G364" t="s">
        <v>5978</v>
      </c>
      <c r="H364">
        <v>444</v>
      </c>
      <c r="I364">
        <v>93</v>
      </c>
      <c r="J364" t="s">
        <v>1555</v>
      </c>
      <c r="K364">
        <v>154</v>
      </c>
      <c r="L364">
        <v>136.65</v>
      </c>
      <c r="M364" s="175" t="s">
        <v>1555</v>
      </c>
      <c r="N364" t="s">
        <v>1555</v>
      </c>
    </row>
    <row r="365" spans="1:14">
      <c r="A365">
        <v>20020</v>
      </c>
      <c r="B365" t="s">
        <v>1984</v>
      </c>
      <c r="C365">
        <v>28.13</v>
      </c>
      <c r="D365">
        <v>27.84</v>
      </c>
      <c r="E365" s="178">
        <v>-1.56</v>
      </c>
      <c r="F365" s="176">
        <v>-5.31</v>
      </c>
      <c r="G365" t="s">
        <v>5979</v>
      </c>
      <c r="H365">
        <v>14</v>
      </c>
      <c r="I365">
        <v>17</v>
      </c>
      <c r="J365" t="s">
        <v>1555</v>
      </c>
      <c r="K365">
        <v>28.21</v>
      </c>
      <c r="L365">
        <v>27.84</v>
      </c>
      <c r="M365" s="175" t="s">
        <v>1555</v>
      </c>
      <c r="N365" t="s">
        <v>1555</v>
      </c>
    </row>
    <row r="366" spans="1:14">
      <c r="A366">
        <v>20025</v>
      </c>
      <c r="B366" t="s">
        <v>1985</v>
      </c>
      <c r="C366">
        <v>34.840000000000003</v>
      </c>
      <c r="D366">
        <v>34.85</v>
      </c>
      <c r="E366" s="178">
        <v>-3.02</v>
      </c>
      <c r="F366" s="176">
        <v>-7.97</v>
      </c>
      <c r="G366" t="s">
        <v>5620</v>
      </c>
      <c r="H366">
        <v>41</v>
      </c>
      <c r="I366">
        <v>9</v>
      </c>
      <c r="J366" t="s">
        <v>1555</v>
      </c>
      <c r="K366">
        <v>35.270000000000003</v>
      </c>
      <c r="L366">
        <v>34.65</v>
      </c>
      <c r="M366" s="175" t="s">
        <v>1555</v>
      </c>
      <c r="N366" t="s">
        <v>1555</v>
      </c>
    </row>
    <row r="367" spans="1:14">
      <c r="A367">
        <v>20028</v>
      </c>
      <c r="B367" t="s">
        <v>1986</v>
      </c>
      <c r="C367">
        <v>19.95</v>
      </c>
      <c r="D367">
        <v>19.96</v>
      </c>
      <c r="E367" s="178">
        <v>-1.26</v>
      </c>
      <c r="F367" s="176">
        <v>-5.94</v>
      </c>
      <c r="G367" t="s">
        <v>5980</v>
      </c>
      <c r="H367">
        <v>6</v>
      </c>
      <c r="I367">
        <v>4</v>
      </c>
      <c r="J367" t="s">
        <v>1555</v>
      </c>
      <c r="K367">
        <v>19.96</v>
      </c>
      <c r="L367">
        <v>19.95</v>
      </c>
      <c r="M367" s="175" t="s">
        <v>1555</v>
      </c>
      <c r="N367" t="s">
        <v>1555</v>
      </c>
    </row>
    <row r="368" spans="1:14">
      <c r="A368">
        <v>20029</v>
      </c>
      <c r="B368" t="s">
        <v>1987</v>
      </c>
      <c r="C368" t="s">
        <v>1555</v>
      </c>
      <c r="D368" t="s">
        <v>1555</v>
      </c>
      <c r="E368" s="178" t="s">
        <v>1555</v>
      </c>
      <c r="F368" s="176" t="s">
        <v>1555</v>
      </c>
      <c r="G368" t="s">
        <v>1555</v>
      </c>
      <c r="H368">
        <v>0</v>
      </c>
      <c r="I368">
        <v>5</v>
      </c>
      <c r="J368" t="s">
        <v>1555</v>
      </c>
      <c r="K368" t="s">
        <v>1555</v>
      </c>
      <c r="L368" t="s">
        <v>1555</v>
      </c>
      <c r="M368" s="175" t="s">
        <v>1555</v>
      </c>
      <c r="N368" t="s">
        <v>1555</v>
      </c>
    </row>
    <row r="369" spans="1:14">
      <c r="A369">
        <v>20030</v>
      </c>
      <c r="B369" t="s">
        <v>1988</v>
      </c>
      <c r="C369" t="s">
        <v>1555</v>
      </c>
      <c r="D369" t="s">
        <v>1555</v>
      </c>
      <c r="E369" s="178" t="s">
        <v>1555</v>
      </c>
      <c r="F369" s="176" t="s">
        <v>1555</v>
      </c>
      <c r="G369" t="s">
        <v>1555</v>
      </c>
      <c r="H369">
        <v>0</v>
      </c>
      <c r="I369">
        <v>4</v>
      </c>
      <c r="J369" t="s">
        <v>1555</v>
      </c>
      <c r="K369" t="s">
        <v>1555</v>
      </c>
      <c r="L369" t="s">
        <v>1555</v>
      </c>
      <c r="M369" s="175" t="s">
        <v>1555</v>
      </c>
      <c r="N369" t="s">
        <v>1555</v>
      </c>
    </row>
    <row r="370" spans="1:14">
      <c r="A370">
        <v>20031</v>
      </c>
      <c r="B370" t="s">
        <v>1989</v>
      </c>
      <c r="C370">
        <v>11.01</v>
      </c>
      <c r="D370">
        <v>10.77</v>
      </c>
      <c r="E370" s="178">
        <v>-0.76</v>
      </c>
      <c r="F370" s="176">
        <v>-6.59</v>
      </c>
      <c r="G370" t="s">
        <v>5981</v>
      </c>
      <c r="H370">
        <v>6</v>
      </c>
      <c r="I370">
        <v>10</v>
      </c>
      <c r="J370" t="s">
        <v>1555</v>
      </c>
      <c r="K370">
        <v>11.01</v>
      </c>
      <c r="L370">
        <v>10.77</v>
      </c>
      <c r="M370" s="175" t="s">
        <v>1555</v>
      </c>
      <c r="N370" t="s">
        <v>1555</v>
      </c>
    </row>
    <row r="371" spans="1:14">
      <c r="A371">
        <v>20032</v>
      </c>
      <c r="B371" t="s">
        <v>1990</v>
      </c>
      <c r="C371" t="s">
        <v>1555</v>
      </c>
      <c r="D371" t="s">
        <v>1555</v>
      </c>
      <c r="E371" s="178" t="s">
        <v>1555</v>
      </c>
      <c r="F371" s="176" t="s">
        <v>1555</v>
      </c>
      <c r="G371" t="s">
        <v>1555</v>
      </c>
      <c r="H371">
        <v>0</v>
      </c>
      <c r="I371">
        <v>6</v>
      </c>
      <c r="J371" t="s">
        <v>1555</v>
      </c>
      <c r="K371" t="s">
        <v>1555</v>
      </c>
      <c r="L371" t="s">
        <v>1555</v>
      </c>
      <c r="M371" s="175" t="s">
        <v>1555</v>
      </c>
      <c r="N371" t="s">
        <v>1555</v>
      </c>
    </row>
    <row r="372" spans="1:14">
      <c r="A372">
        <v>20033</v>
      </c>
      <c r="B372" t="s">
        <v>1991</v>
      </c>
      <c r="C372">
        <v>3.27</v>
      </c>
      <c r="D372">
        <v>3.23</v>
      </c>
      <c r="E372" s="178">
        <v>-0.09</v>
      </c>
      <c r="F372" s="176">
        <v>-2.71</v>
      </c>
      <c r="G372" t="s">
        <v>5833</v>
      </c>
      <c r="H372">
        <v>131</v>
      </c>
      <c r="I372">
        <v>108</v>
      </c>
      <c r="J372" t="s">
        <v>1555</v>
      </c>
      <c r="K372">
        <v>3.27</v>
      </c>
      <c r="L372">
        <v>3.23</v>
      </c>
      <c r="M372" s="175" t="s">
        <v>1555</v>
      </c>
      <c r="N372" t="s">
        <v>1555</v>
      </c>
    </row>
    <row r="373" spans="1:14">
      <c r="A373">
        <v>20034</v>
      </c>
      <c r="B373" t="s">
        <v>1992</v>
      </c>
      <c r="C373">
        <v>15.66</v>
      </c>
      <c r="D373">
        <v>15.48</v>
      </c>
      <c r="E373" s="178">
        <v>-0.96</v>
      </c>
      <c r="F373" s="176">
        <v>-5.84</v>
      </c>
      <c r="G373" t="s">
        <v>5982</v>
      </c>
      <c r="H373">
        <v>55</v>
      </c>
      <c r="I373">
        <v>24</v>
      </c>
      <c r="J373" t="s">
        <v>1555</v>
      </c>
      <c r="K373">
        <v>15.68</v>
      </c>
      <c r="L373">
        <v>15.32</v>
      </c>
      <c r="M373" s="175" t="s">
        <v>1555</v>
      </c>
      <c r="N373" t="s">
        <v>1555</v>
      </c>
    </row>
    <row r="374" spans="1:14">
      <c r="A374">
        <v>20035</v>
      </c>
      <c r="B374" t="s">
        <v>1993</v>
      </c>
      <c r="C374" t="s">
        <v>1555</v>
      </c>
      <c r="D374" t="s">
        <v>1555</v>
      </c>
      <c r="E374" s="178" t="s">
        <v>1555</v>
      </c>
      <c r="F374" s="176" t="s">
        <v>1555</v>
      </c>
      <c r="G374" t="s">
        <v>1555</v>
      </c>
      <c r="H374">
        <v>0</v>
      </c>
      <c r="I374">
        <v>0</v>
      </c>
      <c r="J374" t="s">
        <v>1555</v>
      </c>
      <c r="K374" t="s">
        <v>1555</v>
      </c>
      <c r="L374" t="s">
        <v>1555</v>
      </c>
      <c r="M374" s="175" t="s">
        <v>1555</v>
      </c>
      <c r="N374" t="s">
        <v>1555</v>
      </c>
    </row>
    <row r="375" spans="1:14">
      <c r="A375">
        <v>20036</v>
      </c>
      <c r="B375" t="s">
        <v>2020</v>
      </c>
      <c r="C375">
        <v>12</v>
      </c>
      <c r="D375">
        <v>12.1</v>
      </c>
      <c r="E375" s="178">
        <v>0.1</v>
      </c>
      <c r="F375" s="176">
        <v>0.83</v>
      </c>
      <c r="G375" t="s">
        <v>5983</v>
      </c>
      <c r="H375">
        <v>2</v>
      </c>
      <c r="I375">
        <v>1</v>
      </c>
      <c r="J375" t="s">
        <v>1555</v>
      </c>
      <c r="K375">
        <v>12.1</v>
      </c>
      <c r="L375">
        <v>12</v>
      </c>
      <c r="M375" s="175" t="s">
        <v>1555</v>
      </c>
      <c r="N375" t="s">
        <v>1555</v>
      </c>
    </row>
    <row r="376" spans="1:14">
      <c r="A376">
        <v>20037</v>
      </c>
      <c r="B376" t="s">
        <v>2021</v>
      </c>
      <c r="C376">
        <v>13.47</v>
      </c>
      <c r="D376">
        <v>13.53</v>
      </c>
      <c r="E376" s="178">
        <v>0.28999999999999998</v>
      </c>
      <c r="F376" s="176">
        <v>2.19</v>
      </c>
      <c r="G376" t="s">
        <v>5984</v>
      </c>
      <c r="H376">
        <v>31</v>
      </c>
      <c r="I376">
        <v>29</v>
      </c>
      <c r="J376" t="s">
        <v>1555</v>
      </c>
      <c r="K376">
        <v>13.53</v>
      </c>
      <c r="L376">
        <v>13.39</v>
      </c>
      <c r="M376" s="175" t="s">
        <v>1555</v>
      </c>
      <c r="N376" t="s">
        <v>1555</v>
      </c>
    </row>
    <row r="377" spans="1:14">
      <c r="A377">
        <v>20038</v>
      </c>
      <c r="B377" t="s">
        <v>2022</v>
      </c>
      <c r="C377">
        <v>15.76</v>
      </c>
      <c r="D377">
        <v>15.76</v>
      </c>
      <c r="E377" s="178">
        <v>-0.24</v>
      </c>
      <c r="F377" s="176">
        <v>-1.5</v>
      </c>
      <c r="G377" t="s">
        <v>5985</v>
      </c>
      <c r="H377">
        <v>20</v>
      </c>
      <c r="I377">
        <v>4</v>
      </c>
      <c r="J377" t="s">
        <v>1555</v>
      </c>
      <c r="K377">
        <v>15.76</v>
      </c>
      <c r="L377">
        <v>15.76</v>
      </c>
      <c r="M377" s="175" t="s">
        <v>1555</v>
      </c>
      <c r="N377" t="s">
        <v>1555</v>
      </c>
    </row>
    <row r="378" spans="1:14">
      <c r="A378">
        <v>20040</v>
      </c>
      <c r="B378" t="s">
        <v>2322</v>
      </c>
      <c r="C378" t="s">
        <v>1555</v>
      </c>
      <c r="D378" t="s">
        <v>1555</v>
      </c>
      <c r="E378" s="178" t="s">
        <v>1555</v>
      </c>
      <c r="F378" s="176" t="s">
        <v>1555</v>
      </c>
      <c r="G378" t="s">
        <v>1555</v>
      </c>
      <c r="H378">
        <v>0</v>
      </c>
      <c r="I378">
        <v>0</v>
      </c>
      <c r="J378" t="s">
        <v>1555</v>
      </c>
      <c r="K378" t="s">
        <v>1555</v>
      </c>
      <c r="L378" t="s">
        <v>1555</v>
      </c>
      <c r="M378" s="175" t="s">
        <v>1555</v>
      </c>
      <c r="N378" t="s">
        <v>1555</v>
      </c>
    </row>
    <row r="379" spans="1:14">
      <c r="A379">
        <v>20041</v>
      </c>
      <c r="B379" t="s">
        <v>2324</v>
      </c>
      <c r="C379">
        <v>20.23</v>
      </c>
      <c r="D379">
        <v>19.57</v>
      </c>
      <c r="E379" s="178">
        <v>-1.79</v>
      </c>
      <c r="F379" s="176">
        <v>-8.3800000000000008</v>
      </c>
      <c r="G379" t="s">
        <v>5164</v>
      </c>
      <c r="H379">
        <v>81</v>
      </c>
      <c r="I379">
        <v>57</v>
      </c>
      <c r="J379" t="s">
        <v>1555</v>
      </c>
      <c r="K379">
        <v>20.23</v>
      </c>
      <c r="L379">
        <v>19.46</v>
      </c>
      <c r="M379" s="175" t="s">
        <v>1555</v>
      </c>
      <c r="N379" t="s">
        <v>1555</v>
      </c>
    </row>
    <row r="380" spans="1:14">
      <c r="A380">
        <v>1101</v>
      </c>
      <c r="B380" t="s">
        <v>432</v>
      </c>
      <c r="C380">
        <v>26.95</v>
      </c>
      <c r="D380">
        <v>26.8</v>
      </c>
      <c r="E380" s="178">
        <v>-0.25</v>
      </c>
      <c r="F380" s="176">
        <v>-0.92</v>
      </c>
      <c r="G380" t="s">
        <v>5618</v>
      </c>
      <c r="H380">
        <v>41993</v>
      </c>
      <c r="I380">
        <v>64503</v>
      </c>
      <c r="J380">
        <v>752.32</v>
      </c>
      <c r="K380">
        <v>27.05</v>
      </c>
      <c r="L380">
        <v>26.6</v>
      </c>
      <c r="M380" s="175">
        <v>0.56000000000000005</v>
      </c>
      <c r="N380" t="s">
        <v>3267</v>
      </c>
    </row>
    <row r="381" spans="1:14">
      <c r="A381">
        <v>1102</v>
      </c>
      <c r="B381" t="s">
        <v>433</v>
      </c>
      <c r="C381">
        <v>37.4</v>
      </c>
      <c r="D381">
        <v>37.85</v>
      </c>
      <c r="E381" s="178">
        <v>0.55000000000000004</v>
      </c>
      <c r="F381" s="176">
        <v>1.47</v>
      </c>
      <c r="G381" t="s">
        <v>5986</v>
      </c>
      <c r="H381">
        <v>13374</v>
      </c>
      <c r="I381">
        <v>7483</v>
      </c>
      <c r="J381">
        <v>354.66</v>
      </c>
      <c r="K381">
        <v>38</v>
      </c>
      <c r="L381">
        <v>37.200000000000003</v>
      </c>
      <c r="M381" s="175">
        <v>0.38</v>
      </c>
      <c r="N381" t="s">
        <v>3268</v>
      </c>
    </row>
    <row r="382" spans="1:14">
      <c r="A382">
        <v>1103</v>
      </c>
      <c r="B382" t="s">
        <v>434</v>
      </c>
      <c r="C382">
        <v>13.25</v>
      </c>
      <c r="D382">
        <v>13.25</v>
      </c>
      <c r="E382" s="178">
        <v>-0.05</v>
      </c>
      <c r="F382" s="176">
        <v>-0.38</v>
      </c>
      <c r="G382" t="s">
        <v>5987</v>
      </c>
      <c r="H382">
        <v>377</v>
      </c>
      <c r="I382">
        <v>404</v>
      </c>
      <c r="J382">
        <v>83.29</v>
      </c>
      <c r="K382">
        <v>13.35</v>
      </c>
      <c r="L382">
        <v>13.2</v>
      </c>
      <c r="M382" s="175">
        <v>0.05</v>
      </c>
      <c r="N382" t="s">
        <v>3269</v>
      </c>
    </row>
    <row r="383" spans="1:14">
      <c r="A383">
        <v>1104</v>
      </c>
      <c r="B383" t="s">
        <v>435</v>
      </c>
      <c r="C383">
        <v>26.95</v>
      </c>
      <c r="D383">
        <v>26.9</v>
      </c>
      <c r="E383" s="178">
        <v>-0.2</v>
      </c>
      <c r="F383" s="176">
        <v>-0.74</v>
      </c>
      <c r="G383" t="s">
        <v>5988</v>
      </c>
      <c r="H383">
        <v>666</v>
      </c>
      <c r="I383">
        <v>430</v>
      </c>
      <c r="J383">
        <v>68.67</v>
      </c>
      <c r="K383">
        <v>27.15</v>
      </c>
      <c r="L383">
        <v>26.9</v>
      </c>
      <c r="M383" s="175">
        <v>0.1</v>
      </c>
      <c r="N383" t="s">
        <v>3270</v>
      </c>
    </row>
    <row r="384" spans="1:14">
      <c r="A384">
        <v>1108</v>
      </c>
      <c r="B384" t="s">
        <v>436</v>
      </c>
      <c r="C384">
        <v>11.15</v>
      </c>
      <c r="D384">
        <v>11.05</v>
      </c>
      <c r="E384" s="178">
        <v>-0.1</v>
      </c>
      <c r="F384" s="176">
        <v>-0.9</v>
      </c>
      <c r="G384" t="s">
        <v>5696</v>
      </c>
      <c r="H384">
        <v>242</v>
      </c>
      <c r="I384">
        <v>162</v>
      </c>
      <c r="J384">
        <v>40.47</v>
      </c>
      <c r="K384">
        <v>11.15</v>
      </c>
      <c r="L384">
        <v>11</v>
      </c>
      <c r="M384" s="175">
        <v>0.06</v>
      </c>
      <c r="N384" t="s">
        <v>3271</v>
      </c>
    </row>
    <row r="385" spans="1:14">
      <c r="A385">
        <v>1109</v>
      </c>
      <c r="B385" t="s">
        <v>437</v>
      </c>
      <c r="C385">
        <v>13.15</v>
      </c>
      <c r="D385">
        <v>13.1</v>
      </c>
      <c r="E385" s="178">
        <v>-0.05</v>
      </c>
      <c r="F385" s="176">
        <v>-0.38</v>
      </c>
      <c r="G385" t="s">
        <v>5989</v>
      </c>
      <c r="H385">
        <v>75</v>
      </c>
      <c r="I385">
        <v>88</v>
      </c>
      <c r="J385">
        <v>34.119999999999997</v>
      </c>
      <c r="K385">
        <v>13.2</v>
      </c>
      <c r="L385">
        <v>13.1</v>
      </c>
      <c r="M385" s="175">
        <v>0.02</v>
      </c>
      <c r="N385" t="s">
        <v>3272</v>
      </c>
    </row>
    <row r="386" spans="1:14">
      <c r="A386">
        <v>1110</v>
      </c>
      <c r="B386" t="s">
        <v>438</v>
      </c>
      <c r="C386">
        <v>14.35</v>
      </c>
      <c r="D386">
        <v>14.45</v>
      </c>
      <c r="E386" s="178">
        <v>0.1</v>
      </c>
      <c r="F386" s="176">
        <v>0.7</v>
      </c>
      <c r="G386" t="s">
        <v>5294</v>
      </c>
      <c r="H386">
        <v>149</v>
      </c>
      <c r="I386">
        <v>154</v>
      </c>
      <c r="J386">
        <v>57.2</v>
      </c>
      <c r="K386">
        <v>14.55</v>
      </c>
      <c r="L386">
        <v>14.25</v>
      </c>
      <c r="M386" s="175">
        <v>0.03</v>
      </c>
      <c r="N386" t="s">
        <v>3273</v>
      </c>
    </row>
    <row r="387" spans="1:14">
      <c r="A387">
        <v>1201</v>
      </c>
      <c r="B387" t="s">
        <v>439</v>
      </c>
      <c r="C387">
        <v>11.5</v>
      </c>
      <c r="D387">
        <v>11.5</v>
      </c>
      <c r="E387" s="178">
        <v>0.05</v>
      </c>
      <c r="F387" s="176">
        <v>0.44</v>
      </c>
      <c r="G387" t="s">
        <v>5990</v>
      </c>
      <c r="H387">
        <v>933</v>
      </c>
      <c r="I387">
        <v>680</v>
      </c>
      <c r="J387">
        <v>50.61</v>
      </c>
      <c r="K387">
        <v>11.55</v>
      </c>
      <c r="L387">
        <v>11.45</v>
      </c>
      <c r="M387" s="175">
        <v>0.18</v>
      </c>
      <c r="N387" t="s">
        <v>3274</v>
      </c>
    </row>
    <row r="388" spans="1:14">
      <c r="A388">
        <v>1203</v>
      </c>
      <c r="B388" t="s">
        <v>440</v>
      </c>
      <c r="C388">
        <v>43.45</v>
      </c>
      <c r="D388">
        <v>43.3</v>
      </c>
      <c r="E388" s="178">
        <v>0.4</v>
      </c>
      <c r="F388" s="176">
        <v>0.93</v>
      </c>
      <c r="G388" t="s">
        <v>5175</v>
      </c>
      <c r="H388">
        <v>32</v>
      </c>
      <c r="I388">
        <v>14</v>
      </c>
      <c r="J388">
        <v>24</v>
      </c>
      <c r="K388">
        <v>43.8</v>
      </c>
      <c r="L388">
        <v>42.8</v>
      </c>
      <c r="M388" s="175">
        <v>0.01</v>
      </c>
      <c r="N388" t="s">
        <v>3275</v>
      </c>
    </row>
    <row r="389" spans="1:14">
      <c r="A389">
        <v>1210</v>
      </c>
      <c r="B389" t="s">
        <v>441</v>
      </c>
      <c r="C389">
        <v>51.4</v>
      </c>
      <c r="D389">
        <v>51.8</v>
      </c>
      <c r="E389" s="178">
        <v>0.5</v>
      </c>
      <c r="F389" s="176">
        <v>0.97</v>
      </c>
      <c r="G389" t="s">
        <v>5330</v>
      </c>
      <c r="H389">
        <v>2109</v>
      </c>
      <c r="I389">
        <v>1316</v>
      </c>
      <c r="J389">
        <v>89.48</v>
      </c>
      <c r="K389">
        <v>51.8</v>
      </c>
      <c r="L389">
        <v>51.3</v>
      </c>
      <c r="M389" s="175">
        <v>0.24</v>
      </c>
      <c r="N389" t="s">
        <v>3276</v>
      </c>
    </row>
    <row r="390" spans="1:14">
      <c r="A390">
        <v>1213</v>
      </c>
      <c r="B390" t="s">
        <v>442</v>
      </c>
      <c r="C390">
        <v>7.18</v>
      </c>
      <c r="D390">
        <v>7.17</v>
      </c>
      <c r="E390" s="178">
        <v>0</v>
      </c>
      <c r="F390" s="176">
        <v>0</v>
      </c>
      <c r="G390" t="s">
        <v>5991</v>
      </c>
      <c r="H390">
        <v>3</v>
      </c>
      <c r="I390">
        <v>5</v>
      </c>
      <c r="J390">
        <v>5.66</v>
      </c>
      <c r="K390">
        <v>7.18</v>
      </c>
      <c r="L390">
        <v>7.17</v>
      </c>
      <c r="M390" s="175">
        <v>0.01</v>
      </c>
      <c r="N390" t="s">
        <v>3277</v>
      </c>
    </row>
    <row r="391" spans="1:14">
      <c r="A391">
        <v>1215</v>
      </c>
      <c r="B391" t="s">
        <v>443</v>
      </c>
      <c r="C391">
        <v>107.5</v>
      </c>
      <c r="D391">
        <v>106.5</v>
      </c>
      <c r="E391" s="178">
        <v>-1</v>
      </c>
      <c r="F391" s="176">
        <v>-0.93</v>
      </c>
      <c r="G391" t="s">
        <v>5154</v>
      </c>
      <c r="H391">
        <v>945</v>
      </c>
      <c r="I391">
        <v>483</v>
      </c>
      <c r="J391">
        <v>29.48</v>
      </c>
      <c r="K391">
        <v>108</v>
      </c>
      <c r="L391">
        <v>105.5</v>
      </c>
      <c r="M391" s="175">
        <v>0.32</v>
      </c>
      <c r="N391" t="s">
        <v>3278</v>
      </c>
    </row>
    <row r="392" spans="1:14">
      <c r="A392">
        <v>1216</v>
      </c>
      <c r="B392" t="s">
        <v>444</v>
      </c>
      <c r="C392">
        <v>78.400000000000006</v>
      </c>
      <c r="D392">
        <v>79.5</v>
      </c>
      <c r="E392" s="178">
        <v>1.3</v>
      </c>
      <c r="F392" s="176">
        <v>1.66</v>
      </c>
      <c r="G392" t="s">
        <v>5992</v>
      </c>
      <c r="H392">
        <v>38261</v>
      </c>
      <c r="I392">
        <v>13686</v>
      </c>
      <c r="J392">
        <v>568.20000000000005</v>
      </c>
      <c r="K392">
        <v>80.099999999999994</v>
      </c>
      <c r="L392">
        <v>78.2</v>
      </c>
      <c r="M392" s="175">
        <v>0.67</v>
      </c>
      <c r="N392" t="s">
        <v>3279</v>
      </c>
    </row>
    <row r="393" spans="1:14">
      <c r="A393">
        <v>1217</v>
      </c>
      <c r="B393" t="s">
        <v>445</v>
      </c>
      <c r="C393">
        <v>9.9700000000000006</v>
      </c>
      <c r="D393">
        <v>9.92</v>
      </c>
      <c r="E393" s="178">
        <v>-0.03</v>
      </c>
      <c r="F393" s="176">
        <v>-0.3</v>
      </c>
      <c r="G393" t="s">
        <v>5631</v>
      </c>
      <c r="H393">
        <v>321</v>
      </c>
      <c r="I393">
        <v>311</v>
      </c>
      <c r="J393">
        <v>49.45</v>
      </c>
      <c r="K393">
        <v>9.9700000000000006</v>
      </c>
      <c r="L393">
        <v>9.89</v>
      </c>
      <c r="M393" s="175">
        <v>0.06</v>
      </c>
      <c r="N393" t="s">
        <v>3280</v>
      </c>
    </row>
    <row r="394" spans="1:14">
      <c r="A394">
        <v>1218</v>
      </c>
      <c r="B394" t="s">
        <v>446</v>
      </c>
      <c r="C394">
        <v>14.7</v>
      </c>
      <c r="D394">
        <v>14.55</v>
      </c>
      <c r="E394" s="178">
        <v>-0.15</v>
      </c>
      <c r="F394" s="176">
        <v>-1.02</v>
      </c>
      <c r="G394" t="s">
        <v>5993</v>
      </c>
      <c r="H394">
        <v>670</v>
      </c>
      <c r="I394">
        <v>669</v>
      </c>
      <c r="J394">
        <v>50</v>
      </c>
      <c r="K394">
        <v>14.7</v>
      </c>
      <c r="L394">
        <v>14.45</v>
      </c>
      <c r="M394" s="175">
        <v>0.13</v>
      </c>
      <c r="N394" t="s">
        <v>3281</v>
      </c>
    </row>
    <row r="395" spans="1:14">
      <c r="A395">
        <v>1219</v>
      </c>
      <c r="B395" t="s">
        <v>447</v>
      </c>
      <c r="C395">
        <v>11.1</v>
      </c>
      <c r="D395">
        <v>11.05</v>
      </c>
      <c r="E395" s="178">
        <v>-0.05</v>
      </c>
      <c r="F395" s="176">
        <v>-0.45</v>
      </c>
      <c r="G395" t="s">
        <v>5615</v>
      </c>
      <c r="H395">
        <v>213</v>
      </c>
      <c r="I395">
        <v>185</v>
      </c>
      <c r="J395">
        <v>34.119999999999997</v>
      </c>
      <c r="K395">
        <v>11.2</v>
      </c>
      <c r="L395">
        <v>11</v>
      </c>
      <c r="M395" s="175">
        <v>0.06</v>
      </c>
      <c r="N395" t="s">
        <v>3282</v>
      </c>
    </row>
    <row r="396" spans="1:14">
      <c r="A396">
        <v>1220</v>
      </c>
      <c r="B396" t="s">
        <v>448</v>
      </c>
      <c r="C396">
        <v>10.85</v>
      </c>
      <c r="D396">
        <v>10.9</v>
      </c>
      <c r="E396" s="178">
        <v>0.05</v>
      </c>
      <c r="F396" s="176">
        <v>0.46</v>
      </c>
      <c r="G396" t="s">
        <v>5994</v>
      </c>
      <c r="H396">
        <v>43</v>
      </c>
      <c r="I396">
        <v>70</v>
      </c>
      <c r="J396">
        <v>17.71</v>
      </c>
      <c r="K396">
        <v>10.95</v>
      </c>
      <c r="L396">
        <v>10.85</v>
      </c>
      <c r="M396" s="175">
        <v>0.02</v>
      </c>
      <c r="N396" t="s">
        <v>3283</v>
      </c>
    </row>
    <row r="397" spans="1:14">
      <c r="A397">
        <v>1225</v>
      </c>
      <c r="B397" t="s">
        <v>2824</v>
      </c>
      <c r="C397">
        <v>24.5</v>
      </c>
      <c r="D397">
        <v>24.75</v>
      </c>
      <c r="E397" s="178">
        <v>0.25</v>
      </c>
      <c r="F397" s="176">
        <v>1.02</v>
      </c>
      <c r="G397" t="s">
        <v>5279</v>
      </c>
      <c r="H397">
        <v>83</v>
      </c>
      <c r="I397">
        <v>91</v>
      </c>
      <c r="J397">
        <v>24.23</v>
      </c>
      <c r="K397">
        <v>24.95</v>
      </c>
      <c r="L397">
        <v>24.5</v>
      </c>
      <c r="M397" s="175">
        <v>0.03</v>
      </c>
      <c r="N397" t="s">
        <v>3284</v>
      </c>
    </row>
    <row r="398" spans="1:14">
      <c r="A398">
        <v>1227</v>
      </c>
      <c r="B398" t="s">
        <v>449</v>
      </c>
      <c r="C398">
        <v>28.25</v>
      </c>
      <c r="D398">
        <v>28.5</v>
      </c>
      <c r="E398" s="178">
        <v>0.25</v>
      </c>
      <c r="F398" s="176">
        <v>0.88</v>
      </c>
      <c r="G398" t="s">
        <v>5995</v>
      </c>
      <c r="H398">
        <v>1243</v>
      </c>
      <c r="I398">
        <v>494</v>
      </c>
      <c r="J398">
        <v>91.51</v>
      </c>
      <c r="K398">
        <v>28.6</v>
      </c>
      <c r="L398">
        <v>28.25</v>
      </c>
      <c r="M398" s="175">
        <v>0.14000000000000001</v>
      </c>
      <c r="N398" t="s">
        <v>3285</v>
      </c>
    </row>
    <row r="399" spans="1:14">
      <c r="A399">
        <v>1229</v>
      </c>
      <c r="B399" t="s">
        <v>450</v>
      </c>
      <c r="C399">
        <v>41.6</v>
      </c>
      <c r="D399">
        <v>41.4</v>
      </c>
      <c r="E399" s="178">
        <v>-0.1</v>
      </c>
      <c r="F399" s="176">
        <v>-0.24</v>
      </c>
      <c r="G399" t="s">
        <v>5224</v>
      </c>
      <c r="H399">
        <v>4021</v>
      </c>
      <c r="I399">
        <v>2378</v>
      </c>
      <c r="J399">
        <v>183.19</v>
      </c>
      <c r="K399">
        <v>42</v>
      </c>
      <c r="L399">
        <v>41.3</v>
      </c>
      <c r="M399" s="175">
        <v>0.22</v>
      </c>
      <c r="N399" t="s">
        <v>3286</v>
      </c>
    </row>
    <row r="400" spans="1:14">
      <c r="A400">
        <v>1231</v>
      </c>
      <c r="B400" t="s">
        <v>451</v>
      </c>
      <c r="C400">
        <v>77.5</v>
      </c>
      <c r="D400">
        <v>76.599999999999994</v>
      </c>
      <c r="E400" s="178">
        <v>-0.9</v>
      </c>
      <c r="F400" s="176">
        <v>-1.1599999999999999</v>
      </c>
      <c r="G400" t="s">
        <v>5996</v>
      </c>
      <c r="H400">
        <v>718</v>
      </c>
      <c r="I400">
        <v>336</v>
      </c>
      <c r="J400">
        <v>32.83</v>
      </c>
      <c r="K400">
        <v>77.900000000000006</v>
      </c>
      <c r="L400">
        <v>76.599999999999994</v>
      </c>
      <c r="M400" s="175">
        <v>0.22</v>
      </c>
      <c r="N400" t="s">
        <v>3287</v>
      </c>
    </row>
    <row r="401" spans="1:14">
      <c r="A401">
        <v>1232</v>
      </c>
      <c r="B401" t="s">
        <v>452</v>
      </c>
      <c r="C401">
        <v>155.5</v>
      </c>
      <c r="D401">
        <v>156.5</v>
      </c>
      <c r="E401" s="178">
        <v>1</v>
      </c>
      <c r="F401" s="176">
        <v>0.64</v>
      </c>
      <c r="G401" t="s">
        <v>5997</v>
      </c>
      <c r="H401">
        <v>295</v>
      </c>
      <c r="I401">
        <v>95</v>
      </c>
      <c r="J401">
        <v>16</v>
      </c>
      <c r="K401">
        <v>158.5</v>
      </c>
      <c r="L401">
        <v>155</v>
      </c>
      <c r="M401" s="175">
        <v>0.18</v>
      </c>
      <c r="N401" t="s">
        <v>3288</v>
      </c>
    </row>
    <row r="402" spans="1:14">
      <c r="A402">
        <v>1233</v>
      </c>
      <c r="B402" t="s">
        <v>453</v>
      </c>
      <c r="C402">
        <v>28</v>
      </c>
      <c r="D402">
        <v>28.2</v>
      </c>
      <c r="E402" s="178">
        <v>0.2</v>
      </c>
      <c r="F402" s="176">
        <v>0.71</v>
      </c>
      <c r="G402" t="s">
        <v>5998</v>
      </c>
      <c r="H402">
        <v>13</v>
      </c>
      <c r="I402">
        <v>8</v>
      </c>
      <c r="J402">
        <v>9.06</v>
      </c>
      <c r="K402">
        <v>28.2</v>
      </c>
      <c r="L402">
        <v>28</v>
      </c>
      <c r="M402" s="175">
        <v>0.01</v>
      </c>
      <c r="N402" t="s">
        <v>3289</v>
      </c>
    </row>
    <row r="403" spans="1:14">
      <c r="A403">
        <v>1234</v>
      </c>
      <c r="B403" t="s">
        <v>454</v>
      </c>
      <c r="C403">
        <v>32.299999999999997</v>
      </c>
      <c r="D403">
        <v>32.5</v>
      </c>
      <c r="E403" s="178">
        <v>0.1</v>
      </c>
      <c r="F403" s="176">
        <v>0.31</v>
      </c>
      <c r="G403" t="s">
        <v>5675</v>
      </c>
      <c r="H403">
        <v>137</v>
      </c>
      <c r="I403">
        <v>100</v>
      </c>
      <c r="J403">
        <v>40.19</v>
      </c>
      <c r="K403">
        <v>32.549999999999997</v>
      </c>
      <c r="L403">
        <v>32.25</v>
      </c>
      <c r="M403" s="175">
        <v>0.03</v>
      </c>
      <c r="N403" t="s">
        <v>3290</v>
      </c>
    </row>
    <row r="404" spans="1:14">
      <c r="A404">
        <v>1235</v>
      </c>
      <c r="B404" t="s">
        <v>455</v>
      </c>
      <c r="C404">
        <v>32.6</v>
      </c>
      <c r="D404">
        <v>31.4</v>
      </c>
      <c r="E404" s="178">
        <v>-0.15</v>
      </c>
      <c r="F404" s="176">
        <v>-0.48</v>
      </c>
      <c r="G404" t="s">
        <v>5747</v>
      </c>
      <c r="H404">
        <v>12</v>
      </c>
      <c r="I404">
        <v>9</v>
      </c>
      <c r="J404">
        <v>19.8</v>
      </c>
      <c r="K404">
        <v>32.6</v>
      </c>
      <c r="L404">
        <v>31.35</v>
      </c>
      <c r="M404" s="175">
        <v>0.01</v>
      </c>
      <c r="N404" t="s">
        <v>3291</v>
      </c>
    </row>
    <row r="405" spans="1:14">
      <c r="A405">
        <v>1236</v>
      </c>
      <c r="B405" t="s">
        <v>456</v>
      </c>
      <c r="C405">
        <v>25.7</v>
      </c>
      <c r="D405">
        <v>25.5</v>
      </c>
      <c r="E405" s="178">
        <v>-0.1</v>
      </c>
      <c r="F405" s="176">
        <v>-0.39</v>
      </c>
      <c r="G405" t="s">
        <v>5999</v>
      </c>
      <c r="H405">
        <v>29</v>
      </c>
      <c r="I405">
        <v>23</v>
      </c>
      <c r="J405">
        <v>8.67</v>
      </c>
      <c r="K405">
        <v>25.7</v>
      </c>
      <c r="L405">
        <v>25.25</v>
      </c>
      <c r="M405" s="175">
        <v>0.03</v>
      </c>
      <c r="N405" t="s">
        <v>3292</v>
      </c>
    </row>
    <row r="406" spans="1:14">
      <c r="A406">
        <v>1240</v>
      </c>
      <c r="B406" t="s">
        <v>357</v>
      </c>
      <c r="C406">
        <v>53.9</v>
      </c>
      <c r="D406">
        <v>54</v>
      </c>
      <c r="E406" s="178">
        <v>0</v>
      </c>
      <c r="F406" s="176">
        <v>0</v>
      </c>
      <c r="G406" t="s">
        <v>6000</v>
      </c>
      <c r="H406">
        <v>25</v>
      </c>
      <c r="I406">
        <v>26</v>
      </c>
      <c r="J406">
        <v>4.6399999999999997</v>
      </c>
      <c r="K406">
        <v>54.5</v>
      </c>
      <c r="L406">
        <v>53.9</v>
      </c>
      <c r="M406" s="175">
        <v>0.05</v>
      </c>
      <c r="N406" t="s">
        <v>3293</v>
      </c>
    </row>
    <row r="407" spans="1:14">
      <c r="A407">
        <v>1256</v>
      </c>
      <c r="B407" t="s">
        <v>457</v>
      </c>
      <c r="C407">
        <v>167.5</v>
      </c>
      <c r="D407">
        <v>167.5</v>
      </c>
      <c r="E407" s="178">
        <v>-1.5</v>
      </c>
      <c r="F407" s="176">
        <v>-0.89</v>
      </c>
      <c r="G407" t="s">
        <v>6001</v>
      </c>
      <c r="H407">
        <v>61</v>
      </c>
      <c r="I407">
        <v>29</v>
      </c>
      <c r="J407">
        <v>3.58</v>
      </c>
      <c r="K407">
        <v>168.5</v>
      </c>
      <c r="L407">
        <v>163</v>
      </c>
      <c r="M407" s="175">
        <v>0.17</v>
      </c>
      <c r="N407" t="s">
        <v>3294</v>
      </c>
    </row>
    <row r="408" spans="1:14">
      <c r="A408">
        <v>1259</v>
      </c>
      <c r="B408" t="s">
        <v>458</v>
      </c>
      <c r="C408">
        <v>64.3</v>
      </c>
      <c r="D408">
        <v>64.8</v>
      </c>
      <c r="E408" s="178">
        <v>0.3</v>
      </c>
      <c r="F408" s="176">
        <v>0.47</v>
      </c>
      <c r="G408" t="s">
        <v>3228</v>
      </c>
      <c r="H408">
        <v>16</v>
      </c>
      <c r="I408">
        <v>7</v>
      </c>
      <c r="J408">
        <v>3.24</v>
      </c>
      <c r="K408">
        <v>64.8</v>
      </c>
      <c r="L408">
        <v>64.3</v>
      </c>
      <c r="M408" s="175">
        <v>0.05</v>
      </c>
      <c r="N408" t="s">
        <v>3295</v>
      </c>
    </row>
    <row r="409" spans="1:14">
      <c r="A409">
        <v>1264</v>
      </c>
      <c r="B409" t="s">
        <v>459</v>
      </c>
      <c r="C409">
        <v>246</v>
      </c>
      <c r="D409">
        <v>246</v>
      </c>
      <c r="E409" s="178">
        <v>0</v>
      </c>
      <c r="F409" s="176">
        <v>0</v>
      </c>
      <c r="G409" t="s">
        <v>5209</v>
      </c>
      <c r="H409">
        <v>22</v>
      </c>
      <c r="I409">
        <v>21</v>
      </c>
      <c r="J409">
        <v>3.71</v>
      </c>
      <c r="K409">
        <v>248</v>
      </c>
      <c r="L409">
        <v>244.5</v>
      </c>
      <c r="M409" s="175">
        <v>0.06</v>
      </c>
      <c r="N409" t="s">
        <v>3296</v>
      </c>
    </row>
    <row r="410" spans="1:14">
      <c r="A410">
        <v>1268</v>
      </c>
      <c r="B410" t="s">
        <v>377</v>
      </c>
      <c r="C410">
        <v>177</v>
      </c>
      <c r="D410">
        <v>179.5</v>
      </c>
      <c r="E410" s="178">
        <v>1.5</v>
      </c>
      <c r="F410" s="176">
        <v>0.84</v>
      </c>
      <c r="G410" t="s">
        <v>6002</v>
      </c>
      <c r="H410">
        <v>76</v>
      </c>
      <c r="I410">
        <v>20</v>
      </c>
      <c r="J410">
        <v>4.22</v>
      </c>
      <c r="K410">
        <v>182</v>
      </c>
      <c r="L410">
        <v>177</v>
      </c>
      <c r="M410" s="175">
        <v>0.18</v>
      </c>
      <c r="N410" t="s">
        <v>3297</v>
      </c>
    </row>
    <row r="411" spans="1:14">
      <c r="A411">
        <v>1294</v>
      </c>
      <c r="B411" t="s">
        <v>2630</v>
      </c>
      <c r="C411">
        <v>49.4</v>
      </c>
      <c r="D411">
        <v>49.35</v>
      </c>
      <c r="E411" s="178">
        <v>-0.45</v>
      </c>
      <c r="F411" s="176">
        <v>-0.9</v>
      </c>
      <c r="G411" t="s">
        <v>6003</v>
      </c>
      <c r="H411">
        <v>14</v>
      </c>
      <c r="I411">
        <v>14</v>
      </c>
      <c r="J411">
        <v>3.66</v>
      </c>
      <c r="K411">
        <v>49.45</v>
      </c>
      <c r="L411">
        <v>49.3</v>
      </c>
      <c r="M411" s="175">
        <v>0.04</v>
      </c>
      <c r="N411" t="s">
        <v>3298</v>
      </c>
    </row>
    <row r="412" spans="1:14">
      <c r="A412">
        <v>1295</v>
      </c>
      <c r="B412" t="s">
        <v>2825</v>
      </c>
      <c r="C412">
        <v>48.8</v>
      </c>
      <c r="D412">
        <v>47.6</v>
      </c>
      <c r="E412" s="178">
        <v>-0.95</v>
      </c>
      <c r="F412" s="176">
        <v>-1.96</v>
      </c>
      <c r="G412" t="s">
        <v>6004</v>
      </c>
      <c r="H412">
        <v>20</v>
      </c>
      <c r="I412">
        <v>65</v>
      </c>
      <c r="J412">
        <v>3.76</v>
      </c>
      <c r="K412">
        <v>48.8</v>
      </c>
      <c r="L412">
        <v>47.35</v>
      </c>
      <c r="M412" s="175">
        <v>0.05</v>
      </c>
      <c r="N412" t="s">
        <v>3299</v>
      </c>
    </row>
    <row r="413" spans="1:14">
      <c r="A413">
        <v>1301</v>
      </c>
      <c r="B413" t="s">
        <v>460</v>
      </c>
      <c r="C413">
        <v>88.9</v>
      </c>
      <c r="D413">
        <v>81.7</v>
      </c>
      <c r="E413" s="178">
        <v>-7.2</v>
      </c>
      <c r="F413" s="176">
        <v>-8.1</v>
      </c>
      <c r="G413" t="s">
        <v>6005</v>
      </c>
      <c r="H413">
        <v>151554</v>
      </c>
      <c r="I413">
        <v>171828</v>
      </c>
      <c r="J413">
        <v>636.57000000000005</v>
      </c>
      <c r="K413">
        <v>89.4</v>
      </c>
      <c r="L413">
        <v>80.2</v>
      </c>
      <c r="M413" s="175">
        <v>2.38</v>
      </c>
      <c r="N413" t="s">
        <v>3300</v>
      </c>
    </row>
    <row r="414" spans="1:14">
      <c r="A414">
        <v>1303</v>
      </c>
      <c r="B414" t="s">
        <v>461</v>
      </c>
      <c r="C414">
        <v>335</v>
      </c>
      <c r="D414">
        <v>314.5</v>
      </c>
      <c r="E414" s="178">
        <v>-34.5</v>
      </c>
      <c r="F414" s="176">
        <v>-9.89</v>
      </c>
      <c r="G414" t="s">
        <v>6006</v>
      </c>
      <c r="H414">
        <v>100869</v>
      </c>
      <c r="I414">
        <v>112473</v>
      </c>
      <c r="J414">
        <v>793.08</v>
      </c>
      <c r="K414">
        <v>338.5</v>
      </c>
      <c r="L414">
        <v>314.5</v>
      </c>
      <c r="M414" s="175">
        <v>1.27</v>
      </c>
      <c r="N414" t="s">
        <v>3301</v>
      </c>
    </row>
    <row r="415" spans="1:14">
      <c r="A415">
        <v>1304</v>
      </c>
      <c r="B415" t="s">
        <v>242</v>
      </c>
      <c r="C415">
        <v>14.1</v>
      </c>
      <c r="D415">
        <v>13.2</v>
      </c>
      <c r="E415" s="178">
        <v>-0.8</v>
      </c>
      <c r="F415" s="176">
        <v>-5.71</v>
      </c>
      <c r="G415" t="s">
        <v>5154</v>
      </c>
      <c r="H415">
        <v>7588</v>
      </c>
      <c r="I415">
        <v>7971</v>
      </c>
      <c r="J415">
        <v>118.88</v>
      </c>
      <c r="K415">
        <v>14.1</v>
      </c>
      <c r="L415">
        <v>13.1</v>
      </c>
      <c r="M415" s="175">
        <v>0.64</v>
      </c>
      <c r="N415" t="s">
        <v>3302</v>
      </c>
    </row>
    <row r="416" spans="1:14">
      <c r="A416">
        <v>1305</v>
      </c>
      <c r="B416" t="s">
        <v>462</v>
      </c>
      <c r="C416">
        <v>13.85</v>
      </c>
      <c r="D416">
        <v>13.15</v>
      </c>
      <c r="E416" s="178">
        <v>-0.55000000000000004</v>
      </c>
      <c r="F416" s="176">
        <v>-4.01</v>
      </c>
      <c r="G416" t="s">
        <v>6007</v>
      </c>
      <c r="H416">
        <v>5577</v>
      </c>
      <c r="I416">
        <v>3654</v>
      </c>
      <c r="J416">
        <v>58.11</v>
      </c>
      <c r="K416">
        <v>13.9</v>
      </c>
      <c r="L416">
        <v>13</v>
      </c>
      <c r="M416" s="175">
        <v>0.96</v>
      </c>
      <c r="N416" t="s">
        <v>3303</v>
      </c>
    </row>
    <row r="417" spans="1:14">
      <c r="A417">
        <v>1307</v>
      </c>
      <c r="B417" t="s">
        <v>463</v>
      </c>
      <c r="C417">
        <v>31.65</v>
      </c>
      <c r="D417">
        <v>31.25</v>
      </c>
      <c r="E417" s="178">
        <v>-0.35</v>
      </c>
      <c r="F417" s="176">
        <v>-1.1100000000000001</v>
      </c>
      <c r="G417" t="s">
        <v>6008</v>
      </c>
      <c r="H417">
        <v>872</v>
      </c>
      <c r="I417">
        <v>517</v>
      </c>
      <c r="J417">
        <v>39.78</v>
      </c>
      <c r="K417">
        <v>31.75</v>
      </c>
      <c r="L417">
        <v>31.2</v>
      </c>
      <c r="M417" s="175">
        <v>0.22</v>
      </c>
      <c r="N417" t="s">
        <v>3304</v>
      </c>
    </row>
    <row r="418" spans="1:14">
      <c r="A418">
        <v>1308</v>
      </c>
      <c r="B418" t="s">
        <v>464</v>
      </c>
      <c r="C418">
        <v>15.2</v>
      </c>
      <c r="D418">
        <v>14.65</v>
      </c>
      <c r="E418" s="178">
        <v>-0.55000000000000004</v>
      </c>
      <c r="F418" s="176">
        <v>-3.62</v>
      </c>
      <c r="G418" t="s">
        <v>6009</v>
      </c>
      <c r="H418">
        <v>3372</v>
      </c>
      <c r="I418">
        <v>2612</v>
      </c>
      <c r="J418">
        <v>59.37</v>
      </c>
      <c r="K418">
        <v>15.2</v>
      </c>
      <c r="L418">
        <v>14.45</v>
      </c>
      <c r="M418" s="175">
        <v>0.56999999999999995</v>
      </c>
      <c r="N418" t="s">
        <v>3305</v>
      </c>
    </row>
    <row r="419" spans="1:14">
      <c r="A419">
        <v>1309</v>
      </c>
      <c r="B419" t="s">
        <v>1540</v>
      </c>
      <c r="C419">
        <v>15.1</v>
      </c>
      <c r="D419">
        <v>14.35</v>
      </c>
      <c r="E419" s="178">
        <v>-0.8</v>
      </c>
      <c r="F419" s="176">
        <v>-5.28</v>
      </c>
      <c r="G419" t="s">
        <v>5756</v>
      </c>
      <c r="H419">
        <v>3951</v>
      </c>
      <c r="I419">
        <v>3531</v>
      </c>
      <c r="J419">
        <v>39.76</v>
      </c>
      <c r="K419">
        <v>15.1</v>
      </c>
      <c r="L419">
        <v>14.2</v>
      </c>
      <c r="M419" s="175">
        <v>0.99</v>
      </c>
      <c r="N419" t="s">
        <v>3306</v>
      </c>
    </row>
    <row r="420" spans="1:14">
      <c r="A420">
        <v>1310</v>
      </c>
      <c r="B420" t="s">
        <v>465</v>
      </c>
      <c r="C420">
        <v>10.6</v>
      </c>
      <c r="D420">
        <v>9.8699999999999992</v>
      </c>
      <c r="E420" s="178">
        <v>-0.83</v>
      </c>
      <c r="F420" s="176">
        <v>-7.76</v>
      </c>
      <c r="G420" t="s">
        <v>5154</v>
      </c>
      <c r="H420">
        <v>10080</v>
      </c>
      <c r="I420">
        <v>8574</v>
      </c>
      <c r="J420">
        <v>52.79</v>
      </c>
      <c r="K420">
        <v>10.6</v>
      </c>
      <c r="L420">
        <v>9.8699999999999992</v>
      </c>
      <c r="M420" s="175">
        <v>1.91</v>
      </c>
      <c r="N420" t="s">
        <v>3307</v>
      </c>
    </row>
    <row r="421" spans="1:14">
      <c r="A421">
        <v>1312</v>
      </c>
      <c r="B421" t="s">
        <v>466</v>
      </c>
      <c r="C421">
        <v>18.649999999999999</v>
      </c>
      <c r="D421">
        <v>17.05</v>
      </c>
      <c r="E421" s="178">
        <v>-1.85</v>
      </c>
      <c r="F421" s="176">
        <v>-9.7899999999999991</v>
      </c>
      <c r="G421" t="s">
        <v>6010</v>
      </c>
      <c r="H421">
        <v>99731</v>
      </c>
      <c r="I421">
        <v>98562</v>
      </c>
      <c r="J421">
        <v>150.66</v>
      </c>
      <c r="K421">
        <v>19.100000000000001</v>
      </c>
      <c r="L421">
        <v>17.05</v>
      </c>
      <c r="M421" s="175">
        <v>6.62</v>
      </c>
      <c r="N421" t="s">
        <v>3308</v>
      </c>
    </row>
    <row r="422" spans="1:14">
      <c r="A422">
        <v>1313</v>
      </c>
      <c r="B422" t="s">
        <v>467</v>
      </c>
      <c r="C422">
        <v>13.6</v>
      </c>
      <c r="D422">
        <v>12.9</v>
      </c>
      <c r="E422" s="178">
        <v>-0.7</v>
      </c>
      <c r="F422" s="176">
        <v>-5.15</v>
      </c>
      <c r="G422" t="s">
        <v>5154</v>
      </c>
      <c r="H422">
        <v>7742</v>
      </c>
      <c r="I422">
        <v>7145</v>
      </c>
      <c r="J422">
        <v>133.08000000000001</v>
      </c>
      <c r="K422">
        <v>13.6</v>
      </c>
      <c r="L422">
        <v>12.75</v>
      </c>
      <c r="M422" s="175">
        <v>0.57999999999999996</v>
      </c>
      <c r="N422" t="s">
        <v>3309</v>
      </c>
    </row>
    <row r="423" spans="1:14">
      <c r="A423">
        <v>1314</v>
      </c>
      <c r="B423" t="s">
        <v>468</v>
      </c>
      <c r="C423">
        <v>9.24</v>
      </c>
      <c r="D423">
        <v>8.85</v>
      </c>
      <c r="E423" s="178">
        <v>-0.47</v>
      </c>
      <c r="F423" s="176">
        <v>-5.04</v>
      </c>
      <c r="G423" t="s">
        <v>6011</v>
      </c>
      <c r="H423">
        <v>55885</v>
      </c>
      <c r="I423">
        <v>42537</v>
      </c>
      <c r="J423">
        <v>378.49</v>
      </c>
      <c r="K423">
        <v>9.3000000000000007</v>
      </c>
      <c r="L423">
        <v>8.83</v>
      </c>
      <c r="M423" s="175">
        <v>1.48</v>
      </c>
      <c r="N423" t="s">
        <v>3310</v>
      </c>
    </row>
    <row r="424" spans="1:14">
      <c r="A424">
        <v>1315</v>
      </c>
      <c r="B424" t="s">
        <v>1610</v>
      </c>
      <c r="C424">
        <v>74.099999999999994</v>
      </c>
      <c r="D424">
        <v>74.400000000000006</v>
      </c>
      <c r="E424" s="178">
        <v>-0.4</v>
      </c>
      <c r="F424" s="176">
        <v>-0.53</v>
      </c>
      <c r="G424" t="s">
        <v>5648</v>
      </c>
      <c r="H424">
        <v>97</v>
      </c>
      <c r="I424">
        <v>108</v>
      </c>
      <c r="J424">
        <v>9.91</v>
      </c>
      <c r="K424">
        <v>75.7</v>
      </c>
      <c r="L424">
        <v>73.599999999999994</v>
      </c>
      <c r="M424" s="175">
        <v>0.1</v>
      </c>
      <c r="N424" t="s">
        <v>3311</v>
      </c>
    </row>
    <row r="425" spans="1:14">
      <c r="A425">
        <v>1316</v>
      </c>
      <c r="B425" t="s">
        <v>469</v>
      </c>
      <c r="C425">
        <v>10.55</v>
      </c>
      <c r="D425">
        <v>10.4</v>
      </c>
      <c r="E425" s="178">
        <v>-0.2</v>
      </c>
      <c r="F425" s="176">
        <v>-1.89</v>
      </c>
      <c r="G425" t="s">
        <v>6012</v>
      </c>
      <c r="H425">
        <v>1168</v>
      </c>
      <c r="I425">
        <v>1536</v>
      </c>
      <c r="J425">
        <v>40.159999999999997</v>
      </c>
      <c r="K425">
        <v>10.55</v>
      </c>
      <c r="L425">
        <v>10.35</v>
      </c>
      <c r="M425" s="175">
        <v>0.31</v>
      </c>
      <c r="N425" t="s">
        <v>3312</v>
      </c>
    </row>
    <row r="426" spans="1:14">
      <c r="A426">
        <v>1319</v>
      </c>
      <c r="B426" t="s">
        <v>113</v>
      </c>
      <c r="C426">
        <v>83</v>
      </c>
      <c r="D426">
        <v>83.3</v>
      </c>
      <c r="E426" s="178">
        <v>0.7</v>
      </c>
      <c r="F426" s="176">
        <v>0.85</v>
      </c>
      <c r="G426" t="s">
        <v>6013</v>
      </c>
      <c r="H426">
        <v>2948</v>
      </c>
      <c r="I426">
        <v>3674</v>
      </c>
      <c r="J426">
        <v>59.15</v>
      </c>
      <c r="K426">
        <v>84</v>
      </c>
      <c r="L426">
        <v>82.4</v>
      </c>
      <c r="M426" s="175">
        <v>0.5</v>
      </c>
      <c r="N426" t="s">
        <v>3313</v>
      </c>
    </row>
    <row r="427" spans="1:14">
      <c r="A427">
        <v>1321</v>
      </c>
      <c r="B427" t="s">
        <v>470</v>
      </c>
      <c r="C427">
        <v>35.4</v>
      </c>
      <c r="D427">
        <v>36</v>
      </c>
      <c r="E427" s="178">
        <v>0.6</v>
      </c>
      <c r="F427" s="176">
        <v>1.69</v>
      </c>
      <c r="G427" t="s">
        <v>5499</v>
      </c>
      <c r="H427">
        <v>927</v>
      </c>
      <c r="I427">
        <v>238</v>
      </c>
      <c r="J427">
        <v>22.72</v>
      </c>
      <c r="K427">
        <v>36.75</v>
      </c>
      <c r="L427">
        <v>35.15</v>
      </c>
      <c r="M427" s="175">
        <v>0.41</v>
      </c>
      <c r="N427" t="s">
        <v>3314</v>
      </c>
    </row>
    <row r="428" spans="1:14">
      <c r="A428">
        <v>1323</v>
      </c>
      <c r="B428" t="s">
        <v>471</v>
      </c>
      <c r="C428">
        <v>22.1</v>
      </c>
      <c r="D428">
        <v>21.8</v>
      </c>
      <c r="E428" s="178">
        <v>-0.3</v>
      </c>
      <c r="F428" s="176">
        <v>-1.36</v>
      </c>
      <c r="G428" t="s">
        <v>6014</v>
      </c>
      <c r="H428">
        <v>65</v>
      </c>
      <c r="I428">
        <v>69</v>
      </c>
      <c r="J428">
        <v>9.1300000000000008</v>
      </c>
      <c r="K428">
        <v>22.1</v>
      </c>
      <c r="L428">
        <v>21.7</v>
      </c>
      <c r="M428" s="175">
        <v>7.0000000000000007E-2</v>
      </c>
      <c r="N428" t="s">
        <v>3315</v>
      </c>
    </row>
    <row r="429" spans="1:14">
      <c r="A429">
        <v>1324</v>
      </c>
      <c r="B429" t="s">
        <v>472</v>
      </c>
      <c r="C429">
        <v>10.050000000000001</v>
      </c>
      <c r="D429">
        <v>9.9</v>
      </c>
      <c r="E429" s="178">
        <v>-0.06</v>
      </c>
      <c r="F429" s="176">
        <v>-0.6</v>
      </c>
      <c r="G429" t="s">
        <v>6015</v>
      </c>
      <c r="H429">
        <v>39</v>
      </c>
      <c r="I429">
        <v>59</v>
      </c>
      <c r="J429">
        <v>7.51</v>
      </c>
      <c r="K429">
        <v>10.050000000000001</v>
      </c>
      <c r="L429">
        <v>9.9</v>
      </c>
      <c r="M429" s="175">
        <v>0.05</v>
      </c>
      <c r="N429" t="s">
        <v>3316</v>
      </c>
    </row>
    <row r="430" spans="1:14">
      <c r="A430">
        <v>1325</v>
      </c>
      <c r="B430" t="s">
        <v>473</v>
      </c>
      <c r="C430">
        <v>28.95</v>
      </c>
      <c r="D430">
        <v>28.65</v>
      </c>
      <c r="E430" s="178">
        <v>-0.35</v>
      </c>
      <c r="F430" s="176">
        <v>-1.21</v>
      </c>
      <c r="G430" t="s">
        <v>6016</v>
      </c>
      <c r="H430">
        <v>3078</v>
      </c>
      <c r="I430">
        <v>6478</v>
      </c>
      <c r="J430">
        <v>8.5299999999999994</v>
      </c>
      <c r="K430">
        <v>30.45</v>
      </c>
      <c r="L430">
        <v>28.65</v>
      </c>
      <c r="M430" s="175">
        <v>3.61</v>
      </c>
      <c r="N430" t="s">
        <v>3317</v>
      </c>
    </row>
    <row r="431" spans="1:14">
      <c r="A431">
        <v>1326</v>
      </c>
      <c r="B431" t="s">
        <v>474</v>
      </c>
      <c r="C431">
        <v>85.6</v>
      </c>
      <c r="D431">
        <v>77</v>
      </c>
      <c r="E431" s="178">
        <v>-8.5</v>
      </c>
      <c r="F431" s="176">
        <v>-9.94</v>
      </c>
      <c r="G431" t="s">
        <v>6017</v>
      </c>
      <c r="H431">
        <v>85853</v>
      </c>
      <c r="I431">
        <v>68146</v>
      </c>
      <c r="J431">
        <v>586.12</v>
      </c>
      <c r="K431">
        <v>86.1</v>
      </c>
      <c r="L431">
        <v>77</v>
      </c>
      <c r="M431" s="175">
        <v>1.46</v>
      </c>
      <c r="N431" t="s">
        <v>3318</v>
      </c>
    </row>
    <row r="432" spans="1:14">
      <c r="A432">
        <v>1336</v>
      </c>
      <c r="B432" t="s">
        <v>475</v>
      </c>
      <c r="C432">
        <v>18.55</v>
      </c>
      <c r="D432">
        <v>18.399999999999999</v>
      </c>
      <c r="E432" s="178">
        <v>-0.3</v>
      </c>
      <c r="F432" s="176">
        <v>-1.6</v>
      </c>
      <c r="G432" t="s">
        <v>5365</v>
      </c>
      <c r="H432">
        <v>406</v>
      </c>
      <c r="I432">
        <v>609</v>
      </c>
      <c r="J432">
        <v>7.76</v>
      </c>
      <c r="K432">
        <v>18.7</v>
      </c>
      <c r="L432">
        <v>18.149999999999999</v>
      </c>
      <c r="M432" s="175">
        <v>0.52</v>
      </c>
      <c r="N432" t="s">
        <v>3319</v>
      </c>
    </row>
    <row r="433" spans="1:14">
      <c r="A433">
        <v>1337</v>
      </c>
      <c r="B433" t="s">
        <v>476</v>
      </c>
      <c r="C433">
        <v>4.45</v>
      </c>
      <c r="D433">
        <v>4.43</v>
      </c>
      <c r="E433" s="178">
        <v>-0.05</v>
      </c>
      <c r="F433" s="176">
        <v>-1.1200000000000001</v>
      </c>
      <c r="G433" t="s">
        <v>6000</v>
      </c>
      <c r="H433">
        <v>303</v>
      </c>
      <c r="I433">
        <v>187</v>
      </c>
      <c r="J433">
        <v>26.9</v>
      </c>
      <c r="K433">
        <v>4.55</v>
      </c>
      <c r="L433">
        <v>4.43</v>
      </c>
      <c r="M433" s="175">
        <v>0.11</v>
      </c>
      <c r="N433" t="s">
        <v>3320</v>
      </c>
    </row>
    <row r="434" spans="1:14">
      <c r="A434">
        <v>1338</v>
      </c>
      <c r="B434" t="s">
        <v>477</v>
      </c>
      <c r="C434">
        <v>14.8</v>
      </c>
      <c r="D434">
        <v>14.55</v>
      </c>
      <c r="E434" s="178">
        <v>-0.3</v>
      </c>
      <c r="F434" s="176">
        <v>-2.02</v>
      </c>
      <c r="G434" t="s">
        <v>5155</v>
      </c>
      <c r="H434">
        <v>83</v>
      </c>
      <c r="I434">
        <v>56</v>
      </c>
      <c r="J434">
        <v>8.3800000000000008</v>
      </c>
      <c r="K434">
        <v>14.8</v>
      </c>
      <c r="L434">
        <v>14.5</v>
      </c>
      <c r="M434" s="175">
        <v>0.1</v>
      </c>
      <c r="N434" t="s">
        <v>3321</v>
      </c>
    </row>
    <row r="435" spans="1:14">
      <c r="A435">
        <v>1339</v>
      </c>
      <c r="B435" t="s">
        <v>478</v>
      </c>
      <c r="C435">
        <v>42.7</v>
      </c>
      <c r="D435">
        <v>42.3</v>
      </c>
      <c r="E435" s="178">
        <v>-0.45</v>
      </c>
      <c r="F435" s="176">
        <v>-1.05</v>
      </c>
      <c r="G435" t="s">
        <v>5329</v>
      </c>
      <c r="H435">
        <v>43</v>
      </c>
      <c r="I435">
        <v>43</v>
      </c>
      <c r="J435">
        <v>7.41</v>
      </c>
      <c r="K435">
        <v>42.7</v>
      </c>
      <c r="L435">
        <v>42.25</v>
      </c>
      <c r="M435" s="175">
        <v>0.06</v>
      </c>
      <c r="N435" t="s">
        <v>3322</v>
      </c>
    </row>
    <row r="436" spans="1:14">
      <c r="A436">
        <v>1340</v>
      </c>
      <c r="B436" t="s">
        <v>479</v>
      </c>
      <c r="C436">
        <v>5.1100000000000003</v>
      </c>
      <c r="D436">
        <v>5.0199999999999996</v>
      </c>
      <c r="E436" s="178">
        <v>-0.12</v>
      </c>
      <c r="F436" s="176">
        <v>-2.33</v>
      </c>
      <c r="G436" t="s">
        <v>5278</v>
      </c>
      <c r="H436">
        <v>306</v>
      </c>
      <c r="I436">
        <v>127</v>
      </c>
      <c r="J436">
        <v>15.29</v>
      </c>
      <c r="K436">
        <v>5.14</v>
      </c>
      <c r="L436">
        <v>5.01</v>
      </c>
      <c r="M436" s="175">
        <v>0.2</v>
      </c>
      <c r="N436" t="s">
        <v>3323</v>
      </c>
    </row>
    <row r="437" spans="1:14">
      <c r="A437">
        <v>1341</v>
      </c>
      <c r="B437" t="s">
        <v>352</v>
      </c>
      <c r="C437">
        <v>59.3</v>
      </c>
      <c r="D437">
        <v>59.3</v>
      </c>
      <c r="E437" s="178">
        <v>-0.6</v>
      </c>
      <c r="F437" s="176">
        <v>-1</v>
      </c>
      <c r="G437" t="s">
        <v>5470</v>
      </c>
      <c r="H437">
        <v>2</v>
      </c>
      <c r="I437">
        <v>7</v>
      </c>
      <c r="J437">
        <v>5.29</v>
      </c>
      <c r="K437">
        <v>59.3</v>
      </c>
      <c r="L437">
        <v>59.3</v>
      </c>
      <c r="M437" s="175">
        <v>0</v>
      </c>
      <c r="N437" t="s">
        <v>3324</v>
      </c>
    </row>
    <row r="438" spans="1:14">
      <c r="A438">
        <v>1342</v>
      </c>
      <c r="B438" t="s">
        <v>480</v>
      </c>
      <c r="C438">
        <v>100.5</v>
      </c>
      <c r="D438">
        <v>100.5</v>
      </c>
      <c r="E438" s="178">
        <v>-1</v>
      </c>
      <c r="F438" s="176">
        <v>-0.99</v>
      </c>
      <c r="G438" t="s">
        <v>5510</v>
      </c>
      <c r="H438">
        <v>163</v>
      </c>
      <c r="I438">
        <v>123</v>
      </c>
      <c r="J438">
        <v>7.85</v>
      </c>
      <c r="K438">
        <v>101.5</v>
      </c>
      <c r="L438">
        <v>100</v>
      </c>
      <c r="M438" s="175">
        <v>0.21</v>
      </c>
      <c r="N438" t="s">
        <v>3325</v>
      </c>
    </row>
    <row r="439" spans="1:14">
      <c r="A439">
        <v>1402</v>
      </c>
      <c r="B439" t="s">
        <v>481</v>
      </c>
      <c r="C439">
        <v>29.65</v>
      </c>
      <c r="D439">
        <v>29.4</v>
      </c>
      <c r="E439" s="178">
        <v>-0.25</v>
      </c>
      <c r="F439" s="176">
        <v>-0.84</v>
      </c>
      <c r="G439" t="s">
        <v>6018</v>
      </c>
      <c r="H439">
        <v>12483</v>
      </c>
      <c r="I439">
        <v>10648</v>
      </c>
      <c r="J439">
        <v>535.29</v>
      </c>
      <c r="K439">
        <v>29.65</v>
      </c>
      <c r="L439">
        <v>29.15</v>
      </c>
      <c r="M439" s="175">
        <v>0.23</v>
      </c>
      <c r="N439" t="s">
        <v>3326</v>
      </c>
    </row>
    <row r="440" spans="1:14">
      <c r="A440">
        <v>1409</v>
      </c>
      <c r="B440" t="s">
        <v>482</v>
      </c>
      <c r="C440">
        <v>26.5</v>
      </c>
      <c r="D440">
        <v>25.5</v>
      </c>
      <c r="E440" s="178">
        <v>-1.8</v>
      </c>
      <c r="F440" s="176">
        <v>-6.59</v>
      </c>
      <c r="G440" t="s">
        <v>6019</v>
      </c>
      <c r="H440">
        <v>26500</v>
      </c>
      <c r="I440">
        <v>24676</v>
      </c>
      <c r="J440">
        <v>161.84</v>
      </c>
      <c r="K440">
        <v>26.75</v>
      </c>
      <c r="L440">
        <v>25.4</v>
      </c>
      <c r="M440" s="175">
        <v>1.64</v>
      </c>
      <c r="N440" t="s">
        <v>3327</v>
      </c>
    </row>
    <row r="441" spans="1:14">
      <c r="A441">
        <v>1410</v>
      </c>
      <c r="B441" t="s">
        <v>483</v>
      </c>
      <c r="C441">
        <v>23.85</v>
      </c>
      <c r="D441">
        <v>23.35</v>
      </c>
      <c r="E441" s="178">
        <v>-0.35</v>
      </c>
      <c r="F441" s="176">
        <v>-1.48</v>
      </c>
      <c r="G441" t="s">
        <v>3251</v>
      </c>
      <c r="H441">
        <v>71</v>
      </c>
      <c r="I441">
        <v>69</v>
      </c>
      <c r="J441">
        <v>6.2</v>
      </c>
      <c r="K441">
        <v>23.85</v>
      </c>
      <c r="L441">
        <v>23.35</v>
      </c>
      <c r="M441" s="175">
        <v>0.11</v>
      </c>
      <c r="N441" t="s">
        <v>3328</v>
      </c>
    </row>
    <row r="442" spans="1:14">
      <c r="A442">
        <v>1413</v>
      </c>
      <c r="B442" t="s">
        <v>484</v>
      </c>
      <c r="C442">
        <v>9.44</v>
      </c>
      <c r="D442">
        <v>9.44</v>
      </c>
      <c r="E442" s="178">
        <v>0</v>
      </c>
      <c r="F442" s="176">
        <v>0</v>
      </c>
      <c r="G442" t="s">
        <v>6020</v>
      </c>
      <c r="H442">
        <v>26</v>
      </c>
      <c r="I442">
        <v>15</v>
      </c>
      <c r="J442">
        <v>13.21</v>
      </c>
      <c r="K442">
        <v>9.4499999999999993</v>
      </c>
      <c r="L442">
        <v>9.31</v>
      </c>
      <c r="M442" s="175">
        <v>0.03</v>
      </c>
      <c r="N442" t="s">
        <v>3329</v>
      </c>
    </row>
    <row r="443" spans="1:14">
      <c r="A443">
        <v>1414</v>
      </c>
      <c r="B443" t="s">
        <v>2985</v>
      </c>
      <c r="C443">
        <v>17.5</v>
      </c>
      <c r="D443">
        <v>17.5</v>
      </c>
      <c r="E443" s="178">
        <v>0.05</v>
      </c>
      <c r="F443" s="176">
        <v>0.28999999999999998</v>
      </c>
      <c r="G443" t="s">
        <v>5536</v>
      </c>
      <c r="H443">
        <v>206</v>
      </c>
      <c r="I443">
        <v>114</v>
      </c>
      <c r="J443">
        <v>19.8</v>
      </c>
      <c r="K443">
        <v>17.55</v>
      </c>
      <c r="L443">
        <v>17.25</v>
      </c>
      <c r="M443" s="175">
        <v>0.1</v>
      </c>
      <c r="N443" t="s">
        <v>3330</v>
      </c>
    </row>
    <row r="444" spans="1:14">
      <c r="A444">
        <v>1416</v>
      </c>
      <c r="B444" t="s">
        <v>485</v>
      </c>
      <c r="C444">
        <v>13.05</v>
      </c>
      <c r="D444">
        <v>13.25</v>
      </c>
      <c r="E444" s="178">
        <v>0.2</v>
      </c>
      <c r="F444" s="176">
        <v>1.53</v>
      </c>
      <c r="G444" t="s">
        <v>6021</v>
      </c>
      <c r="H444">
        <v>1662</v>
      </c>
      <c r="I444">
        <v>1468</v>
      </c>
      <c r="J444">
        <v>18.53</v>
      </c>
      <c r="K444">
        <v>13.25</v>
      </c>
      <c r="L444">
        <v>12.85</v>
      </c>
      <c r="M444" s="175">
        <v>0.9</v>
      </c>
      <c r="N444" t="s">
        <v>3331</v>
      </c>
    </row>
    <row r="445" spans="1:14">
      <c r="A445">
        <v>1417</v>
      </c>
      <c r="B445" t="s">
        <v>486</v>
      </c>
      <c r="C445">
        <v>8.11</v>
      </c>
      <c r="D445">
        <v>8.1300000000000008</v>
      </c>
      <c r="E445" s="178">
        <v>-0.02</v>
      </c>
      <c r="F445" s="176">
        <v>-0.25</v>
      </c>
      <c r="G445" t="s">
        <v>5635</v>
      </c>
      <c r="H445">
        <v>104</v>
      </c>
      <c r="I445">
        <v>135</v>
      </c>
      <c r="J445">
        <v>18.989999999999998</v>
      </c>
      <c r="K445">
        <v>8.14</v>
      </c>
      <c r="L445">
        <v>8.1</v>
      </c>
      <c r="M445" s="175">
        <v>0.05</v>
      </c>
      <c r="N445" t="s">
        <v>3332</v>
      </c>
    </row>
    <row r="446" spans="1:14">
      <c r="A446">
        <v>1418</v>
      </c>
      <c r="B446" t="s">
        <v>487</v>
      </c>
      <c r="C446">
        <v>18.7</v>
      </c>
      <c r="D446">
        <v>18.600000000000001</v>
      </c>
      <c r="E446" s="178">
        <v>0.1</v>
      </c>
      <c r="F446" s="176">
        <v>0.54</v>
      </c>
      <c r="G446" t="s">
        <v>6022</v>
      </c>
      <c r="H446">
        <v>39</v>
      </c>
      <c r="I446">
        <v>16</v>
      </c>
      <c r="J446">
        <v>5.68</v>
      </c>
      <c r="K446">
        <v>18.7</v>
      </c>
      <c r="L446">
        <v>18.45</v>
      </c>
      <c r="M446" s="175">
        <v>0.08</v>
      </c>
      <c r="N446" t="s">
        <v>3333</v>
      </c>
    </row>
    <row r="447" spans="1:14">
      <c r="A447">
        <v>1419</v>
      </c>
      <c r="B447" t="s">
        <v>488</v>
      </c>
      <c r="C447">
        <v>66.5</v>
      </c>
      <c r="D447">
        <v>65.3</v>
      </c>
      <c r="E447" s="178">
        <v>-0.8</v>
      </c>
      <c r="F447" s="176">
        <v>-1.21</v>
      </c>
      <c r="G447" t="s">
        <v>6023</v>
      </c>
      <c r="H447">
        <v>65</v>
      </c>
      <c r="I447">
        <v>41</v>
      </c>
      <c r="J447">
        <v>30</v>
      </c>
      <c r="K447">
        <v>66.5</v>
      </c>
      <c r="L447">
        <v>65.3</v>
      </c>
      <c r="M447" s="175">
        <v>0.02</v>
      </c>
      <c r="N447" t="s">
        <v>3334</v>
      </c>
    </row>
    <row r="448" spans="1:14">
      <c r="A448">
        <v>1423</v>
      </c>
      <c r="B448" t="s">
        <v>489</v>
      </c>
      <c r="C448">
        <v>35.1</v>
      </c>
      <c r="D448">
        <v>36</v>
      </c>
      <c r="E448" s="178">
        <v>1.35</v>
      </c>
      <c r="F448" s="176">
        <v>3.9</v>
      </c>
      <c r="G448" t="s">
        <v>6024</v>
      </c>
      <c r="H448">
        <v>21</v>
      </c>
      <c r="I448">
        <v>9</v>
      </c>
      <c r="J448">
        <v>9.9600000000000009</v>
      </c>
      <c r="K448">
        <v>36.65</v>
      </c>
      <c r="L448">
        <v>35</v>
      </c>
      <c r="M448" s="175">
        <v>0.02</v>
      </c>
      <c r="N448" t="s">
        <v>3335</v>
      </c>
    </row>
    <row r="449" spans="1:14">
      <c r="A449">
        <v>1432</v>
      </c>
      <c r="B449" t="s">
        <v>490</v>
      </c>
      <c r="C449">
        <v>15</v>
      </c>
      <c r="D449">
        <v>15</v>
      </c>
      <c r="E449" s="178">
        <v>0</v>
      </c>
      <c r="F449" s="176">
        <v>0</v>
      </c>
      <c r="G449" t="s">
        <v>5315</v>
      </c>
      <c r="H449">
        <v>88</v>
      </c>
      <c r="I449">
        <v>76</v>
      </c>
      <c r="J449">
        <v>10.8</v>
      </c>
      <c r="K449">
        <v>15</v>
      </c>
      <c r="L449">
        <v>14.9</v>
      </c>
      <c r="M449" s="175">
        <v>0.1</v>
      </c>
      <c r="N449" t="s">
        <v>3336</v>
      </c>
    </row>
    <row r="450" spans="1:14">
      <c r="A450">
        <v>1434</v>
      </c>
      <c r="B450" t="s">
        <v>491</v>
      </c>
      <c r="C450">
        <v>20.7</v>
      </c>
      <c r="D450">
        <v>20.100000000000001</v>
      </c>
      <c r="E450" s="178">
        <v>-0.6</v>
      </c>
      <c r="F450" s="176">
        <v>-2.9</v>
      </c>
      <c r="G450" t="s">
        <v>5259</v>
      </c>
      <c r="H450">
        <v>7997</v>
      </c>
      <c r="I450">
        <v>9286</v>
      </c>
      <c r="J450">
        <v>168.47</v>
      </c>
      <c r="K450">
        <v>20.8</v>
      </c>
      <c r="L450">
        <v>19.649999999999999</v>
      </c>
      <c r="M450" s="175">
        <v>0.47</v>
      </c>
      <c r="N450" t="s">
        <v>3337</v>
      </c>
    </row>
    <row r="451" spans="1:14">
      <c r="A451">
        <v>1435</v>
      </c>
      <c r="B451" t="s">
        <v>3193</v>
      </c>
      <c r="C451">
        <v>21.3</v>
      </c>
      <c r="D451">
        <v>20</v>
      </c>
      <c r="E451" s="178">
        <v>-0.7</v>
      </c>
      <c r="F451" s="176">
        <v>-3.38</v>
      </c>
      <c r="G451" t="s">
        <v>5725</v>
      </c>
      <c r="H451">
        <v>24</v>
      </c>
      <c r="I451">
        <v>8</v>
      </c>
      <c r="J451">
        <v>13.98</v>
      </c>
      <c r="K451">
        <v>21.3</v>
      </c>
      <c r="L451">
        <v>19.95</v>
      </c>
      <c r="M451" s="175">
        <v>0.02</v>
      </c>
      <c r="N451" t="s">
        <v>3338</v>
      </c>
    </row>
    <row r="452" spans="1:14">
      <c r="A452">
        <v>1436</v>
      </c>
      <c r="B452" t="s">
        <v>492</v>
      </c>
      <c r="C452">
        <v>36.6</v>
      </c>
      <c r="D452">
        <v>36.5</v>
      </c>
      <c r="E452" s="178">
        <v>-0.1</v>
      </c>
      <c r="F452" s="176">
        <v>-0.27</v>
      </c>
      <c r="G452" t="s">
        <v>5520</v>
      </c>
      <c r="H452">
        <v>102</v>
      </c>
      <c r="I452">
        <v>97</v>
      </c>
      <c r="J452">
        <v>19.420000000000002</v>
      </c>
      <c r="K452">
        <v>36.700000000000003</v>
      </c>
      <c r="L452">
        <v>36.299999999999997</v>
      </c>
      <c r="M452" s="175">
        <v>0.05</v>
      </c>
      <c r="N452" t="s">
        <v>3339</v>
      </c>
    </row>
    <row r="453" spans="1:14">
      <c r="A453">
        <v>1437</v>
      </c>
      <c r="B453" t="s">
        <v>493</v>
      </c>
      <c r="C453">
        <v>31.1</v>
      </c>
      <c r="D453">
        <v>31</v>
      </c>
      <c r="E453" s="178">
        <v>-0.2</v>
      </c>
      <c r="F453" s="176">
        <v>-0.64</v>
      </c>
      <c r="G453" t="s">
        <v>5595</v>
      </c>
      <c r="H453">
        <v>76</v>
      </c>
      <c r="I453">
        <v>44</v>
      </c>
      <c r="J453">
        <v>20.190000000000001</v>
      </c>
      <c r="K453">
        <v>31.25</v>
      </c>
      <c r="L453">
        <v>30.85</v>
      </c>
      <c r="M453" s="175">
        <v>0.04</v>
      </c>
      <c r="N453" t="s">
        <v>3340</v>
      </c>
    </row>
    <row r="454" spans="1:14">
      <c r="A454">
        <v>1438</v>
      </c>
      <c r="B454" t="s">
        <v>494</v>
      </c>
      <c r="C454">
        <v>21.55</v>
      </c>
      <c r="D454">
        <v>21.6</v>
      </c>
      <c r="E454" s="178">
        <v>-0.2</v>
      </c>
      <c r="F454" s="176">
        <v>-0.92</v>
      </c>
      <c r="G454" t="s">
        <v>5608</v>
      </c>
      <c r="H454">
        <v>150</v>
      </c>
      <c r="I454">
        <v>24</v>
      </c>
      <c r="J454">
        <v>12.01</v>
      </c>
      <c r="K454">
        <v>21.8</v>
      </c>
      <c r="L454">
        <v>21.35</v>
      </c>
      <c r="M454" s="175">
        <v>0.12</v>
      </c>
      <c r="N454" t="s">
        <v>3341</v>
      </c>
    </row>
    <row r="455" spans="1:14">
      <c r="A455">
        <v>1439</v>
      </c>
      <c r="B455" t="s">
        <v>1659</v>
      </c>
      <c r="C455">
        <v>28.2</v>
      </c>
      <c r="D455">
        <v>28.95</v>
      </c>
      <c r="E455" s="178">
        <v>0.45</v>
      </c>
      <c r="F455" s="176">
        <v>1.58</v>
      </c>
      <c r="G455" t="s">
        <v>6025</v>
      </c>
      <c r="H455">
        <v>22</v>
      </c>
      <c r="I455">
        <v>31</v>
      </c>
      <c r="J455">
        <v>9.1999999999999993</v>
      </c>
      <c r="K455">
        <v>29</v>
      </c>
      <c r="L455">
        <v>28</v>
      </c>
      <c r="M455" s="175">
        <v>0.02</v>
      </c>
      <c r="N455" t="s">
        <v>3342</v>
      </c>
    </row>
    <row r="456" spans="1:14">
      <c r="A456">
        <v>1440</v>
      </c>
      <c r="B456" t="s">
        <v>1541</v>
      </c>
      <c r="C456">
        <v>14.3</v>
      </c>
      <c r="D456">
        <v>14.1</v>
      </c>
      <c r="E456" s="178">
        <v>-0.4</v>
      </c>
      <c r="F456" s="176">
        <v>-2.76</v>
      </c>
      <c r="G456" t="s">
        <v>6026</v>
      </c>
      <c r="H456">
        <v>5735</v>
      </c>
      <c r="I456">
        <v>5793</v>
      </c>
      <c r="J456">
        <v>165.68</v>
      </c>
      <c r="K456">
        <v>14.3</v>
      </c>
      <c r="L456">
        <v>13.75</v>
      </c>
      <c r="M456" s="175">
        <v>0.35</v>
      </c>
      <c r="N456" t="s">
        <v>3343</v>
      </c>
    </row>
    <row r="457" spans="1:14">
      <c r="A457">
        <v>1441</v>
      </c>
      <c r="B457" t="s">
        <v>5225</v>
      </c>
      <c r="C457">
        <v>9.65</v>
      </c>
      <c r="D457">
        <v>9.6199999999999992</v>
      </c>
      <c r="E457" s="178">
        <v>-0.03</v>
      </c>
      <c r="F457" s="176">
        <v>-0.31</v>
      </c>
      <c r="G457" t="s">
        <v>6027</v>
      </c>
      <c r="H457">
        <v>9</v>
      </c>
      <c r="I457">
        <v>37</v>
      </c>
      <c r="J457">
        <v>6.17</v>
      </c>
      <c r="K457">
        <v>9.65</v>
      </c>
      <c r="L457">
        <v>9.6199999999999992</v>
      </c>
      <c r="M457" s="175">
        <v>0.01</v>
      </c>
      <c r="N457" t="s">
        <v>5226</v>
      </c>
    </row>
    <row r="458" spans="1:14">
      <c r="A458">
        <v>1442</v>
      </c>
      <c r="B458" t="s">
        <v>495</v>
      </c>
      <c r="C458">
        <v>26.85</v>
      </c>
      <c r="D458">
        <v>26.75</v>
      </c>
      <c r="E458" s="178">
        <v>-0.05</v>
      </c>
      <c r="F458" s="176">
        <v>-0.19</v>
      </c>
      <c r="G458" t="s">
        <v>5736</v>
      </c>
      <c r="H458">
        <v>251</v>
      </c>
      <c r="I458">
        <v>167</v>
      </c>
      <c r="J458">
        <v>36.619999999999997</v>
      </c>
      <c r="K458">
        <v>27</v>
      </c>
      <c r="L458">
        <v>26.75</v>
      </c>
      <c r="M458" s="175">
        <v>7.0000000000000007E-2</v>
      </c>
      <c r="N458" t="s">
        <v>3344</v>
      </c>
    </row>
    <row r="459" spans="1:14">
      <c r="A459">
        <v>1443</v>
      </c>
      <c r="B459" t="s">
        <v>1651</v>
      </c>
      <c r="C459">
        <v>22.85</v>
      </c>
      <c r="D459">
        <v>22.55</v>
      </c>
      <c r="E459" s="178">
        <v>-0.4</v>
      </c>
      <c r="F459" s="176">
        <v>-1.74</v>
      </c>
      <c r="G459" t="s">
        <v>6028</v>
      </c>
      <c r="H459">
        <v>15</v>
      </c>
      <c r="I459">
        <v>12</v>
      </c>
      <c r="J459">
        <v>13.53</v>
      </c>
      <c r="K459">
        <v>22.85</v>
      </c>
      <c r="L459">
        <v>22.35</v>
      </c>
      <c r="M459" s="175">
        <v>0.01</v>
      </c>
      <c r="N459" t="s">
        <v>3345</v>
      </c>
    </row>
    <row r="460" spans="1:14">
      <c r="A460">
        <v>1444</v>
      </c>
      <c r="B460" t="s">
        <v>496</v>
      </c>
      <c r="C460">
        <v>7</v>
      </c>
      <c r="D460">
        <v>6.92</v>
      </c>
      <c r="E460" s="178">
        <v>-0.13</v>
      </c>
      <c r="F460" s="176">
        <v>-1.84</v>
      </c>
      <c r="G460" t="s">
        <v>5565</v>
      </c>
      <c r="H460">
        <v>1444</v>
      </c>
      <c r="I460">
        <v>1621</v>
      </c>
      <c r="J460">
        <v>99.56</v>
      </c>
      <c r="K460">
        <v>7.01</v>
      </c>
      <c r="L460">
        <v>6.9</v>
      </c>
      <c r="M460" s="175">
        <v>0.15</v>
      </c>
      <c r="N460" t="s">
        <v>3346</v>
      </c>
    </row>
    <row r="461" spans="1:14">
      <c r="A461">
        <v>1445</v>
      </c>
      <c r="B461" t="s">
        <v>497</v>
      </c>
      <c r="C461">
        <v>10.050000000000001</v>
      </c>
      <c r="D461">
        <v>10</v>
      </c>
      <c r="E461" s="178">
        <v>-0.1</v>
      </c>
      <c r="F461" s="176">
        <v>-0.99</v>
      </c>
      <c r="G461" t="s">
        <v>5747</v>
      </c>
      <c r="H461">
        <v>38</v>
      </c>
      <c r="I461">
        <v>84</v>
      </c>
      <c r="J461">
        <v>13.07</v>
      </c>
      <c r="K461">
        <v>10.050000000000001</v>
      </c>
      <c r="L461">
        <v>10</v>
      </c>
      <c r="M461" s="175">
        <v>0.03</v>
      </c>
      <c r="N461" t="s">
        <v>3347</v>
      </c>
    </row>
    <row r="462" spans="1:14">
      <c r="A462">
        <v>1446</v>
      </c>
      <c r="B462" t="s">
        <v>498</v>
      </c>
      <c r="C462">
        <v>13.55</v>
      </c>
      <c r="D462">
        <v>13.5</v>
      </c>
      <c r="E462" s="178">
        <v>-0.05</v>
      </c>
      <c r="F462" s="176">
        <v>-0.37</v>
      </c>
      <c r="G462" t="s">
        <v>5345</v>
      </c>
      <c r="H462">
        <v>178</v>
      </c>
      <c r="I462">
        <v>63</v>
      </c>
      <c r="J462">
        <v>13.77</v>
      </c>
      <c r="K462">
        <v>13.6</v>
      </c>
      <c r="L462">
        <v>13.45</v>
      </c>
      <c r="M462" s="175">
        <v>0.13</v>
      </c>
      <c r="N462" t="s">
        <v>3348</v>
      </c>
    </row>
    <row r="463" spans="1:14">
      <c r="A463">
        <v>1447</v>
      </c>
      <c r="B463" t="s">
        <v>499</v>
      </c>
      <c r="C463">
        <v>6.55</v>
      </c>
      <c r="D463">
        <v>6.55</v>
      </c>
      <c r="E463" s="178">
        <v>-0.05</v>
      </c>
      <c r="F463" s="176">
        <v>-0.76</v>
      </c>
      <c r="G463" t="s">
        <v>6029</v>
      </c>
      <c r="H463">
        <v>1110</v>
      </c>
      <c r="I463">
        <v>854</v>
      </c>
      <c r="J463">
        <v>91.01</v>
      </c>
      <c r="K463">
        <v>6.6</v>
      </c>
      <c r="L463">
        <v>6.45</v>
      </c>
      <c r="M463" s="175">
        <v>0.12</v>
      </c>
      <c r="N463" t="s">
        <v>3349</v>
      </c>
    </row>
    <row r="464" spans="1:14">
      <c r="A464">
        <v>1449</v>
      </c>
      <c r="B464" t="s">
        <v>1673</v>
      </c>
      <c r="C464">
        <v>12.75</v>
      </c>
      <c r="D464">
        <v>12.6</v>
      </c>
      <c r="E464" s="178">
        <v>-0.2</v>
      </c>
      <c r="F464" s="176">
        <v>-1.56</v>
      </c>
      <c r="G464" t="s">
        <v>5552</v>
      </c>
      <c r="H464">
        <v>301</v>
      </c>
      <c r="I464">
        <v>703</v>
      </c>
      <c r="J464">
        <v>12.84</v>
      </c>
      <c r="K464">
        <v>12.75</v>
      </c>
      <c r="L464">
        <v>12.45</v>
      </c>
      <c r="M464" s="175">
        <v>0.23</v>
      </c>
      <c r="N464" t="s">
        <v>3350</v>
      </c>
    </row>
    <row r="465" spans="1:14">
      <c r="A465">
        <v>1451</v>
      </c>
      <c r="B465" t="s">
        <v>500</v>
      </c>
      <c r="C465">
        <v>17.25</v>
      </c>
      <c r="D465">
        <v>17.100000000000001</v>
      </c>
      <c r="E465" s="178">
        <v>0</v>
      </c>
      <c r="F465" s="176">
        <v>0</v>
      </c>
      <c r="G465" t="s">
        <v>5617</v>
      </c>
      <c r="H465">
        <v>127</v>
      </c>
      <c r="I465">
        <v>137</v>
      </c>
      <c r="J465">
        <v>19.8</v>
      </c>
      <c r="K465">
        <v>17.25</v>
      </c>
      <c r="L465">
        <v>17</v>
      </c>
      <c r="M465" s="175">
        <v>0.06</v>
      </c>
      <c r="N465" t="s">
        <v>3351</v>
      </c>
    </row>
    <row r="466" spans="1:14">
      <c r="A466">
        <v>1452</v>
      </c>
      <c r="B466" t="s">
        <v>501</v>
      </c>
      <c r="C466">
        <v>10.7</v>
      </c>
      <c r="D466">
        <v>10.75</v>
      </c>
      <c r="E466" s="178">
        <v>0</v>
      </c>
      <c r="F466" s="176">
        <v>0</v>
      </c>
      <c r="G466" t="s">
        <v>5245</v>
      </c>
      <c r="H466">
        <v>149</v>
      </c>
      <c r="I466">
        <v>49</v>
      </c>
      <c r="J466">
        <v>13.26</v>
      </c>
      <c r="K466">
        <v>10.75</v>
      </c>
      <c r="L466">
        <v>10.65</v>
      </c>
      <c r="M466" s="175">
        <v>0.11</v>
      </c>
      <c r="N466" t="s">
        <v>3352</v>
      </c>
    </row>
    <row r="467" spans="1:14">
      <c r="A467">
        <v>1453</v>
      </c>
      <c r="B467" t="s">
        <v>502</v>
      </c>
      <c r="C467">
        <v>10.95</v>
      </c>
      <c r="D467">
        <v>10.85</v>
      </c>
      <c r="E467" s="178">
        <v>-0.15</v>
      </c>
      <c r="F467" s="176">
        <v>-1.36</v>
      </c>
      <c r="G467" t="s">
        <v>6030</v>
      </c>
      <c r="H467">
        <v>15</v>
      </c>
      <c r="I467">
        <v>31</v>
      </c>
      <c r="J467">
        <v>11.66</v>
      </c>
      <c r="K467">
        <v>10.95</v>
      </c>
      <c r="L467">
        <v>10.85</v>
      </c>
      <c r="M467" s="175">
        <v>0.01</v>
      </c>
      <c r="N467" t="s">
        <v>3353</v>
      </c>
    </row>
    <row r="468" spans="1:14">
      <c r="A468">
        <v>1454</v>
      </c>
      <c r="B468" t="s">
        <v>503</v>
      </c>
      <c r="C468">
        <v>12.85</v>
      </c>
      <c r="D468">
        <v>12.85</v>
      </c>
      <c r="E468" s="178">
        <v>-0.1</v>
      </c>
      <c r="F468" s="176">
        <v>-0.77</v>
      </c>
      <c r="G468" t="s">
        <v>5538</v>
      </c>
      <c r="H468">
        <v>15</v>
      </c>
      <c r="I468">
        <v>115</v>
      </c>
      <c r="J468">
        <v>12.98</v>
      </c>
      <c r="K468">
        <v>12.95</v>
      </c>
      <c r="L468">
        <v>12.85</v>
      </c>
      <c r="M468" s="175">
        <v>0.01</v>
      </c>
      <c r="N468" t="s">
        <v>3354</v>
      </c>
    </row>
    <row r="469" spans="1:14">
      <c r="A469">
        <v>1455</v>
      </c>
      <c r="B469" t="s">
        <v>504</v>
      </c>
      <c r="C469">
        <v>10.199999999999999</v>
      </c>
      <c r="D469">
        <v>9.99</v>
      </c>
      <c r="E469" s="178">
        <v>-0.31</v>
      </c>
      <c r="F469" s="176">
        <v>-3.01</v>
      </c>
      <c r="G469" t="s">
        <v>6031</v>
      </c>
      <c r="H469">
        <v>2668</v>
      </c>
      <c r="I469">
        <v>7224</v>
      </c>
      <c r="J469">
        <v>53.17</v>
      </c>
      <c r="K469">
        <v>10.25</v>
      </c>
      <c r="L469">
        <v>9.9499999999999993</v>
      </c>
      <c r="M469" s="175">
        <v>0.5</v>
      </c>
      <c r="N469" t="s">
        <v>3355</v>
      </c>
    </row>
    <row r="470" spans="1:14">
      <c r="A470">
        <v>1456</v>
      </c>
      <c r="B470" t="s">
        <v>505</v>
      </c>
      <c r="C470">
        <v>15.3</v>
      </c>
      <c r="D470">
        <v>15.5</v>
      </c>
      <c r="E470" s="178">
        <v>0.1</v>
      </c>
      <c r="F470" s="176">
        <v>0.65</v>
      </c>
      <c r="G470" t="s">
        <v>5723</v>
      </c>
      <c r="H470">
        <v>152</v>
      </c>
      <c r="I470">
        <v>123</v>
      </c>
      <c r="J470">
        <v>9.3699999999999992</v>
      </c>
      <c r="K470">
        <v>15.5</v>
      </c>
      <c r="L470">
        <v>15.1</v>
      </c>
      <c r="M470" s="175">
        <v>0.16</v>
      </c>
      <c r="N470" t="s">
        <v>3356</v>
      </c>
    </row>
    <row r="471" spans="1:14">
      <c r="A471">
        <v>1457</v>
      </c>
      <c r="B471" t="s">
        <v>506</v>
      </c>
      <c r="C471">
        <v>14.4</v>
      </c>
      <c r="D471">
        <v>14.3</v>
      </c>
      <c r="E471" s="178">
        <v>-0.15</v>
      </c>
      <c r="F471" s="176">
        <v>-1.04</v>
      </c>
      <c r="G471" t="s">
        <v>5717</v>
      </c>
      <c r="H471">
        <v>115</v>
      </c>
      <c r="I471">
        <v>119</v>
      </c>
      <c r="J471">
        <v>31.67</v>
      </c>
      <c r="K471">
        <v>14.45</v>
      </c>
      <c r="L471">
        <v>14.25</v>
      </c>
      <c r="M471" s="175">
        <v>0.04</v>
      </c>
      <c r="N471" t="s">
        <v>3357</v>
      </c>
    </row>
    <row r="472" spans="1:14">
      <c r="A472">
        <v>1459</v>
      </c>
      <c r="B472" t="s">
        <v>3241</v>
      </c>
      <c r="C472">
        <v>18.100000000000001</v>
      </c>
      <c r="D472">
        <v>18.149999999999999</v>
      </c>
      <c r="E472" s="178">
        <v>-0.2</v>
      </c>
      <c r="F472" s="176">
        <v>-1.0900000000000001</v>
      </c>
      <c r="G472" t="s">
        <v>5836</v>
      </c>
      <c r="H472">
        <v>382</v>
      </c>
      <c r="I472">
        <v>731</v>
      </c>
      <c r="J472">
        <v>25.27</v>
      </c>
      <c r="K472">
        <v>18.350000000000001</v>
      </c>
      <c r="L472">
        <v>17.850000000000001</v>
      </c>
      <c r="M472" s="175">
        <v>0.14000000000000001</v>
      </c>
      <c r="N472" t="s">
        <v>3358</v>
      </c>
    </row>
    <row r="473" spans="1:14">
      <c r="A473">
        <v>1460</v>
      </c>
      <c r="B473" t="s">
        <v>507</v>
      </c>
      <c r="C473">
        <v>6.17</v>
      </c>
      <c r="D473">
        <v>6.14</v>
      </c>
      <c r="E473" s="178">
        <v>-0.06</v>
      </c>
      <c r="F473" s="176">
        <v>-0.97</v>
      </c>
      <c r="G473" t="s">
        <v>5342</v>
      </c>
      <c r="H473">
        <v>249</v>
      </c>
      <c r="I473">
        <v>255</v>
      </c>
      <c r="J473">
        <v>69.459999999999994</v>
      </c>
      <c r="K473">
        <v>6.17</v>
      </c>
      <c r="L473">
        <v>6.11</v>
      </c>
      <c r="M473" s="175">
        <v>0.04</v>
      </c>
      <c r="N473" t="s">
        <v>3359</v>
      </c>
    </row>
    <row r="474" spans="1:14">
      <c r="A474">
        <v>1463</v>
      </c>
      <c r="B474" t="s">
        <v>2625</v>
      </c>
      <c r="C474">
        <v>17.350000000000001</v>
      </c>
      <c r="D474">
        <v>17.899999999999999</v>
      </c>
      <c r="E474" s="178">
        <v>0.1</v>
      </c>
      <c r="F474" s="176">
        <v>0.56000000000000005</v>
      </c>
      <c r="G474" t="s">
        <v>5651</v>
      </c>
      <c r="H474">
        <v>83</v>
      </c>
      <c r="I474">
        <v>109</v>
      </c>
      <c r="J474">
        <v>17.329999999999998</v>
      </c>
      <c r="K474">
        <v>17.899999999999999</v>
      </c>
      <c r="L474">
        <v>17.350000000000001</v>
      </c>
      <c r="M474" s="175">
        <v>0.05</v>
      </c>
      <c r="N474" t="s">
        <v>3360</v>
      </c>
    </row>
    <row r="475" spans="1:14">
      <c r="A475">
        <v>1464</v>
      </c>
      <c r="B475" t="s">
        <v>508</v>
      </c>
      <c r="C475">
        <v>10</v>
      </c>
      <c r="D475">
        <v>9.9499999999999993</v>
      </c>
      <c r="E475" s="178">
        <v>-0.03</v>
      </c>
      <c r="F475" s="176">
        <v>-0.3</v>
      </c>
      <c r="G475" t="s">
        <v>5680</v>
      </c>
      <c r="H475">
        <v>285</v>
      </c>
      <c r="I475">
        <v>230</v>
      </c>
      <c r="J475">
        <v>42.56</v>
      </c>
      <c r="K475">
        <v>10</v>
      </c>
      <c r="L475">
        <v>9.92</v>
      </c>
      <c r="M475" s="175">
        <v>7.0000000000000007E-2</v>
      </c>
      <c r="N475" t="s">
        <v>3361</v>
      </c>
    </row>
    <row r="476" spans="1:14">
      <c r="A476">
        <v>1465</v>
      </c>
      <c r="B476" t="s">
        <v>509</v>
      </c>
      <c r="C476">
        <v>11.8</v>
      </c>
      <c r="D476">
        <v>11.85</v>
      </c>
      <c r="E476" s="178">
        <v>-0.1</v>
      </c>
      <c r="F476" s="176">
        <v>-0.84</v>
      </c>
      <c r="G476" t="s">
        <v>6032</v>
      </c>
      <c r="H476">
        <v>53</v>
      </c>
      <c r="I476">
        <v>97</v>
      </c>
      <c r="J476">
        <v>10.36</v>
      </c>
      <c r="K476">
        <v>11.9</v>
      </c>
      <c r="L476">
        <v>11.7</v>
      </c>
      <c r="M476" s="175">
        <v>0.05</v>
      </c>
      <c r="N476" t="s">
        <v>3362</v>
      </c>
    </row>
    <row r="477" spans="1:14">
      <c r="A477">
        <v>1466</v>
      </c>
      <c r="B477" t="s">
        <v>510</v>
      </c>
      <c r="C477">
        <v>14.35</v>
      </c>
      <c r="D477">
        <v>14.35</v>
      </c>
      <c r="E477" s="178">
        <v>-0.05</v>
      </c>
      <c r="F477" s="176">
        <v>-0.35</v>
      </c>
      <c r="G477" t="s">
        <v>5277</v>
      </c>
      <c r="H477">
        <v>219</v>
      </c>
      <c r="I477">
        <v>215</v>
      </c>
      <c r="J477">
        <v>11.12</v>
      </c>
      <c r="K477">
        <v>14.35</v>
      </c>
      <c r="L477">
        <v>14.15</v>
      </c>
      <c r="M477" s="175">
        <v>0.2</v>
      </c>
      <c r="N477" t="s">
        <v>3363</v>
      </c>
    </row>
    <row r="478" spans="1:14">
      <c r="A478">
        <v>1467</v>
      </c>
      <c r="B478" t="s">
        <v>511</v>
      </c>
      <c r="C478">
        <v>8.2200000000000006</v>
      </c>
      <c r="D478">
        <v>8.1</v>
      </c>
      <c r="E478" s="178">
        <v>-0.19</v>
      </c>
      <c r="F478" s="176">
        <v>-2.29</v>
      </c>
      <c r="G478" t="s">
        <v>6033</v>
      </c>
      <c r="H478">
        <v>96</v>
      </c>
      <c r="I478">
        <v>160</v>
      </c>
      <c r="J478">
        <v>23.36</v>
      </c>
      <c r="K478">
        <v>8.2200000000000006</v>
      </c>
      <c r="L478">
        <v>8.06</v>
      </c>
      <c r="M478" s="175">
        <v>0.06</v>
      </c>
      <c r="N478" t="s">
        <v>3364</v>
      </c>
    </row>
    <row r="479" spans="1:14">
      <c r="A479">
        <v>1468</v>
      </c>
      <c r="B479" t="s">
        <v>512</v>
      </c>
      <c r="C479">
        <v>13.1</v>
      </c>
      <c r="D479">
        <v>13.2</v>
      </c>
      <c r="E479" s="178">
        <v>-0.1</v>
      </c>
      <c r="F479" s="176">
        <v>-0.75</v>
      </c>
      <c r="G479" t="s">
        <v>5663</v>
      </c>
      <c r="H479">
        <v>63</v>
      </c>
      <c r="I479">
        <v>72</v>
      </c>
      <c r="J479">
        <v>16.04</v>
      </c>
      <c r="K479">
        <v>13.2</v>
      </c>
      <c r="L479">
        <v>12.9</v>
      </c>
      <c r="M479" s="175">
        <v>0.04</v>
      </c>
      <c r="N479" t="s">
        <v>3365</v>
      </c>
    </row>
    <row r="480" spans="1:14">
      <c r="A480">
        <v>1470</v>
      </c>
      <c r="B480" t="s">
        <v>513</v>
      </c>
      <c r="C480">
        <v>24.65</v>
      </c>
      <c r="D480">
        <v>24.8</v>
      </c>
      <c r="E480" s="178">
        <v>0.1</v>
      </c>
      <c r="F480" s="176">
        <v>0.4</v>
      </c>
      <c r="G480" t="s">
        <v>5706</v>
      </c>
      <c r="H480">
        <v>13</v>
      </c>
      <c r="I480">
        <v>11</v>
      </c>
      <c r="J480">
        <v>8.58</v>
      </c>
      <c r="K480">
        <v>25.1</v>
      </c>
      <c r="L480">
        <v>24.6</v>
      </c>
      <c r="M480" s="175">
        <v>0.02</v>
      </c>
      <c r="N480" t="s">
        <v>3366</v>
      </c>
    </row>
    <row r="481" spans="1:14">
      <c r="A481">
        <v>1471</v>
      </c>
      <c r="B481" t="s">
        <v>514</v>
      </c>
      <c r="C481">
        <v>9.3000000000000007</v>
      </c>
      <c r="D481">
        <v>9.14</v>
      </c>
      <c r="E481" s="178">
        <v>-0.13</v>
      </c>
      <c r="F481" s="176">
        <v>-1.4</v>
      </c>
      <c r="G481" t="s">
        <v>5615</v>
      </c>
      <c r="H481">
        <v>256</v>
      </c>
      <c r="I481">
        <v>289</v>
      </c>
      <c r="J481">
        <v>15.04</v>
      </c>
      <c r="K481">
        <v>9.3000000000000007</v>
      </c>
      <c r="L481">
        <v>9.1300000000000008</v>
      </c>
      <c r="M481" s="175">
        <v>0.18</v>
      </c>
      <c r="N481" t="s">
        <v>3367</v>
      </c>
    </row>
    <row r="482" spans="1:14">
      <c r="A482">
        <v>1472</v>
      </c>
      <c r="B482" t="s">
        <v>1582</v>
      </c>
      <c r="C482">
        <v>88.3</v>
      </c>
      <c r="D482">
        <v>88.3</v>
      </c>
      <c r="E482" s="178">
        <v>-1</v>
      </c>
      <c r="F482" s="176">
        <v>-1.1200000000000001</v>
      </c>
      <c r="G482" t="s">
        <v>6034</v>
      </c>
      <c r="H482">
        <v>106</v>
      </c>
      <c r="I482">
        <v>65</v>
      </c>
      <c r="J482">
        <v>5.28</v>
      </c>
      <c r="K482">
        <v>89.3</v>
      </c>
      <c r="L482">
        <v>88</v>
      </c>
      <c r="M482" s="175">
        <v>0.2</v>
      </c>
      <c r="N482" t="s">
        <v>3368</v>
      </c>
    </row>
    <row r="483" spans="1:14">
      <c r="A483">
        <v>1473</v>
      </c>
      <c r="B483" t="s">
        <v>515</v>
      </c>
      <c r="C483">
        <v>19.100000000000001</v>
      </c>
      <c r="D483">
        <v>18.850000000000001</v>
      </c>
      <c r="E483" s="178">
        <v>-0.15</v>
      </c>
      <c r="F483" s="176">
        <v>-0.79</v>
      </c>
      <c r="G483" t="s">
        <v>5155</v>
      </c>
      <c r="H483">
        <v>64</v>
      </c>
      <c r="I483">
        <v>79</v>
      </c>
      <c r="J483">
        <v>14.62</v>
      </c>
      <c r="K483">
        <v>19.100000000000001</v>
      </c>
      <c r="L483">
        <v>18.8</v>
      </c>
      <c r="M483" s="175">
        <v>0.04</v>
      </c>
      <c r="N483" t="s">
        <v>3369</v>
      </c>
    </row>
    <row r="484" spans="1:14">
      <c r="A484">
        <v>1474</v>
      </c>
      <c r="B484" t="s">
        <v>516</v>
      </c>
      <c r="C484">
        <v>9.9499999999999993</v>
      </c>
      <c r="D484">
        <v>9.99</v>
      </c>
      <c r="E484" s="178">
        <v>-0.06</v>
      </c>
      <c r="F484" s="176">
        <v>-0.6</v>
      </c>
      <c r="G484" t="s">
        <v>6035</v>
      </c>
      <c r="H484">
        <v>75</v>
      </c>
      <c r="I484">
        <v>138</v>
      </c>
      <c r="J484">
        <v>12.99</v>
      </c>
      <c r="K484">
        <v>10.050000000000001</v>
      </c>
      <c r="L484">
        <v>9.8800000000000008</v>
      </c>
      <c r="M484" s="175">
        <v>0.06</v>
      </c>
      <c r="N484" t="s">
        <v>3370</v>
      </c>
    </row>
    <row r="485" spans="1:14">
      <c r="A485">
        <v>1475</v>
      </c>
      <c r="B485" t="s">
        <v>517</v>
      </c>
      <c r="C485">
        <v>25.95</v>
      </c>
      <c r="D485">
        <v>25.6</v>
      </c>
      <c r="E485" s="178">
        <v>-0.1</v>
      </c>
      <c r="F485" s="176">
        <v>-0.39</v>
      </c>
      <c r="G485" t="s">
        <v>6015</v>
      </c>
      <c r="H485">
        <v>15</v>
      </c>
      <c r="I485">
        <v>20</v>
      </c>
      <c r="J485">
        <v>6.6</v>
      </c>
      <c r="K485">
        <v>25.95</v>
      </c>
      <c r="L485">
        <v>25.6</v>
      </c>
      <c r="M485" s="175">
        <v>0.02</v>
      </c>
      <c r="N485" t="s">
        <v>3371</v>
      </c>
    </row>
    <row r="486" spans="1:14">
      <c r="A486">
        <v>1476</v>
      </c>
      <c r="B486" t="s">
        <v>518</v>
      </c>
      <c r="C486">
        <v>314.5</v>
      </c>
      <c r="D486">
        <v>324</v>
      </c>
      <c r="E486" s="178">
        <v>10</v>
      </c>
      <c r="F486" s="176">
        <v>3.18</v>
      </c>
      <c r="G486" t="s">
        <v>6036</v>
      </c>
      <c r="H486">
        <v>2569</v>
      </c>
      <c r="I486">
        <v>2468</v>
      </c>
      <c r="J486">
        <v>27.44</v>
      </c>
      <c r="K486">
        <v>325</v>
      </c>
      <c r="L486">
        <v>312.5</v>
      </c>
      <c r="M486" s="175">
        <v>0.94</v>
      </c>
      <c r="N486" t="s">
        <v>3372</v>
      </c>
    </row>
    <row r="487" spans="1:14">
      <c r="A487">
        <v>1477</v>
      </c>
      <c r="B487" t="s">
        <v>519</v>
      </c>
      <c r="C487">
        <v>207.5</v>
      </c>
      <c r="D487">
        <v>208.5</v>
      </c>
      <c r="E487" s="178">
        <v>2.5</v>
      </c>
      <c r="F487" s="176">
        <v>1.21</v>
      </c>
      <c r="G487" t="s">
        <v>6037</v>
      </c>
      <c r="H487">
        <v>2869</v>
      </c>
      <c r="I487">
        <v>1596</v>
      </c>
      <c r="J487">
        <v>24.67</v>
      </c>
      <c r="K487">
        <v>211</v>
      </c>
      <c r="L487">
        <v>206.5</v>
      </c>
      <c r="M487" s="175">
        <v>1.1599999999999999</v>
      </c>
      <c r="N487" t="s">
        <v>3373</v>
      </c>
    </row>
    <row r="488" spans="1:14">
      <c r="A488">
        <v>1503</v>
      </c>
      <c r="B488" t="s">
        <v>520</v>
      </c>
      <c r="C488">
        <v>198</v>
      </c>
      <c r="D488">
        <v>197</v>
      </c>
      <c r="E488" s="178">
        <v>-6</v>
      </c>
      <c r="F488" s="176">
        <v>-2.96</v>
      </c>
      <c r="G488" t="s">
        <v>6038</v>
      </c>
      <c r="H488">
        <v>1160</v>
      </c>
      <c r="I488">
        <v>1616</v>
      </c>
      <c r="J488">
        <v>52.1</v>
      </c>
      <c r="K488">
        <v>199.5</v>
      </c>
      <c r="L488">
        <v>196.5</v>
      </c>
      <c r="M488" s="175">
        <v>0.22</v>
      </c>
      <c r="N488" t="s">
        <v>3374</v>
      </c>
    </row>
    <row r="489" spans="1:14">
      <c r="A489">
        <v>1504</v>
      </c>
      <c r="B489" t="s">
        <v>521</v>
      </c>
      <c r="C489">
        <v>70.2</v>
      </c>
      <c r="D489">
        <v>69.2</v>
      </c>
      <c r="E489" s="178">
        <v>-1.7</v>
      </c>
      <c r="F489" s="176">
        <v>-2.4</v>
      </c>
      <c r="G489" t="s">
        <v>5476</v>
      </c>
      <c r="H489">
        <v>5446</v>
      </c>
      <c r="I489">
        <v>11460</v>
      </c>
      <c r="J489">
        <v>237.64</v>
      </c>
      <c r="K489">
        <v>70.5</v>
      </c>
      <c r="L489">
        <v>68.900000000000006</v>
      </c>
      <c r="M489" s="175">
        <v>0.23</v>
      </c>
      <c r="N489" t="s">
        <v>3375</v>
      </c>
    </row>
    <row r="490" spans="1:14">
      <c r="A490">
        <v>1506</v>
      </c>
      <c r="B490" t="s">
        <v>522</v>
      </c>
      <c r="C490">
        <v>9.57</v>
      </c>
      <c r="D490">
        <v>9.6</v>
      </c>
      <c r="E490" s="178">
        <v>-0.01</v>
      </c>
      <c r="F490" s="176">
        <v>-0.1</v>
      </c>
      <c r="G490" t="s">
        <v>6039</v>
      </c>
      <c r="H490">
        <v>294</v>
      </c>
      <c r="I490">
        <v>91</v>
      </c>
      <c r="J490">
        <v>30.04</v>
      </c>
      <c r="K490">
        <v>9.68</v>
      </c>
      <c r="L490">
        <v>9.48</v>
      </c>
      <c r="M490" s="175">
        <v>0.18</v>
      </c>
      <c r="N490" t="s">
        <v>3376</v>
      </c>
    </row>
    <row r="491" spans="1:14">
      <c r="A491">
        <v>1512</v>
      </c>
      <c r="B491" t="s">
        <v>523</v>
      </c>
      <c r="C491">
        <v>6.28</v>
      </c>
      <c r="D491">
        <v>6.23</v>
      </c>
      <c r="E491" s="178">
        <v>-0.05</v>
      </c>
      <c r="F491" s="176">
        <v>-0.8</v>
      </c>
      <c r="G491" t="s">
        <v>6040</v>
      </c>
      <c r="H491">
        <v>106</v>
      </c>
      <c r="I491">
        <v>31</v>
      </c>
      <c r="J491">
        <v>9.82</v>
      </c>
      <c r="K491">
        <v>6.36</v>
      </c>
      <c r="L491">
        <v>6.09</v>
      </c>
      <c r="M491" s="175">
        <v>0.11</v>
      </c>
      <c r="N491" t="s">
        <v>5548</v>
      </c>
    </row>
    <row r="492" spans="1:14">
      <c r="A492">
        <v>1513</v>
      </c>
      <c r="B492" t="s">
        <v>408</v>
      </c>
      <c r="C492">
        <v>166.5</v>
      </c>
      <c r="D492">
        <v>165</v>
      </c>
      <c r="E492" s="178">
        <v>-3.5</v>
      </c>
      <c r="F492" s="176">
        <v>-2.08</v>
      </c>
      <c r="G492" t="s">
        <v>6041</v>
      </c>
      <c r="H492">
        <v>3094</v>
      </c>
      <c r="I492">
        <v>3086</v>
      </c>
      <c r="J492">
        <v>50.31</v>
      </c>
      <c r="K492">
        <v>167</v>
      </c>
      <c r="L492">
        <v>164</v>
      </c>
      <c r="M492" s="175">
        <v>0.61</v>
      </c>
      <c r="N492" t="s">
        <v>3377</v>
      </c>
    </row>
    <row r="493" spans="1:14">
      <c r="A493">
        <v>1514</v>
      </c>
      <c r="B493" t="s">
        <v>524</v>
      </c>
      <c r="C493">
        <v>102</v>
      </c>
      <c r="D493">
        <v>100.5</v>
      </c>
      <c r="E493" s="178">
        <v>-2.5</v>
      </c>
      <c r="F493" s="176">
        <v>-2.4300000000000002</v>
      </c>
      <c r="G493" t="s">
        <v>5222</v>
      </c>
      <c r="H493">
        <v>1308</v>
      </c>
      <c r="I493">
        <v>1864</v>
      </c>
      <c r="J493">
        <v>27.86</v>
      </c>
      <c r="K493">
        <v>102</v>
      </c>
      <c r="L493">
        <v>100</v>
      </c>
      <c r="M493" s="175">
        <v>0.47</v>
      </c>
      <c r="N493" t="s">
        <v>3378</v>
      </c>
    </row>
    <row r="494" spans="1:14">
      <c r="A494">
        <v>1515</v>
      </c>
      <c r="B494" t="s">
        <v>406</v>
      </c>
      <c r="C494">
        <v>28.95</v>
      </c>
      <c r="D494">
        <v>28.75</v>
      </c>
      <c r="E494" s="178">
        <v>0</v>
      </c>
      <c r="F494" s="176">
        <v>0</v>
      </c>
      <c r="G494" t="s">
        <v>6042</v>
      </c>
      <c r="H494">
        <v>704</v>
      </c>
      <c r="I494">
        <v>590</v>
      </c>
      <c r="J494">
        <v>18.149999999999999</v>
      </c>
      <c r="K494">
        <v>29.25</v>
      </c>
      <c r="L494">
        <v>28.3</v>
      </c>
      <c r="M494" s="175">
        <v>0.39</v>
      </c>
      <c r="N494" t="s">
        <v>3379</v>
      </c>
    </row>
    <row r="495" spans="1:14">
      <c r="A495">
        <v>1517</v>
      </c>
      <c r="B495" t="s">
        <v>525</v>
      </c>
      <c r="C495">
        <v>10.35</v>
      </c>
      <c r="D495">
        <v>10.3</v>
      </c>
      <c r="E495" s="178">
        <v>-0.05</v>
      </c>
      <c r="F495" s="176">
        <v>-0.48</v>
      </c>
      <c r="G495" t="s">
        <v>5520</v>
      </c>
      <c r="H495">
        <v>358</v>
      </c>
      <c r="I495">
        <v>224</v>
      </c>
      <c r="J495">
        <v>22</v>
      </c>
      <c r="K495">
        <v>10.45</v>
      </c>
      <c r="L495">
        <v>10.25</v>
      </c>
      <c r="M495" s="175">
        <v>0.16</v>
      </c>
      <c r="N495" t="s">
        <v>3380</v>
      </c>
    </row>
    <row r="496" spans="1:14">
      <c r="A496">
        <v>1519</v>
      </c>
      <c r="B496" t="s">
        <v>526</v>
      </c>
      <c r="C496">
        <v>670</v>
      </c>
      <c r="D496">
        <v>649</v>
      </c>
      <c r="E496" s="178">
        <v>-41</v>
      </c>
      <c r="F496" s="176">
        <v>-5.94</v>
      </c>
      <c r="G496" t="s">
        <v>6043</v>
      </c>
      <c r="H496">
        <v>2627</v>
      </c>
      <c r="I496">
        <v>3111</v>
      </c>
      <c r="J496">
        <v>34.75</v>
      </c>
      <c r="K496">
        <v>683</v>
      </c>
      <c r="L496">
        <v>647</v>
      </c>
      <c r="M496" s="175">
        <v>0.76</v>
      </c>
      <c r="N496" t="s">
        <v>3381</v>
      </c>
    </row>
    <row r="497" spans="1:14">
      <c r="A497">
        <v>1521</v>
      </c>
      <c r="B497" t="s">
        <v>527</v>
      </c>
      <c r="C497">
        <v>25.9</v>
      </c>
      <c r="D497">
        <v>25.85</v>
      </c>
      <c r="E497" s="178">
        <v>-0.15</v>
      </c>
      <c r="F497" s="176">
        <v>-0.57999999999999996</v>
      </c>
      <c r="G497" t="s">
        <v>6044</v>
      </c>
      <c r="H497">
        <v>11</v>
      </c>
      <c r="I497">
        <v>22</v>
      </c>
      <c r="J497">
        <v>7.62</v>
      </c>
      <c r="K497">
        <v>25.9</v>
      </c>
      <c r="L497">
        <v>25.8</v>
      </c>
      <c r="M497" s="175">
        <v>0.01</v>
      </c>
      <c r="N497" t="s">
        <v>3382</v>
      </c>
    </row>
    <row r="498" spans="1:14">
      <c r="A498">
        <v>1522</v>
      </c>
      <c r="B498" t="s">
        <v>528</v>
      </c>
      <c r="C498">
        <v>26.7</v>
      </c>
      <c r="D498">
        <v>26.85</v>
      </c>
      <c r="E498" s="178">
        <v>0.15</v>
      </c>
      <c r="F498" s="176">
        <v>0.56000000000000005</v>
      </c>
      <c r="G498" t="s">
        <v>6045</v>
      </c>
      <c r="H498">
        <v>525</v>
      </c>
      <c r="I498">
        <v>324</v>
      </c>
      <c r="J498">
        <v>31.29</v>
      </c>
      <c r="K498">
        <v>27.25</v>
      </c>
      <c r="L498">
        <v>26.45</v>
      </c>
      <c r="M498" s="175">
        <v>0.17</v>
      </c>
      <c r="N498" t="s">
        <v>3383</v>
      </c>
    </row>
    <row r="499" spans="1:14">
      <c r="A499">
        <v>1524</v>
      </c>
      <c r="B499" t="s">
        <v>529</v>
      </c>
      <c r="C499">
        <v>27.1</v>
      </c>
      <c r="D499">
        <v>27.35</v>
      </c>
      <c r="E499" s="178">
        <v>0.2</v>
      </c>
      <c r="F499" s="176">
        <v>0.74</v>
      </c>
      <c r="G499" t="s">
        <v>6046</v>
      </c>
      <c r="H499">
        <v>725</v>
      </c>
      <c r="I499">
        <v>656</v>
      </c>
      <c r="J499">
        <v>16.53</v>
      </c>
      <c r="K499">
        <v>27.45</v>
      </c>
      <c r="L499">
        <v>26.9</v>
      </c>
      <c r="M499" s="175">
        <v>0.44</v>
      </c>
      <c r="N499" t="s">
        <v>3384</v>
      </c>
    </row>
    <row r="500" spans="1:14">
      <c r="A500">
        <v>1525</v>
      </c>
      <c r="B500" t="s">
        <v>530</v>
      </c>
      <c r="C500">
        <v>61.4</v>
      </c>
      <c r="D500">
        <v>62.6</v>
      </c>
      <c r="E500" s="178">
        <v>0.8</v>
      </c>
      <c r="F500" s="176">
        <v>1.29</v>
      </c>
      <c r="G500" t="s">
        <v>5796</v>
      </c>
      <c r="H500">
        <v>17</v>
      </c>
      <c r="I500">
        <v>11</v>
      </c>
      <c r="J500">
        <v>7.34</v>
      </c>
      <c r="K500">
        <v>62.6</v>
      </c>
      <c r="L500">
        <v>61.4</v>
      </c>
      <c r="M500" s="175">
        <v>0.02</v>
      </c>
      <c r="N500" t="s">
        <v>3385</v>
      </c>
    </row>
    <row r="501" spans="1:14">
      <c r="A501">
        <v>1526</v>
      </c>
      <c r="B501" t="s">
        <v>531</v>
      </c>
      <c r="C501">
        <v>14.9</v>
      </c>
      <c r="D501">
        <v>14.95</v>
      </c>
      <c r="E501" s="178">
        <v>0.05</v>
      </c>
      <c r="F501" s="176">
        <v>0.34</v>
      </c>
      <c r="G501" t="s">
        <v>5368</v>
      </c>
      <c r="H501">
        <v>71</v>
      </c>
      <c r="I501">
        <v>85</v>
      </c>
      <c r="J501">
        <v>6</v>
      </c>
      <c r="K501">
        <v>15</v>
      </c>
      <c r="L501">
        <v>14.75</v>
      </c>
      <c r="M501" s="175">
        <v>0.12</v>
      </c>
      <c r="N501" t="s">
        <v>3386</v>
      </c>
    </row>
    <row r="502" spans="1:14">
      <c r="A502">
        <v>1527</v>
      </c>
      <c r="B502" t="s">
        <v>532</v>
      </c>
      <c r="C502">
        <v>32.65</v>
      </c>
      <c r="D502">
        <v>32.4</v>
      </c>
      <c r="E502" s="178">
        <v>-0.25</v>
      </c>
      <c r="F502" s="176">
        <v>-0.77</v>
      </c>
      <c r="G502" t="s">
        <v>6047</v>
      </c>
      <c r="H502">
        <v>130</v>
      </c>
      <c r="I502">
        <v>98</v>
      </c>
      <c r="J502">
        <v>13.86</v>
      </c>
      <c r="K502">
        <v>32.65</v>
      </c>
      <c r="L502">
        <v>32.35</v>
      </c>
      <c r="M502" s="175">
        <v>0.09</v>
      </c>
      <c r="N502" t="s">
        <v>3387</v>
      </c>
    </row>
    <row r="503" spans="1:14">
      <c r="A503">
        <v>1528</v>
      </c>
      <c r="B503" t="s">
        <v>533</v>
      </c>
      <c r="C503">
        <v>24.9</v>
      </c>
      <c r="D503">
        <v>23.65</v>
      </c>
      <c r="E503" s="178">
        <v>-1.25</v>
      </c>
      <c r="F503" s="176">
        <v>-5.0199999999999996</v>
      </c>
      <c r="G503" t="s">
        <v>5274</v>
      </c>
      <c r="H503">
        <v>16261</v>
      </c>
      <c r="I503">
        <v>3304</v>
      </c>
      <c r="J503">
        <v>19.13</v>
      </c>
      <c r="K503">
        <v>25.9</v>
      </c>
      <c r="L503">
        <v>23.65</v>
      </c>
      <c r="M503" s="175">
        <v>8.5</v>
      </c>
      <c r="N503" t="s">
        <v>3388</v>
      </c>
    </row>
    <row r="504" spans="1:14">
      <c r="A504">
        <v>1529</v>
      </c>
      <c r="B504" t="s">
        <v>1656</v>
      </c>
      <c r="C504">
        <v>15.35</v>
      </c>
      <c r="D504">
        <v>15.05</v>
      </c>
      <c r="E504" s="178">
        <v>-0.35</v>
      </c>
      <c r="F504" s="176">
        <v>-2.27</v>
      </c>
      <c r="G504" t="s">
        <v>6048</v>
      </c>
      <c r="H504">
        <v>491</v>
      </c>
      <c r="I504">
        <v>385</v>
      </c>
      <c r="J504">
        <v>20.28</v>
      </c>
      <c r="K504">
        <v>15.35</v>
      </c>
      <c r="L504">
        <v>15</v>
      </c>
      <c r="M504" s="175">
        <v>0.24</v>
      </c>
      <c r="N504" t="s">
        <v>3389</v>
      </c>
    </row>
    <row r="505" spans="1:14">
      <c r="A505">
        <v>1530</v>
      </c>
      <c r="B505" t="s">
        <v>535</v>
      </c>
      <c r="C505">
        <v>27.3</v>
      </c>
      <c r="D505">
        <v>27.2</v>
      </c>
      <c r="E505" s="178">
        <v>-0.25</v>
      </c>
      <c r="F505" s="176">
        <v>-0.91</v>
      </c>
      <c r="G505" t="s">
        <v>6049</v>
      </c>
      <c r="H505">
        <v>58</v>
      </c>
      <c r="I505">
        <v>206</v>
      </c>
      <c r="J505">
        <v>10.31</v>
      </c>
      <c r="K505">
        <v>28.1</v>
      </c>
      <c r="L505">
        <v>27.2</v>
      </c>
      <c r="M505" s="175">
        <v>0.06</v>
      </c>
      <c r="N505" t="s">
        <v>3390</v>
      </c>
    </row>
    <row r="506" spans="1:14">
      <c r="A506">
        <v>1531</v>
      </c>
      <c r="B506" t="s">
        <v>536</v>
      </c>
      <c r="C506">
        <v>11.6</v>
      </c>
      <c r="D506">
        <v>11.6</v>
      </c>
      <c r="E506" s="178">
        <v>0.05</v>
      </c>
      <c r="F506" s="176">
        <v>0.43</v>
      </c>
      <c r="G506" t="s">
        <v>5261</v>
      </c>
      <c r="H506">
        <v>92</v>
      </c>
      <c r="I506">
        <v>305</v>
      </c>
      <c r="J506">
        <v>18.21</v>
      </c>
      <c r="K506">
        <v>11.7</v>
      </c>
      <c r="L506">
        <v>11.55</v>
      </c>
      <c r="M506" s="175">
        <v>0.05</v>
      </c>
      <c r="N506" t="s">
        <v>3391</v>
      </c>
    </row>
    <row r="507" spans="1:14">
      <c r="A507">
        <v>1532</v>
      </c>
      <c r="B507" t="s">
        <v>537</v>
      </c>
      <c r="C507">
        <v>21.65</v>
      </c>
      <c r="D507">
        <v>21.6</v>
      </c>
      <c r="E507" s="178">
        <v>-0.05</v>
      </c>
      <c r="F507" s="176">
        <v>-0.23</v>
      </c>
      <c r="G507" t="s">
        <v>5934</v>
      </c>
      <c r="H507">
        <v>422</v>
      </c>
      <c r="I507">
        <v>246</v>
      </c>
      <c r="J507">
        <v>42.26</v>
      </c>
      <c r="K507">
        <v>21.8</v>
      </c>
      <c r="L507">
        <v>21.5</v>
      </c>
      <c r="M507" s="175">
        <v>0.1</v>
      </c>
      <c r="N507" t="s">
        <v>3392</v>
      </c>
    </row>
    <row r="508" spans="1:14">
      <c r="A508">
        <v>1533</v>
      </c>
      <c r="B508" t="s">
        <v>538</v>
      </c>
      <c r="C508">
        <v>29.6</v>
      </c>
      <c r="D508">
        <v>29.15</v>
      </c>
      <c r="E508" s="178">
        <v>-0.25</v>
      </c>
      <c r="F508" s="176">
        <v>-0.85</v>
      </c>
      <c r="G508" t="s">
        <v>6050</v>
      </c>
      <c r="H508">
        <v>115</v>
      </c>
      <c r="I508">
        <v>137</v>
      </c>
      <c r="J508">
        <v>9.85</v>
      </c>
      <c r="K508">
        <v>29.6</v>
      </c>
      <c r="L508">
        <v>29.1</v>
      </c>
      <c r="M508" s="175">
        <v>0.12</v>
      </c>
      <c r="N508" t="s">
        <v>3393</v>
      </c>
    </row>
    <row r="509" spans="1:14">
      <c r="A509">
        <v>1535</v>
      </c>
      <c r="B509" t="s">
        <v>539</v>
      </c>
      <c r="C509">
        <v>46.3</v>
      </c>
      <c r="D509">
        <v>45.95</v>
      </c>
      <c r="E509" s="178">
        <v>0.05</v>
      </c>
      <c r="F509" s="176">
        <v>0.11</v>
      </c>
      <c r="G509" t="s">
        <v>6051</v>
      </c>
      <c r="H509">
        <v>56</v>
      </c>
      <c r="I509">
        <v>34</v>
      </c>
      <c r="J509">
        <v>12.37</v>
      </c>
      <c r="K509">
        <v>46.3</v>
      </c>
      <c r="L509">
        <v>45.75</v>
      </c>
      <c r="M509" s="175">
        <v>0.05</v>
      </c>
      <c r="N509" t="s">
        <v>3394</v>
      </c>
    </row>
    <row r="510" spans="1:14">
      <c r="A510">
        <v>1536</v>
      </c>
      <c r="B510" t="s">
        <v>398</v>
      </c>
      <c r="C510">
        <v>45.25</v>
      </c>
      <c r="D510">
        <v>44.3</v>
      </c>
      <c r="E510" s="178">
        <v>-0.9</v>
      </c>
      <c r="F510" s="176">
        <v>-1.99</v>
      </c>
      <c r="G510" t="s">
        <v>6052</v>
      </c>
      <c r="H510">
        <v>1618</v>
      </c>
      <c r="I510">
        <v>910</v>
      </c>
      <c r="J510">
        <v>27.9</v>
      </c>
      <c r="K510">
        <v>45.25</v>
      </c>
      <c r="L510">
        <v>44.15</v>
      </c>
      <c r="M510" s="175">
        <v>0.57999999999999996</v>
      </c>
      <c r="N510" t="s">
        <v>3395</v>
      </c>
    </row>
    <row r="511" spans="1:14">
      <c r="A511">
        <v>1537</v>
      </c>
      <c r="B511" t="s">
        <v>540</v>
      </c>
      <c r="C511">
        <v>115</v>
      </c>
      <c r="D511">
        <v>115</v>
      </c>
      <c r="E511" s="178">
        <v>0.5</v>
      </c>
      <c r="F511" s="176">
        <v>0.44</v>
      </c>
      <c r="G511" t="s">
        <v>6053</v>
      </c>
      <c r="H511">
        <v>78</v>
      </c>
      <c r="I511">
        <v>63</v>
      </c>
      <c r="J511">
        <v>8.2100000000000009</v>
      </c>
      <c r="K511">
        <v>115.5</v>
      </c>
      <c r="L511">
        <v>114.5</v>
      </c>
      <c r="M511" s="175">
        <v>0.1</v>
      </c>
      <c r="N511" t="s">
        <v>3396</v>
      </c>
    </row>
    <row r="512" spans="1:14">
      <c r="A512">
        <v>1538</v>
      </c>
      <c r="B512" t="s">
        <v>2702</v>
      </c>
      <c r="C512">
        <v>9.26</v>
      </c>
      <c r="D512">
        <v>9.25</v>
      </c>
      <c r="E512" s="178">
        <v>-0.02</v>
      </c>
      <c r="F512" s="176">
        <v>-0.22</v>
      </c>
      <c r="G512" t="s">
        <v>6054</v>
      </c>
      <c r="H512">
        <v>4</v>
      </c>
      <c r="I512">
        <v>6</v>
      </c>
      <c r="J512">
        <v>3.23</v>
      </c>
      <c r="K512">
        <v>9.26</v>
      </c>
      <c r="L512">
        <v>9.25</v>
      </c>
      <c r="M512" s="175">
        <v>0.01</v>
      </c>
      <c r="N512" t="s">
        <v>3397</v>
      </c>
    </row>
    <row r="513" spans="1:14">
      <c r="A513">
        <v>1539</v>
      </c>
      <c r="B513" t="s">
        <v>541</v>
      </c>
      <c r="C513">
        <v>15.45</v>
      </c>
      <c r="D513">
        <v>15.55</v>
      </c>
      <c r="E513" s="178">
        <v>0.1</v>
      </c>
      <c r="F513" s="176">
        <v>0.65</v>
      </c>
      <c r="G513" t="s">
        <v>5651</v>
      </c>
      <c r="H513">
        <v>95</v>
      </c>
      <c r="I513">
        <v>30</v>
      </c>
      <c r="J513">
        <v>6.54</v>
      </c>
      <c r="K513">
        <v>15.55</v>
      </c>
      <c r="L513">
        <v>15.4</v>
      </c>
      <c r="M513" s="175">
        <v>0.15</v>
      </c>
      <c r="N513" t="s">
        <v>3398</v>
      </c>
    </row>
    <row r="514" spans="1:14">
      <c r="A514">
        <v>1540</v>
      </c>
      <c r="B514" t="s">
        <v>542</v>
      </c>
      <c r="C514">
        <v>18.7</v>
      </c>
      <c r="D514">
        <v>18.649999999999999</v>
      </c>
      <c r="E514" s="178">
        <v>-0.05</v>
      </c>
      <c r="F514" s="176">
        <v>-0.27</v>
      </c>
      <c r="G514" t="s">
        <v>5532</v>
      </c>
      <c r="H514">
        <v>110</v>
      </c>
      <c r="I514">
        <v>130</v>
      </c>
      <c r="J514">
        <v>8.5500000000000007</v>
      </c>
      <c r="K514">
        <v>18.7</v>
      </c>
      <c r="L514">
        <v>18.600000000000001</v>
      </c>
      <c r="M514" s="175">
        <v>0.13</v>
      </c>
      <c r="N514" t="s">
        <v>3399</v>
      </c>
    </row>
    <row r="515" spans="1:14">
      <c r="A515">
        <v>1541</v>
      </c>
      <c r="B515" t="s">
        <v>543</v>
      </c>
      <c r="C515">
        <v>19.8</v>
      </c>
      <c r="D515">
        <v>19.8</v>
      </c>
      <c r="E515" s="178">
        <v>0</v>
      </c>
      <c r="F515" s="176">
        <v>0</v>
      </c>
      <c r="G515" t="s">
        <v>6055</v>
      </c>
      <c r="H515">
        <v>31</v>
      </c>
      <c r="I515">
        <v>15</v>
      </c>
      <c r="J515">
        <v>7.88</v>
      </c>
      <c r="K515">
        <v>19.8</v>
      </c>
      <c r="L515">
        <v>19.5</v>
      </c>
      <c r="M515" s="175">
        <v>0.04</v>
      </c>
      <c r="N515" t="s">
        <v>3400</v>
      </c>
    </row>
    <row r="516" spans="1:14">
      <c r="A516">
        <v>1558</v>
      </c>
      <c r="B516" t="s">
        <v>544</v>
      </c>
      <c r="C516">
        <v>117</v>
      </c>
      <c r="D516">
        <v>116</v>
      </c>
      <c r="E516" s="178">
        <v>-0.5</v>
      </c>
      <c r="F516" s="176">
        <v>-0.43</v>
      </c>
      <c r="G516" t="s">
        <v>6056</v>
      </c>
      <c r="H516">
        <v>103</v>
      </c>
      <c r="I516">
        <v>158</v>
      </c>
      <c r="J516">
        <v>6.45</v>
      </c>
      <c r="K516">
        <v>117</v>
      </c>
      <c r="L516">
        <v>115.5</v>
      </c>
      <c r="M516" s="175">
        <v>0.16</v>
      </c>
      <c r="N516" t="s">
        <v>3401</v>
      </c>
    </row>
    <row r="517" spans="1:14">
      <c r="A517">
        <v>1560</v>
      </c>
      <c r="B517" t="s">
        <v>545</v>
      </c>
      <c r="C517">
        <v>930</v>
      </c>
      <c r="D517">
        <v>903</v>
      </c>
      <c r="E517" s="178">
        <v>-45</v>
      </c>
      <c r="F517" s="176">
        <v>-4.75</v>
      </c>
      <c r="G517" t="s">
        <v>5408</v>
      </c>
      <c r="H517">
        <v>1277</v>
      </c>
      <c r="I517">
        <v>1139</v>
      </c>
      <c r="J517">
        <v>15.2</v>
      </c>
      <c r="K517">
        <v>940</v>
      </c>
      <c r="L517">
        <v>892</v>
      </c>
      <c r="M517" s="175">
        <v>0.85</v>
      </c>
      <c r="N517" t="s">
        <v>3402</v>
      </c>
    </row>
    <row r="518" spans="1:14">
      <c r="A518">
        <v>1563</v>
      </c>
      <c r="B518" t="s">
        <v>3403</v>
      </c>
      <c r="C518">
        <v>87.1</v>
      </c>
      <c r="D518">
        <v>84.3</v>
      </c>
      <c r="E518" s="178">
        <v>-3.6</v>
      </c>
      <c r="F518" s="176">
        <v>-4.0999999999999996</v>
      </c>
      <c r="G518" t="s">
        <v>6057</v>
      </c>
      <c r="H518">
        <v>842</v>
      </c>
      <c r="I518">
        <v>1391</v>
      </c>
      <c r="J518">
        <v>16.920000000000002</v>
      </c>
      <c r="K518">
        <v>87.5</v>
      </c>
      <c r="L518">
        <v>82.8</v>
      </c>
      <c r="M518" s="175">
        <v>0.5</v>
      </c>
      <c r="N518" t="s">
        <v>3404</v>
      </c>
    </row>
    <row r="519" spans="1:14">
      <c r="A519">
        <v>1565</v>
      </c>
      <c r="B519" t="s">
        <v>546</v>
      </c>
      <c r="C519">
        <v>89.5</v>
      </c>
      <c r="D519">
        <v>89.5</v>
      </c>
      <c r="E519" s="178">
        <v>0</v>
      </c>
      <c r="F519" s="176">
        <v>0</v>
      </c>
      <c r="G519" t="s">
        <v>6058</v>
      </c>
      <c r="H519">
        <v>200</v>
      </c>
      <c r="I519">
        <v>284</v>
      </c>
      <c r="J519">
        <v>5.04</v>
      </c>
      <c r="K519">
        <v>90.3</v>
      </c>
      <c r="L519">
        <v>89</v>
      </c>
      <c r="M519" s="175">
        <v>0.4</v>
      </c>
      <c r="N519" t="s">
        <v>3405</v>
      </c>
    </row>
    <row r="520" spans="1:14">
      <c r="A520">
        <v>1568</v>
      </c>
      <c r="B520" t="s">
        <v>547</v>
      </c>
      <c r="C520">
        <v>30.3</v>
      </c>
      <c r="D520">
        <v>30</v>
      </c>
      <c r="E520" s="178">
        <v>-0.6</v>
      </c>
      <c r="F520" s="176">
        <v>-1.96</v>
      </c>
      <c r="G520" t="s">
        <v>6059</v>
      </c>
      <c r="H520">
        <v>422</v>
      </c>
      <c r="I520">
        <v>230</v>
      </c>
      <c r="J520">
        <v>10.31</v>
      </c>
      <c r="K520">
        <v>30.65</v>
      </c>
      <c r="L520">
        <v>29.9</v>
      </c>
      <c r="M520" s="175">
        <v>0.41</v>
      </c>
      <c r="N520" t="s">
        <v>3406</v>
      </c>
    </row>
    <row r="521" spans="1:14">
      <c r="A521">
        <v>1569</v>
      </c>
      <c r="B521" t="s">
        <v>548</v>
      </c>
      <c r="C521">
        <v>83.2</v>
      </c>
      <c r="D521">
        <v>79.5</v>
      </c>
      <c r="E521" s="178">
        <v>-4.4000000000000004</v>
      </c>
      <c r="F521" s="176">
        <v>-5.24</v>
      </c>
      <c r="G521" t="s">
        <v>5689</v>
      </c>
      <c r="H521">
        <v>11563</v>
      </c>
      <c r="I521">
        <v>11881</v>
      </c>
      <c r="J521">
        <v>14.42</v>
      </c>
      <c r="K521">
        <v>85.5</v>
      </c>
      <c r="L521">
        <v>78.400000000000006</v>
      </c>
      <c r="M521" s="175">
        <v>8.02</v>
      </c>
      <c r="N521" t="s">
        <v>3407</v>
      </c>
    </row>
    <row r="522" spans="1:14">
      <c r="A522">
        <v>1570</v>
      </c>
      <c r="B522" t="s">
        <v>2887</v>
      </c>
      <c r="C522">
        <v>32.200000000000003</v>
      </c>
      <c r="D522">
        <v>32.450000000000003</v>
      </c>
      <c r="E522" s="178">
        <v>-0.1</v>
      </c>
      <c r="F522" s="176">
        <v>-0.31</v>
      </c>
      <c r="G522" t="s">
        <v>5574</v>
      </c>
      <c r="H522">
        <v>21</v>
      </c>
      <c r="I522">
        <v>11</v>
      </c>
      <c r="J522">
        <v>5.15</v>
      </c>
      <c r="K522">
        <v>32.450000000000003</v>
      </c>
      <c r="L522">
        <v>32.049999999999997</v>
      </c>
      <c r="M522" s="175">
        <v>0.04</v>
      </c>
      <c r="N522" t="s">
        <v>3408</v>
      </c>
    </row>
    <row r="523" spans="1:14">
      <c r="A523">
        <v>1580</v>
      </c>
      <c r="B523" t="s">
        <v>2888</v>
      </c>
      <c r="C523">
        <v>96.3</v>
      </c>
      <c r="D523">
        <v>96.1</v>
      </c>
      <c r="E523" s="178">
        <v>-0.6</v>
      </c>
      <c r="F523" s="176">
        <v>-0.62</v>
      </c>
      <c r="G523" t="s">
        <v>5692</v>
      </c>
      <c r="H523">
        <v>84</v>
      </c>
      <c r="I523">
        <v>54</v>
      </c>
      <c r="J523">
        <v>4.93</v>
      </c>
      <c r="K523">
        <v>96.5</v>
      </c>
      <c r="L523">
        <v>96</v>
      </c>
      <c r="M523" s="175">
        <v>0.17</v>
      </c>
      <c r="N523" t="s">
        <v>3409</v>
      </c>
    </row>
    <row r="524" spans="1:14">
      <c r="A524">
        <v>1582</v>
      </c>
      <c r="B524" t="s">
        <v>549</v>
      </c>
      <c r="C524">
        <v>71.2</v>
      </c>
      <c r="D524">
        <v>70</v>
      </c>
      <c r="E524" s="178">
        <v>-1.5</v>
      </c>
      <c r="F524" s="176">
        <v>-2.1</v>
      </c>
      <c r="G524" t="s">
        <v>6060</v>
      </c>
      <c r="H524">
        <v>609</v>
      </c>
      <c r="I524">
        <v>321</v>
      </c>
      <c r="J524">
        <v>14.43</v>
      </c>
      <c r="K524">
        <v>71.2</v>
      </c>
      <c r="L524">
        <v>69.900000000000006</v>
      </c>
      <c r="M524" s="175">
        <v>0.42</v>
      </c>
      <c r="N524" t="s">
        <v>3410</v>
      </c>
    </row>
    <row r="525" spans="1:14">
      <c r="A525">
        <v>1583</v>
      </c>
      <c r="B525" t="s">
        <v>550</v>
      </c>
      <c r="C525">
        <v>48.2</v>
      </c>
      <c r="D525">
        <v>48.2</v>
      </c>
      <c r="E525" s="178">
        <v>0.4</v>
      </c>
      <c r="F525" s="176">
        <v>0.84</v>
      </c>
      <c r="G525" t="s">
        <v>5213</v>
      </c>
      <c r="H525">
        <v>24</v>
      </c>
      <c r="I525">
        <v>17</v>
      </c>
      <c r="J525">
        <v>11.92</v>
      </c>
      <c r="K525">
        <v>49.8</v>
      </c>
      <c r="L525">
        <v>48</v>
      </c>
      <c r="M525" s="175">
        <v>0.02</v>
      </c>
      <c r="N525" t="s">
        <v>3411</v>
      </c>
    </row>
    <row r="526" spans="1:14">
      <c r="A526">
        <v>1584</v>
      </c>
      <c r="B526" t="s">
        <v>551</v>
      </c>
      <c r="C526">
        <v>18.149999999999999</v>
      </c>
      <c r="D526">
        <v>17.850000000000001</v>
      </c>
      <c r="E526" s="178">
        <v>-0.3</v>
      </c>
      <c r="F526" s="176">
        <v>-1.65</v>
      </c>
      <c r="G526" t="s">
        <v>6061</v>
      </c>
      <c r="H526">
        <v>379</v>
      </c>
      <c r="I526">
        <v>413</v>
      </c>
      <c r="J526">
        <v>23.25</v>
      </c>
      <c r="K526">
        <v>18.149999999999999</v>
      </c>
      <c r="L526">
        <v>17.75</v>
      </c>
      <c r="M526" s="175">
        <v>0.16</v>
      </c>
      <c r="N526" t="s">
        <v>3412</v>
      </c>
    </row>
    <row r="527" spans="1:14">
      <c r="A527">
        <v>1586</v>
      </c>
      <c r="B527" t="s">
        <v>552</v>
      </c>
      <c r="C527">
        <v>18.2</v>
      </c>
      <c r="D527">
        <v>18.399999999999999</v>
      </c>
      <c r="E527" s="178">
        <v>0.25</v>
      </c>
      <c r="F527" s="176">
        <v>1.38</v>
      </c>
      <c r="G527" t="s">
        <v>5742</v>
      </c>
      <c r="H527">
        <v>803</v>
      </c>
      <c r="I527">
        <v>316</v>
      </c>
      <c r="J527">
        <v>12.95</v>
      </c>
      <c r="K527">
        <v>18.850000000000001</v>
      </c>
      <c r="L527">
        <v>18.149999999999999</v>
      </c>
      <c r="M527" s="175">
        <v>0.62</v>
      </c>
      <c r="N527" t="s">
        <v>3413</v>
      </c>
    </row>
    <row r="528" spans="1:14">
      <c r="A528">
        <v>1587</v>
      </c>
      <c r="B528" t="s">
        <v>319</v>
      </c>
      <c r="C528">
        <v>24.1</v>
      </c>
      <c r="D528">
        <v>23.45</v>
      </c>
      <c r="E528" s="178">
        <v>-0.6</v>
      </c>
      <c r="F528" s="176">
        <v>-2.4900000000000002</v>
      </c>
      <c r="G528" t="s">
        <v>5378</v>
      </c>
      <c r="H528">
        <v>207</v>
      </c>
      <c r="I528">
        <v>73</v>
      </c>
      <c r="J528">
        <v>8.01</v>
      </c>
      <c r="K528">
        <v>24.1</v>
      </c>
      <c r="L528">
        <v>23.4</v>
      </c>
      <c r="M528" s="175">
        <v>0.26</v>
      </c>
      <c r="N528" t="s">
        <v>3414</v>
      </c>
    </row>
    <row r="529" spans="1:14">
      <c r="A529">
        <v>1590</v>
      </c>
      <c r="B529" t="s">
        <v>553</v>
      </c>
      <c r="C529">
        <v>1165</v>
      </c>
      <c r="D529">
        <v>1155</v>
      </c>
      <c r="E529" s="178">
        <v>-30</v>
      </c>
      <c r="F529" s="176">
        <v>-2.5299999999999998</v>
      </c>
      <c r="G529" t="s">
        <v>6062</v>
      </c>
      <c r="H529">
        <v>765</v>
      </c>
      <c r="I529">
        <v>1120</v>
      </c>
      <c r="J529">
        <v>20</v>
      </c>
      <c r="K529">
        <v>1180</v>
      </c>
      <c r="L529">
        <v>1150</v>
      </c>
      <c r="M529" s="175">
        <v>0.38</v>
      </c>
      <c r="N529" t="s">
        <v>3415</v>
      </c>
    </row>
    <row r="530" spans="1:14">
      <c r="A530">
        <v>1591</v>
      </c>
      <c r="B530" t="s">
        <v>3227</v>
      </c>
      <c r="C530">
        <v>38.85</v>
      </c>
      <c r="D530">
        <v>38.15</v>
      </c>
      <c r="E530" s="178">
        <v>-0.9</v>
      </c>
      <c r="F530" s="176">
        <v>-2.2999999999999998</v>
      </c>
      <c r="G530" t="s">
        <v>6063</v>
      </c>
      <c r="H530">
        <v>150</v>
      </c>
      <c r="I530">
        <v>204</v>
      </c>
      <c r="J530">
        <v>3.8</v>
      </c>
      <c r="K530">
        <v>38.85</v>
      </c>
      <c r="L530">
        <v>38</v>
      </c>
      <c r="M530" s="175">
        <v>0.39</v>
      </c>
      <c r="N530" t="s">
        <v>3416</v>
      </c>
    </row>
    <row r="531" spans="1:14">
      <c r="A531">
        <v>1593</v>
      </c>
      <c r="B531" t="s">
        <v>195</v>
      </c>
      <c r="C531">
        <v>30.7</v>
      </c>
      <c r="D531">
        <v>31.35</v>
      </c>
      <c r="E531" s="178">
        <v>0.15</v>
      </c>
      <c r="F531" s="176">
        <v>0.48</v>
      </c>
      <c r="G531" t="s">
        <v>3228</v>
      </c>
      <c r="H531">
        <v>33</v>
      </c>
      <c r="I531">
        <v>14</v>
      </c>
      <c r="J531">
        <v>3.98</v>
      </c>
      <c r="K531">
        <v>31.5</v>
      </c>
      <c r="L531">
        <v>30.7</v>
      </c>
      <c r="M531" s="175">
        <v>0.08</v>
      </c>
      <c r="N531" t="s">
        <v>3417</v>
      </c>
    </row>
    <row r="532" spans="1:14">
      <c r="A532">
        <v>1595</v>
      </c>
      <c r="B532" t="s">
        <v>554</v>
      </c>
      <c r="C532">
        <v>71.400000000000006</v>
      </c>
      <c r="D532">
        <v>71.7</v>
      </c>
      <c r="E532" s="178">
        <v>-1.7</v>
      </c>
      <c r="F532" s="176">
        <v>-2.3199999999999998</v>
      </c>
      <c r="G532" t="s">
        <v>6064</v>
      </c>
      <c r="H532">
        <v>664</v>
      </c>
      <c r="I532">
        <v>873</v>
      </c>
      <c r="J532">
        <v>5.77</v>
      </c>
      <c r="K532">
        <v>74.3</v>
      </c>
      <c r="L532">
        <v>70.599999999999994</v>
      </c>
      <c r="M532" s="175">
        <v>1.1499999999999999</v>
      </c>
      <c r="N532" t="s">
        <v>3418</v>
      </c>
    </row>
    <row r="533" spans="1:14">
      <c r="A533">
        <v>1597</v>
      </c>
      <c r="B533" t="s">
        <v>555</v>
      </c>
      <c r="C533">
        <v>155</v>
      </c>
      <c r="D533">
        <v>144.5</v>
      </c>
      <c r="E533" s="178">
        <v>-16</v>
      </c>
      <c r="F533" s="176">
        <v>-9.9700000000000006</v>
      </c>
      <c r="G533" t="s">
        <v>6065</v>
      </c>
      <c r="H533">
        <v>5869</v>
      </c>
      <c r="I533">
        <v>1892</v>
      </c>
      <c r="J533">
        <v>8.93</v>
      </c>
      <c r="K533">
        <v>157</v>
      </c>
      <c r="L533">
        <v>144.5</v>
      </c>
      <c r="M533" s="175">
        <v>6.58</v>
      </c>
      <c r="N533" t="s">
        <v>3419</v>
      </c>
    </row>
    <row r="534" spans="1:14">
      <c r="A534">
        <v>1598</v>
      </c>
      <c r="B534" t="s">
        <v>556</v>
      </c>
      <c r="C534">
        <v>20</v>
      </c>
      <c r="D534">
        <v>19.75</v>
      </c>
      <c r="E534" s="178">
        <v>-0.2</v>
      </c>
      <c r="F534" s="176">
        <v>-1</v>
      </c>
      <c r="G534" t="s">
        <v>5803</v>
      </c>
      <c r="H534">
        <v>152</v>
      </c>
      <c r="I534">
        <v>179</v>
      </c>
      <c r="J534">
        <v>17.91</v>
      </c>
      <c r="K534">
        <v>20</v>
      </c>
      <c r="L534">
        <v>19.7</v>
      </c>
      <c r="M534" s="175">
        <v>0.08</v>
      </c>
      <c r="N534" t="s">
        <v>3420</v>
      </c>
    </row>
    <row r="535" spans="1:14">
      <c r="A535">
        <v>1599</v>
      </c>
      <c r="B535" t="s">
        <v>557</v>
      </c>
      <c r="C535">
        <v>22.55</v>
      </c>
      <c r="D535">
        <v>22.6</v>
      </c>
      <c r="E535" s="178">
        <v>0.05</v>
      </c>
      <c r="F535" s="176">
        <v>0.22</v>
      </c>
      <c r="G535" t="s">
        <v>5674</v>
      </c>
      <c r="H535">
        <v>10</v>
      </c>
      <c r="I535">
        <v>21</v>
      </c>
      <c r="J535">
        <v>7.3</v>
      </c>
      <c r="K535">
        <v>22.75</v>
      </c>
      <c r="L535">
        <v>22.5</v>
      </c>
      <c r="M535" s="175">
        <v>0.01</v>
      </c>
      <c r="N535" t="s">
        <v>3421</v>
      </c>
    </row>
    <row r="536" spans="1:14">
      <c r="A536">
        <v>1603</v>
      </c>
      <c r="B536" t="s">
        <v>558</v>
      </c>
      <c r="C536">
        <v>30.35</v>
      </c>
      <c r="D536">
        <v>30.6</v>
      </c>
      <c r="E536" s="178">
        <v>-0.6</v>
      </c>
      <c r="F536" s="176">
        <v>-1.92</v>
      </c>
      <c r="G536" t="s">
        <v>6066</v>
      </c>
      <c r="H536">
        <v>229</v>
      </c>
      <c r="I536">
        <v>160</v>
      </c>
      <c r="J536">
        <v>19.170000000000002</v>
      </c>
      <c r="K536">
        <v>31</v>
      </c>
      <c r="L536">
        <v>30.3</v>
      </c>
      <c r="M536" s="175">
        <v>0.12</v>
      </c>
      <c r="N536" t="s">
        <v>3422</v>
      </c>
    </row>
    <row r="537" spans="1:14">
      <c r="A537">
        <v>1604</v>
      </c>
      <c r="B537" t="s">
        <v>559</v>
      </c>
      <c r="C537">
        <v>23.6</v>
      </c>
      <c r="D537">
        <v>23.5</v>
      </c>
      <c r="E537" s="178">
        <v>-0.1</v>
      </c>
      <c r="F537" s="176">
        <v>-0.42</v>
      </c>
      <c r="G537" t="s">
        <v>5302</v>
      </c>
      <c r="H537">
        <v>184</v>
      </c>
      <c r="I537">
        <v>190</v>
      </c>
      <c r="J537">
        <v>38.42</v>
      </c>
      <c r="K537">
        <v>23.65</v>
      </c>
      <c r="L537">
        <v>23.4</v>
      </c>
      <c r="M537" s="175">
        <v>0.05</v>
      </c>
      <c r="N537" t="s">
        <v>3423</v>
      </c>
    </row>
    <row r="538" spans="1:14">
      <c r="A538">
        <v>1605</v>
      </c>
      <c r="B538" t="s">
        <v>560</v>
      </c>
      <c r="C538">
        <v>39.799999999999997</v>
      </c>
      <c r="D538">
        <v>37.700000000000003</v>
      </c>
      <c r="E538" s="178">
        <v>-3</v>
      </c>
      <c r="F538" s="176">
        <v>-7.37</v>
      </c>
      <c r="G538" t="s">
        <v>6067</v>
      </c>
      <c r="H538">
        <v>66539</v>
      </c>
      <c r="I538">
        <v>43053</v>
      </c>
      <c r="J538">
        <v>443.13</v>
      </c>
      <c r="K538">
        <v>39.799999999999997</v>
      </c>
      <c r="L538">
        <v>37.25</v>
      </c>
      <c r="M538" s="175">
        <v>1.5</v>
      </c>
      <c r="N538" t="s">
        <v>3424</v>
      </c>
    </row>
    <row r="539" spans="1:14">
      <c r="A539">
        <v>1608</v>
      </c>
      <c r="B539" t="s">
        <v>561</v>
      </c>
      <c r="C539">
        <v>37</v>
      </c>
      <c r="D539">
        <v>36</v>
      </c>
      <c r="E539" s="178">
        <v>-1.35</v>
      </c>
      <c r="F539" s="176">
        <v>-3.61</v>
      </c>
      <c r="G539" t="s">
        <v>6068</v>
      </c>
      <c r="H539">
        <v>2895</v>
      </c>
      <c r="I539">
        <v>3607</v>
      </c>
      <c r="J539">
        <v>63.28</v>
      </c>
      <c r="K539">
        <v>37</v>
      </c>
      <c r="L539">
        <v>35.9</v>
      </c>
      <c r="M539" s="175">
        <v>0.46</v>
      </c>
      <c r="N539" t="s">
        <v>3425</v>
      </c>
    </row>
    <row r="540" spans="1:14">
      <c r="A540">
        <v>1609</v>
      </c>
      <c r="B540" t="s">
        <v>562</v>
      </c>
      <c r="C540">
        <v>39.1</v>
      </c>
      <c r="D540">
        <v>39.1</v>
      </c>
      <c r="E540" s="178">
        <v>-0.65</v>
      </c>
      <c r="F540" s="176">
        <v>-1.64</v>
      </c>
      <c r="G540" t="s">
        <v>5719</v>
      </c>
      <c r="H540">
        <v>6183</v>
      </c>
      <c r="I540">
        <v>5699</v>
      </c>
      <c r="J540">
        <v>78.53</v>
      </c>
      <c r="K540">
        <v>39.35</v>
      </c>
      <c r="L540">
        <v>38.6</v>
      </c>
      <c r="M540" s="175">
        <v>0.79</v>
      </c>
      <c r="N540" t="s">
        <v>3426</v>
      </c>
    </row>
    <row r="541" spans="1:14">
      <c r="A541">
        <v>1611</v>
      </c>
      <c r="B541" t="s">
        <v>563</v>
      </c>
      <c r="C541">
        <v>11.35</v>
      </c>
      <c r="D541">
        <v>11.3</v>
      </c>
      <c r="E541" s="178">
        <v>-0.05</v>
      </c>
      <c r="F541" s="176">
        <v>-0.44</v>
      </c>
      <c r="G541" t="s">
        <v>6069</v>
      </c>
      <c r="H541">
        <v>970</v>
      </c>
      <c r="I541">
        <v>539</v>
      </c>
      <c r="J541">
        <v>32.270000000000003</v>
      </c>
      <c r="K541">
        <v>11.35</v>
      </c>
      <c r="L541">
        <v>11.25</v>
      </c>
      <c r="M541" s="175">
        <v>0.3</v>
      </c>
      <c r="N541" t="s">
        <v>3427</v>
      </c>
    </row>
    <row r="542" spans="1:14">
      <c r="A542">
        <v>1612</v>
      </c>
      <c r="B542" t="s">
        <v>564</v>
      </c>
      <c r="C542">
        <v>34.700000000000003</v>
      </c>
      <c r="D542">
        <v>34</v>
      </c>
      <c r="E542" s="178">
        <v>-0.4</v>
      </c>
      <c r="F542" s="176">
        <v>-1.1599999999999999</v>
      </c>
      <c r="G542" t="s">
        <v>6070</v>
      </c>
      <c r="H542">
        <v>447</v>
      </c>
      <c r="I542">
        <v>710</v>
      </c>
      <c r="J542">
        <v>31.61</v>
      </c>
      <c r="K542">
        <v>34.700000000000003</v>
      </c>
      <c r="L542">
        <v>33.9</v>
      </c>
      <c r="M542" s="175">
        <v>0.14000000000000001</v>
      </c>
      <c r="N542" t="s">
        <v>3428</v>
      </c>
    </row>
    <row r="543" spans="1:14">
      <c r="A543">
        <v>1614</v>
      </c>
      <c r="B543" t="s">
        <v>565</v>
      </c>
      <c r="C543">
        <v>31.45</v>
      </c>
      <c r="D543">
        <v>31.55</v>
      </c>
      <c r="E543" s="178">
        <v>0.15</v>
      </c>
      <c r="F543" s="176">
        <v>0.48</v>
      </c>
      <c r="G543" t="s">
        <v>6071</v>
      </c>
      <c r="H543">
        <v>86</v>
      </c>
      <c r="I543">
        <v>34</v>
      </c>
      <c r="J543">
        <v>26.91</v>
      </c>
      <c r="K543">
        <v>31.85</v>
      </c>
      <c r="L543">
        <v>31.25</v>
      </c>
      <c r="M543" s="175">
        <v>0.03</v>
      </c>
      <c r="N543" t="s">
        <v>3423</v>
      </c>
    </row>
    <row r="544" spans="1:14">
      <c r="A544">
        <v>1615</v>
      </c>
      <c r="B544" t="s">
        <v>566</v>
      </c>
      <c r="C544">
        <v>52.6</v>
      </c>
      <c r="D544">
        <v>50.7</v>
      </c>
      <c r="E544" s="178">
        <v>-4</v>
      </c>
      <c r="F544" s="176">
        <v>-7.31</v>
      </c>
      <c r="G544" t="s">
        <v>6072</v>
      </c>
      <c r="H544">
        <v>1590</v>
      </c>
      <c r="I544">
        <v>2697</v>
      </c>
      <c r="J544">
        <v>19.86</v>
      </c>
      <c r="K544">
        <v>52.6</v>
      </c>
      <c r="L544">
        <v>50.5</v>
      </c>
      <c r="M544" s="175">
        <v>0.8</v>
      </c>
      <c r="N544" t="s">
        <v>3429</v>
      </c>
    </row>
    <row r="545" spans="1:14">
      <c r="A545">
        <v>1616</v>
      </c>
      <c r="B545" t="s">
        <v>567</v>
      </c>
      <c r="C545">
        <v>18.399999999999999</v>
      </c>
      <c r="D545">
        <v>18.3</v>
      </c>
      <c r="E545" s="178">
        <v>-0.15</v>
      </c>
      <c r="F545" s="176">
        <v>-0.81</v>
      </c>
      <c r="G545" t="s">
        <v>6073</v>
      </c>
      <c r="H545">
        <v>249</v>
      </c>
      <c r="I545">
        <v>244</v>
      </c>
      <c r="J545">
        <v>19.41</v>
      </c>
      <c r="K545">
        <v>18.649999999999999</v>
      </c>
      <c r="L545">
        <v>18.3</v>
      </c>
      <c r="M545" s="175">
        <v>0.13</v>
      </c>
      <c r="N545" t="s">
        <v>3430</v>
      </c>
    </row>
    <row r="546" spans="1:14">
      <c r="A546">
        <v>1617</v>
      </c>
      <c r="B546" t="s">
        <v>568</v>
      </c>
      <c r="C546">
        <v>22.8</v>
      </c>
      <c r="D546">
        <v>22.35</v>
      </c>
      <c r="E546" s="178">
        <v>-1.25</v>
      </c>
      <c r="F546" s="176">
        <v>-5.3</v>
      </c>
      <c r="G546" t="s">
        <v>5888</v>
      </c>
      <c r="H546">
        <v>966</v>
      </c>
      <c r="I546">
        <v>1653</v>
      </c>
      <c r="J546">
        <v>16.95</v>
      </c>
      <c r="K546">
        <v>23.15</v>
      </c>
      <c r="L546">
        <v>22.1</v>
      </c>
      <c r="M546" s="175">
        <v>0.56999999999999995</v>
      </c>
      <c r="N546" t="s">
        <v>3431</v>
      </c>
    </row>
    <row r="547" spans="1:14">
      <c r="A547">
        <v>1618</v>
      </c>
      <c r="B547" t="s">
        <v>569</v>
      </c>
      <c r="C547">
        <v>39.049999999999997</v>
      </c>
      <c r="D547">
        <v>38.75</v>
      </c>
      <c r="E547" s="178">
        <v>-0.4</v>
      </c>
      <c r="F547" s="176">
        <v>-1.02</v>
      </c>
      <c r="G547" t="s">
        <v>6074</v>
      </c>
      <c r="H547">
        <v>295</v>
      </c>
      <c r="I547">
        <v>486</v>
      </c>
      <c r="J547">
        <v>19.27</v>
      </c>
      <c r="K547">
        <v>39.049999999999997</v>
      </c>
      <c r="L547">
        <v>38.5</v>
      </c>
      <c r="M547" s="175">
        <v>0.15</v>
      </c>
      <c r="N547" t="s">
        <v>3432</v>
      </c>
    </row>
    <row r="548" spans="1:14">
      <c r="A548">
        <v>1623</v>
      </c>
      <c r="B548" t="s">
        <v>3014</v>
      </c>
      <c r="C548">
        <v>190</v>
      </c>
      <c r="D548">
        <v>187</v>
      </c>
      <c r="E548" s="178">
        <v>-6</v>
      </c>
      <c r="F548" s="176">
        <v>-3.11</v>
      </c>
      <c r="G548" t="s">
        <v>6075</v>
      </c>
      <c r="H548">
        <v>168</v>
      </c>
      <c r="I548">
        <v>92</v>
      </c>
      <c r="J548">
        <v>6.6</v>
      </c>
      <c r="K548">
        <v>191.5</v>
      </c>
      <c r="L548">
        <v>187</v>
      </c>
      <c r="M548" s="175">
        <v>0.25</v>
      </c>
      <c r="N548" t="s">
        <v>3429</v>
      </c>
    </row>
    <row r="549" spans="1:14">
      <c r="A549">
        <v>1626</v>
      </c>
      <c r="B549" t="s">
        <v>114</v>
      </c>
      <c r="C549">
        <v>9.64</v>
      </c>
      <c r="D549">
        <v>9.75</v>
      </c>
      <c r="E549" s="178">
        <v>-0.05</v>
      </c>
      <c r="F549" s="176">
        <v>-0.51</v>
      </c>
      <c r="G549" t="s">
        <v>6076</v>
      </c>
      <c r="H549">
        <v>17</v>
      </c>
      <c r="I549">
        <v>39</v>
      </c>
      <c r="J549">
        <v>14.98</v>
      </c>
      <c r="K549">
        <v>9.77</v>
      </c>
      <c r="L549">
        <v>9.64</v>
      </c>
      <c r="M549" s="175">
        <v>0.01</v>
      </c>
      <c r="N549" t="s">
        <v>3433</v>
      </c>
    </row>
    <row r="550" spans="1:14">
      <c r="A550">
        <v>1702</v>
      </c>
      <c r="B550" t="s">
        <v>570</v>
      </c>
      <c r="C550">
        <v>33.6</v>
      </c>
      <c r="D550">
        <v>33.75</v>
      </c>
      <c r="E550" s="178">
        <v>0.15</v>
      </c>
      <c r="F550" s="176">
        <v>0.45</v>
      </c>
      <c r="G550" t="s">
        <v>6077</v>
      </c>
      <c r="H550">
        <v>301</v>
      </c>
      <c r="I550">
        <v>255</v>
      </c>
      <c r="J550">
        <v>29.41</v>
      </c>
      <c r="K550">
        <v>34</v>
      </c>
      <c r="L550">
        <v>33.299999999999997</v>
      </c>
      <c r="M550" s="175">
        <v>0.1</v>
      </c>
      <c r="N550" t="s">
        <v>3434</v>
      </c>
    </row>
    <row r="551" spans="1:14">
      <c r="A551">
        <v>1707</v>
      </c>
      <c r="B551" t="s">
        <v>571</v>
      </c>
      <c r="C551">
        <v>86.5</v>
      </c>
      <c r="D551">
        <v>87.7</v>
      </c>
      <c r="E551" s="178">
        <v>1.4</v>
      </c>
      <c r="F551" s="176">
        <v>1.62</v>
      </c>
      <c r="G551" t="s">
        <v>6078</v>
      </c>
      <c r="H551">
        <v>375</v>
      </c>
      <c r="I551">
        <v>178</v>
      </c>
      <c r="J551">
        <v>14.81</v>
      </c>
      <c r="K551">
        <v>88.2</v>
      </c>
      <c r="L551">
        <v>86.5</v>
      </c>
      <c r="M551" s="175">
        <v>0.25</v>
      </c>
      <c r="N551" t="s">
        <v>3435</v>
      </c>
    </row>
    <row r="552" spans="1:14">
      <c r="A552">
        <v>1708</v>
      </c>
      <c r="B552" t="s">
        <v>572</v>
      </c>
      <c r="C552">
        <v>54</v>
      </c>
      <c r="D552">
        <v>52.8</v>
      </c>
      <c r="E552" s="178">
        <v>-1.9</v>
      </c>
      <c r="F552" s="176">
        <v>-3.47</v>
      </c>
      <c r="G552" t="s">
        <v>5243</v>
      </c>
      <c r="H552">
        <v>2353</v>
      </c>
      <c r="I552">
        <v>4050</v>
      </c>
      <c r="J552">
        <v>24.9</v>
      </c>
      <c r="K552">
        <v>54.1</v>
      </c>
      <c r="L552">
        <v>52.6</v>
      </c>
      <c r="M552" s="175">
        <v>0.94</v>
      </c>
      <c r="N552" t="s">
        <v>3436</v>
      </c>
    </row>
    <row r="553" spans="1:14">
      <c r="A553">
        <v>1709</v>
      </c>
      <c r="B553" t="s">
        <v>573</v>
      </c>
      <c r="C553">
        <v>61.2</v>
      </c>
      <c r="D553">
        <v>58.8</v>
      </c>
      <c r="E553" s="178">
        <v>-5</v>
      </c>
      <c r="F553" s="176">
        <v>-7.84</v>
      </c>
      <c r="G553" t="s">
        <v>6079</v>
      </c>
      <c r="H553">
        <v>10127</v>
      </c>
      <c r="I553">
        <v>17505</v>
      </c>
      <c r="J553">
        <v>47.7</v>
      </c>
      <c r="K553">
        <v>62.6</v>
      </c>
      <c r="L553">
        <v>58.5</v>
      </c>
      <c r="M553" s="175">
        <v>2.12</v>
      </c>
      <c r="N553" t="s">
        <v>3437</v>
      </c>
    </row>
    <row r="554" spans="1:14">
      <c r="A554">
        <v>1710</v>
      </c>
      <c r="B554" t="s">
        <v>574</v>
      </c>
      <c r="C554">
        <v>19.600000000000001</v>
      </c>
      <c r="D554">
        <v>18</v>
      </c>
      <c r="E554" s="178">
        <v>-2</v>
      </c>
      <c r="F554" s="176">
        <v>-10</v>
      </c>
      <c r="G554" t="s">
        <v>6080</v>
      </c>
      <c r="H554">
        <v>15808</v>
      </c>
      <c r="I554">
        <v>13881</v>
      </c>
      <c r="J554">
        <v>88.57</v>
      </c>
      <c r="K554">
        <v>19.75</v>
      </c>
      <c r="L554">
        <v>18</v>
      </c>
      <c r="M554" s="175">
        <v>1.78</v>
      </c>
      <c r="N554" t="s">
        <v>3438</v>
      </c>
    </row>
    <row r="555" spans="1:14">
      <c r="A555">
        <v>1711</v>
      </c>
      <c r="B555" t="s">
        <v>575</v>
      </c>
      <c r="C555">
        <v>45.5</v>
      </c>
      <c r="D555">
        <v>43.1</v>
      </c>
      <c r="E555" s="178">
        <v>-3.7</v>
      </c>
      <c r="F555" s="176">
        <v>-7.91</v>
      </c>
      <c r="G555" t="s">
        <v>5586</v>
      </c>
      <c r="H555">
        <v>10003</v>
      </c>
      <c r="I555">
        <v>26839</v>
      </c>
      <c r="J555">
        <v>54.78</v>
      </c>
      <c r="K555">
        <v>45.95</v>
      </c>
      <c r="L555">
        <v>43.1</v>
      </c>
      <c r="M555" s="175">
        <v>1.83</v>
      </c>
      <c r="N555" t="s">
        <v>3439</v>
      </c>
    </row>
    <row r="556" spans="1:14">
      <c r="A556">
        <v>1712</v>
      </c>
      <c r="B556" t="s">
        <v>576</v>
      </c>
      <c r="C556">
        <v>40.5</v>
      </c>
      <c r="D556">
        <v>40.6</v>
      </c>
      <c r="E556" s="178">
        <v>0.15</v>
      </c>
      <c r="F556" s="176">
        <v>0.37</v>
      </c>
      <c r="G556" t="s">
        <v>6081</v>
      </c>
      <c r="H556">
        <v>968</v>
      </c>
      <c r="I556">
        <v>460</v>
      </c>
      <c r="J556">
        <v>42.05</v>
      </c>
      <c r="K556">
        <v>40.700000000000003</v>
      </c>
      <c r="L556">
        <v>40.35</v>
      </c>
      <c r="M556" s="175">
        <v>0.23</v>
      </c>
      <c r="N556" t="s">
        <v>3440</v>
      </c>
    </row>
    <row r="557" spans="1:14">
      <c r="A557">
        <v>1713</v>
      </c>
      <c r="B557" t="s">
        <v>577</v>
      </c>
      <c r="C557">
        <v>45.75</v>
      </c>
      <c r="D557">
        <v>45.45</v>
      </c>
      <c r="E557" s="178">
        <v>-0.3</v>
      </c>
      <c r="F557" s="176">
        <v>-0.66</v>
      </c>
      <c r="G557" t="s">
        <v>6082</v>
      </c>
      <c r="H557">
        <v>209</v>
      </c>
      <c r="I557">
        <v>232</v>
      </c>
      <c r="J557">
        <v>15.1</v>
      </c>
      <c r="K557">
        <v>45.8</v>
      </c>
      <c r="L557">
        <v>45.45</v>
      </c>
      <c r="M557" s="175">
        <v>0.14000000000000001</v>
      </c>
      <c r="N557" t="s">
        <v>3441</v>
      </c>
    </row>
    <row r="558" spans="1:14">
      <c r="A558">
        <v>1714</v>
      </c>
      <c r="B558" t="s">
        <v>578</v>
      </c>
      <c r="C558">
        <v>19.899999999999999</v>
      </c>
      <c r="D558">
        <v>18.899999999999999</v>
      </c>
      <c r="E558" s="178">
        <v>-1.55</v>
      </c>
      <c r="F558" s="176">
        <v>-7.58</v>
      </c>
      <c r="G558" t="s">
        <v>6083</v>
      </c>
      <c r="H558">
        <v>41303</v>
      </c>
      <c r="I558">
        <v>57545</v>
      </c>
      <c r="J558">
        <v>99.18</v>
      </c>
      <c r="K558">
        <v>20.100000000000001</v>
      </c>
      <c r="L558">
        <v>18.850000000000001</v>
      </c>
      <c r="M558" s="175">
        <v>4.16</v>
      </c>
      <c r="N558" t="s">
        <v>3442</v>
      </c>
    </row>
    <row r="559" spans="1:14">
      <c r="A559">
        <v>1717</v>
      </c>
      <c r="B559" t="s">
        <v>1663</v>
      </c>
      <c r="C559">
        <v>74.400000000000006</v>
      </c>
      <c r="D559">
        <v>71.8</v>
      </c>
      <c r="E559" s="178">
        <v>-3.7</v>
      </c>
      <c r="F559" s="176">
        <v>-4.9000000000000004</v>
      </c>
      <c r="G559" t="s">
        <v>6084</v>
      </c>
      <c r="H559">
        <v>10012</v>
      </c>
      <c r="I559">
        <v>8080</v>
      </c>
      <c r="J559">
        <v>118.42</v>
      </c>
      <c r="K559">
        <v>74.400000000000006</v>
      </c>
      <c r="L559">
        <v>71.5</v>
      </c>
      <c r="M559" s="175">
        <v>0.85</v>
      </c>
      <c r="N559" t="s">
        <v>3443</v>
      </c>
    </row>
    <row r="560" spans="1:14">
      <c r="A560">
        <v>1718</v>
      </c>
      <c r="B560" t="s">
        <v>579</v>
      </c>
      <c r="C560">
        <v>12.65</v>
      </c>
      <c r="D560">
        <v>11.8</v>
      </c>
      <c r="E560" s="178">
        <v>-1.1000000000000001</v>
      </c>
      <c r="F560" s="176">
        <v>-8.5299999999999994</v>
      </c>
      <c r="G560" t="s">
        <v>6085</v>
      </c>
      <c r="H560">
        <v>52949</v>
      </c>
      <c r="I560">
        <v>65384</v>
      </c>
      <c r="J560">
        <v>168.59</v>
      </c>
      <c r="K560">
        <v>12.8</v>
      </c>
      <c r="L560">
        <v>11.75</v>
      </c>
      <c r="M560" s="175">
        <v>3.14</v>
      </c>
      <c r="N560" t="s">
        <v>3444</v>
      </c>
    </row>
    <row r="561" spans="1:14">
      <c r="A561">
        <v>1720</v>
      </c>
      <c r="B561" t="s">
        <v>580</v>
      </c>
      <c r="C561">
        <v>57.5</v>
      </c>
      <c r="D561">
        <v>57.9</v>
      </c>
      <c r="E561" s="178">
        <v>0</v>
      </c>
      <c r="F561" s="176">
        <v>0</v>
      </c>
      <c r="G561" t="s">
        <v>6002</v>
      </c>
      <c r="H561">
        <v>238</v>
      </c>
      <c r="I561">
        <v>416</v>
      </c>
      <c r="J561">
        <v>19.66</v>
      </c>
      <c r="K561">
        <v>58.2</v>
      </c>
      <c r="L561">
        <v>57.3</v>
      </c>
      <c r="M561" s="175">
        <v>0.12</v>
      </c>
      <c r="N561" t="s">
        <v>3445</v>
      </c>
    </row>
    <row r="562" spans="1:14">
      <c r="A562">
        <v>1721</v>
      </c>
      <c r="B562" t="s">
        <v>3446</v>
      </c>
      <c r="C562">
        <v>26</v>
      </c>
      <c r="D562">
        <v>25.4</v>
      </c>
      <c r="E562" s="178">
        <v>-1.2</v>
      </c>
      <c r="F562" s="176">
        <v>-4.51</v>
      </c>
      <c r="G562" t="s">
        <v>6086</v>
      </c>
      <c r="H562">
        <v>1631</v>
      </c>
      <c r="I562">
        <v>2715</v>
      </c>
      <c r="J562">
        <v>18.489999999999998</v>
      </c>
      <c r="K562">
        <v>26.15</v>
      </c>
      <c r="L562">
        <v>25.15</v>
      </c>
      <c r="M562" s="175">
        <v>0.88</v>
      </c>
      <c r="N562" t="s">
        <v>3447</v>
      </c>
    </row>
    <row r="563" spans="1:14">
      <c r="A563">
        <v>1722</v>
      </c>
      <c r="B563" t="s">
        <v>581</v>
      </c>
      <c r="C563">
        <v>42.4</v>
      </c>
      <c r="D563">
        <v>42.1</v>
      </c>
      <c r="E563" s="178">
        <v>-0.45</v>
      </c>
      <c r="F563" s="176">
        <v>-1.06</v>
      </c>
      <c r="G563" t="s">
        <v>5189</v>
      </c>
      <c r="H563">
        <v>2425</v>
      </c>
      <c r="I563">
        <v>2071</v>
      </c>
      <c r="J563">
        <v>98</v>
      </c>
      <c r="K563">
        <v>42.55</v>
      </c>
      <c r="L563">
        <v>41.9</v>
      </c>
      <c r="M563" s="175">
        <v>0.25</v>
      </c>
      <c r="N563" t="s">
        <v>3448</v>
      </c>
    </row>
    <row r="564" spans="1:14">
      <c r="A564">
        <v>1723</v>
      </c>
      <c r="B564" t="s">
        <v>582</v>
      </c>
      <c r="C564">
        <v>87.1</v>
      </c>
      <c r="D564">
        <v>86.5</v>
      </c>
      <c r="E564" s="178">
        <v>-0.5</v>
      </c>
      <c r="F564" s="176">
        <v>-0.56999999999999995</v>
      </c>
      <c r="G564" t="s">
        <v>6087</v>
      </c>
      <c r="H564">
        <v>724</v>
      </c>
      <c r="I564">
        <v>787</v>
      </c>
      <c r="J564">
        <v>23.69</v>
      </c>
      <c r="K564">
        <v>87.1</v>
      </c>
      <c r="L564">
        <v>85.5</v>
      </c>
      <c r="M564" s="175">
        <v>0.31</v>
      </c>
      <c r="N564" t="s">
        <v>3449</v>
      </c>
    </row>
    <row r="565" spans="1:14">
      <c r="A565">
        <v>1725</v>
      </c>
      <c r="B565" t="s">
        <v>583</v>
      </c>
      <c r="C565">
        <v>35.799999999999997</v>
      </c>
      <c r="D565">
        <v>34.85</v>
      </c>
      <c r="E565" s="178">
        <v>-1.05</v>
      </c>
      <c r="F565" s="176">
        <v>-2.92</v>
      </c>
      <c r="G565" t="s">
        <v>6088</v>
      </c>
      <c r="H565">
        <v>172</v>
      </c>
      <c r="I565">
        <v>207</v>
      </c>
      <c r="J565">
        <v>18.18</v>
      </c>
      <c r="K565">
        <v>35.799999999999997</v>
      </c>
      <c r="L565">
        <v>34.15</v>
      </c>
      <c r="M565" s="175">
        <v>0.09</v>
      </c>
      <c r="N565" t="s">
        <v>3450</v>
      </c>
    </row>
    <row r="566" spans="1:14">
      <c r="A566">
        <v>1726</v>
      </c>
      <c r="B566" t="s">
        <v>584</v>
      </c>
      <c r="C566">
        <v>76.2</v>
      </c>
      <c r="D566">
        <v>75.900000000000006</v>
      </c>
      <c r="E566" s="178">
        <v>-0.2</v>
      </c>
      <c r="F566" s="176">
        <v>-0.26</v>
      </c>
      <c r="G566" t="s">
        <v>6089</v>
      </c>
      <c r="H566">
        <v>74</v>
      </c>
      <c r="I566">
        <v>25</v>
      </c>
      <c r="J566">
        <v>16.2</v>
      </c>
      <c r="K566">
        <v>76.3</v>
      </c>
      <c r="L566">
        <v>75.8</v>
      </c>
      <c r="M566" s="175">
        <v>0.05</v>
      </c>
      <c r="N566" t="s">
        <v>3451</v>
      </c>
    </row>
    <row r="567" spans="1:14">
      <c r="A567">
        <v>1727</v>
      </c>
      <c r="B567" t="s">
        <v>585</v>
      </c>
      <c r="C567">
        <v>99.2</v>
      </c>
      <c r="D567">
        <v>96.1</v>
      </c>
      <c r="E567" s="178">
        <v>-5.9</v>
      </c>
      <c r="F567" s="176">
        <v>-5.78</v>
      </c>
      <c r="G567" t="s">
        <v>5614</v>
      </c>
      <c r="H567">
        <v>4758</v>
      </c>
      <c r="I567">
        <v>6566</v>
      </c>
      <c r="J567">
        <v>14.18</v>
      </c>
      <c r="K567">
        <v>100</v>
      </c>
      <c r="L567">
        <v>96.1</v>
      </c>
      <c r="M567" s="175">
        <v>3.35</v>
      </c>
      <c r="N567" t="s">
        <v>3452</v>
      </c>
    </row>
    <row r="568" spans="1:14">
      <c r="A568">
        <v>1730</v>
      </c>
      <c r="B568" t="s">
        <v>586</v>
      </c>
      <c r="C568">
        <v>51</v>
      </c>
      <c r="D568">
        <v>51</v>
      </c>
      <c r="E568" s="178">
        <v>-0.2</v>
      </c>
      <c r="F568" s="176">
        <v>-0.39</v>
      </c>
      <c r="G568" t="s">
        <v>6090</v>
      </c>
      <c r="H568">
        <v>54</v>
      </c>
      <c r="I568">
        <v>30</v>
      </c>
      <c r="J568">
        <v>6.32</v>
      </c>
      <c r="K568">
        <v>51.3</v>
      </c>
      <c r="L568">
        <v>51</v>
      </c>
      <c r="M568" s="175">
        <v>0.09</v>
      </c>
      <c r="N568" t="s">
        <v>3453</v>
      </c>
    </row>
    <row r="569" spans="1:14">
      <c r="A569">
        <v>1731</v>
      </c>
      <c r="B569" t="s">
        <v>587</v>
      </c>
      <c r="C569">
        <v>21</v>
      </c>
      <c r="D569">
        <v>21</v>
      </c>
      <c r="E569" s="178">
        <v>0</v>
      </c>
      <c r="F569" s="176">
        <v>0</v>
      </c>
      <c r="G569" t="s">
        <v>5363</v>
      </c>
      <c r="H569">
        <v>102</v>
      </c>
      <c r="I569">
        <v>92</v>
      </c>
      <c r="J569">
        <v>13.29</v>
      </c>
      <c r="K569">
        <v>21.1</v>
      </c>
      <c r="L569">
        <v>20.9</v>
      </c>
      <c r="M569" s="175">
        <v>0.08</v>
      </c>
      <c r="N569" t="s">
        <v>3454</v>
      </c>
    </row>
    <row r="570" spans="1:14">
      <c r="A570">
        <v>1732</v>
      </c>
      <c r="B570" t="s">
        <v>588</v>
      </c>
      <c r="C570">
        <v>27</v>
      </c>
      <c r="D570">
        <v>26.55</v>
      </c>
      <c r="E570" s="178">
        <v>-0.45</v>
      </c>
      <c r="F570" s="176">
        <v>-1.67</v>
      </c>
      <c r="G570" t="s">
        <v>6091</v>
      </c>
      <c r="H570">
        <v>478</v>
      </c>
      <c r="I570">
        <v>1343</v>
      </c>
      <c r="J570">
        <v>4.24</v>
      </c>
      <c r="K570">
        <v>27.9</v>
      </c>
      <c r="L570">
        <v>26.55</v>
      </c>
      <c r="M570" s="175">
        <v>1.1299999999999999</v>
      </c>
      <c r="N570" t="s">
        <v>3455</v>
      </c>
    </row>
    <row r="571" spans="1:14">
      <c r="A571">
        <v>1733</v>
      </c>
      <c r="B571" t="s">
        <v>589</v>
      </c>
      <c r="C571">
        <v>30.2</v>
      </c>
      <c r="D571">
        <v>29.85</v>
      </c>
      <c r="E571" s="178">
        <v>-0.25</v>
      </c>
      <c r="F571" s="176">
        <v>-0.83</v>
      </c>
      <c r="G571" t="s">
        <v>5349</v>
      </c>
      <c r="H571">
        <v>129</v>
      </c>
      <c r="I571">
        <v>95</v>
      </c>
      <c r="J571">
        <v>10</v>
      </c>
      <c r="K571">
        <v>30.3</v>
      </c>
      <c r="L571">
        <v>29.8</v>
      </c>
      <c r="M571" s="175">
        <v>0.13</v>
      </c>
      <c r="N571" t="s">
        <v>3456</v>
      </c>
    </row>
    <row r="572" spans="1:14">
      <c r="A572">
        <v>1734</v>
      </c>
      <c r="B572" t="s">
        <v>590</v>
      </c>
      <c r="C572">
        <v>31.8</v>
      </c>
      <c r="D572">
        <v>31.6</v>
      </c>
      <c r="E572" s="178">
        <v>-0.1</v>
      </c>
      <c r="F572" s="176">
        <v>-0.32</v>
      </c>
      <c r="G572" t="s">
        <v>6092</v>
      </c>
      <c r="H572">
        <v>194</v>
      </c>
      <c r="I572">
        <v>173</v>
      </c>
      <c r="J572">
        <v>20.16</v>
      </c>
      <c r="K572">
        <v>31.8</v>
      </c>
      <c r="L572">
        <v>31.4</v>
      </c>
      <c r="M572" s="175">
        <v>0.1</v>
      </c>
      <c r="N572" t="s">
        <v>3457</v>
      </c>
    </row>
    <row r="573" spans="1:14">
      <c r="A573">
        <v>1735</v>
      </c>
      <c r="B573" t="s">
        <v>591</v>
      </c>
      <c r="C573">
        <v>22.2</v>
      </c>
      <c r="D573">
        <v>21.7</v>
      </c>
      <c r="E573" s="178">
        <v>-1.05</v>
      </c>
      <c r="F573" s="176">
        <v>-4.62</v>
      </c>
      <c r="G573" t="s">
        <v>6093</v>
      </c>
      <c r="H573">
        <v>149</v>
      </c>
      <c r="I573">
        <v>357</v>
      </c>
      <c r="J573">
        <v>9.94</v>
      </c>
      <c r="K573">
        <v>22.35</v>
      </c>
      <c r="L573">
        <v>21.65</v>
      </c>
      <c r="M573" s="175">
        <v>0.15</v>
      </c>
      <c r="N573" t="s">
        <v>3458</v>
      </c>
    </row>
    <row r="574" spans="1:14">
      <c r="A574">
        <v>1736</v>
      </c>
      <c r="B574" t="s">
        <v>592</v>
      </c>
      <c r="C574">
        <v>121</v>
      </c>
      <c r="D574">
        <v>122.5</v>
      </c>
      <c r="E574" s="178">
        <v>2.5</v>
      </c>
      <c r="F574" s="176">
        <v>2.08</v>
      </c>
      <c r="G574" t="s">
        <v>6094</v>
      </c>
      <c r="H574">
        <v>607</v>
      </c>
      <c r="I574">
        <v>489</v>
      </c>
      <c r="J574">
        <v>30.34</v>
      </c>
      <c r="K574">
        <v>125</v>
      </c>
      <c r="L574">
        <v>120</v>
      </c>
      <c r="M574" s="175">
        <v>0.2</v>
      </c>
      <c r="N574" t="s">
        <v>3459</v>
      </c>
    </row>
    <row r="575" spans="1:14">
      <c r="A575">
        <v>1737</v>
      </c>
      <c r="B575" t="s">
        <v>593</v>
      </c>
      <c r="C575">
        <v>30.1</v>
      </c>
      <c r="D575">
        <v>30.25</v>
      </c>
      <c r="E575" s="178">
        <v>0.15</v>
      </c>
      <c r="F575" s="176">
        <v>0.5</v>
      </c>
      <c r="G575" t="s">
        <v>6095</v>
      </c>
      <c r="H575">
        <v>250</v>
      </c>
      <c r="I575">
        <v>148</v>
      </c>
      <c r="J575">
        <v>20</v>
      </c>
      <c r="K575">
        <v>30.25</v>
      </c>
      <c r="L575">
        <v>30</v>
      </c>
      <c r="M575" s="175">
        <v>0.13</v>
      </c>
      <c r="N575" t="s">
        <v>3460</v>
      </c>
    </row>
    <row r="576" spans="1:14">
      <c r="A576">
        <v>1742</v>
      </c>
      <c r="B576" t="s">
        <v>594</v>
      </c>
      <c r="C576">
        <v>18.95</v>
      </c>
      <c r="D576">
        <v>19.350000000000001</v>
      </c>
      <c r="E576" s="178">
        <v>0.25</v>
      </c>
      <c r="F576" s="176">
        <v>1.31</v>
      </c>
      <c r="G576" t="s">
        <v>6096</v>
      </c>
      <c r="H576">
        <v>444</v>
      </c>
      <c r="I576">
        <v>431</v>
      </c>
      <c r="J576">
        <v>9.27</v>
      </c>
      <c r="K576">
        <v>19.8</v>
      </c>
      <c r="L576">
        <v>18.95</v>
      </c>
      <c r="M576" s="175">
        <v>0.48</v>
      </c>
      <c r="N576" t="s">
        <v>3461</v>
      </c>
    </row>
    <row r="577" spans="1:14">
      <c r="A577">
        <v>1752</v>
      </c>
      <c r="B577" t="s">
        <v>595</v>
      </c>
      <c r="C577">
        <v>32.75</v>
      </c>
      <c r="D577">
        <v>31.3</v>
      </c>
      <c r="E577" s="178">
        <v>-1</v>
      </c>
      <c r="F577" s="176">
        <v>-3.1</v>
      </c>
      <c r="G577" t="s">
        <v>6097</v>
      </c>
      <c r="H577">
        <v>305</v>
      </c>
      <c r="I577">
        <v>203</v>
      </c>
      <c r="J577">
        <v>10.1</v>
      </c>
      <c r="K577">
        <v>32.75</v>
      </c>
      <c r="L577">
        <v>31</v>
      </c>
      <c r="M577" s="175">
        <v>0.3</v>
      </c>
      <c r="N577" t="s">
        <v>3462</v>
      </c>
    </row>
    <row r="578" spans="1:14">
      <c r="A578">
        <v>1760</v>
      </c>
      <c r="B578" t="s">
        <v>363</v>
      </c>
      <c r="C578">
        <v>54</v>
      </c>
      <c r="D578">
        <v>53.8</v>
      </c>
      <c r="E578" s="178">
        <v>-0.2</v>
      </c>
      <c r="F578" s="176">
        <v>-0.37</v>
      </c>
      <c r="G578" t="s">
        <v>6098</v>
      </c>
      <c r="H578">
        <v>118</v>
      </c>
      <c r="I578">
        <v>152</v>
      </c>
      <c r="J578">
        <v>8.57</v>
      </c>
      <c r="K578">
        <v>54.5</v>
      </c>
      <c r="L578">
        <v>53.5</v>
      </c>
      <c r="M578" s="175">
        <v>0.14000000000000001</v>
      </c>
      <c r="N578" t="s">
        <v>3463</v>
      </c>
    </row>
    <row r="579" spans="1:14">
      <c r="A579">
        <v>1762</v>
      </c>
      <c r="B579" t="s">
        <v>596</v>
      </c>
      <c r="C579">
        <v>34.700000000000003</v>
      </c>
      <c r="D579">
        <v>34.700000000000003</v>
      </c>
      <c r="E579" s="178">
        <v>0</v>
      </c>
      <c r="F579" s="176">
        <v>0</v>
      </c>
      <c r="G579" t="s">
        <v>5247</v>
      </c>
      <c r="H579">
        <v>77</v>
      </c>
      <c r="I579">
        <v>162</v>
      </c>
      <c r="J579">
        <v>7.69</v>
      </c>
      <c r="K579">
        <v>34.85</v>
      </c>
      <c r="L579">
        <v>34</v>
      </c>
      <c r="M579" s="175">
        <v>0.1</v>
      </c>
      <c r="N579" t="s">
        <v>3464</v>
      </c>
    </row>
    <row r="580" spans="1:14">
      <c r="A580">
        <v>1773</v>
      </c>
      <c r="B580" t="s">
        <v>597</v>
      </c>
      <c r="C580">
        <v>171.5</v>
      </c>
      <c r="D580">
        <v>169.5</v>
      </c>
      <c r="E580" s="178">
        <v>-5.5</v>
      </c>
      <c r="F580" s="176">
        <v>-3.14</v>
      </c>
      <c r="G580" t="s">
        <v>6099</v>
      </c>
      <c r="H580">
        <v>509</v>
      </c>
      <c r="I580">
        <v>750</v>
      </c>
      <c r="J580">
        <v>30</v>
      </c>
      <c r="K580">
        <v>172</v>
      </c>
      <c r="L580">
        <v>167.5</v>
      </c>
      <c r="M580" s="175">
        <v>0.17</v>
      </c>
      <c r="N580" t="s">
        <v>3465</v>
      </c>
    </row>
    <row r="581" spans="1:14">
      <c r="A581">
        <v>1776</v>
      </c>
      <c r="B581" t="s">
        <v>598</v>
      </c>
      <c r="C581">
        <v>19.2</v>
      </c>
      <c r="D581">
        <v>18.7</v>
      </c>
      <c r="E581" s="178">
        <v>-0.2</v>
      </c>
      <c r="F581" s="176">
        <v>-1.06</v>
      </c>
      <c r="G581" t="s">
        <v>5238</v>
      </c>
      <c r="H581">
        <v>84</v>
      </c>
      <c r="I581">
        <v>111</v>
      </c>
      <c r="J581">
        <v>6.01</v>
      </c>
      <c r="K581">
        <v>19.2</v>
      </c>
      <c r="L581">
        <v>18.399999999999999</v>
      </c>
      <c r="M581" s="175">
        <v>0.14000000000000001</v>
      </c>
      <c r="N581" t="s">
        <v>3466</v>
      </c>
    </row>
    <row r="582" spans="1:14">
      <c r="A582">
        <v>1777</v>
      </c>
      <c r="B582" t="s">
        <v>599</v>
      </c>
      <c r="C582">
        <v>76.3</v>
      </c>
      <c r="D582">
        <v>76.099999999999994</v>
      </c>
      <c r="E582" s="178">
        <v>-0.3</v>
      </c>
      <c r="F582" s="176">
        <v>-0.39</v>
      </c>
      <c r="G582" t="s">
        <v>5402</v>
      </c>
      <c r="H582">
        <v>57</v>
      </c>
      <c r="I582">
        <v>34</v>
      </c>
      <c r="J582">
        <v>4.46</v>
      </c>
      <c r="K582">
        <v>76.3</v>
      </c>
      <c r="L582">
        <v>75.599999999999994</v>
      </c>
      <c r="M582" s="175">
        <v>0.13</v>
      </c>
      <c r="N582" t="s">
        <v>3467</v>
      </c>
    </row>
    <row r="583" spans="1:14">
      <c r="A583">
        <v>1780</v>
      </c>
      <c r="B583" t="s">
        <v>3192</v>
      </c>
      <c r="C583">
        <v>24.75</v>
      </c>
      <c r="D583">
        <v>24.7</v>
      </c>
      <c r="E583" s="178">
        <v>-0.05</v>
      </c>
      <c r="F583" s="176">
        <v>-0.2</v>
      </c>
      <c r="G583" t="s">
        <v>6100</v>
      </c>
      <c r="H583">
        <v>76</v>
      </c>
      <c r="I583">
        <v>50</v>
      </c>
      <c r="J583">
        <v>10.91</v>
      </c>
      <c r="K583">
        <v>24.75</v>
      </c>
      <c r="L583">
        <v>24.2</v>
      </c>
      <c r="M583" s="175">
        <v>7.0000000000000007E-2</v>
      </c>
      <c r="N583" t="s">
        <v>3468</v>
      </c>
    </row>
    <row r="584" spans="1:14">
      <c r="A584">
        <v>1781</v>
      </c>
      <c r="B584" t="s">
        <v>600</v>
      </c>
      <c r="C584">
        <v>10</v>
      </c>
      <c r="D584">
        <v>9.9499999999999993</v>
      </c>
      <c r="E584" s="178">
        <v>-0.05</v>
      </c>
      <c r="F584" s="176">
        <v>-0.5</v>
      </c>
      <c r="G584" t="s">
        <v>5334</v>
      </c>
      <c r="H584">
        <v>26</v>
      </c>
      <c r="I584">
        <v>263</v>
      </c>
      <c r="J584">
        <v>4.74</v>
      </c>
      <c r="K584">
        <v>10.050000000000001</v>
      </c>
      <c r="L584">
        <v>9.93</v>
      </c>
      <c r="M584" s="175">
        <v>0.05</v>
      </c>
      <c r="N584" t="s">
        <v>3469</v>
      </c>
    </row>
    <row r="585" spans="1:14">
      <c r="A585">
        <v>1783</v>
      </c>
      <c r="B585" t="s">
        <v>601</v>
      </c>
      <c r="C585">
        <v>37.6</v>
      </c>
      <c r="D585">
        <v>37.4</v>
      </c>
      <c r="E585" s="178">
        <v>-0.3</v>
      </c>
      <c r="F585" s="176">
        <v>-0.8</v>
      </c>
      <c r="G585" t="s">
        <v>5857</v>
      </c>
      <c r="H585">
        <v>46</v>
      </c>
      <c r="I585">
        <v>71</v>
      </c>
      <c r="J585">
        <v>8.9700000000000006</v>
      </c>
      <c r="K585">
        <v>37.75</v>
      </c>
      <c r="L585">
        <v>37.35</v>
      </c>
      <c r="M585" s="175">
        <v>0.05</v>
      </c>
      <c r="N585" t="s">
        <v>3470</v>
      </c>
    </row>
    <row r="586" spans="1:14">
      <c r="A586">
        <v>1784</v>
      </c>
      <c r="B586" t="s">
        <v>602</v>
      </c>
      <c r="C586">
        <v>58.6</v>
      </c>
      <c r="D586">
        <v>56.3</v>
      </c>
      <c r="E586" s="178">
        <v>-1.5</v>
      </c>
      <c r="F586" s="176">
        <v>-2.6</v>
      </c>
      <c r="G586" t="s">
        <v>6101</v>
      </c>
      <c r="H586">
        <v>100</v>
      </c>
      <c r="I586">
        <v>53</v>
      </c>
      <c r="J586">
        <v>5.31</v>
      </c>
      <c r="K586">
        <v>58.6</v>
      </c>
      <c r="L586">
        <v>56.2</v>
      </c>
      <c r="M586" s="175">
        <v>0.19</v>
      </c>
      <c r="N586" t="s">
        <v>3471</v>
      </c>
    </row>
    <row r="587" spans="1:14">
      <c r="A587">
        <v>1785</v>
      </c>
      <c r="B587" t="s">
        <v>603</v>
      </c>
      <c r="C587">
        <v>101.5</v>
      </c>
      <c r="D587">
        <v>98.6</v>
      </c>
      <c r="E587" s="178">
        <v>-5.9</v>
      </c>
      <c r="F587" s="176">
        <v>-5.65</v>
      </c>
      <c r="G587" t="s">
        <v>6102</v>
      </c>
      <c r="H587">
        <v>7908</v>
      </c>
      <c r="I587">
        <v>9153</v>
      </c>
      <c r="J587">
        <v>59.6</v>
      </c>
      <c r="K587">
        <v>102</v>
      </c>
      <c r="L587">
        <v>98.4</v>
      </c>
      <c r="M587" s="175">
        <v>1.33</v>
      </c>
      <c r="N587" t="s">
        <v>3472</v>
      </c>
    </row>
    <row r="588" spans="1:14">
      <c r="A588">
        <v>1786</v>
      </c>
      <c r="B588" t="s">
        <v>604</v>
      </c>
      <c r="C588">
        <v>40.65</v>
      </c>
      <c r="D588">
        <v>40.25</v>
      </c>
      <c r="E588" s="178">
        <v>-0.55000000000000004</v>
      </c>
      <c r="F588" s="176">
        <v>-1.35</v>
      </c>
      <c r="G588" t="s">
        <v>6103</v>
      </c>
      <c r="H588">
        <v>251</v>
      </c>
      <c r="I588">
        <v>108</v>
      </c>
      <c r="J588">
        <v>7.48</v>
      </c>
      <c r="K588">
        <v>41.7</v>
      </c>
      <c r="L588">
        <v>40.25</v>
      </c>
      <c r="M588" s="175">
        <v>0.34</v>
      </c>
      <c r="N588" t="s">
        <v>3473</v>
      </c>
    </row>
    <row r="589" spans="1:14">
      <c r="A589">
        <v>1788</v>
      </c>
      <c r="B589" t="s">
        <v>605</v>
      </c>
      <c r="C589">
        <v>128</v>
      </c>
      <c r="D589">
        <v>128</v>
      </c>
      <c r="E589" s="178">
        <v>0</v>
      </c>
      <c r="F589" s="176">
        <v>0</v>
      </c>
      <c r="G589" t="s">
        <v>5250</v>
      </c>
      <c r="H589">
        <v>23</v>
      </c>
      <c r="I589">
        <v>32</v>
      </c>
      <c r="J589">
        <v>4.45</v>
      </c>
      <c r="K589">
        <v>128</v>
      </c>
      <c r="L589">
        <v>128</v>
      </c>
      <c r="M589" s="175">
        <v>0.05</v>
      </c>
      <c r="N589" t="s">
        <v>3474</v>
      </c>
    </row>
    <row r="590" spans="1:14">
      <c r="A590">
        <v>1789</v>
      </c>
      <c r="B590" t="s">
        <v>606</v>
      </c>
      <c r="C590">
        <v>19.8</v>
      </c>
      <c r="D590">
        <v>19.8</v>
      </c>
      <c r="E590" s="178">
        <v>-0.05</v>
      </c>
      <c r="F590" s="176">
        <v>-0.25</v>
      </c>
      <c r="G590" t="s">
        <v>6104</v>
      </c>
      <c r="H590">
        <v>962</v>
      </c>
      <c r="I590">
        <v>490</v>
      </c>
      <c r="J590">
        <v>79.069999999999993</v>
      </c>
      <c r="K590">
        <v>20.399999999999999</v>
      </c>
      <c r="L590">
        <v>19.600000000000001</v>
      </c>
      <c r="M590" s="175">
        <v>0.12</v>
      </c>
      <c r="N590" t="s">
        <v>3475</v>
      </c>
    </row>
    <row r="591" spans="1:14">
      <c r="A591">
        <v>1795</v>
      </c>
      <c r="B591" t="s">
        <v>607</v>
      </c>
      <c r="C591">
        <v>179</v>
      </c>
      <c r="D591">
        <v>180</v>
      </c>
      <c r="E591" s="178">
        <v>0</v>
      </c>
      <c r="F591" s="176">
        <v>0</v>
      </c>
      <c r="G591" t="s">
        <v>6013</v>
      </c>
      <c r="H591">
        <v>1360</v>
      </c>
      <c r="I591">
        <v>984</v>
      </c>
      <c r="J591">
        <v>27</v>
      </c>
      <c r="K591">
        <v>184.5</v>
      </c>
      <c r="L591">
        <v>178.5</v>
      </c>
      <c r="M591" s="175">
        <v>0.5</v>
      </c>
      <c r="N591" t="s">
        <v>3476</v>
      </c>
    </row>
    <row r="592" spans="1:14">
      <c r="A592">
        <v>1796</v>
      </c>
      <c r="B592" t="s">
        <v>608</v>
      </c>
      <c r="C592">
        <v>29.7</v>
      </c>
      <c r="D592">
        <v>29.3</v>
      </c>
      <c r="E592" s="178">
        <v>0</v>
      </c>
      <c r="F592" s="176">
        <v>0</v>
      </c>
      <c r="G592" t="s">
        <v>6105</v>
      </c>
      <c r="H592">
        <v>18</v>
      </c>
      <c r="I592">
        <v>19</v>
      </c>
      <c r="J592">
        <v>4.1500000000000004</v>
      </c>
      <c r="K592">
        <v>29.7</v>
      </c>
      <c r="L592">
        <v>29.05</v>
      </c>
      <c r="M592" s="175">
        <v>0.04</v>
      </c>
      <c r="N592" t="s">
        <v>3477</v>
      </c>
    </row>
    <row r="593" spans="1:14">
      <c r="A593">
        <v>1799</v>
      </c>
      <c r="B593" t="s">
        <v>1664</v>
      </c>
      <c r="C593">
        <v>29</v>
      </c>
      <c r="D593">
        <v>28.1</v>
      </c>
      <c r="E593" s="178">
        <v>-0.7</v>
      </c>
      <c r="F593" s="176">
        <v>-2.4300000000000002</v>
      </c>
      <c r="G593" t="s">
        <v>5752</v>
      </c>
      <c r="H593">
        <v>177</v>
      </c>
      <c r="I593">
        <v>139</v>
      </c>
      <c r="J593">
        <v>24.88</v>
      </c>
      <c r="K593">
        <v>29</v>
      </c>
      <c r="L593">
        <v>28.1</v>
      </c>
      <c r="M593" s="175">
        <v>7.0000000000000007E-2</v>
      </c>
      <c r="N593" t="s">
        <v>3478</v>
      </c>
    </row>
    <row r="594" spans="1:14">
      <c r="A594">
        <v>1802</v>
      </c>
      <c r="B594" t="s">
        <v>609</v>
      </c>
      <c r="C594">
        <v>63.9</v>
      </c>
      <c r="D594">
        <v>62.7</v>
      </c>
      <c r="E594" s="178">
        <v>-4.3</v>
      </c>
      <c r="F594" s="176">
        <v>-6.42</v>
      </c>
      <c r="G594" t="s">
        <v>6106</v>
      </c>
      <c r="H594">
        <v>81235</v>
      </c>
      <c r="I594">
        <v>119862</v>
      </c>
      <c r="J594">
        <v>290.81</v>
      </c>
      <c r="K594">
        <v>65.099999999999994</v>
      </c>
      <c r="L594">
        <v>62</v>
      </c>
      <c r="M594" s="175">
        <v>2.79</v>
      </c>
      <c r="N594" t="s">
        <v>3479</v>
      </c>
    </row>
    <row r="595" spans="1:14">
      <c r="A595">
        <v>1805</v>
      </c>
      <c r="B595" t="s">
        <v>610</v>
      </c>
      <c r="C595">
        <v>10.050000000000001</v>
      </c>
      <c r="D595">
        <v>9.9499999999999993</v>
      </c>
      <c r="E595" s="178">
        <v>-0.05</v>
      </c>
      <c r="F595" s="176">
        <v>-0.5</v>
      </c>
      <c r="G595" t="s">
        <v>6107</v>
      </c>
      <c r="H595">
        <v>58</v>
      </c>
      <c r="I595">
        <v>54</v>
      </c>
      <c r="J595">
        <v>13.5</v>
      </c>
      <c r="K595">
        <v>10.050000000000001</v>
      </c>
      <c r="L595">
        <v>9.9499999999999993</v>
      </c>
      <c r="M595" s="175">
        <v>0.04</v>
      </c>
      <c r="N595" t="s">
        <v>3480</v>
      </c>
    </row>
    <row r="596" spans="1:14">
      <c r="A596">
        <v>1806</v>
      </c>
      <c r="B596" t="s">
        <v>611</v>
      </c>
      <c r="C596">
        <v>7.98</v>
      </c>
      <c r="D596">
        <v>7.99</v>
      </c>
      <c r="E596" s="178">
        <v>0.02</v>
      </c>
      <c r="F596" s="176">
        <v>0.25</v>
      </c>
      <c r="G596" t="s">
        <v>5252</v>
      </c>
      <c r="H596">
        <v>198</v>
      </c>
      <c r="I596">
        <v>161</v>
      </c>
      <c r="J596">
        <v>39.04</v>
      </c>
      <c r="K596">
        <v>8.0299999999999994</v>
      </c>
      <c r="L596">
        <v>7.89</v>
      </c>
      <c r="M596" s="175">
        <v>0.05</v>
      </c>
      <c r="N596" t="s">
        <v>3481</v>
      </c>
    </row>
    <row r="597" spans="1:14">
      <c r="A597">
        <v>1808</v>
      </c>
      <c r="B597" t="s">
        <v>2944</v>
      </c>
      <c r="C597">
        <v>35</v>
      </c>
      <c r="D597">
        <v>34.6</v>
      </c>
      <c r="E597" s="178">
        <v>-0.35</v>
      </c>
      <c r="F597" s="176">
        <v>-1</v>
      </c>
      <c r="G597" t="s">
        <v>6108</v>
      </c>
      <c r="H597">
        <v>1272</v>
      </c>
      <c r="I597">
        <v>2345</v>
      </c>
      <c r="J597">
        <v>89.3</v>
      </c>
      <c r="K597">
        <v>35.15</v>
      </c>
      <c r="L597">
        <v>34.549999999999997</v>
      </c>
      <c r="M597" s="175">
        <v>0.14000000000000001</v>
      </c>
      <c r="N597" t="s">
        <v>3482</v>
      </c>
    </row>
    <row r="598" spans="1:14">
      <c r="A598">
        <v>1809</v>
      </c>
      <c r="B598" t="s">
        <v>612</v>
      </c>
      <c r="C598">
        <v>42.8</v>
      </c>
      <c r="D598">
        <v>41.1</v>
      </c>
      <c r="E598" s="178">
        <v>-2.85</v>
      </c>
      <c r="F598" s="176">
        <v>-6.48</v>
      </c>
      <c r="G598" t="s">
        <v>6109</v>
      </c>
      <c r="H598">
        <v>2032</v>
      </c>
      <c r="I598">
        <v>2852</v>
      </c>
      <c r="J598">
        <v>16.7</v>
      </c>
      <c r="K598">
        <v>42.9</v>
      </c>
      <c r="L598">
        <v>40.200000000000003</v>
      </c>
      <c r="M598" s="175">
        <v>1.22</v>
      </c>
      <c r="N598" t="s">
        <v>3483</v>
      </c>
    </row>
    <row r="599" spans="1:14">
      <c r="A599">
        <v>1810</v>
      </c>
      <c r="B599" t="s">
        <v>613</v>
      </c>
      <c r="C599">
        <v>23.3</v>
      </c>
      <c r="D599">
        <v>23.1</v>
      </c>
      <c r="E599" s="178">
        <v>-0.55000000000000004</v>
      </c>
      <c r="F599" s="176">
        <v>-2.33</v>
      </c>
      <c r="G599" t="s">
        <v>6110</v>
      </c>
      <c r="H599">
        <v>1368</v>
      </c>
      <c r="I599">
        <v>1122</v>
      </c>
      <c r="J599">
        <v>30.23</v>
      </c>
      <c r="K599">
        <v>23.35</v>
      </c>
      <c r="L599">
        <v>23.1</v>
      </c>
      <c r="M599" s="175">
        <v>0.45</v>
      </c>
      <c r="N599" t="s">
        <v>3484</v>
      </c>
    </row>
    <row r="600" spans="1:14">
      <c r="A600">
        <v>1813</v>
      </c>
      <c r="B600" t="s">
        <v>614</v>
      </c>
      <c r="C600">
        <v>11.15</v>
      </c>
      <c r="D600">
        <v>11.05</v>
      </c>
      <c r="E600" s="178">
        <v>-0.1</v>
      </c>
      <c r="F600" s="176">
        <v>-0.9</v>
      </c>
      <c r="G600" t="s">
        <v>5751</v>
      </c>
      <c r="H600">
        <v>27</v>
      </c>
      <c r="I600">
        <v>20</v>
      </c>
      <c r="J600">
        <v>4.66</v>
      </c>
      <c r="K600">
        <v>11.15</v>
      </c>
      <c r="L600">
        <v>11.05</v>
      </c>
      <c r="M600" s="175">
        <v>0.06</v>
      </c>
      <c r="N600" t="s">
        <v>3485</v>
      </c>
    </row>
    <row r="601" spans="1:14">
      <c r="A601">
        <v>1815</v>
      </c>
      <c r="B601" t="s">
        <v>615</v>
      </c>
      <c r="C601">
        <v>128</v>
      </c>
      <c r="D601">
        <v>127.5</v>
      </c>
      <c r="E601" s="178">
        <v>-6.5</v>
      </c>
      <c r="F601" s="176">
        <v>-4.8499999999999996</v>
      </c>
      <c r="G601" t="s">
        <v>6111</v>
      </c>
      <c r="H601">
        <v>59222</v>
      </c>
      <c r="I601">
        <v>89011</v>
      </c>
      <c r="J601">
        <v>61.47</v>
      </c>
      <c r="K601">
        <v>132.5</v>
      </c>
      <c r="L601">
        <v>125</v>
      </c>
      <c r="M601" s="175">
        <v>9.6300000000000008</v>
      </c>
      <c r="N601" t="s">
        <v>3486</v>
      </c>
    </row>
    <row r="602" spans="1:14">
      <c r="A602">
        <v>1817</v>
      </c>
      <c r="B602" t="s">
        <v>616</v>
      </c>
      <c r="C602">
        <v>39.700000000000003</v>
      </c>
      <c r="D602">
        <v>39.799999999999997</v>
      </c>
      <c r="E602" s="178">
        <v>0</v>
      </c>
      <c r="F602" s="176">
        <v>0</v>
      </c>
      <c r="G602" t="s">
        <v>5481</v>
      </c>
      <c r="H602">
        <v>31</v>
      </c>
      <c r="I602">
        <v>32</v>
      </c>
      <c r="J602">
        <v>7.26</v>
      </c>
      <c r="K602">
        <v>39.9</v>
      </c>
      <c r="L602">
        <v>39.65</v>
      </c>
      <c r="M602" s="175">
        <v>0.04</v>
      </c>
      <c r="N602" t="s">
        <v>3484</v>
      </c>
    </row>
    <row r="603" spans="1:14">
      <c r="A603">
        <v>1903</v>
      </c>
      <c r="B603" t="s">
        <v>617</v>
      </c>
      <c r="C603">
        <v>48.1</v>
      </c>
      <c r="D603">
        <v>48.05</v>
      </c>
      <c r="E603" s="178">
        <v>0.05</v>
      </c>
      <c r="F603" s="176">
        <v>0.1</v>
      </c>
      <c r="G603" t="s">
        <v>5461</v>
      </c>
      <c r="H603">
        <v>72</v>
      </c>
      <c r="I603">
        <v>62</v>
      </c>
      <c r="J603">
        <v>26</v>
      </c>
      <c r="K603">
        <v>48.35</v>
      </c>
      <c r="L603">
        <v>47.85</v>
      </c>
      <c r="M603" s="175">
        <v>0.03</v>
      </c>
      <c r="N603" t="s">
        <v>3487</v>
      </c>
    </row>
    <row r="604" spans="1:14">
      <c r="A604">
        <v>1904</v>
      </c>
      <c r="B604" t="s">
        <v>618</v>
      </c>
      <c r="C604">
        <v>25.65</v>
      </c>
      <c r="D604">
        <v>25.6</v>
      </c>
      <c r="E604" s="178">
        <v>-0.1</v>
      </c>
      <c r="F604" s="176">
        <v>-0.39</v>
      </c>
      <c r="G604" t="s">
        <v>6112</v>
      </c>
      <c r="H604">
        <v>2156</v>
      </c>
      <c r="I604">
        <v>1834</v>
      </c>
      <c r="J604">
        <v>110.83</v>
      </c>
      <c r="K604">
        <v>26</v>
      </c>
      <c r="L604">
        <v>25.45</v>
      </c>
      <c r="M604" s="175">
        <v>0.19</v>
      </c>
      <c r="N604" t="s">
        <v>3488</v>
      </c>
    </row>
    <row r="605" spans="1:14">
      <c r="A605">
        <v>1905</v>
      </c>
      <c r="B605" t="s">
        <v>1542</v>
      </c>
      <c r="C605">
        <v>13.05</v>
      </c>
      <c r="D605">
        <v>13.1</v>
      </c>
      <c r="E605" s="178">
        <v>0</v>
      </c>
      <c r="F605" s="176">
        <v>0</v>
      </c>
      <c r="G605" t="s">
        <v>5593</v>
      </c>
      <c r="H605">
        <v>3488</v>
      </c>
      <c r="I605">
        <v>1610</v>
      </c>
      <c r="J605">
        <v>110.28</v>
      </c>
      <c r="K605">
        <v>13.3</v>
      </c>
      <c r="L605">
        <v>13</v>
      </c>
      <c r="M605" s="175">
        <v>0.32</v>
      </c>
      <c r="N605" t="s">
        <v>3489</v>
      </c>
    </row>
    <row r="606" spans="1:14">
      <c r="A606">
        <v>1906</v>
      </c>
      <c r="B606" t="s">
        <v>619</v>
      </c>
      <c r="C606">
        <v>10.9</v>
      </c>
      <c r="D606">
        <v>10.95</v>
      </c>
      <c r="E606" s="178">
        <v>0.1</v>
      </c>
      <c r="F606" s="176">
        <v>0.92</v>
      </c>
      <c r="G606" t="s">
        <v>6113</v>
      </c>
      <c r="H606">
        <v>69</v>
      </c>
      <c r="I606">
        <v>65</v>
      </c>
      <c r="J606">
        <v>15.1</v>
      </c>
      <c r="K606">
        <v>11.05</v>
      </c>
      <c r="L606">
        <v>10.9</v>
      </c>
      <c r="M606" s="175">
        <v>0.05</v>
      </c>
      <c r="N606" t="s">
        <v>3490</v>
      </c>
    </row>
    <row r="607" spans="1:14">
      <c r="A607">
        <v>1907</v>
      </c>
      <c r="B607" t="s">
        <v>620</v>
      </c>
      <c r="C607">
        <v>28.75</v>
      </c>
      <c r="D607">
        <v>29.55</v>
      </c>
      <c r="E607" s="178">
        <v>0.85</v>
      </c>
      <c r="F607" s="176">
        <v>2.96</v>
      </c>
      <c r="G607" t="s">
        <v>6114</v>
      </c>
      <c r="H607">
        <v>2667</v>
      </c>
      <c r="I607">
        <v>8235</v>
      </c>
      <c r="J607">
        <v>166.04</v>
      </c>
      <c r="K607">
        <v>30.05</v>
      </c>
      <c r="L607">
        <v>28.65</v>
      </c>
      <c r="M607" s="175">
        <v>0.16</v>
      </c>
      <c r="N607" t="s">
        <v>3491</v>
      </c>
    </row>
    <row r="608" spans="1:14">
      <c r="A608">
        <v>1909</v>
      </c>
      <c r="B608" t="s">
        <v>212</v>
      </c>
      <c r="C608">
        <v>10.3</v>
      </c>
      <c r="D608">
        <v>10.35</v>
      </c>
      <c r="E608" s="178">
        <v>-0.05</v>
      </c>
      <c r="F608" s="176">
        <v>-0.48</v>
      </c>
      <c r="G608" t="s">
        <v>6115</v>
      </c>
      <c r="H608">
        <v>2413</v>
      </c>
      <c r="I608">
        <v>1513</v>
      </c>
      <c r="J608">
        <v>132.77000000000001</v>
      </c>
      <c r="K608">
        <v>10.6</v>
      </c>
      <c r="L608">
        <v>10.3</v>
      </c>
      <c r="M608" s="175">
        <v>0.18</v>
      </c>
      <c r="N608" t="s">
        <v>3492</v>
      </c>
    </row>
    <row r="609" spans="1:14">
      <c r="A609">
        <v>2002</v>
      </c>
      <c r="B609" t="s">
        <v>240</v>
      </c>
      <c r="C609">
        <v>19.5</v>
      </c>
      <c r="D609">
        <v>19.25</v>
      </c>
      <c r="E609" s="178">
        <v>-0.25</v>
      </c>
      <c r="F609" s="176">
        <v>-1.28</v>
      </c>
      <c r="G609" t="s">
        <v>6116</v>
      </c>
      <c r="H609">
        <v>46416</v>
      </c>
      <c r="I609">
        <v>47330</v>
      </c>
      <c r="J609">
        <v>1573.49</v>
      </c>
      <c r="K609">
        <v>19.5</v>
      </c>
      <c r="L609">
        <v>19.2</v>
      </c>
      <c r="M609" s="175">
        <v>0.28999999999999998</v>
      </c>
      <c r="N609" t="s">
        <v>3493</v>
      </c>
    </row>
    <row r="610" spans="1:14">
      <c r="A610">
        <v>2006</v>
      </c>
      <c r="B610" t="s">
        <v>243</v>
      </c>
      <c r="C610">
        <v>90.5</v>
      </c>
      <c r="D610">
        <v>90.1</v>
      </c>
      <c r="E610" s="178">
        <v>0.6</v>
      </c>
      <c r="F610" s="176">
        <v>0.67</v>
      </c>
      <c r="G610" t="s">
        <v>5632</v>
      </c>
      <c r="H610">
        <v>2313</v>
      </c>
      <c r="I610">
        <v>1791</v>
      </c>
      <c r="J610">
        <v>73.02</v>
      </c>
      <c r="K610">
        <v>91.5</v>
      </c>
      <c r="L610">
        <v>89.7</v>
      </c>
      <c r="M610" s="175">
        <v>0.32</v>
      </c>
      <c r="N610" t="s">
        <v>3494</v>
      </c>
    </row>
    <row r="611" spans="1:14">
      <c r="A611">
        <v>2007</v>
      </c>
      <c r="B611" t="s">
        <v>621</v>
      </c>
      <c r="C611">
        <v>6.92</v>
      </c>
      <c r="D611">
        <v>6.96</v>
      </c>
      <c r="E611" s="178">
        <v>0.04</v>
      </c>
      <c r="F611" s="176">
        <v>0.57999999999999996</v>
      </c>
      <c r="G611" t="s">
        <v>5268</v>
      </c>
      <c r="H611">
        <v>191</v>
      </c>
      <c r="I611">
        <v>99</v>
      </c>
      <c r="J611">
        <v>53.07</v>
      </c>
      <c r="K611">
        <v>6.98</v>
      </c>
      <c r="L611">
        <v>6.89</v>
      </c>
      <c r="M611" s="175">
        <v>0.04</v>
      </c>
      <c r="N611" t="s">
        <v>3495</v>
      </c>
    </row>
    <row r="612" spans="1:14">
      <c r="A612">
        <v>2008</v>
      </c>
      <c r="B612" t="s">
        <v>622</v>
      </c>
      <c r="C612">
        <v>30.8</v>
      </c>
      <c r="D612">
        <v>30.8</v>
      </c>
      <c r="E612" s="178">
        <v>0.1</v>
      </c>
      <c r="F612" s="176">
        <v>0.33</v>
      </c>
      <c r="G612" t="s">
        <v>6117</v>
      </c>
      <c r="H612">
        <v>21</v>
      </c>
      <c r="I612">
        <v>12</v>
      </c>
      <c r="J612">
        <v>19.09</v>
      </c>
      <c r="K612">
        <v>31.05</v>
      </c>
      <c r="L612">
        <v>30.6</v>
      </c>
      <c r="M612" s="175">
        <v>0.01</v>
      </c>
      <c r="N612" t="s">
        <v>3496</v>
      </c>
    </row>
    <row r="613" spans="1:14">
      <c r="A613">
        <v>2009</v>
      </c>
      <c r="B613" t="s">
        <v>1543</v>
      </c>
      <c r="C613">
        <v>40.299999999999997</v>
      </c>
      <c r="D613">
        <v>39.549999999999997</v>
      </c>
      <c r="E613" s="178">
        <v>-1.35</v>
      </c>
      <c r="F613" s="176">
        <v>-3.3</v>
      </c>
      <c r="G613" t="s">
        <v>6118</v>
      </c>
      <c r="H613">
        <v>1846</v>
      </c>
      <c r="I613">
        <v>1678</v>
      </c>
      <c r="J613">
        <v>35.96</v>
      </c>
      <c r="K613">
        <v>40.6</v>
      </c>
      <c r="L613">
        <v>39.5</v>
      </c>
      <c r="M613" s="175">
        <v>0.51</v>
      </c>
      <c r="N613" t="s">
        <v>3497</v>
      </c>
    </row>
    <row r="614" spans="1:14">
      <c r="A614">
        <v>2010</v>
      </c>
      <c r="B614" t="s">
        <v>623</v>
      </c>
      <c r="C614">
        <v>22.8</v>
      </c>
      <c r="D614">
        <v>22.85</v>
      </c>
      <c r="E614" s="178">
        <v>0</v>
      </c>
      <c r="F614" s="176">
        <v>0</v>
      </c>
      <c r="G614" t="s">
        <v>6119</v>
      </c>
      <c r="H614">
        <v>1130</v>
      </c>
      <c r="I614">
        <v>801</v>
      </c>
      <c r="J614">
        <v>64.77</v>
      </c>
      <c r="K614">
        <v>22.85</v>
      </c>
      <c r="L614">
        <v>22.65</v>
      </c>
      <c r="M614" s="175">
        <v>0.17</v>
      </c>
      <c r="N614" t="s">
        <v>3498</v>
      </c>
    </row>
    <row r="615" spans="1:14">
      <c r="A615">
        <v>2012</v>
      </c>
      <c r="B615" t="s">
        <v>624</v>
      </c>
      <c r="C615">
        <v>14.15</v>
      </c>
      <c r="D615">
        <v>14.15</v>
      </c>
      <c r="E615" s="178">
        <v>0</v>
      </c>
      <c r="F615" s="176">
        <v>0</v>
      </c>
      <c r="G615" t="s">
        <v>6120</v>
      </c>
      <c r="H615">
        <v>65</v>
      </c>
      <c r="I615">
        <v>82</v>
      </c>
      <c r="J615">
        <v>30.22</v>
      </c>
      <c r="K615">
        <v>14.25</v>
      </c>
      <c r="L615">
        <v>14.15</v>
      </c>
      <c r="M615" s="175">
        <v>0.02</v>
      </c>
      <c r="N615" t="s">
        <v>3499</v>
      </c>
    </row>
    <row r="616" spans="1:14">
      <c r="A616">
        <v>2013</v>
      </c>
      <c r="B616" t="s">
        <v>625</v>
      </c>
      <c r="C616">
        <v>41.5</v>
      </c>
      <c r="D616">
        <v>41.45</v>
      </c>
      <c r="E616" s="178">
        <v>-0.05</v>
      </c>
      <c r="F616" s="176">
        <v>-0.12</v>
      </c>
      <c r="G616" t="s">
        <v>5376</v>
      </c>
      <c r="H616">
        <v>58</v>
      </c>
      <c r="I616">
        <v>38</v>
      </c>
      <c r="J616">
        <v>20</v>
      </c>
      <c r="K616">
        <v>41.65</v>
      </c>
      <c r="L616">
        <v>41.2</v>
      </c>
      <c r="M616" s="175">
        <v>0.03</v>
      </c>
      <c r="N616" t="s">
        <v>3500</v>
      </c>
    </row>
    <row r="617" spans="1:14">
      <c r="A617">
        <v>2014</v>
      </c>
      <c r="B617" t="s">
        <v>626</v>
      </c>
      <c r="C617">
        <v>17.149999999999999</v>
      </c>
      <c r="D617">
        <v>16.850000000000001</v>
      </c>
      <c r="E617" s="178">
        <v>-0.35</v>
      </c>
      <c r="F617" s="176">
        <v>-2.0299999999999998</v>
      </c>
      <c r="G617" t="s">
        <v>5928</v>
      </c>
      <c r="H617">
        <v>2970</v>
      </c>
      <c r="I617">
        <v>1972</v>
      </c>
      <c r="J617">
        <v>143.55000000000001</v>
      </c>
      <c r="K617">
        <v>17.2</v>
      </c>
      <c r="L617">
        <v>16.850000000000001</v>
      </c>
      <c r="M617" s="175">
        <v>0.21</v>
      </c>
      <c r="N617" t="s">
        <v>3501</v>
      </c>
    </row>
    <row r="618" spans="1:14">
      <c r="A618">
        <v>2015</v>
      </c>
      <c r="B618" t="s">
        <v>627</v>
      </c>
      <c r="C618">
        <v>65.099999999999994</v>
      </c>
      <c r="D618">
        <v>66.099999999999994</v>
      </c>
      <c r="E618" s="178">
        <v>1.6</v>
      </c>
      <c r="F618" s="176">
        <v>2.48</v>
      </c>
      <c r="G618" t="s">
        <v>6121</v>
      </c>
      <c r="H618">
        <v>714</v>
      </c>
      <c r="I618">
        <v>172</v>
      </c>
      <c r="J618">
        <v>58.16</v>
      </c>
      <c r="K618">
        <v>66.400000000000006</v>
      </c>
      <c r="L618">
        <v>65</v>
      </c>
      <c r="M618" s="175">
        <v>0.12</v>
      </c>
      <c r="N618" t="s">
        <v>3502</v>
      </c>
    </row>
    <row r="619" spans="1:14">
      <c r="A619">
        <v>2017</v>
      </c>
      <c r="B619" t="s">
        <v>628</v>
      </c>
      <c r="C619">
        <v>9</v>
      </c>
      <c r="D619">
        <v>8.94</v>
      </c>
      <c r="E619" s="178">
        <v>-0.06</v>
      </c>
      <c r="F619" s="176">
        <v>-0.67</v>
      </c>
      <c r="G619" t="s">
        <v>5781</v>
      </c>
      <c r="H619">
        <v>243</v>
      </c>
      <c r="I619">
        <v>305</v>
      </c>
      <c r="J619">
        <v>44.69</v>
      </c>
      <c r="K619">
        <v>9</v>
      </c>
      <c r="L619">
        <v>8.8800000000000008</v>
      </c>
      <c r="M619" s="175">
        <v>0.05</v>
      </c>
      <c r="N619" t="s">
        <v>3503</v>
      </c>
    </row>
    <row r="620" spans="1:14">
      <c r="A620">
        <v>2020</v>
      </c>
      <c r="B620" t="s">
        <v>629</v>
      </c>
      <c r="C620">
        <v>23.95</v>
      </c>
      <c r="D620">
        <v>24</v>
      </c>
      <c r="E620" s="178">
        <v>-0.3</v>
      </c>
      <c r="F620" s="176">
        <v>-1.23</v>
      </c>
      <c r="G620" t="s">
        <v>6122</v>
      </c>
      <c r="H620">
        <v>880</v>
      </c>
      <c r="I620">
        <v>1227</v>
      </c>
      <c r="J620">
        <v>26.7</v>
      </c>
      <c r="K620">
        <v>24.05</v>
      </c>
      <c r="L620">
        <v>23.7</v>
      </c>
      <c r="M620" s="175">
        <v>0.33</v>
      </c>
      <c r="N620" t="s">
        <v>3504</v>
      </c>
    </row>
    <row r="621" spans="1:14">
      <c r="A621">
        <v>2022</v>
      </c>
      <c r="B621" t="s">
        <v>2288</v>
      </c>
      <c r="C621">
        <v>7.09</v>
      </c>
      <c r="D621">
        <v>7.05</v>
      </c>
      <c r="E621" s="178">
        <v>-0.04</v>
      </c>
      <c r="F621" s="176">
        <v>-0.56000000000000005</v>
      </c>
      <c r="G621" t="s">
        <v>5148</v>
      </c>
      <c r="H621">
        <v>346</v>
      </c>
      <c r="I621">
        <v>266</v>
      </c>
      <c r="J621">
        <v>33.72</v>
      </c>
      <c r="K621">
        <v>7.09</v>
      </c>
      <c r="L621">
        <v>7</v>
      </c>
      <c r="M621" s="175">
        <v>0.1</v>
      </c>
      <c r="N621" t="s">
        <v>3505</v>
      </c>
    </row>
    <row r="622" spans="1:14">
      <c r="A622">
        <v>2023</v>
      </c>
      <c r="B622" t="s">
        <v>630</v>
      </c>
      <c r="C622">
        <v>14.45</v>
      </c>
      <c r="D622">
        <v>14.6</v>
      </c>
      <c r="E622" s="178">
        <v>0.15</v>
      </c>
      <c r="F622" s="176">
        <v>1.04</v>
      </c>
      <c r="G622" t="s">
        <v>6123</v>
      </c>
      <c r="H622">
        <v>1740</v>
      </c>
      <c r="I622">
        <v>1320</v>
      </c>
      <c r="J622">
        <v>182.12</v>
      </c>
      <c r="K622">
        <v>14.65</v>
      </c>
      <c r="L622">
        <v>14.35</v>
      </c>
      <c r="M622" s="175">
        <v>0.1</v>
      </c>
      <c r="N622" t="s">
        <v>3506</v>
      </c>
    </row>
    <row r="623" spans="1:14">
      <c r="A623">
        <v>2024</v>
      </c>
      <c r="B623" t="s">
        <v>631</v>
      </c>
      <c r="C623">
        <v>13.05</v>
      </c>
      <c r="D623">
        <v>13.2</v>
      </c>
      <c r="E623" s="178">
        <v>0.1</v>
      </c>
      <c r="F623" s="176">
        <v>0.76</v>
      </c>
      <c r="G623" t="s">
        <v>5623</v>
      </c>
      <c r="H623">
        <v>12</v>
      </c>
      <c r="I623">
        <v>24</v>
      </c>
      <c r="J623">
        <v>9.75</v>
      </c>
      <c r="K623">
        <v>13.2</v>
      </c>
      <c r="L623">
        <v>13.05</v>
      </c>
      <c r="M623" s="175">
        <v>0.01</v>
      </c>
      <c r="N623" t="s">
        <v>3507</v>
      </c>
    </row>
    <row r="624" spans="1:14">
      <c r="A624">
        <v>2025</v>
      </c>
      <c r="B624" t="s">
        <v>2727</v>
      </c>
      <c r="C624">
        <v>13.8</v>
      </c>
      <c r="D624">
        <v>13.6</v>
      </c>
      <c r="E624" s="178">
        <v>-0.15</v>
      </c>
      <c r="F624" s="176">
        <v>-1.0900000000000001</v>
      </c>
      <c r="G624" t="s">
        <v>6124</v>
      </c>
      <c r="H624">
        <v>493</v>
      </c>
      <c r="I624">
        <v>710</v>
      </c>
      <c r="J624">
        <v>17.27</v>
      </c>
      <c r="K624">
        <v>13.9</v>
      </c>
      <c r="L624">
        <v>13.45</v>
      </c>
      <c r="M624" s="175">
        <v>0.28999999999999998</v>
      </c>
      <c r="N624" t="s">
        <v>3508</v>
      </c>
    </row>
    <row r="625" spans="1:14">
      <c r="A625">
        <v>2027</v>
      </c>
      <c r="B625" t="s">
        <v>632</v>
      </c>
      <c r="C625">
        <v>49.85</v>
      </c>
      <c r="D625">
        <v>49.3</v>
      </c>
      <c r="E625" s="178">
        <v>-0.7</v>
      </c>
      <c r="F625" s="176">
        <v>-1.4</v>
      </c>
      <c r="G625" t="s">
        <v>6125</v>
      </c>
      <c r="H625">
        <v>9711</v>
      </c>
      <c r="I625">
        <v>11063</v>
      </c>
      <c r="J625">
        <v>258.43</v>
      </c>
      <c r="K625">
        <v>50.4</v>
      </c>
      <c r="L625">
        <v>49.3</v>
      </c>
      <c r="M625" s="175">
        <v>0.38</v>
      </c>
      <c r="N625" t="s">
        <v>3509</v>
      </c>
    </row>
    <row r="626" spans="1:14">
      <c r="A626">
        <v>2028</v>
      </c>
      <c r="B626" t="s">
        <v>633</v>
      </c>
      <c r="C626">
        <v>16.850000000000001</v>
      </c>
      <c r="D626">
        <v>16.55</v>
      </c>
      <c r="E626" s="178">
        <v>-0.15</v>
      </c>
      <c r="F626" s="176">
        <v>-0.9</v>
      </c>
      <c r="G626" t="s">
        <v>5620</v>
      </c>
      <c r="H626">
        <v>88</v>
      </c>
      <c r="I626">
        <v>84</v>
      </c>
      <c r="J626">
        <v>32.57</v>
      </c>
      <c r="K626">
        <v>16.850000000000001</v>
      </c>
      <c r="L626">
        <v>16.55</v>
      </c>
      <c r="M626" s="175">
        <v>0.03</v>
      </c>
      <c r="N626" t="s">
        <v>3510</v>
      </c>
    </row>
    <row r="627" spans="1:14">
      <c r="A627">
        <v>2029</v>
      </c>
      <c r="B627" t="s">
        <v>634</v>
      </c>
      <c r="C627">
        <v>22.05</v>
      </c>
      <c r="D627">
        <v>21.85</v>
      </c>
      <c r="E627" s="178">
        <v>-0.25</v>
      </c>
      <c r="F627" s="176">
        <v>-1.1299999999999999</v>
      </c>
      <c r="G627" t="s">
        <v>5652</v>
      </c>
      <c r="H627">
        <v>137</v>
      </c>
      <c r="I627">
        <v>134</v>
      </c>
      <c r="J627">
        <v>32.119999999999997</v>
      </c>
      <c r="K627">
        <v>22.1</v>
      </c>
      <c r="L627">
        <v>21.75</v>
      </c>
      <c r="M627" s="175">
        <v>0.04</v>
      </c>
      <c r="N627" t="s">
        <v>3511</v>
      </c>
    </row>
    <row r="628" spans="1:14">
      <c r="A628">
        <v>2030</v>
      </c>
      <c r="B628" t="s">
        <v>635</v>
      </c>
      <c r="C628">
        <v>28.15</v>
      </c>
      <c r="D628">
        <v>28.25</v>
      </c>
      <c r="E628" s="178">
        <v>-1.05</v>
      </c>
      <c r="F628" s="176">
        <v>-3.58</v>
      </c>
      <c r="G628" t="s">
        <v>6126</v>
      </c>
      <c r="H628">
        <v>10249</v>
      </c>
      <c r="I628">
        <v>9217</v>
      </c>
      <c r="J628">
        <v>28.05</v>
      </c>
      <c r="K628">
        <v>29.35</v>
      </c>
      <c r="L628">
        <v>27.35</v>
      </c>
      <c r="M628" s="175">
        <v>3.65</v>
      </c>
      <c r="N628" t="s">
        <v>3512</v>
      </c>
    </row>
    <row r="629" spans="1:14">
      <c r="A629">
        <v>2031</v>
      </c>
      <c r="B629" t="s">
        <v>1544</v>
      </c>
      <c r="C629">
        <v>47.35</v>
      </c>
      <c r="D629">
        <v>46.95</v>
      </c>
      <c r="E629" s="178">
        <v>-0.4</v>
      </c>
      <c r="F629" s="176">
        <v>-0.84</v>
      </c>
      <c r="G629" t="s">
        <v>6127</v>
      </c>
      <c r="H629">
        <v>700</v>
      </c>
      <c r="I629">
        <v>556</v>
      </c>
      <c r="J629">
        <v>32.11</v>
      </c>
      <c r="K629">
        <v>47.45</v>
      </c>
      <c r="L629">
        <v>46.2</v>
      </c>
      <c r="M629" s="175">
        <v>0.22</v>
      </c>
      <c r="N629" t="s">
        <v>3513</v>
      </c>
    </row>
    <row r="630" spans="1:14">
      <c r="A630">
        <v>2032</v>
      </c>
      <c r="B630" t="s">
        <v>636</v>
      </c>
      <c r="C630">
        <v>18.100000000000001</v>
      </c>
      <c r="D630">
        <v>18.149999999999999</v>
      </c>
      <c r="E630" s="178">
        <v>-0.2</v>
      </c>
      <c r="F630" s="176">
        <v>-1.0900000000000001</v>
      </c>
      <c r="G630" t="s">
        <v>5525</v>
      </c>
      <c r="H630">
        <v>743</v>
      </c>
      <c r="I630">
        <v>759</v>
      </c>
      <c r="J630">
        <v>13.05</v>
      </c>
      <c r="K630">
        <v>18.25</v>
      </c>
      <c r="L630">
        <v>17.8</v>
      </c>
      <c r="M630" s="175">
        <v>0.56999999999999995</v>
      </c>
      <c r="N630" t="s">
        <v>3514</v>
      </c>
    </row>
    <row r="631" spans="1:14">
      <c r="A631">
        <v>2033</v>
      </c>
      <c r="B631" t="s">
        <v>637</v>
      </c>
      <c r="C631">
        <v>52</v>
      </c>
      <c r="D631">
        <v>54.4</v>
      </c>
      <c r="E631" s="178">
        <v>4.9000000000000004</v>
      </c>
      <c r="F631" s="176">
        <v>9.9</v>
      </c>
      <c r="G631" t="s">
        <v>5493</v>
      </c>
      <c r="H631">
        <v>3235</v>
      </c>
      <c r="I631">
        <v>839</v>
      </c>
      <c r="J631">
        <v>12</v>
      </c>
      <c r="K631">
        <v>54.4</v>
      </c>
      <c r="L631">
        <v>52</v>
      </c>
      <c r="M631" s="175">
        <v>4.01</v>
      </c>
      <c r="N631" t="s">
        <v>3515</v>
      </c>
    </row>
    <row r="632" spans="1:14">
      <c r="A632">
        <v>2034</v>
      </c>
      <c r="B632" t="s">
        <v>638</v>
      </c>
      <c r="C632">
        <v>23.7</v>
      </c>
      <c r="D632">
        <v>23.2</v>
      </c>
      <c r="E632" s="178">
        <v>-0.5</v>
      </c>
      <c r="F632" s="176">
        <v>-2.11</v>
      </c>
      <c r="G632" t="s">
        <v>6128</v>
      </c>
      <c r="H632">
        <v>1819</v>
      </c>
      <c r="I632">
        <v>2500</v>
      </c>
      <c r="J632">
        <v>52.9</v>
      </c>
      <c r="K632">
        <v>23.8</v>
      </c>
      <c r="L632">
        <v>23.05</v>
      </c>
      <c r="M632" s="175">
        <v>0.34</v>
      </c>
      <c r="N632" t="s">
        <v>3516</v>
      </c>
    </row>
    <row r="633" spans="1:14">
      <c r="A633">
        <v>2035</v>
      </c>
      <c r="B633" t="s">
        <v>639</v>
      </c>
      <c r="C633" t="s">
        <v>1555</v>
      </c>
      <c r="D633" t="s">
        <v>1555</v>
      </c>
      <c r="E633" s="178" t="s">
        <v>1555</v>
      </c>
      <c r="F633" s="176" t="s">
        <v>1555</v>
      </c>
      <c r="G633" t="s">
        <v>1555</v>
      </c>
      <c r="H633">
        <v>0</v>
      </c>
      <c r="I633">
        <v>9</v>
      </c>
      <c r="J633">
        <v>35</v>
      </c>
      <c r="K633" t="s">
        <v>1555</v>
      </c>
      <c r="L633" t="s">
        <v>1555</v>
      </c>
      <c r="M633" s="175">
        <v>0</v>
      </c>
      <c r="N633" t="s">
        <v>3517</v>
      </c>
    </row>
    <row r="634" spans="1:14">
      <c r="A634">
        <v>2038</v>
      </c>
      <c r="B634" t="s">
        <v>640</v>
      </c>
      <c r="C634">
        <v>12.7</v>
      </c>
      <c r="D634">
        <v>12.4</v>
      </c>
      <c r="E634" s="178">
        <v>-0.25</v>
      </c>
      <c r="F634" s="176">
        <v>-1.98</v>
      </c>
      <c r="G634" t="s">
        <v>6129</v>
      </c>
      <c r="H634">
        <v>340</v>
      </c>
      <c r="I634">
        <v>155</v>
      </c>
      <c r="J634">
        <v>19.41</v>
      </c>
      <c r="K634">
        <v>12.85</v>
      </c>
      <c r="L634">
        <v>12.3</v>
      </c>
      <c r="M634" s="175">
        <v>0.18</v>
      </c>
      <c r="N634" t="s">
        <v>3518</v>
      </c>
    </row>
    <row r="635" spans="1:14">
      <c r="A635">
        <v>2049</v>
      </c>
      <c r="B635" t="s">
        <v>210</v>
      </c>
      <c r="C635">
        <v>326</v>
      </c>
      <c r="D635">
        <v>311</v>
      </c>
      <c r="E635" s="178">
        <v>-22</v>
      </c>
      <c r="F635" s="176">
        <v>-6.61</v>
      </c>
      <c r="G635" t="s">
        <v>6130</v>
      </c>
      <c r="H635">
        <v>3307</v>
      </c>
      <c r="I635">
        <v>2043</v>
      </c>
      <c r="J635">
        <v>35.380000000000003</v>
      </c>
      <c r="K635">
        <v>327</v>
      </c>
      <c r="L635">
        <v>311</v>
      </c>
      <c r="M635" s="175">
        <v>0.93</v>
      </c>
      <c r="N635" t="s">
        <v>3519</v>
      </c>
    </row>
    <row r="636" spans="1:14">
      <c r="A636">
        <v>2059</v>
      </c>
      <c r="B636" t="s">
        <v>641</v>
      </c>
      <c r="C636">
        <v>9700</v>
      </c>
      <c r="D636">
        <v>9720</v>
      </c>
      <c r="E636" s="178">
        <v>-285</v>
      </c>
      <c r="F636" s="176">
        <v>-2.85</v>
      </c>
      <c r="G636" t="s">
        <v>6131</v>
      </c>
      <c r="H636">
        <v>628</v>
      </c>
      <c r="I636">
        <v>1018</v>
      </c>
      <c r="J636">
        <v>9.5299999999999994</v>
      </c>
      <c r="K636">
        <v>9920</v>
      </c>
      <c r="L636">
        <v>9500</v>
      </c>
      <c r="M636" s="175">
        <v>0.66</v>
      </c>
      <c r="N636" t="s">
        <v>3520</v>
      </c>
    </row>
    <row r="637" spans="1:14">
      <c r="A637">
        <v>2061</v>
      </c>
      <c r="B637" t="s">
        <v>642</v>
      </c>
      <c r="C637">
        <v>65</v>
      </c>
      <c r="D637">
        <v>61.3</v>
      </c>
      <c r="E637" s="178">
        <v>-5.7</v>
      </c>
      <c r="F637" s="176">
        <v>-8.51</v>
      </c>
      <c r="G637" t="s">
        <v>5512</v>
      </c>
      <c r="H637">
        <v>2235</v>
      </c>
      <c r="I637">
        <v>2635</v>
      </c>
      <c r="J637">
        <v>5.74</v>
      </c>
      <c r="K637">
        <v>67</v>
      </c>
      <c r="L637">
        <v>61.2</v>
      </c>
      <c r="M637" s="175">
        <v>3.9</v>
      </c>
      <c r="N637" t="s">
        <v>3521</v>
      </c>
    </row>
    <row r="638" spans="1:14">
      <c r="A638">
        <v>2062</v>
      </c>
      <c r="B638" t="s">
        <v>643</v>
      </c>
      <c r="C638">
        <v>18.05</v>
      </c>
      <c r="D638">
        <v>18</v>
      </c>
      <c r="E638" s="178">
        <v>-0.05</v>
      </c>
      <c r="F638" s="176">
        <v>-0.28000000000000003</v>
      </c>
      <c r="G638" t="s">
        <v>6132</v>
      </c>
      <c r="H638">
        <v>194</v>
      </c>
      <c r="I638">
        <v>121</v>
      </c>
      <c r="J638">
        <v>20</v>
      </c>
      <c r="K638">
        <v>18.149999999999999</v>
      </c>
      <c r="L638">
        <v>17.899999999999999</v>
      </c>
      <c r="M638" s="175">
        <v>0.1</v>
      </c>
      <c r="N638" t="s">
        <v>3522</v>
      </c>
    </row>
    <row r="639" spans="1:14">
      <c r="A639">
        <v>2063</v>
      </c>
      <c r="B639" t="s">
        <v>644</v>
      </c>
      <c r="C639">
        <v>24</v>
      </c>
      <c r="D639">
        <v>23.7</v>
      </c>
      <c r="E639" s="178">
        <v>-0.4</v>
      </c>
      <c r="F639" s="176">
        <v>-1.66</v>
      </c>
      <c r="G639" t="s">
        <v>5345</v>
      </c>
      <c r="H639">
        <v>102</v>
      </c>
      <c r="I639">
        <v>43</v>
      </c>
      <c r="J639">
        <v>4.8099999999999996</v>
      </c>
      <c r="K639">
        <v>24</v>
      </c>
      <c r="L639">
        <v>23.3</v>
      </c>
      <c r="M639" s="175">
        <v>0.21</v>
      </c>
      <c r="N639" t="s">
        <v>3523</v>
      </c>
    </row>
    <row r="640" spans="1:14">
      <c r="A640">
        <v>2064</v>
      </c>
      <c r="B640" t="s">
        <v>645</v>
      </c>
      <c r="C640">
        <v>11.65</v>
      </c>
      <c r="D640">
        <v>11.7</v>
      </c>
      <c r="E640" s="178">
        <v>-0.15</v>
      </c>
      <c r="F640" s="176">
        <v>-1.27</v>
      </c>
      <c r="G640" t="s">
        <v>6133</v>
      </c>
      <c r="H640">
        <v>7</v>
      </c>
      <c r="I640">
        <v>68</v>
      </c>
      <c r="J640">
        <v>6.93</v>
      </c>
      <c r="K640">
        <v>11.75</v>
      </c>
      <c r="L640">
        <v>11.6</v>
      </c>
      <c r="M640" s="175">
        <v>0.01</v>
      </c>
      <c r="N640" t="s">
        <v>3524</v>
      </c>
    </row>
    <row r="641" spans="1:14">
      <c r="A641">
        <v>2065</v>
      </c>
      <c r="B641" t="s">
        <v>2889</v>
      </c>
      <c r="C641">
        <v>35.6</v>
      </c>
      <c r="D641">
        <v>35.6</v>
      </c>
      <c r="E641" s="178">
        <v>-0.15</v>
      </c>
      <c r="F641" s="176">
        <v>-0.42</v>
      </c>
      <c r="G641" t="s">
        <v>6134</v>
      </c>
      <c r="H641">
        <v>23</v>
      </c>
      <c r="I641">
        <v>48</v>
      </c>
      <c r="J641">
        <v>6.35</v>
      </c>
      <c r="K641">
        <v>35.65</v>
      </c>
      <c r="L641">
        <v>35.549999999999997</v>
      </c>
      <c r="M641" s="175">
        <v>0.04</v>
      </c>
      <c r="N641" t="s">
        <v>3525</v>
      </c>
    </row>
    <row r="642" spans="1:14">
      <c r="A642">
        <v>2066</v>
      </c>
      <c r="B642" t="s">
        <v>646</v>
      </c>
      <c r="C642">
        <v>52.3</v>
      </c>
      <c r="D642">
        <v>52.2</v>
      </c>
      <c r="E642" s="178">
        <v>-1.5</v>
      </c>
      <c r="F642" s="176">
        <v>-2.79</v>
      </c>
      <c r="G642" t="s">
        <v>5423</v>
      </c>
      <c r="H642">
        <v>28</v>
      </c>
      <c r="I642">
        <v>13</v>
      </c>
      <c r="J642">
        <v>4.4400000000000004</v>
      </c>
      <c r="K642">
        <v>52.5</v>
      </c>
      <c r="L642">
        <v>52</v>
      </c>
      <c r="M642" s="175">
        <v>0.06</v>
      </c>
      <c r="N642" t="s">
        <v>3526</v>
      </c>
    </row>
    <row r="643" spans="1:14">
      <c r="A643">
        <v>2069</v>
      </c>
      <c r="B643" t="s">
        <v>647</v>
      </c>
      <c r="C643">
        <v>24</v>
      </c>
      <c r="D643">
        <v>23.85</v>
      </c>
      <c r="E643" s="178">
        <v>-0.55000000000000004</v>
      </c>
      <c r="F643" s="176">
        <v>-2.25</v>
      </c>
      <c r="G643" t="s">
        <v>6135</v>
      </c>
      <c r="H643">
        <v>632</v>
      </c>
      <c r="I643">
        <v>627</v>
      </c>
      <c r="J643">
        <v>16.64</v>
      </c>
      <c r="K643">
        <v>24.3</v>
      </c>
      <c r="L643">
        <v>23.7</v>
      </c>
      <c r="M643" s="175">
        <v>0.38</v>
      </c>
      <c r="N643" t="s">
        <v>3527</v>
      </c>
    </row>
    <row r="644" spans="1:14">
      <c r="A644">
        <v>2070</v>
      </c>
      <c r="B644" t="s">
        <v>346</v>
      </c>
      <c r="C644">
        <v>60.5</v>
      </c>
      <c r="D644">
        <v>59.2</v>
      </c>
      <c r="E644" s="178">
        <v>-2.2000000000000002</v>
      </c>
      <c r="F644" s="176">
        <v>-3.58</v>
      </c>
      <c r="G644" t="s">
        <v>5438</v>
      </c>
      <c r="H644">
        <v>95</v>
      </c>
      <c r="I644">
        <v>53</v>
      </c>
      <c r="J644">
        <v>4.18</v>
      </c>
      <c r="K644">
        <v>60.7</v>
      </c>
      <c r="L644">
        <v>59.2</v>
      </c>
      <c r="M644" s="175">
        <v>0.23</v>
      </c>
      <c r="N644" t="s">
        <v>3528</v>
      </c>
    </row>
    <row r="645" spans="1:14">
      <c r="A645">
        <v>2072</v>
      </c>
      <c r="B645" t="s">
        <v>3088</v>
      </c>
      <c r="C645">
        <v>131</v>
      </c>
      <c r="D645">
        <v>127.5</v>
      </c>
      <c r="E645" s="178">
        <v>-2.5</v>
      </c>
      <c r="F645" s="176">
        <v>-1.92</v>
      </c>
      <c r="G645" t="s">
        <v>6136</v>
      </c>
      <c r="H645">
        <v>365</v>
      </c>
      <c r="I645">
        <v>187</v>
      </c>
      <c r="J645">
        <v>19.2</v>
      </c>
      <c r="K645">
        <v>131</v>
      </c>
      <c r="L645">
        <v>126.5</v>
      </c>
      <c r="M645" s="175">
        <v>0.19</v>
      </c>
      <c r="N645" t="s">
        <v>3529</v>
      </c>
    </row>
    <row r="646" spans="1:14">
      <c r="A646">
        <v>2073</v>
      </c>
      <c r="B646" t="s">
        <v>2023</v>
      </c>
      <c r="C646">
        <v>25.5</v>
      </c>
      <c r="D646">
        <v>25.5</v>
      </c>
      <c r="E646" s="178">
        <v>0</v>
      </c>
      <c r="F646" s="176">
        <v>0</v>
      </c>
      <c r="G646" t="s">
        <v>6137</v>
      </c>
      <c r="H646">
        <v>4</v>
      </c>
      <c r="I646">
        <v>3</v>
      </c>
      <c r="J646">
        <v>2.75</v>
      </c>
      <c r="K646">
        <v>25.5</v>
      </c>
      <c r="L646">
        <v>25.5</v>
      </c>
      <c r="M646" s="175">
        <v>0.01</v>
      </c>
      <c r="N646" t="s">
        <v>3530</v>
      </c>
    </row>
    <row r="647" spans="1:14">
      <c r="A647">
        <v>2101</v>
      </c>
      <c r="B647" t="s">
        <v>2880</v>
      </c>
      <c r="C647">
        <v>29.8</v>
      </c>
      <c r="D647">
        <v>30.25</v>
      </c>
      <c r="E647" s="178">
        <v>0.15</v>
      </c>
      <c r="F647" s="176">
        <v>0.5</v>
      </c>
      <c r="G647" t="s">
        <v>6138</v>
      </c>
      <c r="H647">
        <v>4101</v>
      </c>
      <c r="I647">
        <v>2491</v>
      </c>
      <c r="J647">
        <v>73.39</v>
      </c>
      <c r="K647">
        <v>30.35</v>
      </c>
      <c r="L647">
        <v>29.8</v>
      </c>
      <c r="M647" s="175">
        <v>0.56000000000000005</v>
      </c>
      <c r="N647" t="s">
        <v>3531</v>
      </c>
    </row>
    <row r="648" spans="1:14">
      <c r="A648">
        <v>2102</v>
      </c>
      <c r="B648" t="s">
        <v>648</v>
      </c>
      <c r="C648">
        <v>16.3</v>
      </c>
      <c r="D648">
        <v>16.149999999999999</v>
      </c>
      <c r="E648" s="178">
        <v>-0.05</v>
      </c>
      <c r="F648" s="176">
        <v>-0.31</v>
      </c>
      <c r="G648" t="s">
        <v>5344</v>
      </c>
      <c r="H648">
        <v>236</v>
      </c>
      <c r="I648">
        <v>195</v>
      </c>
      <c r="J648">
        <v>47.33</v>
      </c>
      <c r="K648">
        <v>16.3</v>
      </c>
      <c r="L648">
        <v>16.05</v>
      </c>
      <c r="M648" s="175">
        <v>0.05</v>
      </c>
      <c r="N648" t="s">
        <v>3532</v>
      </c>
    </row>
    <row r="649" spans="1:14">
      <c r="A649">
        <v>2103</v>
      </c>
      <c r="B649" t="s">
        <v>1545</v>
      </c>
      <c r="C649">
        <v>29.55</v>
      </c>
      <c r="D649">
        <v>28.6</v>
      </c>
      <c r="E649" s="178">
        <v>-1.35</v>
      </c>
      <c r="F649" s="176">
        <v>-4.51</v>
      </c>
      <c r="G649" t="s">
        <v>5243</v>
      </c>
      <c r="H649">
        <v>4320</v>
      </c>
      <c r="I649">
        <v>6210</v>
      </c>
      <c r="J649">
        <v>82.57</v>
      </c>
      <c r="K649">
        <v>29.8</v>
      </c>
      <c r="L649">
        <v>28.6</v>
      </c>
      <c r="M649" s="175">
        <v>0.52</v>
      </c>
      <c r="N649" t="s">
        <v>3533</v>
      </c>
    </row>
    <row r="650" spans="1:14">
      <c r="A650">
        <v>2104</v>
      </c>
      <c r="B650" t="s">
        <v>649</v>
      </c>
      <c r="C650">
        <v>12.1</v>
      </c>
      <c r="D650">
        <v>11.95</v>
      </c>
      <c r="E650" s="178">
        <v>-0.3</v>
      </c>
      <c r="F650" s="176">
        <v>-2.4500000000000002</v>
      </c>
      <c r="G650" t="s">
        <v>6139</v>
      </c>
      <c r="H650">
        <v>8048</v>
      </c>
      <c r="I650">
        <v>6097</v>
      </c>
      <c r="J650">
        <v>98.47</v>
      </c>
      <c r="K650">
        <v>12.15</v>
      </c>
      <c r="L650">
        <v>11.6</v>
      </c>
      <c r="M650" s="175">
        <v>0.82</v>
      </c>
      <c r="N650" t="s">
        <v>3534</v>
      </c>
    </row>
    <row r="651" spans="1:14">
      <c r="A651">
        <v>2105</v>
      </c>
      <c r="B651" t="s">
        <v>650</v>
      </c>
      <c r="C651">
        <v>31.3</v>
      </c>
      <c r="D651">
        <v>31.8</v>
      </c>
      <c r="E651" s="178">
        <v>0.4</v>
      </c>
      <c r="F651" s="176">
        <v>1.27</v>
      </c>
      <c r="G651" t="s">
        <v>6140</v>
      </c>
      <c r="H651">
        <v>13373</v>
      </c>
      <c r="I651">
        <v>4496</v>
      </c>
      <c r="J651">
        <v>324.14</v>
      </c>
      <c r="K651">
        <v>31.9</v>
      </c>
      <c r="L651">
        <v>31.3</v>
      </c>
      <c r="M651" s="175">
        <v>0.41</v>
      </c>
      <c r="N651" t="s">
        <v>3535</v>
      </c>
    </row>
    <row r="652" spans="1:14">
      <c r="A652">
        <v>2106</v>
      </c>
      <c r="B652" t="s">
        <v>651</v>
      </c>
      <c r="C652">
        <v>17.100000000000001</v>
      </c>
      <c r="D652">
        <v>17.2</v>
      </c>
      <c r="E652" s="178">
        <v>0.05</v>
      </c>
      <c r="F652" s="176">
        <v>0.28999999999999998</v>
      </c>
      <c r="G652" t="s">
        <v>6141</v>
      </c>
      <c r="H652">
        <v>957</v>
      </c>
      <c r="I652">
        <v>777</v>
      </c>
      <c r="J652">
        <v>95.49</v>
      </c>
      <c r="K652">
        <v>17.3</v>
      </c>
      <c r="L652">
        <v>16.95</v>
      </c>
      <c r="M652" s="175">
        <v>0.1</v>
      </c>
      <c r="N652" t="s">
        <v>3536</v>
      </c>
    </row>
    <row r="653" spans="1:14">
      <c r="A653">
        <v>2107</v>
      </c>
      <c r="B653" t="s">
        <v>652</v>
      </c>
      <c r="C653">
        <v>28.8</v>
      </c>
      <c r="D653">
        <v>28.75</v>
      </c>
      <c r="E653" s="178">
        <v>-0.05</v>
      </c>
      <c r="F653" s="176">
        <v>-0.17</v>
      </c>
      <c r="G653" t="s">
        <v>6142</v>
      </c>
      <c r="H653">
        <v>267</v>
      </c>
      <c r="I653">
        <v>527</v>
      </c>
      <c r="J653">
        <v>30.36</v>
      </c>
      <c r="K653">
        <v>28.85</v>
      </c>
      <c r="L653">
        <v>28.55</v>
      </c>
      <c r="M653" s="175">
        <v>0.09</v>
      </c>
      <c r="N653" t="s">
        <v>3537</v>
      </c>
    </row>
    <row r="654" spans="1:14">
      <c r="A654">
        <v>2108</v>
      </c>
      <c r="B654" t="s">
        <v>653</v>
      </c>
      <c r="C654">
        <v>30</v>
      </c>
      <c r="D654">
        <v>29.55</v>
      </c>
      <c r="E654" s="178">
        <v>-0.55000000000000004</v>
      </c>
      <c r="F654" s="176">
        <v>-1.83</v>
      </c>
      <c r="G654" t="s">
        <v>6143</v>
      </c>
      <c r="H654">
        <v>936</v>
      </c>
      <c r="I654">
        <v>1381</v>
      </c>
      <c r="J654">
        <v>49.24</v>
      </c>
      <c r="K654">
        <v>30.1</v>
      </c>
      <c r="L654">
        <v>29.5</v>
      </c>
      <c r="M654" s="175">
        <v>0.19</v>
      </c>
      <c r="N654" t="s">
        <v>3538</v>
      </c>
    </row>
    <row r="655" spans="1:14">
      <c r="A655">
        <v>2109</v>
      </c>
      <c r="B655" t="s">
        <v>654</v>
      </c>
      <c r="C655">
        <v>14.4</v>
      </c>
      <c r="D655">
        <v>14.25</v>
      </c>
      <c r="E655" s="178">
        <v>-0.15</v>
      </c>
      <c r="F655" s="176">
        <v>-1.04</v>
      </c>
      <c r="G655" t="s">
        <v>5665</v>
      </c>
      <c r="H655">
        <v>369</v>
      </c>
      <c r="I655">
        <v>124</v>
      </c>
      <c r="J655">
        <v>27.93</v>
      </c>
      <c r="K655">
        <v>14.45</v>
      </c>
      <c r="L655">
        <v>14.25</v>
      </c>
      <c r="M655" s="175">
        <v>0.13</v>
      </c>
      <c r="N655" t="s">
        <v>3539</v>
      </c>
    </row>
    <row r="656" spans="1:14">
      <c r="A656">
        <v>2114</v>
      </c>
      <c r="B656" t="s">
        <v>655</v>
      </c>
      <c r="C656">
        <v>89.8</v>
      </c>
      <c r="D656">
        <v>90.1</v>
      </c>
      <c r="E656" s="178">
        <v>0</v>
      </c>
      <c r="F656" s="176">
        <v>0</v>
      </c>
      <c r="G656" t="s">
        <v>5220</v>
      </c>
      <c r="H656">
        <v>12</v>
      </c>
      <c r="I656">
        <v>28</v>
      </c>
      <c r="J656">
        <v>7.8</v>
      </c>
      <c r="K656">
        <v>90.1</v>
      </c>
      <c r="L656">
        <v>89.4</v>
      </c>
      <c r="M656" s="175">
        <v>0.02</v>
      </c>
      <c r="N656" t="s">
        <v>3540</v>
      </c>
    </row>
    <row r="657" spans="1:14">
      <c r="A657">
        <v>2115</v>
      </c>
      <c r="B657" t="s">
        <v>656</v>
      </c>
      <c r="C657">
        <v>24.9</v>
      </c>
      <c r="D657">
        <v>24.85</v>
      </c>
      <c r="E657" s="178">
        <v>-0.1</v>
      </c>
      <c r="F657" s="176">
        <v>-0.4</v>
      </c>
      <c r="G657" t="s">
        <v>5331</v>
      </c>
      <c r="H657">
        <v>79</v>
      </c>
      <c r="I657">
        <v>109</v>
      </c>
      <c r="J657">
        <v>10.44</v>
      </c>
      <c r="K657">
        <v>25.2</v>
      </c>
      <c r="L657">
        <v>24.65</v>
      </c>
      <c r="M657" s="175">
        <v>0.08</v>
      </c>
      <c r="N657" t="s">
        <v>3541</v>
      </c>
    </row>
    <row r="658" spans="1:14">
      <c r="A658">
        <v>2201</v>
      </c>
      <c r="B658" t="s">
        <v>657</v>
      </c>
      <c r="C658">
        <v>29.3</v>
      </c>
      <c r="D658">
        <v>29.1</v>
      </c>
      <c r="E658" s="178">
        <v>-0.2</v>
      </c>
      <c r="F658" s="176">
        <v>-0.68</v>
      </c>
      <c r="G658" t="s">
        <v>6144</v>
      </c>
      <c r="H658">
        <v>2562</v>
      </c>
      <c r="I658">
        <v>1786</v>
      </c>
      <c r="J658">
        <v>107</v>
      </c>
      <c r="K658">
        <v>29.45</v>
      </c>
      <c r="L658">
        <v>29.05</v>
      </c>
      <c r="M658" s="175">
        <v>0.24</v>
      </c>
      <c r="N658" t="s">
        <v>3542</v>
      </c>
    </row>
    <row r="659" spans="1:14">
      <c r="A659">
        <v>2204</v>
      </c>
      <c r="B659" t="s">
        <v>658</v>
      </c>
      <c r="C659">
        <v>51.9</v>
      </c>
      <c r="D659">
        <v>52.1</v>
      </c>
      <c r="E659" s="178">
        <v>0.3</v>
      </c>
      <c r="F659" s="176">
        <v>0.57999999999999996</v>
      </c>
      <c r="G659" t="s">
        <v>6145</v>
      </c>
      <c r="H659">
        <v>1108</v>
      </c>
      <c r="I659">
        <v>548</v>
      </c>
      <c r="J659">
        <v>55.36</v>
      </c>
      <c r="K659">
        <v>52.5</v>
      </c>
      <c r="L659">
        <v>51.7</v>
      </c>
      <c r="M659" s="175">
        <v>0.2</v>
      </c>
      <c r="N659" t="s">
        <v>3543</v>
      </c>
    </row>
    <row r="660" spans="1:14">
      <c r="A660">
        <v>2206</v>
      </c>
      <c r="B660" t="s">
        <v>659</v>
      </c>
      <c r="C660">
        <v>64.2</v>
      </c>
      <c r="D660">
        <v>65.3</v>
      </c>
      <c r="E660" s="178">
        <v>1.1000000000000001</v>
      </c>
      <c r="F660" s="176">
        <v>1.71</v>
      </c>
      <c r="G660" t="s">
        <v>5583</v>
      </c>
      <c r="H660">
        <v>2380</v>
      </c>
      <c r="I660">
        <v>650</v>
      </c>
      <c r="J660">
        <v>77.37</v>
      </c>
      <c r="K660">
        <v>65.900000000000006</v>
      </c>
      <c r="L660">
        <v>64.099999999999994</v>
      </c>
      <c r="M660" s="175">
        <v>0.31</v>
      </c>
      <c r="N660" t="s">
        <v>3544</v>
      </c>
    </row>
    <row r="661" spans="1:14">
      <c r="A661">
        <v>2207</v>
      </c>
      <c r="B661" t="s">
        <v>660</v>
      </c>
      <c r="C661">
        <v>541</v>
      </c>
      <c r="D661">
        <v>546</v>
      </c>
      <c r="E661" s="178">
        <v>4</v>
      </c>
      <c r="F661" s="176">
        <v>0.74</v>
      </c>
      <c r="G661" t="s">
        <v>5629</v>
      </c>
      <c r="H661">
        <v>359</v>
      </c>
      <c r="I661">
        <v>296</v>
      </c>
      <c r="J661">
        <v>55.71</v>
      </c>
      <c r="K661">
        <v>549</v>
      </c>
      <c r="L661">
        <v>536</v>
      </c>
      <c r="M661" s="175">
        <v>0.06</v>
      </c>
      <c r="N661" t="s">
        <v>3545</v>
      </c>
    </row>
    <row r="662" spans="1:14">
      <c r="A662">
        <v>2208</v>
      </c>
      <c r="B662" t="s">
        <v>1546</v>
      </c>
      <c r="C662">
        <v>18.350000000000001</v>
      </c>
      <c r="D662">
        <v>18</v>
      </c>
      <c r="E662" s="178">
        <v>-0.3</v>
      </c>
      <c r="F662" s="176">
        <v>-1.64</v>
      </c>
      <c r="G662" t="s">
        <v>6146</v>
      </c>
      <c r="H662">
        <v>4360</v>
      </c>
      <c r="I662">
        <v>2514</v>
      </c>
      <c r="J662">
        <v>127.45</v>
      </c>
      <c r="K662">
        <v>18.399999999999999</v>
      </c>
      <c r="L662">
        <v>18</v>
      </c>
      <c r="M662" s="175">
        <v>0.38</v>
      </c>
      <c r="N662" t="s">
        <v>3546</v>
      </c>
    </row>
    <row r="663" spans="1:14">
      <c r="A663">
        <v>2211</v>
      </c>
      <c r="B663" t="s">
        <v>1547</v>
      </c>
      <c r="C663">
        <v>80.099999999999994</v>
      </c>
      <c r="D663">
        <v>79.3</v>
      </c>
      <c r="E663" s="178">
        <v>-0.6</v>
      </c>
      <c r="F663" s="176">
        <v>-0.75</v>
      </c>
      <c r="G663" t="s">
        <v>6147</v>
      </c>
      <c r="H663">
        <v>631</v>
      </c>
      <c r="I663">
        <v>441</v>
      </c>
      <c r="J663">
        <v>41.71</v>
      </c>
      <c r="K663">
        <v>80.099999999999994</v>
      </c>
      <c r="L663">
        <v>79.099999999999994</v>
      </c>
      <c r="M663" s="175">
        <v>0.15</v>
      </c>
      <c r="N663" t="s">
        <v>3547</v>
      </c>
    </row>
    <row r="664" spans="1:14">
      <c r="A664">
        <v>2221</v>
      </c>
      <c r="B664" t="s">
        <v>2890</v>
      </c>
      <c r="C664">
        <v>126.5</v>
      </c>
      <c r="D664">
        <v>126.5</v>
      </c>
      <c r="E664" s="178">
        <v>-14</v>
      </c>
      <c r="F664" s="176">
        <v>-9.9600000000000009</v>
      </c>
      <c r="G664" t="s">
        <v>6148</v>
      </c>
      <c r="H664">
        <v>244</v>
      </c>
      <c r="I664">
        <v>647</v>
      </c>
      <c r="J664">
        <v>4.2300000000000004</v>
      </c>
      <c r="K664">
        <v>126.5</v>
      </c>
      <c r="L664">
        <v>126.5</v>
      </c>
      <c r="M664" s="175">
        <v>0.57999999999999996</v>
      </c>
      <c r="N664" t="s">
        <v>3548</v>
      </c>
    </row>
    <row r="665" spans="1:14">
      <c r="A665">
        <v>2227</v>
      </c>
      <c r="B665" t="s">
        <v>661</v>
      </c>
      <c r="C665">
        <v>44.95</v>
      </c>
      <c r="D665">
        <v>44.35</v>
      </c>
      <c r="E665" s="178">
        <v>0.1</v>
      </c>
      <c r="F665" s="176">
        <v>0.23</v>
      </c>
      <c r="G665" t="s">
        <v>6149</v>
      </c>
      <c r="H665">
        <v>59</v>
      </c>
      <c r="I665">
        <v>29</v>
      </c>
      <c r="J665">
        <v>30</v>
      </c>
      <c r="K665">
        <v>45.25</v>
      </c>
      <c r="L665">
        <v>44.25</v>
      </c>
      <c r="M665" s="175">
        <v>0.02</v>
      </c>
      <c r="N665" t="s">
        <v>3549</v>
      </c>
    </row>
    <row r="666" spans="1:14">
      <c r="A666">
        <v>2228</v>
      </c>
      <c r="B666" t="s">
        <v>662</v>
      </c>
      <c r="C666">
        <v>73.5</v>
      </c>
      <c r="D666">
        <v>73.2</v>
      </c>
      <c r="E666" s="178">
        <v>-0.6</v>
      </c>
      <c r="F666" s="176">
        <v>-0.81</v>
      </c>
      <c r="G666" t="s">
        <v>6150</v>
      </c>
      <c r="H666">
        <v>144</v>
      </c>
      <c r="I666">
        <v>56</v>
      </c>
      <c r="J666">
        <v>7.98</v>
      </c>
      <c r="K666">
        <v>74.5</v>
      </c>
      <c r="L666">
        <v>73</v>
      </c>
      <c r="M666" s="175">
        <v>0.18</v>
      </c>
      <c r="N666" t="s">
        <v>3550</v>
      </c>
    </row>
    <row r="667" spans="1:14">
      <c r="A667">
        <v>2230</v>
      </c>
      <c r="B667" t="s">
        <v>663</v>
      </c>
      <c r="C667">
        <v>22.25</v>
      </c>
      <c r="D667">
        <v>22.1</v>
      </c>
      <c r="E667" s="178">
        <v>0</v>
      </c>
      <c r="F667" s="176">
        <v>0</v>
      </c>
      <c r="G667" t="s">
        <v>5181</v>
      </c>
      <c r="H667">
        <v>72</v>
      </c>
      <c r="I667">
        <v>193</v>
      </c>
      <c r="J667">
        <v>6.8</v>
      </c>
      <c r="K667">
        <v>22.25</v>
      </c>
      <c r="L667">
        <v>21.7</v>
      </c>
      <c r="M667" s="175">
        <v>0.11</v>
      </c>
      <c r="N667" t="s">
        <v>6151</v>
      </c>
    </row>
    <row r="668" spans="1:14">
      <c r="A668">
        <v>2231</v>
      </c>
      <c r="B668" t="s">
        <v>664</v>
      </c>
      <c r="C668">
        <v>91.8</v>
      </c>
      <c r="D668">
        <v>90.3</v>
      </c>
      <c r="E668" s="178">
        <v>-0.8</v>
      </c>
      <c r="F668" s="176">
        <v>-0.88</v>
      </c>
      <c r="G668" t="s">
        <v>6152</v>
      </c>
      <c r="H668">
        <v>169</v>
      </c>
      <c r="I668">
        <v>98</v>
      </c>
      <c r="J668">
        <v>13.59</v>
      </c>
      <c r="K668">
        <v>91.8</v>
      </c>
      <c r="L668">
        <v>89.9</v>
      </c>
      <c r="M668" s="175">
        <v>0.12</v>
      </c>
      <c r="N668" t="s">
        <v>3551</v>
      </c>
    </row>
    <row r="669" spans="1:14">
      <c r="A669">
        <v>2233</v>
      </c>
      <c r="B669" t="s">
        <v>665</v>
      </c>
      <c r="C669">
        <v>158</v>
      </c>
      <c r="D669">
        <v>154</v>
      </c>
      <c r="E669" s="178">
        <v>-8.5</v>
      </c>
      <c r="F669" s="176">
        <v>-5.23</v>
      </c>
      <c r="G669" t="s">
        <v>6153</v>
      </c>
      <c r="H669">
        <v>468</v>
      </c>
      <c r="I669">
        <v>288</v>
      </c>
      <c r="J669">
        <v>6.03</v>
      </c>
      <c r="K669">
        <v>158.5</v>
      </c>
      <c r="L669">
        <v>154</v>
      </c>
      <c r="M669" s="175">
        <v>0.78</v>
      </c>
      <c r="N669" t="s">
        <v>3552</v>
      </c>
    </row>
    <row r="670" spans="1:14">
      <c r="A670">
        <v>2235</v>
      </c>
      <c r="B670" t="s">
        <v>666</v>
      </c>
      <c r="C670">
        <v>28.45</v>
      </c>
      <c r="D670">
        <v>28.4</v>
      </c>
      <c r="E670" s="178">
        <v>0</v>
      </c>
      <c r="F670" s="176">
        <v>0</v>
      </c>
      <c r="G670" t="s">
        <v>5701</v>
      </c>
      <c r="H670">
        <v>9</v>
      </c>
      <c r="I670">
        <v>2</v>
      </c>
      <c r="J670">
        <v>3.59</v>
      </c>
      <c r="K670">
        <v>28.5</v>
      </c>
      <c r="L670">
        <v>27.85</v>
      </c>
      <c r="M670" s="175">
        <v>0.03</v>
      </c>
      <c r="N670" t="s">
        <v>3553</v>
      </c>
    </row>
    <row r="671" spans="1:14">
      <c r="A671">
        <v>2236</v>
      </c>
      <c r="B671" t="s">
        <v>667</v>
      </c>
      <c r="C671">
        <v>80.2</v>
      </c>
      <c r="D671">
        <v>80.099999999999994</v>
      </c>
      <c r="E671" s="178">
        <v>-0.3</v>
      </c>
      <c r="F671" s="176">
        <v>-0.37</v>
      </c>
      <c r="G671" t="s">
        <v>6154</v>
      </c>
      <c r="H671">
        <v>460</v>
      </c>
      <c r="I671">
        <v>1793</v>
      </c>
      <c r="J671">
        <v>6.35</v>
      </c>
      <c r="K671">
        <v>81.400000000000006</v>
      </c>
      <c r="L671">
        <v>78.2</v>
      </c>
      <c r="M671" s="175">
        <v>0.73</v>
      </c>
      <c r="N671" t="s">
        <v>3554</v>
      </c>
    </row>
    <row r="672" spans="1:14">
      <c r="A672">
        <v>2239</v>
      </c>
      <c r="B672" t="s">
        <v>668</v>
      </c>
      <c r="C672">
        <v>17</v>
      </c>
      <c r="D672">
        <v>17.25</v>
      </c>
      <c r="E672" s="178">
        <v>0.05</v>
      </c>
      <c r="F672" s="176">
        <v>0.28999999999999998</v>
      </c>
      <c r="G672" t="s">
        <v>5373</v>
      </c>
      <c r="H672">
        <v>102</v>
      </c>
      <c r="I672">
        <v>117</v>
      </c>
      <c r="J672">
        <v>11.77</v>
      </c>
      <c r="K672">
        <v>17.399999999999999</v>
      </c>
      <c r="L672">
        <v>16.95</v>
      </c>
      <c r="M672" s="175">
        <v>0.09</v>
      </c>
      <c r="N672" t="s">
        <v>3555</v>
      </c>
    </row>
    <row r="673" spans="1:14">
      <c r="A673">
        <v>2241</v>
      </c>
      <c r="B673" t="s">
        <v>132</v>
      </c>
      <c r="C673">
        <v>47</v>
      </c>
      <c r="D673">
        <v>46.7</v>
      </c>
      <c r="E673" s="178">
        <v>-1.7</v>
      </c>
      <c r="F673" s="176">
        <v>-3.51</v>
      </c>
      <c r="G673" t="s">
        <v>6155</v>
      </c>
      <c r="H673">
        <v>3068</v>
      </c>
      <c r="I673">
        <v>10690</v>
      </c>
      <c r="J673">
        <v>10.46</v>
      </c>
      <c r="K673">
        <v>49.7</v>
      </c>
      <c r="L673">
        <v>46.5</v>
      </c>
      <c r="M673" s="175">
        <v>2.93</v>
      </c>
      <c r="N673" t="s">
        <v>3556</v>
      </c>
    </row>
    <row r="674" spans="1:14">
      <c r="A674">
        <v>2243</v>
      </c>
      <c r="B674" t="s">
        <v>337</v>
      </c>
      <c r="C674">
        <v>57.9</v>
      </c>
      <c r="D674">
        <v>58</v>
      </c>
      <c r="E674" s="178">
        <v>0</v>
      </c>
      <c r="F674" s="176">
        <v>0</v>
      </c>
      <c r="G674" t="s">
        <v>6156</v>
      </c>
      <c r="H674">
        <v>328</v>
      </c>
      <c r="I674">
        <v>442</v>
      </c>
      <c r="J674">
        <v>7.74</v>
      </c>
      <c r="K674">
        <v>59.3</v>
      </c>
      <c r="L674">
        <v>57.4</v>
      </c>
      <c r="M674" s="175">
        <v>0.47</v>
      </c>
      <c r="N674" t="s">
        <v>3557</v>
      </c>
    </row>
    <row r="675" spans="1:14">
      <c r="A675">
        <v>2247</v>
      </c>
      <c r="B675" t="s">
        <v>186</v>
      </c>
      <c r="C675">
        <v>227</v>
      </c>
      <c r="D675">
        <v>224.5</v>
      </c>
      <c r="E675" s="178">
        <v>-1.5</v>
      </c>
      <c r="F675" s="176">
        <v>-0.66</v>
      </c>
      <c r="G675" t="s">
        <v>6157</v>
      </c>
      <c r="H675">
        <v>40</v>
      </c>
      <c r="I675">
        <v>34</v>
      </c>
      <c r="J675">
        <v>8.07</v>
      </c>
      <c r="K675">
        <v>229</v>
      </c>
      <c r="L675">
        <v>224</v>
      </c>
      <c r="M675" s="175">
        <v>0.05</v>
      </c>
      <c r="N675" t="s">
        <v>3558</v>
      </c>
    </row>
    <row r="676" spans="1:14">
      <c r="A676">
        <v>2248</v>
      </c>
      <c r="B676" t="s">
        <v>2796</v>
      </c>
      <c r="C676">
        <v>59.5</v>
      </c>
      <c r="D676">
        <v>59</v>
      </c>
      <c r="E676" s="178">
        <v>-0.9</v>
      </c>
      <c r="F676" s="176">
        <v>-1.5</v>
      </c>
      <c r="G676" t="s">
        <v>5228</v>
      </c>
      <c r="H676">
        <v>60</v>
      </c>
      <c r="I676">
        <v>24</v>
      </c>
      <c r="J676">
        <v>4.76</v>
      </c>
      <c r="K676">
        <v>59.9</v>
      </c>
      <c r="L676">
        <v>58.6</v>
      </c>
      <c r="M676" s="175">
        <v>0.13</v>
      </c>
      <c r="N676" t="s">
        <v>3559</v>
      </c>
    </row>
    <row r="677" spans="1:14">
      <c r="A677">
        <v>2250</v>
      </c>
      <c r="B677" t="s">
        <v>1548</v>
      </c>
      <c r="C677">
        <v>52.7</v>
      </c>
      <c r="D677">
        <v>51.8</v>
      </c>
      <c r="E677" s="178">
        <v>-0.9</v>
      </c>
      <c r="F677" s="176">
        <v>-1.71</v>
      </c>
      <c r="G677" t="s">
        <v>5637</v>
      </c>
      <c r="H677">
        <v>77</v>
      </c>
      <c r="I677">
        <v>57</v>
      </c>
      <c r="J677">
        <v>3.64</v>
      </c>
      <c r="K677">
        <v>53.2</v>
      </c>
      <c r="L677">
        <v>51.5</v>
      </c>
      <c r="M677" s="175">
        <v>0.21</v>
      </c>
      <c r="N677" t="s">
        <v>3560</v>
      </c>
    </row>
    <row r="678" spans="1:14">
      <c r="A678">
        <v>2301</v>
      </c>
      <c r="B678" t="s">
        <v>669</v>
      </c>
      <c r="C678">
        <v>273</v>
      </c>
      <c r="D678">
        <v>268</v>
      </c>
      <c r="E678" s="178">
        <v>-15</v>
      </c>
      <c r="F678" s="176">
        <v>-5.3</v>
      </c>
      <c r="G678" t="s">
        <v>6158</v>
      </c>
      <c r="H678">
        <v>21205</v>
      </c>
      <c r="I678">
        <v>16727</v>
      </c>
      <c r="J678">
        <v>227.61</v>
      </c>
      <c r="K678">
        <v>274.5</v>
      </c>
      <c r="L678">
        <v>266.5</v>
      </c>
      <c r="M678" s="175">
        <v>0.92</v>
      </c>
      <c r="N678" t="s">
        <v>3561</v>
      </c>
    </row>
    <row r="679" spans="1:14">
      <c r="A679">
        <v>2302</v>
      </c>
      <c r="B679" t="s">
        <v>670</v>
      </c>
      <c r="C679">
        <v>45.4</v>
      </c>
      <c r="D679">
        <v>44.6</v>
      </c>
      <c r="E679" s="178">
        <v>-2.1</v>
      </c>
      <c r="F679" s="176">
        <v>-4.5</v>
      </c>
      <c r="G679" t="s">
        <v>5383</v>
      </c>
      <c r="H679">
        <v>3159</v>
      </c>
      <c r="I679">
        <v>5945</v>
      </c>
      <c r="J679">
        <v>16.63</v>
      </c>
      <c r="K679">
        <v>46.45</v>
      </c>
      <c r="L679">
        <v>44.35</v>
      </c>
      <c r="M679" s="175">
        <v>1.9</v>
      </c>
      <c r="N679" t="s">
        <v>3562</v>
      </c>
    </row>
    <row r="680" spans="1:14">
      <c r="A680">
        <v>2303</v>
      </c>
      <c r="B680" t="s">
        <v>244</v>
      </c>
      <c r="C680">
        <v>136.5</v>
      </c>
      <c r="D680">
        <v>133.5</v>
      </c>
      <c r="E680" s="178">
        <v>-8.5</v>
      </c>
      <c r="F680" s="176">
        <v>-5.99</v>
      </c>
      <c r="G680" t="s">
        <v>6159</v>
      </c>
      <c r="H680">
        <v>209632</v>
      </c>
      <c r="I680">
        <v>115236</v>
      </c>
      <c r="J680">
        <v>1257.01</v>
      </c>
      <c r="K680">
        <v>137</v>
      </c>
      <c r="L680">
        <v>132.5</v>
      </c>
      <c r="M680" s="175">
        <v>1.67</v>
      </c>
      <c r="N680" t="s">
        <v>3563</v>
      </c>
    </row>
    <row r="681" spans="1:14">
      <c r="A681">
        <v>2305</v>
      </c>
      <c r="B681" t="s">
        <v>671</v>
      </c>
      <c r="C681">
        <v>60.3</v>
      </c>
      <c r="D681">
        <v>57.8</v>
      </c>
      <c r="E681" s="178">
        <v>-5.8</v>
      </c>
      <c r="F681" s="176">
        <v>-9.1199999999999992</v>
      </c>
      <c r="G681" t="s">
        <v>6160</v>
      </c>
      <c r="H681">
        <v>14388</v>
      </c>
      <c r="I681">
        <v>27273</v>
      </c>
      <c r="J681">
        <v>20.57</v>
      </c>
      <c r="K681">
        <v>63.7</v>
      </c>
      <c r="L681">
        <v>57.8</v>
      </c>
      <c r="M681" s="175">
        <v>7</v>
      </c>
      <c r="N681" t="s">
        <v>3564</v>
      </c>
    </row>
    <row r="682" spans="1:14">
      <c r="A682">
        <v>2308</v>
      </c>
      <c r="B682" t="s">
        <v>672</v>
      </c>
      <c r="C682">
        <v>1690</v>
      </c>
      <c r="D682">
        <v>1630</v>
      </c>
      <c r="E682" s="178">
        <v>-155</v>
      </c>
      <c r="F682" s="176">
        <v>-8.68</v>
      </c>
      <c r="G682" t="s">
        <v>6161</v>
      </c>
      <c r="H682">
        <v>20034</v>
      </c>
      <c r="I682">
        <v>10653</v>
      </c>
      <c r="J682">
        <v>259.75</v>
      </c>
      <c r="K682">
        <v>1700</v>
      </c>
      <c r="L682">
        <v>1610</v>
      </c>
      <c r="M682" s="175">
        <v>0.77</v>
      </c>
      <c r="N682" t="s">
        <v>3565</v>
      </c>
    </row>
    <row r="683" spans="1:14">
      <c r="A683">
        <v>2312</v>
      </c>
      <c r="B683" t="s">
        <v>673</v>
      </c>
      <c r="C683">
        <v>31.8</v>
      </c>
      <c r="D683">
        <v>31.5</v>
      </c>
      <c r="E683" s="178">
        <v>-1.75</v>
      </c>
      <c r="F683" s="176">
        <v>-5.26</v>
      </c>
      <c r="G683" t="s">
        <v>6162</v>
      </c>
      <c r="H683">
        <v>23173</v>
      </c>
      <c r="I683">
        <v>19626</v>
      </c>
      <c r="J683">
        <v>150.66</v>
      </c>
      <c r="K683">
        <v>32.15</v>
      </c>
      <c r="L683">
        <v>31.35</v>
      </c>
      <c r="M683" s="175">
        <v>1.54</v>
      </c>
      <c r="N683" t="s">
        <v>3566</v>
      </c>
    </row>
    <row r="684" spans="1:14">
      <c r="A684">
        <v>2313</v>
      </c>
      <c r="B684" t="s">
        <v>674</v>
      </c>
      <c r="C684">
        <v>240</v>
      </c>
      <c r="D684">
        <v>228</v>
      </c>
      <c r="E684" s="178">
        <v>-22.5</v>
      </c>
      <c r="F684" s="176">
        <v>-8.98</v>
      </c>
      <c r="G684" t="s">
        <v>6163</v>
      </c>
      <c r="H684">
        <v>28248</v>
      </c>
      <c r="I684">
        <v>36097</v>
      </c>
      <c r="J684">
        <v>123.38</v>
      </c>
      <c r="K684">
        <v>240.5</v>
      </c>
      <c r="L684">
        <v>228</v>
      </c>
      <c r="M684" s="175">
        <v>2.29</v>
      </c>
      <c r="N684" t="s">
        <v>3567</v>
      </c>
    </row>
    <row r="685" spans="1:14">
      <c r="A685">
        <v>2314</v>
      </c>
      <c r="B685" t="s">
        <v>2923</v>
      </c>
      <c r="C685">
        <v>10.4</v>
      </c>
      <c r="D685">
        <v>10.3</v>
      </c>
      <c r="E685" s="178">
        <v>-0.1</v>
      </c>
      <c r="F685" s="176">
        <v>-0.96</v>
      </c>
      <c r="G685" t="s">
        <v>5615</v>
      </c>
      <c r="H685">
        <v>230</v>
      </c>
      <c r="I685">
        <v>146</v>
      </c>
      <c r="J685">
        <v>18.84</v>
      </c>
      <c r="K685">
        <v>10.4</v>
      </c>
      <c r="L685">
        <v>10.199999999999999</v>
      </c>
      <c r="M685" s="175">
        <v>0.22</v>
      </c>
      <c r="N685" t="s">
        <v>3568</v>
      </c>
    </row>
    <row r="686" spans="1:14">
      <c r="A686">
        <v>2316</v>
      </c>
      <c r="B686" t="s">
        <v>675</v>
      </c>
      <c r="C686">
        <v>167.5</v>
      </c>
      <c r="D686">
        <v>162.5</v>
      </c>
      <c r="E686" s="178">
        <v>-7</v>
      </c>
      <c r="F686" s="176">
        <v>-4.13</v>
      </c>
      <c r="G686" t="s">
        <v>6164</v>
      </c>
      <c r="H686">
        <v>3832</v>
      </c>
      <c r="I686">
        <v>3142</v>
      </c>
      <c r="J686">
        <v>18.27</v>
      </c>
      <c r="K686">
        <v>174.5</v>
      </c>
      <c r="L686">
        <v>162.5</v>
      </c>
      <c r="M686" s="175">
        <v>2.1</v>
      </c>
      <c r="N686" t="s">
        <v>3569</v>
      </c>
    </row>
    <row r="687" spans="1:14">
      <c r="A687">
        <v>2317</v>
      </c>
      <c r="B687" t="s">
        <v>245</v>
      </c>
      <c r="C687">
        <v>240</v>
      </c>
      <c r="D687">
        <v>239.5</v>
      </c>
      <c r="E687" s="178">
        <v>-3.5</v>
      </c>
      <c r="F687" s="176">
        <v>-1.44</v>
      </c>
      <c r="G687" t="s">
        <v>6165</v>
      </c>
      <c r="H687">
        <v>46466</v>
      </c>
      <c r="I687">
        <v>41683</v>
      </c>
      <c r="J687">
        <v>1407.57</v>
      </c>
      <c r="K687">
        <v>240</v>
      </c>
      <c r="L687">
        <v>238</v>
      </c>
      <c r="M687" s="175">
        <v>0.33</v>
      </c>
      <c r="N687" t="s">
        <v>3570</v>
      </c>
    </row>
    <row r="688" spans="1:14">
      <c r="A688">
        <v>2321</v>
      </c>
      <c r="B688" t="s">
        <v>5186</v>
      </c>
      <c r="C688" t="s">
        <v>1555</v>
      </c>
      <c r="D688" t="s">
        <v>1555</v>
      </c>
      <c r="E688" s="178" t="s">
        <v>1555</v>
      </c>
      <c r="F688" s="176" t="s">
        <v>1555</v>
      </c>
      <c r="G688" t="s">
        <v>1555</v>
      </c>
      <c r="H688">
        <v>0</v>
      </c>
      <c r="I688">
        <v>1</v>
      </c>
      <c r="J688">
        <v>1.66</v>
      </c>
      <c r="K688" t="s">
        <v>1555</v>
      </c>
      <c r="L688" t="s">
        <v>1555</v>
      </c>
      <c r="M688" s="175">
        <v>0</v>
      </c>
      <c r="N688" t="s">
        <v>5187</v>
      </c>
    </row>
    <row r="689" spans="1:14">
      <c r="A689">
        <v>2323</v>
      </c>
      <c r="B689" t="s">
        <v>5404</v>
      </c>
      <c r="C689">
        <v>11.95</v>
      </c>
      <c r="D689">
        <v>11.8</v>
      </c>
      <c r="E689" s="178">
        <v>-0.1</v>
      </c>
      <c r="F689" s="176">
        <v>-0.84</v>
      </c>
      <c r="G689" t="s">
        <v>6166</v>
      </c>
      <c r="H689">
        <v>14152</v>
      </c>
      <c r="I689">
        <v>12344</v>
      </c>
      <c r="J689">
        <v>98.04</v>
      </c>
      <c r="K689">
        <v>12</v>
      </c>
      <c r="L689">
        <v>11.55</v>
      </c>
      <c r="M689" s="175">
        <v>1.44</v>
      </c>
      <c r="N689" t="s">
        <v>3571</v>
      </c>
    </row>
    <row r="690" spans="1:14">
      <c r="A690">
        <v>2324</v>
      </c>
      <c r="B690" t="s">
        <v>676</v>
      </c>
      <c r="C690">
        <v>36.299999999999997</v>
      </c>
      <c r="D690">
        <v>36</v>
      </c>
      <c r="E690" s="178">
        <v>-1</v>
      </c>
      <c r="F690" s="176">
        <v>-2.7</v>
      </c>
      <c r="G690" t="s">
        <v>6167</v>
      </c>
      <c r="H690">
        <v>32242</v>
      </c>
      <c r="I690">
        <v>36295</v>
      </c>
      <c r="J690">
        <v>440.71</v>
      </c>
      <c r="K690">
        <v>36.5</v>
      </c>
      <c r="L690">
        <v>35.799999999999997</v>
      </c>
      <c r="M690" s="175">
        <v>0.73</v>
      </c>
      <c r="N690" t="s">
        <v>3572</v>
      </c>
    </row>
    <row r="691" spans="1:14">
      <c r="A691">
        <v>2327</v>
      </c>
      <c r="B691" t="s">
        <v>2865</v>
      </c>
      <c r="C691">
        <v>590</v>
      </c>
      <c r="D691">
        <v>573</v>
      </c>
      <c r="E691" s="178">
        <v>-54</v>
      </c>
      <c r="F691" s="176">
        <v>-8.61</v>
      </c>
      <c r="G691" t="s">
        <v>6168</v>
      </c>
      <c r="H691">
        <v>52004</v>
      </c>
      <c r="I691">
        <v>54862</v>
      </c>
      <c r="J691">
        <v>51.62</v>
      </c>
      <c r="K691">
        <v>593</v>
      </c>
      <c r="L691">
        <v>570</v>
      </c>
      <c r="M691" s="175">
        <v>2.5299999999999998</v>
      </c>
      <c r="N691" t="s">
        <v>3573</v>
      </c>
    </row>
    <row r="692" spans="1:14">
      <c r="A692">
        <v>2328</v>
      </c>
      <c r="B692" t="s">
        <v>677</v>
      </c>
      <c r="C692">
        <v>49.05</v>
      </c>
      <c r="D692">
        <v>47.85</v>
      </c>
      <c r="E692" s="178">
        <v>-1.7</v>
      </c>
      <c r="F692" s="176">
        <v>-3.43</v>
      </c>
      <c r="G692" t="s">
        <v>5662</v>
      </c>
      <c r="H692">
        <v>2839</v>
      </c>
      <c r="I692">
        <v>2072</v>
      </c>
      <c r="J692">
        <v>51.83</v>
      </c>
      <c r="K692">
        <v>49.2</v>
      </c>
      <c r="L692">
        <v>47.7</v>
      </c>
      <c r="M692" s="175">
        <v>0.55000000000000004</v>
      </c>
      <c r="N692" t="s">
        <v>3574</v>
      </c>
    </row>
    <row r="693" spans="1:14">
      <c r="A693">
        <v>2329</v>
      </c>
      <c r="B693" t="s">
        <v>678</v>
      </c>
      <c r="C693">
        <v>43.7</v>
      </c>
      <c r="D693">
        <v>42.75</v>
      </c>
      <c r="E693" s="178">
        <v>-2.0499999999999998</v>
      </c>
      <c r="F693" s="176">
        <v>-4.58</v>
      </c>
      <c r="G693" t="s">
        <v>5222</v>
      </c>
      <c r="H693">
        <v>3038</v>
      </c>
      <c r="I693">
        <v>3440</v>
      </c>
      <c r="J693">
        <v>65.89</v>
      </c>
      <c r="K693">
        <v>44.2</v>
      </c>
      <c r="L693">
        <v>42.5</v>
      </c>
      <c r="M693" s="175">
        <v>0.46</v>
      </c>
      <c r="N693" t="s">
        <v>3575</v>
      </c>
    </row>
    <row r="694" spans="1:14">
      <c r="A694">
        <v>2330</v>
      </c>
      <c r="B694" t="s">
        <v>1549</v>
      </c>
      <c r="C694">
        <v>2420</v>
      </c>
      <c r="D694">
        <v>2440</v>
      </c>
      <c r="E694" s="178">
        <v>-50</v>
      </c>
      <c r="F694" s="176">
        <v>-2.0099999999999998</v>
      </c>
      <c r="G694" t="s">
        <v>6169</v>
      </c>
      <c r="H694">
        <v>48032</v>
      </c>
      <c r="I694">
        <v>26510</v>
      </c>
      <c r="J694">
        <v>2593.2399999999998</v>
      </c>
      <c r="K694">
        <v>2450</v>
      </c>
      <c r="L694">
        <v>2420</v>
      </c>
      <c r="M694" s="175">
        <v>0.19</v>
      </c>
      <c r="N694" t="s">
        <v>3576</v>
      </c>
    </row>
    <row r="695" spans="1:14">
      <c r="A695">
        <v>2331</v>
      </c>
      <c r="B695" t="s">
        <v>679</v>
      </c>
      <c r="C695">
        <v>18.55</v>
      </c>
      <c r="D695">
        <v>18.25</v>
      </c>
      <c r="E695" s="178">
        <v>-0.35</v>
      </c>
      <c r="F695" s="176">
        <v>-1.88</v>
      </c>
      <c r="G695" t="s">
        <v>6170</v>
      </c>
      <c r="H695">
        <v>1606</v>
      </c>
      <c r="I695">
        <v>885</v>
      </c>
      <c r="J695">
        <v>55.74</v>
      </c>
      <c r="K695">
        <v>18.95</v>
      </c>
      <c r="L695">
        <v>18.25</v>
      </c>
      <c r="M695" s="175">
        <v>0.28999999999999998</v>
      </c>
      <c r="N695" t="s">
        <v>3577</v>
      </c>
    </row>
    <row r="696" spans="1:14">
      <c r="A696">
        <v>2332</v>
      </c>
      <c r="B696" t="s">
        <v>1587</v>
      </c>
      <c r="C696">
        <v>20.3</v>
      </c>
      <c r="D696">
        <v>20.25</v>
      </c>
      <c r="E696" s="178">
        <v>-0.65</v>
      </c>
      <c r="F696" s="176">
        <v>-3.11</v>
      </c>
      <c r="G696" t="s">
        <v>5180</v>
      </c>
      <c r="H696">
        <v>5119</v>
      </c>
      <c r="I696">
        <v>8499</v>
      </c>
      <c r="J696">
        <v>60.22</v>
      </c>
      <c r="K696">
        <v>20.8</v>
      </c>
      <c r="L696">
        <v>20.2</v>
      </c>
      <c r="M696" s="175">
        <v>0.85</v>
      </c>
      <c r="N696" t="s">
        <v>3578</v>
      </c>
    </row>
    <row r="697" spans="1:14">
      <c r="A697">
        <v>2337</v>
      </c>
      <c r="B697" t="s">
        <v>680</v>
      </c>
      <c r="C697">
        <v>105.5</v>
      </c>
      <c r="D697">
        <v>104.5</v>
      </c>
      <c r="E697" s="178">
        <v>-5.5</v>
      </c>
      <c r="F697" s="176">
        <v>-5</v>
      </c>
      <c r="G697" t="s">
        <v>6171</v>
      </c>
      <c r="H697">
        <v>45358</v>
      </c>
      <c r="I697">
        <v>33967</v>
      </c>
      <c r="J697">
        <v>198.63</v>
      </c>
      <c r="K697">
        <v>107</v>
      </c>
      <c r="L697">
        <v>103</v>
      </c>
      <c r="M697" s="175">
        <v>2.29</v>
      </c>
      <c r="N697" t="s">
        <v>3579</v>
      </c>
    </row>
    <row r="698" spans="1:14">
      <c r="A698">
        <v>2338</v>
      </c>
      <c r="B698" t="s">
        <v>681</v>
      </c>
      <c r="C698">
        <v>45.1</v>
      </c>
      <c r="D698">
        <v>44.55</v>
      </c>
      <c r="E698" s="178">
        <v>-1.75</v>
      </c>
      <c r="F698" s="176">
        <v>-3.78</v>
      </c>
      <c r="G698" t="s">
        <v>6172</v>
      </c>
      <c r="H698">
        <v>2231</v>
      </c>
      <c r="I698">
        <v>2447</v>
      </c>
      <c r="J698">
        <v>37.03</v>
      </c>
      <c r="K698">
        <v>45.55</v>
      </c>
      <c r="L698">
        <v>44.5</v>
      </c>
      <c r="M698" s="175">
        <v>0.6</v>
      </c>
      <c r="N698" t="s">
        <v>3580</v>
      </c>
    </row>
    <row r="699" spans="1:14">
      <c r="A699">
        <v>2340</v>
      </c>
      <c r="B699" t="s">
        <v>1615</v>
      </c>
      <c r="C699">
        <v>47.2</v>
      </c>
      <c r="D699">
        <v>47.2</v>
      </c>
      <c r="E699" s="178">
        <v>-5.2</v>
      </c>
      <c r="F699" s="176">
        <v>-9.92</v>
      </c>
      <c r="G699" t="s">
        <v>5597</v>
      </c>
      <c r="H699">
        <v>35050</v>
      </c>
      <c r="I699">
        <v>61368</v>
      </c>
      <c r="J699">
        <v>43.86</v>
      </c>
      <c r="K699">
        <v>50.9</v>
      </c>
      <c r="L699">
        <v>47.2</v>
      </c>
      <c r="M699" s="175">
        <v>9.26</v>
      </c>
      <c r="N699" t="s">
        <v>3581</v>
      </c>
    </row>
    <row r="700" spans="1:14">
      <c r="A700">
        <v>2342</v>
      </c>
      <c r="B700" t="s">
        <v>682</v>
      </c>
      <c r="C700">
        <v>43</v>
      </c>
      <c r="D700">
        <v>42</v>
      </c>
      <c r="E700" s="178">
        <v>-2.75</v>
      </c>
      <c r="F700" s="176">
        <v>-6.15</v>
      </c>
      <c r="G700" t="s">
        <v>6173</v>
      </c>
      <c r="H700">
        <v>2257</v>
      </c>
      <c r="I700">
        <v>3586</v>
      </c>
      <c r="J700">
        <v>15.73</v>
      </c>
      <c r="K700">
        <v>43.25</v>
      </c>
      <c r="L700">
        <v>41.85</v>
      </c>
      <c r="M700" s="175">
        <v>1.43</v>
      </c>
      <c r="N700" t="s">
        <v>3582</v>
      </c>
    </row>
    <row r="701" spans="1:14">
      <c r="A701">
        <v>2344</v>
      </c>
      <c r="B701" t="s">
        <v>1550</v>
      </c>
      <c r="C701">
        <v>157</v>
      </c>
      <c r="D701">
        <v>155</v>
      </c>
      <c r="E701" s="178">
        <v>-10</v>
      </c>
      <c r="F701" s="176">
        <v>-6.06</v>
      </c>
      <c r="G701" t="s">
        <v>5575</v>
      </c>
      <c r="H701">
        <v>76289</v>
      </c>
      <c r="I701">
        <v>72191</v>
      </c>
      <c r="J701">
        <v>472.05</v>
      </c>
      <c r="K701">
        <v>159</v>
      </c>
      <c r="L701">
        <v>153</v>
      </c>
      <c r="M701" s="175">
        <v>1.7</v>
      </c>
      <c r="N701" t="s">
        <v>3583</v>
      </c>
    </row>
    <row r="702" spans="1:14">
      <c r="A702">
        <v>2345</v>
      </c>
      <c r="B702" t="s">
        <v>683</v>
      </c>
      <c r="C702">
        <v>1915</v>
      </c>
      <c r="D702">
        <v>1950</v>
      </c>
      <c r="E702" s="178">
        <v>-100</v>
      </c>
      <c r="F702" s="176">
        <v>-4.88</v>
      </c>
      <c r="G702" t="s">
        <v>6174</v>
      </c>
      <c r="H702">
        <v>4267</v>
      </c>
      <c r="I702">
        <v>4881</v>
      </c>
      <c r="J702">
        <v>56.11</v>
      </c>
      <c r="K702">
        <v>2005</v>
      </c>
      <c r="L702">
        <v>1910</v>
      </c>
      <c r="M702" s="175">
        <v>0.76</v>
      </c>
      <c r="N702" t="s">
        <v>3584</v>
      </c>
    </row>
    <row r="703" spans="1:14">
      <c r="A703">
        <v>2347</v>
      </c>
      <c r="B703" t="s">
        <v>684</v>
      </c>
      <c r="C703">
        <v>102.5</v>
      </c>
      <c r="D703">
        <v>102.5</v>
      </c>
      <c r="E703" s="178">
        <v>0</v>
      </c>
      <c r="F703" s="176">
        <v>0</v>
      </c>
      <c r="G703" t="s">
        <v>6175</v>
      </c>
      <c r="H703">
        <v>5280</v>
      </c>
      <c r="I703">
        <v>4083</v>
      </c>
      <c r="J703">
        <v>166.79</v>
      </c>
      <c r="K703">
        <v>104</v>
      </c>
      <c r="L703">
        <v>100</v>
      </c>
      <c r="M703" s="175">
        <v>0.32</v>
      </c>
      <c r="N703" t="s">
        <v>3585</v>
      </c>
    </row>
    <row r="704" spans="1:14">
      <c r="A704">
        <v>2348</v>
      </c>
      <c r="B704" t="s">
        <v>685</v>
      </c>
      <c r="C704">
        <v>70</v>
      </c>
      <c r="D704">
        <v>69.8</v>
      </c>
      <c r="E704" s="178">
        <v>-0.2</v>
      </c>
      <c r="F704" s="176">
        <v>-0.28999999999999998</v>
      </c>
      <c r="G704" t="s">
        <v>6176</v>
      </c>
      <c r="H704">
        <v>383</v>
      </c>
      <c r="I704">
        <v>239</v>
      </c>
      <c r="J704">
        <v>15.95</v>
      </c>
      <c r="K704">
        <v>70.3</v>
      </c>
      <c r="L704">
        <v>69.599999999999994</v>
      </c>
      <c r="M704" s="175">
        <v>0.24</v>
      </c>
      <c r="N704" t="s">
        <v>3586</v>
      </c>
    </row>
    <row r="705" spans="1:14">
      <c r="A705">
        <v>2349</v>
      </c>
      <c r="B705" t="s">
        <v>686</v>
      </c>
      <c r="C705">
        <v>10.9</v>
      </c>
      <c r="D705">
        <v>10.7</v>
      </c>
      <c r="E705" s="178">
        <v>-0.4</v>
      </c>
      <c r="F705" s="176">
        <v>-3.6</v>
      </c>
      <c r="G705" t="s">
        <v>6177</v>
      </c>
      <c r="H705">
        <v>2830</v>
      </c>
      <c r="I705">
        <v>3373</v>
      </c>
      <c r="J705">
        <v>69.37</v>
      </c>
      <c r="K705">
        <v>10.95</v>
      </c>
      <c r="L705">
        <v>10.7</v>
      </c>
      <c r="M705" s="175">
        <v>0.41</v>
      </c>
      <c r="N705" t="s">
        <v>3571</v>
      </c>
    </row>
    <row r="706" spans="1:14">
      <c r="A706">
        <v>2351</v>
      </c>
      <c r="B706" t="s">
        <v>687</v>
      </c>
      <c r="C706">
        <v>200</v>
      </c>
      <c r="D706">
        <v>205</v>
      </c>
      <c r="E706" s="178">
        <v>-2</v>
      </c>
      <c r="F706" s="176">
        <v>-0.97</v>
      </c>
      <c r="G706" t="s">
        <v>6178</v>
      </c>
      <c r="H706">
        <v>3970</v>
      </c>
      <c r="I706">
        <v>2568</v>
      </c>
      <c r="J706">
        <v>19.63</v>
      </c>
      <c r="K706">
        <v>209.5</v>
      </c>
      <c r="L706">
        <v>198</v>
      </c>
      <c r="M706" s="175">
        <v>2.0499999999999998</v>
      </c>
      <c r="N706" t="s">
        <v>3587</v>
      </c>
    </row>
    <row r="707" spans="1:14">
      <c r="A707">
        <v>2352</v>
      </c>
      <c r="B707" t="s">
        <v>2907</v>
      </c>
      <c r="C707">
        <v>29.2</v>
      </c>
      <c r="D707">
        <v>29</v>
      </c>
      <c r="E707" s="178">
        <v>-0.55000000000000004</v>
      </c>
      <c r="F707" s="176">
        <v>-1.86</v>
      </c>
      <c r="G707" t="s">
        <v>5185</v>
      </c>
      <c r="H707">
        <v>4639</v>
      </c>
      <c r="I707">
        <v>4109</v>
      </c>
      <c r="J707">
        <v>158.05000000000001</v>
      </c>
      <c r="K707">
        <v>29.35</v>
      </c>
      <c r="L707">
        <v>28.85</v>
      </c>
      <c r="M707" s="175">
        <v>0.28999999999999998</v>
      </c>
      <c r="N707" t="s">
        <v>3588</v>
      </c>
    </row>
    <row r="708" spans="1:14">
      <c r="A708">
        <v>2353</v>
      </c>
      <c r="B708" t="s">
        <v>688</v>
      </c>
      <c r="C708">
        <v>31.75</v>
      </c>
      <c r="D708">
        <v>31.7</v>
      </c>
      <c r="E708" s="178">
        <v>-0.4</v>
      </c>
      <c r="F708" s="176">
        <v>-1.25</v>
      </c>
      <c r="G708" t="s">
        <v>5549</v>
      </c>
      <c r="H708">
        <v>16657</v>
      </c>
      <c r="I708">
        <v>11922</v>
      </c>
      <c r="J708">
        <v>304.79000000000002</v>
      </c>
      <c r="K708">
        <v>32</v>
      </c>
      <c r="L708">
        <v>31.5</v>
      </c>
      <c r="M708" s="175">
        <v>0.55000000000000004</v>
      </c>
      <c r="N708" t="s">
        <v>3589</v>
      </c>
    </row>
    <row r="709" spans="1:14">
      <c r="A709">
        <v>2354</v>
      </c>
      <c r="B709" t="s">
        <v>689</v>
      </c>
      <c r="C709">
        <v>62.6</v>
      </c>
      <c r="D709">
        <v>62.1</v>
      </c>
      <c r="E709" s="178">
        <v>-1.6</v>
      </c>
      <c r="F709" s="176">
        <v>-2.5099999999999998</v>
      </c>
      <c r="G709" t="s">
        <v>5442</v>
      </c>
      <c r="H709">
        <v>4728</v>
      </c>
      <c r="I709">
        <v>5053</v>
      </c>
      <c r="J709">
        <v>141.44999999999999</v>
      </c>
      <c r="K709">
        <v>62.9</v>
      </c>
      <c r="L709">
        <v>61.9</v>
      </c>
      <c r="M709" s="175">
        <v>0.33</v>
      </c>
      <c r="N709" t="s">
        <v>3590</v>
      </c>
    </row>
    <row r="710" spans="1:14">
      <c r="A710">
        <v>2355</v>
      </c>
      <c r="B710" t="s">
        <v>63</v>
      </c>
      <c r="C710">
        <v>50.9</v>
      </c>
      <c r="D710">
        <v>53.6</v>
      </c>
      <c r="E710" s="178">
        <v>1.7</v>
      </c>
      <c r="F710" s="176">
        <v>3.28</v>
      </c>
      <c r="G710" t="s">
        <v>6179</v>
      </c>
      <c r="H710">
        <v>39229</v>
      </c>
      <c r="I710">
        <v>13422</v>
      </c>
      <c r="J710">
        <v>39.75</v>
      </c>
      <c r="K710">
        <v>56</v>
      </c>
      <c r="L710">
        <v>50.5</v>
      </c>
      <c r="M710" s="175">
        <v>9.8699999999999992</v>
      </c>
      <c r="N710" t="s">
        <v>3591</v>
      </c>
    </row>
    <row r="711" spans="1:14">
      <c r="A711">
        <v>2356</v>
      </c>
      <c r="B711" t="s">
        <v>690</v>
      </c>
      <c r="C711">
        <v>57.2</v>
      </c>
      <c r="D711">
        <v>57.6</v>
      </c>
      <c r="E711" s="178">
        <v>-0.7</v>
      </c>
      <c r="F711" s="176">
        <v>-1.2</v>
      </c>
      <c r="G711" t="s">
        <v>6180</v>
      </c>
      <c r="H711">
        <v>15600</v>
      </c>
      <c r="I711">
        <v>11498</v>
      </c>
      <c r="J711">
        <v>358.75</v>
      </c>
      <c r="K711">
        <v>57.6</v>
      </c>
      <c r="L711">
        <v>56.3</v>
      </c>
      <c r="M711" s="175">
        <v>0.43</v>
      </c>
      <c r="N711" t="s">
        <v>3572</v>
      </c>
    </row>
    <row r="712" spans="1:14">
      <c r="A712">
        <v>2357</v>
      </c>
      <c r="B712" t="s">
        <v>115</v>
      </c>
      <c r="C712">
        <v>971</v>
      </c>
      <c r="D712">
        <v>975</v>
      </c>
      <c r="E712" s="178">
        <v>-15</v>
      </c>
      <c r="F712" s="176">
        <v>-1.52</v>
      </c>
      <c r="G712" t="s">
        <v>6181</v>
      </c>
      <c r="H712">
        <v>2522</v>
      </c>
      <c r="I712">
        <v>2548</v>
      </c>
      <c r="J712">
        <v>74.28</v>
      </c>
      <c r="K712">
        <v>985</v>
      </c>
      <c r="L712">
        <v>966</v>
      </c>
      <c r="M712" s="175">
        <v>0.34</v>
      </c>
      <c r="N712" t="s">
        <v>3592</v>
      </c>
    </row>
    <row r="713" spans="1:14">
      <c r="A713">
        <v>2359</v>
      </c>
      <c r="B713" t="s">
        <v>692</v>
      </c>
      <c r="C713">
        <v>123.5</v>
      </c>
      <c r="D713">
        <v>120</v>
      </c>
      <c r="E713" s="178">
        <v>-5</v>
      </c>
      <c r="F713" s="176">
        <v>-4</v>
      </c>
      <c r="G713" t="s">
        <v>6182</v>
      </c>
      <c r="H713">
        <v>1691</v>
      </c>
      <c r="I713">
        <v>1656</v>
      </c>
      <c r="J713">
        <v>17.149999999999999</v>
      </c>
      <c r="K713">
        <v>123.5</v>
      </c>
      <c r="L713">
        <v>120</v>
      </c>
      <c r="M713" s="175">
        <v>0.99</v>
      </c>
      <c r="N713" t="s">
        <v>3593</v>
      </c>
    </row>
    <row r="714" spans="1:14">
      <c r="A714">
        <v>2360</v>
      </c>
      <c r="B714" t="s">
        <v>693</v>
      </c>
      <c r="C714">
        <v>2125</v>
      </c>
      <c r="D714">
        <v>2025</v>
      </c>
      <c r="E714" s="178">
        <v>-225</v>
      </c>
      <c r="F714" s="176">
        <v>-10</v>
      </c>
      <c r="G714" t="s">
        <v>6183</v>
      </c>
      <c r="H714">
        <v>3607</v>
      </c>
      <c r="I714">
        <v>2850</v>
      </c>
      <c r="J714">
        <v>42.52</v>
      </c>
      <c r="K714">
        <v>2160</v>
      </c>
      <c r="L714">
        <v>2025</v>
      </c>
      <c r="M714" s="175">
        <v>0.85</v>
      </c>
      <c r="N714" t="s">
        <v>3594</v>
      </c>
    </row>
    <row r="715" spans="1:14">
      <c r="A715">
        <v>2362</v>
      </c>
      <c r="B715" t="s">
        <v>694</v>
      </c>
      <c r="C715">
        <v>48.75</v>
      </c>
      <c r="D715">
        <v>48.2</v>
      </c>
      <c r="E715" s="178">
        <v>-0.8</v>
      </c>
      <c r="F715" s="176">
        <v>-1.63</v>
      </c>
      <c r="G715" t="s">
        <v>6184</v>
      </c>
      <c r="H715">
        <v>750</v>
      </c>
      <c r="I715">
        <v>790</v>
      </c>
      <c r="J715">
        <v>62.23</v>
      </c>
      <c r="K715">
        <v>48.95</v>
      </c>
      <c r="L715">
        <v>48.1</v>
      </c>
      <c r="M715" s="175">
        <v>0.12</v>
      </c>
      <c r="N715" t="s">
        <v>3595</v>
      </c>
    </row>
    <row r="716" spans="1:14">
      <c r="A716">
        <v>2363</v>
      </c>
      <c r="B716" t="s">
        <v>2588</v>
      </c>
      <c r="C716">
        <v>54.9</v>
      </c>
      <c r="D716">
        <v>53.8</v>
      </c>
      <c r="E716" s="178">
        <v>-2.4</v>
      </c>
      <c r="F716" s="176">
        <v>-4.2699999999999996</v>
      </c>
      <c r="G716" t="s">
        <v>6185</v>
      </c>
      <c r="H716">
        <v>4769</v>
      </c>
      <c r="I716">
        <v>6358</v>
      </c>
      <c r="J716">
        <v>51.5</v>
      </c>
      <c r="K716">
        <v>55</v>
      </c>
      <c r="L716">
        <v>53.5</v>
      </c>
      <c r="M716" s="175">
        <v>0.93</v>
      </c>
      <c r="N716" t="s">
        <v>3596</v>
      </c>
    </row>
    <row r="717" spans="1:14">
      <c r="A717">
        <v>2364</v>
      </c>
      <c r="B717" t="s">
        <v>695</v>
      </c>
      <c r="C717">
        <v>63.2</v>
      </c>
      <c r="D717">
        <v>62.5</v>
      </c>
      <c r="E717" s="178">
        <v>-1.6</v>
      </c>
      <c r="F717" s="176">
        <v>-2.5</v>
      </c>
      <c r="G717" t="s">
        <v>6135</v>
      </c>
      <c r="H717">
        <v>242</v>
      </c>
      <c r="I717">
        <v>98</v>
      </c>
      <c r="J717">
        <v>5.76</v>
      </c>
      <c r="K717">
        <v>63.3</v>
      </c>
      <c r="L717">
        <v>62</v>
      </c>
      <c r="M717" s="175">
        <v>0.42</v>
      </c>
      <c r="N717" t="s">
        <v>3597</v>
      </c>
    </row>
    <row r="718" spans="1:14">
      <c r="A718">
        <v>2365</v>
      </c>
      <c r="B718" t="s">
        <v>696</v>
      </c>
      <c r="C718">
        <v>27.1</v>
      </c>
      <c r="D718">
        <v>26.55</v>
      </c>
      <c r="E718" s="178">
        <v>-1</v>
      </c>
      <c r="F718" s="176">
        <v>-3.63</v>
      </c>
      <c r="G718" t="s">
        <v>6186</v>
      </c>
      <c r="H718">
        <v>1195</v>
      </c>
      <c r="I718">
        <v>779</v>
      </c>
      <c r="J718">
        <v>22.15</v>
      </c>
      <c r="K718">
        <v>27.1</v>
      </c>
      <c r="L718">
        <v>26.25</v>
      </c>
      <c r="M718" s="175">
        <v>0.54</v>
      </c>
      <c r="N718" t="s">
        <v>3598</v>
      </c>
    </row>
    <row r="719" spans="1:14">
      <c r="A719">
        <v>2367</v>
      </c>
      <c r="B719" t="s">
        <v>697</v>
      </c>
      <c r="C719">
        <v>46.2</v>
      </c>
      <c r="D719">
        <v>44.65</v>
      </c>
      <c r="E719" s="178">
        <v>-2.7</v>
      </c>
      <c r="F719" s="176">
        <v>-5.7</v>
      </c>
      <c r="G719" t="s">
        <v>5317</v>
      </c>
      <c r="H719">
        <v>5994</v>
      </c>
      <c r="I719">
        <v>9808</v>
      </c>
      <c r="J719">
        <v>70.63</v>
      </c>
      <c r="K719">
        <v>46.2</v>
      </c>
      <c r="L719">
        <v>44.4</v>
      </c>
      <c r="M719" s="175">
        <v>0.85</v>
      </c>
      <c r="N719" t="s">
        <v>3599</v>
      </c>
    </row>
    <row r="720" spans="1:14">
      <c r="A720">
        <v>2368</v>
      </c>
      <c r="B720" t="s">
        <v>1657</v>
      </c>
      <c r="C720">
        <v>1190</v>
      </c>
      <c r="D720">
        <v>1190</v>
      </c>
      <c r="E720" s="178">
        <v>-70</v>
      </c>
      <c r="F720" s="176">
        <v>-5.56</v>
      </c>
      <c r="G720" t="s">
        <v>6187</v>
      </c>
      <c r="H720">
        <v>13142</v>
      </c>
      <c r="I720">
        <v>12232</v>
      </c>
      <c r="J720">
        <v>53.25</v>
      </c>
      <c r="K720">
        <v>1210</v>
      </c>
      <c r="L720">
        <v>1160</v>
      </c>
      <c r="M720" s="175">
        <v>2.5099999999999998</v>
      </c>
      <c r="N720" t="s">
        <v>3600</v>
      </c>
    </row>
    <row r="721" spans="1:14">
      <c r="A721">
        <v>2369</v>
      </c>
      <c r="B721" t="s">
        <v>698</v>
      </c>
      <c r="C721">
        <v>30.4</v>
      </c>
      <c r="D721">
        <v>29.75</v>
      </c>
      <c r="E721" s="178">
        <v>-1.45</v>
      </c>
      <c r="F721" s="176">
        <v>-4.6500000000000004</v>
      </c>
      <c r="G721" t="s">
        <v>6188</v>
      </c>
      <c r="H721">
        <v>5620</v>
      </c>
      <c r="I721">
        <v>5390</v>
      </c>
      <c r="J721">
        <v>38.01</v>
      </c>
      <c r="K721">
        <v>30.5</v>
      </c>
      <c r="L721">
        <v>29.4</v>
      </c>
      <c r="M721" s="175">
        <v>1.48</v>
      </c>
      <c r="N721" t="s">
        <v>3601</v>
      </c>
    </row>
    <row r="722" spans="1:14">
      <c r="A722">
        <v>2371</v>
      </c>
      <c r="B722" t="s">
        <v>699</v>
      </c>
      <c r="C722">
        <v>29.5</v>
      </c>
      <c r="D722">
        <v>29.1</v>
      </c>
      <c r="E722" s="178">
        <v>-0.7</v>
      </c>
      <c r="F722" s="176">
        <v>-2.35</v>
      </c>
      <c r="G722" t="s">
        <v>5471</v>
      </c>
      <c r="H722">
        <v>9318</v>
      </c>
      <c r="I722">
        <v>11129</v>
      </c>
      <c r="J722">
        <v>215.08</v>
      </c>
      <c r="K722">
        <v>29.65</v>
      </c>
      <c r="L722">
        <v>29.1</v>
      </c>
      <c r="M722" s="175">
        <v>0.43</v>
      </c>
      <c r="N722" t="s">
        <v>3602</v>
      </c>
    </row>
    <row r="723" spans="1:14">
      <c r="A723">
        <v>2373</v>
      </c>
      <c r="B723" t="s">
        <v>700</v>
      </c>
      <c r="C723">
        <v>52.5</v>
      </c>
      <c r="D723">
        <v>52.3</v>
      </c>
      <c r="E723" s="178">
        <v>-0.2</v>
      </c>
      <c r="F723" s="176">
        <v>-0.38</v>
      </c>
      <c r="G723" t="s">
        <v>5927</v>
      </c>
      <c r="H723">
        <v>40</v>
      </c>
      <c r="I723">
        <v>19</v>
      </c>
      <c r="J723">
        <v>23.62</v>
      </c>
      <c r="K723">
        <v>52.6</v>
      </c>
      <c r="L723">
        <v>52.2</v>
      </c>
      <c r="M723" s="175">
        <v>0.02</v>
      </c>
      <c r="N723" t="s">
        <v>3603</v>
      </c>
    </row>
    <row r="724" spans="1:14">
      <c r="A724">
        <v>2374</v>
      </c>
      <c r="B724" t="s">
        <v>701</v>
      </c>
      <c r="C724">
        <v>65.599999999999994</v>
      </c>
      <c r="D724">
        <v>63.5</v>
      </c>
      <c r="E724" s="178">
        <v>-2.4</v>
      </c>
      <c r="F724" s="176">
        <v>-3.64</v>
      </c>
      <c r="G724" t="s">
        <v>5716</v>
      </c>
      <c r="H724">
        <v>2850</v>
      </c>
      <c r="I724">
        <v>1566</v>
      </c>
      <c r="J724">
        <v>33.799999999999997</v>
      </c>
      <c r="K724">
        <v>65.599999999999994</v>
      </c>
      <c r="L724">
        <v>63.5</v>
      </c>
      <c r="M724" s="175">
        <v>0.84</v>
      </c>
      <c r="N724" t="s">
        <v>3604</v>
      </c>
    </row>
    <row r="725" spans="1:14">
      <c r="A725">
        <v>2375</v>
      </c>
      <c r="B725" t="s">
        <v>1654</v>
      </c>
      <c r="C725">
        <v>132</v>
      </c>
      <c r="D725">
        <v>131</v>
      </c>
      <c r="E725" s="178">
        <v>-5.5</v>
      </c>
      <c r="F725" s="176">
        <v>-4.03</v>
      </c>
      <c r="G725" t="s">
        <v>6189</v>
      </c>
      <c r="H725">
        <v>16048</v>
      </c>
      <c r="I725">
        <v>6336</v>
      </c>
      <c r="J725">
        <v>10.87</v>
      </c>
      <c r="K725">
        <v>141.5</v>
      </c>
      <c r="L725">
        <v>130</v>
      </c>
      <c r="M725" s="175">
        <v>14.77</v>
      </c>
      <c r="N725" t="s">
        <v>3605</v>
      </c>
    </row>
    <row r="726" spans="1:14">
      <c r="A726">
        <v>2376</v>
      </c>
      <c r="B726" t="s">
        <v>702</v>
      </c>
      <c r="C726">
        <v>350</v>
      </c>
      <c r="D726">
        <v>347</v>
      </c>
      <c r="E726" s="178">
        <v>-9</v>
      </c>
      <c r="F726" s="176">
        <v>-2.5299999999999998</v>
      </c>
      <c r="G726" t="s">
        <v>6190</v>
      </c>
      <c r="H726">
        <v>5322</v>
      </c>
      <c r="I726">
        <v>6417</v>
      </c>
      <c r="J726">
        <v>66.989999999999995</v>
      </c>
      <c r="K726">
        <v>354</v>
      </c>
      <c r="L726">
        <v>344.5</v>
      </c>
      <c r="M726" s="175">
        <v>0.79</v>
      </c>
      <c r="N726" t="s">
        <v>3606</v>
      </c>
    </row>
    <row r="727" spans="1:14">
      <c r="A727">
        <v>2377</v>
      </c>
      <c r="B727" t="s">
        <v>703</v>
      </c>
      <c r="C727">
        <v>156</v>
      </c>
      <c r="D727">
        <v>158</v>
      </c>
      <c r="E727" s="178">
        <v>-1</v>
      </c>
      <c r="F727" s="176">
        <v>-0.63</v>
      </c>
      <c r="G727" t="s">
        <v>6191</v>
      </c>
      <c r="H727">
        <v>9375</v>
      </c>
      <c r="I727">
        <v>4995</v>
      </c>
      <c r="J727">
        <v>84.49</v>
      </c>
      <c r="K727">
        <v>161</v>
      </c>
      <c r="L727">
        <v>156</v>
      </c>
      <c r="M727" s="175">
        <v>1.1100000000000001</v>
      </c>
      <c r="N727" t="s">
        <v>3607</v>
      </c>
    </row>
    <row r="728" spans="1:14">
      <c r="A728">
        <v>2379</v>
      </c>
      <c r="B728" t="s">
        <v>704</v>
      </c>
      <c r="C728">
        <v>767</v>
      </c>
      <c r="D728">
        <v>764</v>
      </c>
      <c r="E728" s="178">
        <v>-14</v>
      </c>
      <c r="F728" s="176">
        <v>-1.8</v>
      </c>
      <c r="G728" t="s">
        <v>6192</v>
      </c>
      <c r="H728">
        <v>3003</v>
      </c>
      <c r="I728">
        <v>1907</v>
      </c>
      <c r="J728">
        <v>51.55</v>
      </c>
      <c r="K728">
        <v>779</v>
      </c>
      <c r="L728">
        <v>760</v>
      </c>
      <c r="M728" s="175">
        <v>0.57999999999999996</v>
      </c>
      <c r="N728" t="s">
        <v>3608</v>
      </c>
    </row>
    <row r="729" spans="1:14">
      <c r="A729">
        <v>2380</v>
      </c>
      <c r="B729" t="s">
        <v>3200</v>
      </c>
      <c r="C729">
        <v>16</v>
      </c>
      <c r="D729">
        <v>17.149999999999999</v>
      </c>
      <c r="E729" s="178">
        <v>1.55</v>
      </c>
      <c r="F729" s="176">
        <v>9.94</v>
      </c>
      <c r="G729" t="s">
        <v>5299</v>
      </c>
      <c r="H729">
        <v>247</v>
      </c>
      <c r="I729">
        <v>136</v>
      </c>
      <c r="J729">
        <v>6</v>
      </c>
      <c r="K729">
        <v>17.149999999999999</v>
      </c>
      <c r="L729">
        <v>15.7</v>
      </c>
      <c r="M729" s="175">
        <v>0.41</v>
      </c>
      <c r="N729" t="s">
        <v>3609</v>
      </c>
    </row>
    <row r="730" spans="1:14">
      <c r="A730">
        <v>2382</v>
      </c>
      <c r="B730" t="s">
        <v>705</v>
      </c>
      <c r="C730">
        <v>320.5</v>
      </c>
      <c r="D730">
        <v>316.5</v>
      </c>
      <c r="E730" s="178">
        <v>-6.5</v>
      </c>
      <c r="F730" s="176">
        <v>-2.0099999999999998</v>
      </c>
      <c r="G730" t="s">
        <v>6193</v>
      </c>
      <c r="H730">
        <v>14855</v>
      </c>
      <c r="I730">
        <v>11843</v>
      </c>
      <c r="J730">
        <v>410.76</v>
      </c>
      <c r="K730">
        <v>320.5</v>
      </c>
      <c r="L730">
        <v>313.5</v>
      </c>
      <c r="M730" s="175">
        <v>0.36</v>
      </c>
      <c r="N730" t="s">
        <v>3572</v>
      </c>
    </row>
    <row r="731" spans="1:14">
      <c r="A731">
        <v>2383</v>
      </c>
      <c r="B731" t="s">
        <v>706</v>
      </c>
      <c r="C731">
        <v>5010</v>
      </c>
      <c r="D731">
        <v>5120</v>
      </c>
      <c r="E731" s="178">
        <v>-400</v>
      </c>
      <c r="F731" s="176">
        <v>-7.25</v>
      </c>
      <c r="G731" t="s">
        <v>6194</v>
      </c>
      <c r="H731">
        <v>5439</v>
      </c>
      <c r="I731">
        <v>2876</v>
      </c>
      <c r="J731">
        <v>35.83</v>
      </c>
      <c r="K731">
        <v>5330</v>
      </c>
      <c r="L731">
        <v>4980</v>
      </c>
      <c r="M731" s="175">
        <v>1.52</v>
      </c>
      <c r="N731" t="s">
        <v>3610</v>
      </c>
    </row>
    <row r="732" spans="1:14">
      <c r="A732">
        <v>2385</v>
      </c>
      <c r="B732" t="s">
        <v>92</v>
      </c>
      <c r="C732">
        <v>105</v>
      </c>
      <c r="D732">
        <v>105.5</v>
      </c>
      <c r="E732" s="178">
        <v>0</v>
      </c>
      <c r="F732" s="176">
        <v>0</v>
      </c>
      <c r="G732" t="s">
        <v>6195</v>
      </c>
      <c r="H732">
        <v>3548</v>
      </c>
      <c r="I732">
        <v>2868</v>
      </c>
      <c r="J732">
        <v>76.569999999999993</v>
      </c>
      <c r="K732">
        <v>106.5</v>
      </c>
      <c r="L732">
        <v>104.5</v>
      </c>
      <c r="M732" s="175">
        <v>0.46</v>
      </c>
      <c r="N732" t="s">
        <v>3611</v>
      </c>
    </row>
    <row r="733" spans="1:14">
      <c r="A733">
        <v>2387</v>
      </c>
      <c r="B733" t="s">
        <v>707</v>
      </c>
      <c r="C733">
        <v>36.25</v>
      </c>
      <c r="D733">
        <v>36.25</v>
      </c>
      <c r="E733" s="178">
        <v>0</v>
      </c>
      <c r="F733" s="176">
        <v>0</v>
      </c>
      <c r="G733" t="s">
        <v>6196</v>
      </c>
      <c r="H733">
        <v>288</v>
      </c>
      <c r="I733">
        <v>199</v>
      </c>
      <c r="J733">
        <v>19.53</v>
      </c>
      <c r="K733">
        <v>36.25</v>
      </c>
      <c r="L733">
        <v>36</v>
      </c>
      <c r="M733" s="175">
        <v>0.15</v>
      </c>
      <c r="N733" t="s">
        <v>3612</v>
      </c>
    </row>
    <row r="734" spans="1:14">
      <c r="A734">
        <v>2388</v>
      </c>
      <c r="B734" t="s">
        <v>708</v>
      </c>
      <c r="C734">
        <v>66.7</v>
      </c>
      <c r="D734">
        <v>65.5</v>
      </c>
      <c r="E734" s="178">
        <v>-2.1</v>
      </c>
      <c r="F734" s="176">
        <v>-3.11</v>
      </c>
      <c r="G734" t="s">
        <v>5222</v>
      </c>
      <c r="H734">
        <v>1985</v>
      </c>
      <c r="I734">
        <v>2196</v>
      </c>
      <c r="J734">
        <v>55.64</v>
      </c>
      <c r="K734">
        <v>66.900000000000006</v>
      </c>
      <c r="L734">
        <v>65.3</v>
      </c>
      <c r="M734" s="175">
        <v>0.36</v>
      </c>
      <c r="N734" t="s">
        <v>3613</v>
      </c>
    </row>
    <row r="735" spans="1:14">
      <c r="A735">
        <v>2390</v>
      </c>
      <c r="B735" t="s">
        <v>709</v>
      </c>
      <c r="C735">
        <v>10.050000000000001</v>
      </c>
      <c r="D735">
        <v>9.98</v>
      </c>
      <c r="E735" s="178">
        <v>-0.12</v>
      </c>
      <c r="F735" s="176">
        <v>-1.19</v>
      </c>
      <c r="G735" t="s">
        <v>5637</v>
      </c>
      <c r="H735">
        <v>401</v>
      </c>
      <c r="I735">
        <v>320</v>
      </c>
      <c r="J735">
        <v>19.260000000000002</v>
      </c>
      <c r="K735">
        <v>10.15</v>
      </c>
      <c r="L735">
        <v>9.9700000000000006</v>
      </c>
      <c r="M735" s="175">
        <v>0.21</v>
      </c>
      <c r="N735" t="s">
        <v>3614</v>
      </c>
    </row>
    <row r="736" spans="1:14">
      <c r="A736">
        <v>2392</v>
      </c>
      <c r="B736" t="s">
        <v>710</v>
      </c>
      <c r="C736">
        <v>40.799999999999997</v>
      </c>
      <c r="D736">
        <v>39.75</v>
      </c>
      <c r="E736" s="178">
        <v>-1.35</v>
      </c>
      <c r="F736" s="176">
        <v>-3.28</v>
      </c>
      <c r="G736" t="s">
        <v>6197</v>
      </c>
      <c r="H736">
        <v>2083</v>
      </c>
      <c r="I736">
        <v>1855</v>
      </c>
      <c r="J736">
        <v>51.23</v>
      </c>
      <c r="K736">
        <v>40.799999999999997</v>
      </c>
      <c r="L736">
        <v>39.6</v>
      </c>
      <c r="M736" s="175">
        <v>0.41</v>
      </c>
      <c r="N736" t="s">
        <v>3615</v>
      </c>
    </row>
    <row r="737" spans="1:14">
      <c r="A737">
        <v>2393</v>
      </c>
      <c r="B737" t="s">
        <v>409</v>
      </c>
      <c r="C737">
        <v>66.8</v>
      </c>
      <c r="D737">
        <v>68.400000000000006</v>
      </c>
      <c r="E737" s="178">
        <v>0.1</v>
      </c>
      <c r="F737" s="176">
        <v>0.15</v>
      </c>
      <c r="G737" t="s">
        <v>5282</v>
      </c>
      <c r="H737">
        <v>1707</v>
      </c>
      <c r="I737">
        <v>1680</v>
      </c>
      <c r="J737">
        <v>44.34</v>
      </c>
      <c r="K737">
        <v>68.599999999999994</v>
      </c>
      <c r="L737">
        <v>66.599999999999994</v>
      </c>
      <c r="M737" s="175">
        <v>0.38</v>
      </c>
      <c r="N737" t="s">
        <v>3616</v>
      </c>
    </row>
    <row r="738" spans="1:14">
      <c r="A738">
        <v>2395</v>
      </c>
      <c r="B738" t="s">
        <v>711</v>
      </c>
      <c r="C738">
        <v>705</v>
      </c>
      <c r="D738">
        <v>698</v>
      </c>
      <c r="E738" s="178">
        <v>-16</v>
      </c>
      <c r="F738" s="176">
        <v>-2.2400000000000002</v>
      </c>
      <c r="G738" t="s">
        <v>5569</v>
      </c>
      <c r="H738">
        <v>2861</v>
      </c>
      <c r="I738">
        <v>2106</v>
      </c>
      <c r="J738">
        <v>86.94</v>
      </c>
      <c r="K738">
        <v>715</v>
      </c>
      <c r="L738">
        <v>683</v>
      </c>
      <c r="M738" s="175">
        <v>0.33</v>
      </c>
      <c r="N738" t="s">
        <v>3617</v>
      </c>
    </row>
    <row r="739" spans="1:14">
      <c r="A739">
        <v>2397</v>
      </c>
      <c r="B739" t="s">
        <v>712</v>
      </c>
      <c r="C739">
        <v>65.099999999999994</v>
      </c>
      <c r="D739">
        <v>64.400000000000006</v>
      </c>
      <c r="E739" s="178">
        <v>-1.1000000000000001</v>
      </c>
      <c r="F739" s="176">
        <v>-1.68</v>
      </c>
      <c r="G739" t="s">
        <v>6198</v>
      </c>
      <c r="H739">
        <v>280</v>
      </c>
      <c r="I739">
        <v>275</v>
      </c>
      <c r="J739">
        <v>11.45</v>
      </c>
      <c r="K739">
        <v>65.3</v>
      </c>
      <c r="L739">
        <v>64.099999999999994</v>
      </c>
      <c r="M739" s="175">
        <v>0.24</v>
      </c>
      <c r="N739" t="s">
        <v>3618</v>
      </c>
    </row>
    <row r="740" spans="1:14">
      <c r="A740">
        <v>2399</v>
      </c>
      <c r="B740" t="s">
        <v>713</v>
      </c>
      <c r="C740">
        <v>45.85</v>
      </c>
      <c r="D740">
        <v>45.65</v>
      </c>
      <c r="E740" s="178">
        <v>-1.75</v>
      </c>
      <c r="F740" s="176">
        <v>-3.69</v>
      </c>
      <c r="G740" t="s">
        <v>5257</v>
      </c>
      <c r="H740">
        <v>3547</v>
      </c>
      <c r="I740">
        <v>5316</v>
      </c>
      <c r="J740">
        <v>17.809999999999999</v>
      </c>
      <c r="K740">
        <v>47.25</v>
      </c>
      <c r="L740">
        <v>45.5</v>
      </c>
      <c r="M740" s="175">
        <v>1.99</v>
      </c>
      <c r="N740" t="s">
        <v>3619</v>
      </c>
    </row>
    <row r="741" spans="1:14">
      <c r="A741">
        <v>2401</v>
      </c>
      <c r="B741" t="s">
        <v>714</v>
      </c>
      <c r="C741">
        <v>24.85</v>
      </c>
      <c r="D741">
        <v>24.6</v>
      </c>
      <c r="E741" s="178">
        <v>-0.75</v>
      </c>
      <c r="F741" s="176">
        <v>-2.96</v>
      </c>
      <c r="G741" t="s">
        <v>6199</v>
      </c>
      <c r="H741">
        <v>2810</v>
      </c>
      <c r="I741">
        <v>2219</v>
      </c>
      <c r="J741">
        <v>59.2</v>
      </c>
      <c r="K741">
        <v>25.15</v>
      </c>
      <c r="L741">
        <v>24.45</v>
      </c>
      <c r="M741" s="175">
        <v>0.47</v>
      </c>
      <c r="N741" t="s">
        <v>3620</v>
      </c>
    </row>
    <row r="742" spans="1:14">
      <c r="A742">
        <v>2402</v>
      </c>
      <c r="B742" t="s">
        <v>715</v>
      </c>
      <c r="C742">
        <v>63.8</v>
      </c>
      <c r="D742">
        <v>63.1</v>
      </c>
      <c r="E742" s="178">
        <v>-2.5</v>
      </c>
      <c r="F742" s="176">
        <v>-3.81</v>
      </c>
      <c r="G742" t="s">
        <v>6200</v>
      </c>
      <c r="H742">
        <v>7573</v>
      </c>
      <c r="I742">
        <v>6567</v>
      </c>
      <c r="J742">
        <v>30.75</v>
      </c>
      <c r="K742">
        <v>64.599999999999994</v>
      </c>
      <c r="L742">
        <v>61.7</v>
      </c>
      <c r="M742" s="175">
        <v>2.46</v>
      </c>
      <c r="N742" t="s">
        <v>3621</v>
      </c>
    </row>
    <row r="743" spans="1:14">
      <c r="A743">
        <v>2404</v>
      </c>
      <c r="B743" t="s">
        <v>716</v>
      </c>
      <c r="C743">
        <v>1120</v>
      </c>
      <c r="D743">
        <v>1105</v>
      </c>
      <c r="E743" s="178">
        <v>-50</v>
      </c>
      <c r="F743" s="176">
        <v>-4.33</v>
      </c>
      <c r="G743" t="s">
        <v>5669</v>
      </c>
      <c r="H743">
        <v>1236</v>
      </c>
      <c r="I743">
        <v>1325</v>
      </c>
      <c r="J743">
        <v>19.059999999999999</v>
      </c>
      <c r="K743">
        <v>1120</v>
      </c>
      <c r="L743">
        <v>1085</v>
      </c>
      <c r="M743" s="175">
        <v>0.65</v>
      </c>
      <c r="N743" t="s">
        <v>3622</v>
      </c>
    </row>
    <row r="744" spans="1:14">
      <c r="A744">
        <v>2405</v>
      </c>
      <c r="B744" t="s">
        <v>1650</v>
      </c>
      <c r="C744">
        <v>15.05</v>
      </c>
      <c r="D744">
        <v>14.8</v>
      </c>
      <c r="E744" s="178">
        <v>-0.45</v>
      </c>
      <c r="F744" s="176">
        <v>-2.95</v>
      </c>
      <c r="G744" t="s">
        <v>6201</v>
      </c>
      <c r="H744">
        <v>1436</v>
      </c>
      <c r="I744">
        <v>729</v>
      </c>
      <c r="J744">
        <v>34.340000000000003</v>
      </c>
      <c r="K744">
        <v>15.1</v>
      </c>
      <c r="L744">
        <v>14.8</v>
      </c>
      <c r="M744" s="175">
        <v>0.42</v>
      </c>
      <c r="N744" t="s">
        <v>3623</v>
      </c>
    </row>
    <row r="745" spans="1:14">
      <c r="A745">
        <v>2406</v>
      </c>
      <c r="B745" t="s">
        <v>717</v>
      </c>
      <c r="C745">
        <v>29.1</v>
      </c>
      <c r="D745">
        <v>28.9</v>
      </c>
      <c r="E745" s="178">
        <v>-1</v>
      </c>
      <c r="F745" s="176">
        <v>-3.34</v>
      </c>
      <c r="G745" t="s">
        <v>6202</v>
      </c>
      <c r="H745">
        <v>2259</v>
      </c>
      <c r="I745">
        <v>2757</v>
      </c>
      <c r="J745">
        <v>35.090000000000003</v>
      </c>
      <c r="K745">
        <v>29.4</v>
      </c>
      <c r="L745">
        <v>28.8</v>
      </c>
      <c r="M745" s="175">
        <v>0.64</v>
      </c>
      <c r="N745" t="s">
        <v>3624</v>
      </c>
    </row>
    <row r="746" spans="1:14">
      <c r="A746">
        <v>2408</v>
      </c>
      <c r="B746" t="s">
        <v>98</v>
      </c>
      <c r="C746">
        <v>445</v>
      </c>
      <c r="D746">
        <v>439.5</v>
      </c>
      <c r="E746" s="178">
        <v>-41</v>
      </c>
      <c r="F746" s="176">
        <v>-8.5299999999999994</v>
      </c>
      <c r="G746" t="s">
        <v>6203</v>
      </c>
      <c r="H746">
        <v>72809</v>
      </c>
      <c r="I746">
        <v>56510</v>
      </c>
      <c r="J746">
        <v>345.02</v>
      </c>
      <c r="K746">
        <v>457</v>
      </c>
      <c r="L746">
        <v>432.5</v>
      </c>
      <c r="M746" s="175">
        <v>2.35</v>
      </c>
      <c r="N746" t="s">
        <v>3625</v>
      </c>
    </row>
    <row r="747" spans="1:14">
      <c r="A747">
        <v>2409</v>
      </c>
      <c r="B747" t="s">
        <v>1665</v>
      </c>
      <c r="C747">
        <v>35</v>
      </c>
      <c r="D747">
        <v>34.9</v>
      </c>
      <c r="E747" s="178">
        <v>-1.35</v>
      </c>
      <c r="F747" s="176">
        <v>-3.72</v>
      </c>
      <c r="G747" t="s">
        <v>6204</v>
      </c>
      <c r="H747">
        <v>337639</v>
      </c>
      <c r="I747">
        <v>329888</v>
      </c>
      <c r="J747">
        <v>754.71</v>
      </c>
      <c r="K747">
        <v>36.5</v>
      </c>
      <c r="L747">
        <v>34.9</v>
      </c>
      <c r="M747" s="175">
        <v>4.47</v>
      </c>
      <c r="N747" t="s">
        <v>3626</v>
      </c>
    </row>
    <row r="748" spans="1:14">
      <c r="A748">
        <v>2412</v>
      </c>
      <c r="B748" t="s">
        <v>718</v>
      </c>
      <c r="C748">
        <v>149.5</v>
      </c>
      <c r="D748">
        <v>152.5</v>
      </c>
      <c r="E748" s="178">
        <v>4</v>
      </c>
      <c r="F748" s="176">
        <v>2.69</v>
      </c>
      <c r="G748" t="s">
        <v>6205</v>
      </c>
      <c r="H748">
        <v>24228</v>
      </c>
      <c r="I748">
        <v>9180</v>
      </c>
      <c r="J748">
        <v>775.74</v>
      </c>
      <c r="K748">
        <v>154</v>
      </c>
      <c r="L748">
        <v>149</v>
      </c>
      <c r="M748" s="175">
        <v>0.31</v>
      </c>
      <c r="N748" t="s">
        <v>3627</v>
      </c>
    </row>
    <row r="749" spans="1:14">
      <c r="A749">
        <v>2413</v>
      </c>
      <c r="B749" t="s">
        <v>719</v>
      </c>
      <c r="C749">
        <v>51.1</v>
      </c>
      <c r="D749">
        <v>50.9</v>
      </c>
      <c r="E749" s="178">
        <v>-1.9</v>
      </c>
      <c r="F749" s="176">
        <v>-3.6</v>
      </c>
      <c r="G749" t="s">
        <v>6206</v>
      </c>
      <c r="H749">
        <v>1530</v>
      </c>
      <c r="I749">
        <v>4513</v>
      </c>
      <c r="J749">
        <v>12.74</v>
      </c>
      <c r="K749">
        <v>52.2</v>
      </c>
      <c r="L749">
        <v>50.7</v>
      </c>
      <c r="M749" s="175">
        <v>1.2</v>
      </c>
      <c r="N749" t="s">
        <v>3628</v>
      </c>
    </row>
    <row r="750" spans="1:14">
      <c r="A750">
        <v>2414</v>
      </c>
      <c r="B750" t="s">
        <v>720</v>
      </c>
      <c r="C750">
        <v>52.1</v>
      </c>
      <c r="D750">
        <v>51.9</v>
      </c>
      <c r="E750" s="178">
        <v>-0.3</v>
      </c>
      <c r="F750" s="176">
        <v>-0.56999999999999995</v>
      </c>
      <c r="G750" t="s">
        <v>5650</v>
      </c>
      <c r="H750">
        <v>126</v>
      </c>
      <c r="I750">
        <v>205</v>
      </c>
      <c r="J750">
        <v>16.170000000000002</v>
      </c>
      <c r="K750">
        <v>52.2</v>
      </c>
      <c r="L750">
        <v>51.8</v>
      </c>
      <c r="M750" s="175">
        <v>0.08</v>
      </c>
      <c r="N750" t="s">
        <v>3629</v>
      </c>
    </row>
    <row r="751" spans="1:14">
      <c r="A751">
        <v>2415</v>
      </c>
      <c r="B751" t="s">
        <v>721</v>
      </c>
      <c r="C751">
        <v>27.4</v>
      </c>
      <c r="D751">
        <v>26.95</v>
      </c>
      <c r="E751" s="178">
        <v>-0.45</v>
      </c>
      <c r="F751" s="176">
        <v>-1.64</v>
      </c>
      <c r="G751" t="s">
        <v>6207</v>
      </c>
      <c r="H751">
        <v>153</v>
      </c>
      <c r="I751">
        <v>468</v>
      </c>
      <c r="J751">
        <v>10</v>
      </c>
      <c r="K751">
        <v>27.4</v>
      </c>
      <c r="L751">
        <v>26.75</v>
      </c>
      <c r="M751" s="175">
        <v>0.15</v>
      </c>
      <c r="N751" t="s">
        <v>3630</v>
      </c>
    </row>
    <row r="752" spans="1:14">
      <c r="A752">
        <v>2417</v>
      </c>
      <c r="B752" t="s">
        <v>722</v>
      </c>
      <c r="C752">
        <v>37.75</v>
      </c>
      <c r="D752">
        <v>37</v>
      </c>
      <c r="E752" s="178">
        <v>-0.8</v>
      </c>
      <c r="F752" s="176">
        <v>-2.12</v>
      </c>
      <c r="G752" t="s">
        <v>6208</v>
      </c>
      <c r="H752">
        <v>517</v>
      </c>
      <c r="I752">
        <v>295</v>
      </c>
      <c r="J752">
        <v>15.72</v>
      </c>
      <c r="K752">
        <v>37.75</v>
      </c>
      <c r="L752">
        <v>36.85</v>
      </c>
      <c r="M752" s="175">
        <v>0.33</v>
      </c>
      <c r="N752" t="s">
        <v>3631</v>
      </c>
    </row>
    <row r="753" spans="1:14">
      <c r="A753">
        <v>2419</v>
      </c>
      <c r="B753" t="s">
        <v>723</v>
      </c>
      <c r="C753">
        <v>27.3</v>
      </c>
      <c r="D753">
        <v>27.1</v>
      </c>
      <c r="E753" s="178">
        <v>-0.5</v>
      </c>
      <c r="F753" s="176">
        <v>-1.81</v>
      </c>
      <c r="G753" t="s">
        <v>5531</v>
      </c>
      <c r="H753">
        <v>810</v>
      </c>
      <c r="I753">
        <v>555</v>
      </c>
      <c r="J753">
        <v>32.130000000000003</v>
      </c>
      <c r="K753">
        <v>27.55</v>
      </c>
      <c r="L753">
        <v>27.05</v>
      </c>
      <c r="M753" s="175">
        <v>0.25</v>
      </c>
      <c r="N753" t="s">
        <v>3632</v>
      </c>
    </row>
    <row r="754" spans="1:14">
      <c r="A754">
        <v>2420</v>
      </c>
      <c r="B754" t="s">
        <v>724</v>
      </c>
      <c r="C754">
        <v>55.5</v>
      </c>
      <c r="D754">
        <v>54.6</v>
      </c>
      <c r="E754" s="178">
        <v>-1.1000000000000001</v>
      </c>
      <c r="F754" s="176">
        <v>-1.97</v>
      </c>
      <c r="G754" t="s">
        <v>6209</v>
      </c>
      <c r="H754">
        <v>439</v>
      </c>
      <c r="I754">
        <v>267</v>
      </c>
      <c r="J754">
        <v>15.26</v>
      </c>
      <c r="K754">
        <v>55.5</v>
      </c>
      <c r="L754">
        <v>54.4</v>
      </c>
      <c r="M754" s="175">
        <v>0.28999999999999998</v>
      </c>
      <c r="N754" t="s">
        <v>3633</v>
      </c>
    </row>
    <row r="755" spans="1:14">
      <c r="A755">
        <v>2421</v>
      </c>
      <c r="B755" t="s">
        <v>725</v>
      </c>
      <c r="C755">
        <v>166</v>
      </c>
      <c r="D755">
        <v>164</v>
      </c>
      <c r="E755" s="178">
        <v>-7</v>
      </c>
      <c r="F755" s="176">
        <v>-4.09</v>
      </c>
      <c r="G755" t="s">
        <v>5570</v>
      </c>
      <c r="H755">
        <v>1849</v>
      </c>
      <c r="I755">
        <v>1540</v>
      </c>
      <c r="J755">
        <v>28.69</v>
      </c>
      <c r="K755">
        <v>168</v>
      </c>
      <c r="L755">
        <v>162</v>
      </c>
      <c r="M755" s="175">
        <v>0.64</v>
      </c>
      <c r="N755" t="s">
        <v>3634</v>
      </c>
    </row>
    <row r="756" spans="1:14">
      <c r="A756">
        <v>2423</v>
      </c>
      <c r="B756" t="s">
        <v>726</v>
      </c>
      <c r="C756">
        <v>71.900000000000006</v>
      </c>
      <c r="D756">
        <v>71.2</v>
      </c>
      <c r="E756" s="178">
        <v>-0.8</v>
      </c>
      <c r="F756" s="176">
        <v>-1.1100000000000001</v>
      </c>
      <c r="G756" t="s">
        <v>5341</v>
      </c>
      <c r="H756">
        <v>56</v>
      </c>
      <c r="I756">
        <v>54</v>
      </c>
      <c r="J756">
        <v>14.5</v>
      </c>
      <c r="K756">
        <v>71.900000000000006</v>
      </c>
      <c r="L756">
        <v>70.7</v>
      </c>
      <c r="M756" s="175">
        <v>0.04</v>
      </c>
      <c r="N756" t="s">
        <v>3635</v>
      </c>
    </row>
    <row r="757" spans="1:14">
      <c r="A757">
        <v>2424</v>
      </c>
      <c r="B757" t="s">
        <v>727</v>
      </c>
      <c r="C757">
        <v>14.2</v>
      </c>
      <c r="D757">
        <v>14.2</v>
      </c>
      <c r="E757" s="178">
        <v>1.25</v>
      </c>
      <c r="F757" s="176">
        <v>9.65</v>
      </c>
      <c r="G757" t="s">
        <v>5508</v>
      </c>
      <c r="H757">
        <v>830</v>
      </c>
      <c r="I757">
        <v>134</v>
      </c>
      <c r="J757">
        <v>5.96</v>
      </c>
      <c r="K757">
        <v>14.2</v>
      </c>
      <c r="L757">
        <v>12.95</v>
      </c>
      <c r="M757" s="175">
        <v>4.6100000000000003</v>
      </c>
      <c r="N757" t="s">
        <v>3636</v>
      </c>
    </row>
    <row r="758" spans="1:14">
      <c r="A758">
        <v>2425</v>
      </c>
      <c r="B758" t="s">
        <v>96</v>
      </c>
      <c r="C758">
        <v>34.700000000000003</v>
      </c>
      <c r="D758">
        <v>34.799999999999997</v>
      </c>
      <c r="E758" s="178">
        <v>0.05</v>
      </c>
      <c r="F758" s="176">
        <v>0.14000000000000001</v>
      </c>
      <c r="G758" t="s">
        <v>6209</v>
      </c>
      <c r="H758">
        <v>691</v>
      </c>
      <c r="I758">
        <v>745</v>
      </c>
      <c r="J758">
        <v>9.65</v>
      </c>
      <c r="K758">
        <v>35.1</v>
      </c>
      <c r="L758">
        <v>34.200000000000003</v>
      </c>
      <c r="M758" s="175">
        <v>0.72</v>
      </c>
      <c r="N758" t="s">
        <v>3637</v>
      </c>
    </row>
    <row r="759" spans="1:14">
      <c r="A759">
        <v>2426</v>
      </c>
      <c r="B759" t="s">
        <v>728</v>
      </c>
      <c r="C759">
        <v>93.6</v>
      </c>
      <c r="D759">
        <v>90.7</v>
      </c>
      <c r="E759" s="178">
        <v>-7.8</v>
      </c>
      <c r="F759" s="176">
        <v>-7.92</v>
      </c>
      <c r="G759" t="s">
        <v>6210</v>
      </c>
      <c r="H759">
        <v>16839</v>
      </c>
      <c r="I759">
        <v>21908</v>
      </c>
      <c r="J759">
        <v>30.06</v>
      </c>
      <c r="K759">
        <v>94.9</v>
      </c>
      <c r="L759">
        <v>90.5</v>
      </c>
      <c r="M759" s="175">
        <v>5.6</v>
      </c>
      <c r="N759" t="s">
        <v>3638</v>
      </c>
    </row>
    <row r="760" spans="1:14">
      <c r="A760">
        <v>2427</v>
      </c>
      <c r="B760" t="s">
        <v>729</v>
      </c>
      <c r="C760">
        <v>22</v>
      </c>
      <c r="D760">
        <v>22.2</v>
      </c>
      <c r="E760" s="178">
        <v>-0.05</v>
      </c>
      <c r="F760" s="176">
        <v>-0.22</v>
      </c>
      <c r="G760" t="s">
        <v>6211</v>
      </c>
      <c r="H760">
        <v>478</v>
      </c>
      <c r="I760">
        <v>420</v>
      </c>
      <c r="J760">
        <v>19.8</v>
      </c>
      <c r="K760">
        <v>22.4</v>
      </c>
      <c r="L760">
        <v>22</v>
      </c>
      <c r="M760" s="175">
        <v>0.24</v>
      </c>
      <c r="N760" t="s">
        <v>3639</v>
      </c>
    </row>
    <row r="761" spans="1:14">
      <c r="A761">
        <v>2428</v>
      </c>
      <c r="B761" t="s">
        <v>730</v>
      </c>
      <c r="C761">
        <v>271.5</v>
      </c>
      <c r="D761">
        <v>266</v>
      </c>
      <c r="E761" s="178">
        <v>-12</v>
      </c>
      <c r="F761" s="176">
        <v>-4.32</v>
      </c>
      <c r="G761" t="s">
        <v>6212</v>
      </c>
      <c r="H761">
        <v>1279</v>
      </c>
      <c r="I761">
        <v>2135</v>
      </c>
      <c r="J761">
        <v>12.81</v>
      </c>
      <c r="K761">
        <v>277</v>
      </c>
      <c r="L761">
        <v>265</v>
      </c>
      <c r="M761" s="175">
        <v>1</v>
      </c>
      <c r="N761" t="s">
        <v>3640</v>
      </c>
    </row>
    <row r="762" spans="1:14">
      <c r="A762">
        <v>2429</v>
      </c>
      <c r="B762" t="s">
        <v>731</v>
      </c>
      <c r="C762">
        <v>34</v>
      </c>
      <c r="D762">
        <v>38.200000000000003</v>
      </c>
      <c r="E762" s="178">
        <v>3.25</v>
      </c>
      <c r="F762" s="176">
        <v>9.3000000000000007</v>
      </c>
      <c r="G762" t="s">
        <v>6213</v>
      </c>
      <c r="H762">
        <v>2728</v>
      </c>
      <c r="I762">
        <v>772</v>
      </c>
      <c r="J762">
        <v>8.61</v>
      </c>
      <c r="K762">
        <v>38.4</v>
      </c>
      <c r="L762">
        <v>33.950000000000003</v>
      </c>
      <c r="M762" s="175">
        <v>3.26</v>
      </c>
      <c r="N762" t="s">
        <v>3641</v>
      </c>
    </row>
    <row r="763" spans="1:14">
      <c r="A763">
        <v>2430</v>
      </c>
      <c r="B763" t="s">
        <v>1644</v>
      </c>
      <c r="C763">
        <v>17.2</v>
      </c>
      <c r="D763">
        <v>17.5</v>
      </c>
      <c r="E763" s="178">
        <v>-0.05</v>
      </c>
      <c r="F763" s="176">
        <v>-0.28000000000000003</v>
      </c>
      <c r="G763" t="s">
        <v>5483</v>
      </c>
      <c r="H763">
        <v>37</v>
      </c>
      <c r="I763">
        <v>38</v>
      </c>
      <c r="J763">
        <v>11.68</v>
      </c>
      <c r="K763">
        <v>17.5</v>
      </c>
      <c r="L763">
        <v>17.2</v>
      </c>
      <c r="M763" s="175">
        <v>0.03</v>
      </c>
      <c r="N763" t="s">
        <v>3642</v>
      </c>
    </row>
    <row r="764" spans="1:14">
      <c r="A764">
        <v>2431</v>
      </c>
      <c r="B764" t="s">
        <v>732</v>
      </c>
      <c r="C764">
        <v>10.199999999999999</v>
      </c>
      <c r="D764">
        <v>10.1</v>
      </c>
      <c r="E764" s="178">
        <v>-0.05</v>
      </c>
      <c r="F764" s="176">
        <v>-0.49</v>
      </c>
      <c r="G764" t="s">
        <v>5268</v>
      </c>
      <c r="H764">
        <v>132</v>
      </c>
      <c r="I764">
        <v>139</v>
      </c>
      <c r="J764">
        <v>11.09</v>
      </c>
      <c r="K764">
        <v>10.199999999999999</v>
      </c>
      <c r="L764">
        <v>10.050000000000001</v>
      </c>
      <c r="M764" s="175">
        <v>0.12</v>
      </c>
      <c r="N764" t="s">
        <v>3643</v>
      </c>
    </row>
    <row r="765" spans="1:14">
      <c r="A765">
        <v>2433</v>
      </c>
      <c r="B765" t="s">
        <v>733</v>
      </c>
      <c r="C765">
        <v>39.5</v>
      </c>
      <c r="D765">
        <v>39.450000000000003</v>
      </c>
      <c r="E765" s="178">
        <v>-0.05</v>
      </c>
      <c r="F765" s="176">
        <v>-0.13</v>
      </c>
      <c r="G765" t="s">
        <v>5337</v>
      </c>
      <c r="H765">
        <v>38</v>
      </c>
      <c r="I765">
        <v>45</v>
      </c>
      <c r="J765">
        <v>14.45</v>
      </c>
      <c r="K765">
        <v>39.6</v>
      </c>
      <c r="L765">
        <v>39.35</v>
      </c>
      <c r="M765" s="175">
        <v>0.03</v>
      </c>
      <c r="N765" t="s">
        <v>3644</v>
      </c>
    </row>
    <row r="766" spans="1:14">
      <c r="A766">
        <v>2434</v>
      </c>
      <c r="B766" t="s">
        <v>734</v>
      </c>
      <c r="C766">
        <v>55.7</v>
      </c>
      <c r="D766">
        <v>53.4</v>
      </c>
      <c r="E766" s="178">
        <v>-2.6</v>
      </c>
      <c r="F766" s="176">
        <v>-4.6399999999999997</v>
      </c>
      <c r="G766" t="s">
        <v>6214</v>
      </c>
      <c r="H766">
        <v>173</v>
      </c>
      <c r="I766">
        <v>180</v>
      </c>
      <c r="J766">
        <v>3.7</v>
      </c>
      <c r="K766">
        <v>55.7</v>
      </c>
      <c r="L766">
        <v>53.4</v>
      </c>
      <c r="M766" s="175">
        <v>1.02</v>
      </c>
      <c r="N766" t="s">
        <v>3645</v>
      </c>
    </row>
    <row r="767" spans="1:14">
      <c r="A767">
        <v>2436</v>
      </c>
      <c r="B767" t="s">
        <v>735</v>
      </c>
      <c r="C767">
        <v>70.2</v>
      </c>
      <c r="D767">
        <v>70</v>
      </c>
      <c r="E767" s="178">
        <v>-2</v>
      </c>
      <c r="F767" s="176">
        <v>-2.78</v>
      </c>
      <c r="G767" t="s">
        <v>5506</v>
      </c>
      <c r="H767">
        <v>2207</v>
      </c>
      <c r="I767">
        <v>3111</v>
      </c>
      <c r="J767">
        <v>21.7</v>
      </c>
      <c r="K767">
        <v>71</v>
      </c>
      <c r="L767">
        <v>69.400000000000006</v>
      </c>
      <c r="M767" s="175">
        <v>1.08</v>
      </c>
      <c r="N767" t="s">
        <v>3646</v>
      </c>
    </row>
    <row r="768" spans="1:14">
      <c r="A768">
        <v>2438</v>
      </c>
      <c r="B768" t="s">
        <v>1551</v>
      </c>
      <c r="C768">
        <v>19.350000000000001</v>
      </c>
      <c r="D768">
        <v>19.149999999999999</v>
      </c>
      <c r="E768" s="178">
        <v>-0.3</v>
      </c>
      <c r="F768" s="176">
        <v>-1.54</v>
      </c>
      <c r="G768" t="s">
        <v>5275</v>
      </c>
      <c r="H768">
        <v>65</v>
      </c>
      <c r="I768">
        <v>52</v>
      </c>
      <c r="J768">
        <v>7.42</v>
      </c>
      <c r="K768">
        <v>19.350000000000001</v>
      </c>
      <c r="L768">
        <v>18.8</v>
      </c>
      <c r="M768" s="175">
        <v>0.11</v>
      </c>
      <c r="N768" t="s">
        <v>3647</v>
      </c>
    </row>
    <row r="769" spans="1:14">
      <c r="A769">
        <v>2439</v>
      </c>
      <c r="B769" t="s">
        <v>736</v>
      </c>
      <c r="C769">
        <v>81.099999999999994</v>
      </c>
      <c r="D769">
        <v>80.900000000000006</v>
      </c>
      <c r="E769" s="178">
        <v>-0.8</v>
      </c>
      <c r="F769" s="176">
        <v>-0.98</v>
      </c>
      <c r="G769" t="s">
        <v>5305</v>
      </c>
      <c r="H769">
        <v>2738</v>
      </c>
      <c r="I769">
        <v>3084</v>
      </c>
      <c r="J769">
        <v>24.86</v>
      </c>
      <c r="K769">
        <v>81.900000000000006</v>
      </c>
      <c r="L769">
        <v>80</v>
      </c>
      <c r="M769" s="175">
        <v>1.1000000000000001</v>
      </c>
      <c r="N769" t="s">
        <v>3648</v>
      </c>
    </row>
    <row r="770" spans="1:14">
      <c r="A770">
        <v>2440</v>
      </c>
      <c r="B770" t="s">
        <v>737</v>
      </c>
      <c r="C770">
        <v>14.5</v>
      </c>
      <c r="D770">
        <v>14.5</v>
      </c>
      <c r="E770" s="178">
        <v>-0.1</v>
      </c>
      <c r="F770" s="176">
        <v>-0.68</v>
      </c>
      <c r="G770" t="s">
        <v>5546</v>
      </c>
      <c r="H770">
        <v>230</v>
      </c>
      <c r="I770">
        <v>196</v>
      </c>
      <c r="J770">
        <v>13.91</v>
      </c>
      <c r="K770">
        <v>14.6</v>
      </c>
      <c r="L770">
        <v>14.3</v>
      </c>
      <c r="M770" s="175">
        <v>0.17</v>
      </c>
      <c r="N770" t="s">
        <v>3649</v>
      </c>
    </row>
    <row r="771" spans="1:14">
      <c r="A771">
        <v>2441</v>
      </c>
      <c r="B771" t="s">
        <v>738</v>
      </c>
      <c r="C771">
        <v>123.5</v>
      </c>
      <c r="D771">
        <v>118.5</v>
      </c>
      <c r="E771" s="178">
        <v>-9.5</v>
      </c>
      <c r="F771" s="176">
        <v>-7.42</v>
      </c>
      <c r="G771" t="s">
        <v>6215</v>
      </c>
      <c r="H771">
        <v>7374</v>
      </c>
      <c r="I771">
        <v>6868</v>
      </c>
      <c r="J771">
        <v>56.88</v>
      </c>
      <c r="K771">
        <v>123.5</v>
      </c>
      <c r="L771">
        <v>118</v>
      </c>
      <c r="M771" s="175">
        <v>1.3</v>
      </c>
      <c r="N771" t="s">
        <v>3650</v>
      </c>
    </row>
    <row r="772" spans="1:14">
      <c r="A772">
        <v>2442</v>
      </c>
      <c r="B772" t="s">
        <v>739</v>
      </c>
      <c r="C772">
        <v>13.95</v>
      </c>
      <c r="D772">
        <v>13.75</v>
      </c>
      <c r="E772" s="178">
        <v>-0.25</v>
      </c>
      <c r="F772" s="176">
        <v>-1.79</v>
      </c>
      <c r="G772" t="s">
        <v>5687</v>
      </c>
      <c r="H772">
        <v>731</v>
      </c>
      <c r="I772">
        <v>776</v>
      </c>
      <c r="J772">
        <v>34.72</v>
      </c>
      <c r="K772">
        <v>13.95</v>
      </c>
      <c r="L772">
        <v>13.75</v>
      </c>
      <c r="M772" s="175">
        <v>0.21</v>
      </c>
      <c r="N772" t="s">
        <v>3651</v>
      </c>
    </row>
    <row r="773" spans="1:14">
      <c r="A773">
        <v>2444</v>
      </c>
      <c r="B773" t="s">
        <v>740</v>
      </c>
      <c r="C773">
        <v>14.75</v>
      </c>
      <c r="D773">
        <v>14.4</v>
      </c>
      <c r="E773" s="178">
        <v>-0.8</v>
      </c>
      <c r="F773" s="176">
        <v>-5.26</v>
      </c>
      <c r="G773" t="s">
        <v>6216</v>
      </c>
      <c r="H773">
        <v>1820</v>
      </c>
      <c r="I773">
        <v>1355</v>
      </c>
      <c r="J773">
        <v>10.66</v>
      </c>
      <c r="K773">
        <v>15.1</v>
      </c>
      <c r="L773">
        <v>14.1</v>
      </c>
      <c r="M773" s="175">
        <v>1.79</v>
      </c>
      <c r="N773" t="s">
        <v>3652</v>
      </c>
    </row>
    <row r="774" spans="1:14">
      <c r="A774">
        <v>2449</v>
      </c>
      <c r="B774" t="s">
        <v>741</v>
      </c>
      <c r="C774">
        <v>275</v>
      </c>
      <c r="D774">
        <v>272</v>
      </c>
      <c r="E774" s="178">
        <v>-24.5</v>
      </c>
      <c r="F774" s="176">
        <v>-8.26</v>
      </c>
      <c r="G774" t="s">
        <v>6217</v>
      </c>
      <c r="H774">
        <v>43080</v>
      </c>
      <c r="I774">
        <v>40967</v>
      </c>
      <c r="J774">
        <v>128.38999999999999</v>
      </c>
      <c r="K774">
        <v>279</v>
      </c>
      <c r="L774">
        <v>268</v>
      </c>
      <c r="M774" s="175">
        <v>3.36</v>
      </c>
      <c r="N774" t="s">
        <v>3653</v>
      </c>
    </row>
    <row r="775" spans="1:14">
      <c r="A775">
        <v>2450</v>
      </c>
      <c r="B775" t="s">
        <v>742</v>
      </c>
      <c r="C775">
        <v>28.3</v>
      </c>
      <c r="D775">
        <v>28.25</v>
      </c>
      <c r="E775" s="178">
        <v>-0.05</v>
      </c>
      <c r="F775" s="176">
        <v>-0.18</v>
      </c>
      <c r="G775" t="s">
        <v>6218</v>
      </c>
      <c r="H775">
        <v>126</v>
      </c>
      <c r="I775">
        <v>69</v>
      </c>
      <c r="J775">
        <v>25.83</v>
      </c>
      <c r="K775">
        <v>28.35</v>
      </c>
      <c r="L775">
        <v>28.2</v>
      </c>
      <c r="M775" s="175">
        <v>0.05</v>
      </c>
      <c r="N775" t="s">
        <v>3654</v>
      </c>
    </row>
    <row r="776" spans="1:14">
      <c r="A776">
        <v>2451</v>
      </c>
      <c r="B776" t="s">
        <v>66</v>
      </c>
      <c r="C776">
        <v>273</v>
      </c>
      <c r="D776">
        <v>269</v>
      </c>
      <c r="E776" s="178">
        <v>-9.5</v>
      </c>
      <c r="F776" s="176">
        <v>-3.41</v>
      </c>
      <c r="G776" t="s">
        <v>6219</v>
      </c>
      <c r="H776">
        <v>2716</v>
      </c>
      <c r="I776">
        <v>2352</v>
      </c>
      <c r="J776">
        <v>43.13</v>
      </c>
      <c r="K776">
        <v>273</v>
      </c>
      <c r="L776">
        <v>268</v>
      </c>
      <c r="M776" s="175">
        <v>0.63</v>
      </c>
      <c r="N776" t="s">
        <v>3655</v>
      </c>
    </row>
    <row r="777" spans="1:14">
      <c r="A777">
        <v>2453</v>
      </c>
      <c r="B777" t="s">
        <v>743</v>
      </c>
      <c r="C777">
        <v>53</v>
      </c>
      <c r="D777">
        <v>52.4</v>
      </c>
      <c r="E777" s="178">
        <v>-0.6</v>
      </c>
      <c r="F777" s="176">
        <v>-1.1299999999999999</v>
      </c>
      <c r="G777" t="s">
        <v>5591</v>
      </c>
      <c r="H777">
        <v>308</v>
      </c>
      <c r="I777">
        <v>158</v>
      </c>
      <c r="J777">
        <v>10</v>
      </c>
      <c r="K777">
        <v>53.3</v>
      </c>
      <c r="L777">
        <v>52.3</v>
      </c>
      <c r="M777" s="175">
        <v>0.31</v>
      </c>
      <c r="N777" t="s">
        <v>3656</v>
      </c>
    </row>
    <row r="778" spans="1:14">
      <c r="A778">
        <v>2454</v>
      </c>
      <c r="B778" t="s">
        <v>246</v>
      </c>
      <c r="C778">
        <v>4195</v>
      </c>
      <c r="D778">
        <v>4165</v>
      </c>
      <c r="E778" s="178">
        <v>-310</v>
      </c>
      <c r="F778" s="176">
        <v>-6.93</v>
      </c>
      <c r="G778" t="s">
        <v>6220</v>
      </c>
      <c r="H778">
        <v>14496</v>
      </c>
      <c r="I778">
        <v>8102</v>
      </c>
      <c r="J778">
        <v>160.5</v>
      </c>
      <c r="K778">
        <v>4295</v>
      </c>
      <c r="L778">
        <v>4145</v>
      </c>
      <c r="M778" s="175">
        <v>0.9</v>
      </c>
      <c r="N778" t="s">
        <v>3657</v>
      </c>
    </row>
    <row r="779" spans="1:14">
      <c r="A779">
        <v>2455</v>
      </c>
      <c r="B779" t="s">
        <v>744</v>
      </c>
      <c r="C779">
        <v>481</v>
      </c>
      <c r="D779">
        <v>483.5</v>
      </c>
      <c r="E779" s="178">
        <v>-39.5</v>
      </c>
      <c r="F779" s="176">
        <v>-7.55</v>
      </c>
      <c r="G779" t="s">
        <v>5607</v>
      </c>
      <c r="H779">
        <v>6931</v>
      </c>
      <c r="I779">
        <v>9327</v>
      </c>
      <c r="J779">
        <v>18.88</v>
      </c>
      <c r="K779">
        <v>509</v>
      </c>
      <c r="L779">
        <v>480</v>
      </c>
      <c r="M779" s="175">
        <v>3.71</v>
      </c>
      <c r="N779" t="s">
        <v>3658</v>
      </c>
    </row>
    <row r="780" spans="1:14">
      <c r="A780">
        <v>2457</v>
      </c>
      <c r="B780" t="s">
        <v>745</v>
      </c>
      <c r="C780">
        <v>22.5</v>
      </c>
      <c r="D780">
        <v>21.7</v>
      </c>
      <c r="E780" s="178">
        <v>-0.85</v>
      </c>
      <c r="F780" s="176">
        <v>-3.77</v>
      </c>
      <c r="G780" t="s">
        <v>6221</v>
      </c>
      <c r="H780">
        <v>1580</v>
      </c>
      <c r="I780">
        <v>1035</v>
      </c>
      <c r="J780">
        <v>42.48</v>
      </c>
      <c r="K780">
        <v>22.5</v>
      </c>
      <c r="L780">
        <v>21.55</v>
      </c>
      <c r="M780" s="175">
        <v>0.37</v>
      </c>
      <c r="N780" t="s">
        <v>3659</v>
      </c>
    </row>
    <row r="781" spans="1:14">
      <c r="A781">
        <v>2458</v>
      </c>
      <c r="B781" t="s">
        <v>1552</v>
      </c>
      <c r="C781">
        <v>132</v>
      </c>
      <c r="D781">
        <v>135.5</v>
      </c>
      <c r="E781" s="178">
        <v>2</v>
      </c>
      <c r="F781" s="176">
        <v>1.5</v>
      </c>
      <c r="G781" t="s">
        <v>6222</v>
      </c>
      <c r="H781">
        <v>2360</v>
      </c>
      <c r="I781">
        <v>1263</v>
      </c>
      <c r="J781">
        <v>30.39</v>
      </c>
      <c r="K781">
        <v>136.5</v>
      </c>
      <c r="L781">
        <v>131.5</v>
      </c>
      <c r="M781" s="175">
        <v>0.78</v>
      </c>
      <c r="N781" t="s">
        <v>3660</v>
      </c>
    </row>
    <row r="782" spans="1:14">
      <c r="A782">
        <v>2459</v>
      </c>
      <c r="B782" t="s">
        <v>746</v>
      </c>
      <c r="C782">
        <v>65.099999999999994</v>
      </c>
      <c r="D782">
        <v>65.2</v>
      </c>
      <c r="E782" s="178">
        <v>-0.3</v>
      </c>
      <c r="F782" s="176">
        <v>-0.46</v>
      </c>
      <c r="G782" t="s">
        <v>5502</v>
      </c>
      <c r="H782">
        <v>60</v>
      </c>
      <c r="I782">
        <v>70</v>
      </c>
      <c r="J782">
        <v>10.56</v>
      </c>
      <c r="K782">
        <v>65.400000000000006</v>
      </c>
      <c r="L782">
        <v>65</v>
      </c>
      <c r="M782" s="175">
        <v>0.06</v>
      </c>
      <c r="N782" t="s">
        <v>3661</v>
      </c>
    </row>
    <row r="783" spans="1:14">
      <c r="A783">
        <v>2460</v>
      </c>
      <c r="B783" t="s">
        <v>747</v>
      </c>
      <c r="C783">
        <v>31.45</v>
      </c>
      <c r="D783">
        <v>31.35</v>
      </c>
      <c r="E783" s="178">
        <v>-0.6</v>
      </c>
      <c r="F783" s="176">
        <v>-1.88</v>
      </c>
      <c r="G783" t="s">
        <v>6223</v>
      </c>
      <c r="H783">
        <v>351</v>
      </c>
      <c r="I783">
        <v>503</v>
      </c>
      <c r="J783">
        <v>16.920000000000002</v>
      </c>
      <c r="K783">
        <v>31.9</v>
      </c>
      <c r="L783">
        <v>30.95</v>
      </c>
      <c r="M783" s="175">
        <v>0.21</v>
      </c>
      <c r="N783" t="s">
        <v>3662</v>
      </c>
    </row>
    <row r="784" spans="1:14">
      <c r="A784">
        <v>2461</v>
      </c>
      <c r="B784" t="s">
        <v>748</v>
      </c>
      <c r="C784">
        <v>16.8</v>
      </c>
      <c r="D784">
        <v>16.8</v>
      </c>
      <c r="E784" s="178">
        <v>0</v>
      </c>
      <c r="F784" s="176">
        <v>0</v>
      </c>
      <c r="G784" t="s">
        <v>6224</v>
      </c>
      <c r="H784">
        <v>371</v>
      </c>
      <c r="I784">
        <v>1367</v>
      </c>
      <c r="J784">
        <v>19.03</v>
      </c>
      <c r="K784">
        <v>16.899999999999999</v>
      </c>
      <c r="L784">
        <v>16.600000000000001</v>
      </c>
      <c r="M784" s="175">
        <v>0.19</v>
      </c>
      <c r="N784" t="s">
        <v>3663</v>
      </c>
    </row>
    <row r="785" spans="1:14">
      <c r="A785">
        <v>2462</v>
      </c>
      <c r="B785" t="s">
        <v>749</v>
      </c>
      <c r="C785">
        <v>19.399999999999999</v>
      </c>
      <c r="D785">
        <v>19.149999999999999</v>
      </c>
      <c r="E785" s="178">
        <v>-0.35</v>
      </c>
      <c r="F785" s="176">
        <v>-1.79</v>
      </c>
      <c r="G785" t="s">
        <v>5242</v>
      </c>
      <c r="H785">
        <v>137</v>
      </c>
      <c r="I785">
        <v>192</v>
      </c>
      <c r="J785">
        <v>15.08</v>
      </c>
      <c r="K785">
        <v>19.399999999999999</v>
      </c>
      <c r="L785">
        <v>19.05</v>
      </c>
      <c r="M785" s="175">
        <v>0.09</v>
      </c>
      <c r="N785" t="s">
        <v>3664</v>
      </c>
    </row>
    <row r="786" spans="1:14">
      <c r="A786">
        <v>2464</v>
      </c>
      <c r="B786" t="s">
        <v>750</v>
      </c>
      <c r="C786">
        <v>182</v>
      </c>
      <c r="D786">
        <v>176</v>
      </c>
      <c r="E786" s="178">
        <v>-13</v>
      </c>
      <c r="F786" s="176">
        <v>-6.88</v>
      </c>
      <c r="G786" t="s">
        <v>6225</v>
      </c>
      <c r="H786">
        <v>8316</v>
      </c>
      <c r="I786">
        <v>8048</v>
      </c>
      <c r="J786">
        <v>22.74</v>
      </c>
      <c r="K786">
        <v>182.5</v>
      </c>
      <c r="L786">
        <v>175</v>
      </c>
      <c r="M786" s="175">
        <v>3.66</v>
      </c>
      <c r="N786" t="s">
        <v>3665</v>
      </c>
    </row>
    <row r="787" spans="1:14">
      <c r="A787">
        <v>2465</v>
      </c>
      <c r="B787" t="s">
        <v>751</v>
      </c>
      <c r="C787">
        <v>84.1</v>
      </c>
      <c r="D787">
        <v>83.7</v>
      </c>
      <c r="E787" s="178">
        <v>-1.8</v>
      </c>
      <c r="F787" s="176">
        <v>-2.11</v>
      </c>
      <c r="G787" t="s">
        <v>5282</v>
      </c>
      <c r="H787">
        <v>1383</v>
      </c>
      <c r="I787">
        <v>2136</v>
      </c>
      <c r="J787">
        <v>9.39</v>
      </c>
      <c r="K787">
        <v>86</v>
      </c>
      <c r="L787">
        <v>82.8</v>
      </c>
      <c r="M787" s="175">
        <v>1.47</v>
      </c>
      <c r="N787" t="s">
        <v>3666</v>
      </c>
    </row>
    <row r="788" spans="1:14">
      <c r="A788">
        <v>2466</v>
      </c>
      <c r="B788" t="s">
        <v>752</v>
      </c>
      <c r="C788">
        <v>192.5</v>
      </c>
      <c r="D788">
        <v>192.5</v>
      </c>
      <c r="E788" s="178">
        <v>-21</v>
      </c>
      <c r="F788" s="176">
        <v>-9.84</v>
      </c>
      <c r="G788" t="s">
        <v>6226</v>
      </c>
      <c r="H788">
        <v>309</v>
      </c>
      <c r="I788">
        <v>3375</v>
      </c>
      <c r="J788">
        <v>17.350000000000001</v>
      </c>
      <c r="K788">
        <v>192.5</v>
      </c>
      <c r="L788">
        <v>192.5</v>
      </c>
      <c r="M788" s="175">
        <v>0.18</v>
      </c>
      <c r="N788" t="s">
        <v>3667</v>
      </c>
    </row>
    <row r="789" spans="1:14">
      <c r="A789">
        <v>2467</v>
      </c>
      <c r="B789" t="s">
        <v>753</v>
      </c>
      <c r="C789">
        <v>524</v>
      </c>
      <c r="D789">
        <v>506</v>
      </c>
      <c r="E789" s="178">
        <v>-41</v>
      </c>
      <c r="F789" s="176">
        <v>-7.5</v>
      </c>
      <c r="G789" t="s">
        <v>6227</v>
      </c>
      <c r="H789">
        <v>1752</v>
      </c>
      <c r="I789">
        <v>1668</v>
      </c>
      <c r="J789">
        <v>16.309999999999999</v>
      </c>
      <c r="K789">
        <v>528</v>
      </c>
      <c r="L789">
        <v>504</v>
      </c>
      <c r="M789" s="175">
        <v>1.1200000000000001</v>
      </c>
      <c r="N789" t="s">
        <v>3668</v>
      </c>
    </row>
    <row r="790" spans="1:14">
      <c r="A790">
        <v>2468</v>
      </c>
      <c r="B790" t="s">
        <v>754</v>
      </c>
      <c r="C790">
        <v>44.9</v>
      </c>
      <c r="D790">
        <v>46.5</v>
      </c>
      <c r="E790" s="178">
        <v>0.35</v>
      </c>
      <c r="F790" s="176">
        <v>0.76</v>
      </c>
      <c r="G790" t="s">
        <v>6085</v>
      </c>
      <c r="H790">
        <v>13424</v>
      </c>
      <c r="I790">
        <v>6524</v>
      </c>
      <c r="J790">
        <v>7</v>
      </c>
      <c r="K790">
        <v>49.6</v>
      </c>
      <c r="L790">
        <v>44.85</v>
      </c>
      <c r="M790" s="175">
        <v>19.190000000000001</v>
      </c>
      <c r="N790" t="s">
        <v>3669</v>
      </c>
    </row>
    <row r="791" spans="1:14">
      <c r="A791">
        <v>2471</v>
      </c>
      <c r="B791" t="s">
        <v>755</v>
      </c>
      <c r="C791">
        <v>51.1</v>
      </c>
      <c r="D791">
        <v>50.7</v>
      </c>
      <c r="E791" s="178">
        <v>-0.5</v>
      </c>
      <c r="F791" s="176">
        <v>-0.98</v>
      </c>
      <c r="G791" t="s">
        <v>5504</v>
      </c>
      <c r="H791">
        <v>133</v>
      </c>
      <c r="I791">
        <v>99</v>
      </c>
      <c r="J791">
        <v>4.7300000000000004</v>
      </c>
      <c r="K791">
        <v>51.8</v>
      </c>
      <c r="L791">
        <v>50.7</v>
      </c>
      <c r="M791" s="175">
        <v>0.28000000000000003</v>
      </c>
      <c r="N791" t="s">
        <v>3670</v>
      </c>
    </row>
    <row r="792" spans="1:14">
      <c r="A792">
        <v>2472</v>
      </c>
      <c r="B792" t="s">
        <v>756</v>
      </c>
      <c r="C792">
        <v>235</v>
      </c>
      <c r="D792">
        <v>227</v>
      </c>
      <c r="E792" s="178">
        <v>-17</v>
      </c>
      <c r="F792" s="176">
        <v>-6.97</v>
      </c>
      <c r="G792" t="s">
        <v>5601</v>
      </c>
      <c r="H792">
        <v>5584</v>
      </c>
      <c r="I792">
        <v>7871</v>
      </c>
      <c r="J792">
        <v>16.47</v>
      </c>
      <c r="K792">
        <v>238</v>
      </c>
      <c r="L792">
        <v>227</v>
      </c>
      <c r="M792" s="175">
        <v>3.39</v>
      </c>
      <c r="N792" t="s">
        <v>3671</v>
      </c>
    </row>
    <row r="793" spans="1:14">
      <c r="A793">
        <v>2474</v>
      </c>
      <c r="B793" t="s">
        <v>757</v>
      </c>
      <c r="C793">
        <v>194.5</v>
      </c>
      <c r="D793">
        <v>195</v>
      </c>
      <c r="E793" s="178">
        <v>-1.5</v>
      </c>
      <c r="F793" s="176">
        <v>-0.76</v>
      </c>
      <c r="G793" t="s">
        <v>5477</v>
      </c>
      <c r="H793">
        <v>1521</v>
      </c>
      <c r="I793">
        <v>1720</v>
      </c>
      <c r="J793">
        <v>53.88</v>
      </c>
      <c r="K793">
        <v>195.5</v>
      </c>
      <c r="L793">
        <v>193.5</v>
      </c>
      <c r="M793" s="175">
        <v>0.28000000000000003</v>
      </c>
      <c r="N793" t="s">
        <v>3672</v>
      </c>
    </row>
    <row r="794" spans="1:14">
      <c r="A794">
        <v>2476</v>
      </c>
      <c r="B794" t="s">
        <v>758</v>
      </c>
      <c r="C794">
        <v>122</v>
      </c>
      <c r="D794">
        <v>122</v>
      </c>
      <c r="E794" s="178">
        <v>-4.5</v>
      </c>
      <c r="F794" s="176">
        <v>-3.56</v>
      </c>
      <c r="G794" t="s">
        <v>6188</v>
      </c>
      <c r="H794">
        <v>1376</v>
      </c>
      <c r="I794">
        <v>1482</v>
      </c>
      <c r="J794">
        <v>22.02</v>
      </c>
      <c r="K794">
        <v>124</v>
      </c>
      <c r="L794">
        <v>120</v>
      </c>
      <c r="M794" s="175">
        <v>0.63</v>
      </c>
      <c r="N794" t="s">
        <v>3673</v>
      </c>
    </row>
    <row r="795" spans="1:14">
      <c r="A795">
        <v>2477</v>
      </c>
      <c r="B795" t="s">
        <v>1674</v>
      </c>
      <c r="C795">
        <v>22.8</v>
      </c>
      <c r="D795">
        <v>22.75</v>
      </c>
      <c r="E795" s="178">
        <v>-0.1</v>
      </c>
      <c r="F795" s="176">
        <v>-0.44</v>
      </c>
      <c r="G795" t="s">
        <v>5165</v>
      </c>
      <c r="H795">
        <v>93</v>
      </c>
      <c r="I795">
        <v>135</v>
      </c>
      <c r="J795">
        <v>15.86</v>
      </c>
      <c r="K795">
        <v>22.8</v>
      </c>
      <c r="L795">
        <v>22.5</v>
      </c>
      <c r="M795" s="175">
        <v>0.06</v>
      </c>
      <c r="N795" t="s">
        <v>3674</v>
      </c>
    </row>
    <row r="796" spans="1:14">
      <c r="A796">
        <v>2478</v>
      </c>
      <c r="B796" t="s">
        <v>759</v>
      </c>
      <c r="C796">
        <v>135.5</v>
      </c>
      <c r="D796">
        <v>142</v>
      </c>
      <c r="E796" s="178">
        <v>4.5</v>
      </c>
      <c r="F796" s="176">
        <v>3.27</v>
      </c>
      <c r="G796" t="s">
        <v>6228</v>
      </c>
      <c r="H796">
        <v>42669</v>
      </c>
      <c r="I796">
        <v>7705</v>
      </c>
      <c r="J796">
        <v>14.47</v>
      </c>
      <c r="K796">
        <v>150</v>
      </c>
      <c r="L796">
        <v>135.5</v>
      </c>
      <c r="M796" s="175">
        <v>29.48</v>
      </c>
      <c r="N796" t="s">
        <v>3675</v>
      </c>
    </row>
    <row r="797" spans="1:14">
      <c r="A797">
        <v>2480</v>
      </c>
      <c r="B797" t="s">
        <v>760</v>
      </c>
      <c r="C797">
        <v>186.5</v>
      </c>
      <c r="D797">
        <v>190</v>
      </c>
      <c r="E797" s="178">
        <v>0</v>
      </c>
      <c r="F797" s="176">
        <v>0</v>
      </c>
      <c r="G797" t="s">
        <v>5582</v>
      </c>
      <c r="H797">
        <v>991</v>
      </c>
      <c r="I797">
        <v>1146</v>
      </c>
      <c r="J797">
        <v>10.64</v>
      </c>
      <c r="K797">
        <v>193</v>
      </c>
      <c r="L797">
        <v>186.5</v>
      </c>
      <c r="M797" s="175">
        <v>0.93</v>
      </c>
      <c r="N797" t="s">
        <v>3676</v>
      </c>
    </row>
    <row r="798" spans="1:14">
      <c r="A798">
        <v>2481</v>
      </c>
      <c r="B798" t="s">
        <v>761</v>
      </c>
      <c r="C798">
        <v>158.5</v>
      </c>
      <c r="D798">
        <v>155.5</v>
      </c>
      <c r="E798" s="178">
        <v>-10.5</v>
      </c>
      <c r="F798" s="176">
        <v>-6.33</v>
      </c>
      <c r="G798" t="s">
        <v>6229</v>
      </c>
      <c r="H798">
        <v>15090</v>
      </c>
      <c r="I798">
        <v>15165</v>
      </c>
      <c r="J798">
        <v>38.21</v>
      </c>
      <c r="K798">
        <v>163</v>
      </c>
      <c r="L798">
        <v>154.5</v>
      </c>
      <c r="M798" s="175">
        <v>3.95</v>
      </c>
      <c r="N798" t="s">
        <v>3677</v>
      </c>
    </row>
    <row r="799" spans="1:14">
      <c r="A799">
        <v>2482</v>
      </c>
      <c r="B799" t="s">
        <v>762</v>
      </c>
      <c r="C799">
        <v>16</v>
      </c>
      <c r="D799">
        <v>15.8</v>
      </c>
      <c r="E799" s="178">
        <v>-0.3</v>
      </c>
      <c r="F799" s="176">
        <v>-1.86</v>
      </c>
      <c r="G799" t="s">
        <v>5401</v>
      </c>
      <c r="H799">
        <v>130</v>
      </c>
      <c r="I799">
        <v>78</v>
      </c>
      <c r="J799">
        <v>7.79</v>
      </c>
      <c r="K799">
        <v>16</v>
      </c>
      <c r="L799">
        <v>15.7</v>
      </c>
      <c r="M799" s="175">
        <v>0.17</v>
      </c>
      <c r="N799" t="s">
        <v>3678</v>
      </c>
    </row>
    <row r="800" spans="1:14">
      <c r="A800">
        <v>2483</v>
      </c>
      <c r="B800" t="s">
        <v>763</v>
      </c>
      <c r="C800">
        <v>36.299999999999997</v>
      </c>
      <c r="D800">
        <v>35.5</v>
      </c>
      <c r="E800" s="178">
        <v>-1.5</v>
      </c>
      <c r="F800" s="176">
        <v>-4.05</v>
      </c>
      <c r="G800" t="s">
        <v>6230</v>
      </c>
      <c r="H800">
        <v>985</v>
      </c>
      <c r="I800">
        <v>1316</v>
      </c>
      <c r="J800">
        <v>10.79</v>
      </c>
      <c r="K800">
        <v>37.299999999999997</v>
      </c>
      <c r="L800">
        <v>35.4</v>
      </c>
      <c r="M800" s="175">
        <v>0.91</v>
      </c>
      <c r="N800" t="s">
        <v>3679</v>
      </c>
    </row>
    <row r="801" spans="1:14">
      <c r="A801">
        <v>2484</v>
      </c>
      <c r="B801" t="s">
        <v>764</v>
      </c>
      <c r="C801">
        <v>87.6</v>
      </c>
      <c r="D801">
        <v>84.9</v>
      </c>
      <c r="E801" s="178">
        <v>-6.6</v>
      </c>
      <c r="F801" s="176">
        <v>-7.21</v>
      </c>
      <c r="G801" t="s">
        <v>5598</v>
      </c>
      <c r="H801">
        <v>25038</v>
      </c>
      <c r="I801">
        <v>26712</v>
      </c>
      <c r="J801">
        <v>15.94</v>
      </c>
      <c r="K801">
        <v>92</v>
      </c>
      <c r="L801">
        <v>84.9</v>
      </c>
      <c r="M801" s="175">
        <v>15.71</v>
      </c>
      <c r="N801" t="s">
        <v>3680</v>
      </c>
    </row>
    <row r="802" spans="1:14">
      <c r="A802">
        <v>2485</v>
      </c>
      <c r="B802" t="s">
        <v>765</v>
      </c>
      <c r="C802">
        <v>39.299999999999997</v>
      </c>
      <c r="D802">
        <v>38.65</v>
      </c>
      <c r="E802" s="178">
        <v>-1.75</v>
      </c>
      <c r="F802" s="176">
        <v>-4.33</v>
      </c>
      <c r="G802" t="s">
        <v>5343</v>
      </c>
      <c r="H802">
        <v>3799</v>
      </c>
      <c r="I802">
        <v>8438</v>
      </c>
      <c r="J802">
        <v>31.77</v>
      </c>
      <c r="K802">
        <v>39.6</v>
      </c>
      <c r="L802">
        <v>38.35</v>
      </c>
      <c r="M802" s="175">
        <v>1.2</v>
      </c>
      <c r="N802" t="s">
        <v>3681</v>
      </c>
    </row>
    <row r="803" spans="1:14">
      <c r="A803">
        <v>2486</v>
      </c>
      <c r="B803" t="s">
        <v>766</v>
      </c>
      <c r="C803">
        <v>215</v>
      </c>
      <c r="D803">
        <v>212</v>
      </c>
      <c r="E803" s="178">
        <v>-10.5</v>
      </c>
      <c r="F803" s="176">
        <v>-4.72</v>
      </c>
      <c r="G803" t="s">
        <v>6231</v>
      </c>
      <c r="H803">
        <v>3293</v>
      </c>
      <c r="I803">
        <v>3507</v>
      </c>
      <c r="J803">
        <v>24.08</v>
      </c>
      <c r="K803">
        <v>217.5</v>
      </c>
      <c r="L803">
        <v>209</v>
      </c>
      <c r="M803" s="175">
        <v>1.37</v>
      </c>
      <c r="N803" t="s">
        <v>3682</v>
      </c>
    </row>
    <row r="804" spans="1:14">
      <c r="A804">
        <v>2488</v>
      </c>
      <c r="B804" t="s">
        <v>767</v>
      </c>
      <c r="C804">
        <v>49.9</v>
      </c>
      <c r="D804">
        <v>50.2</v>
      </c>
      <c r="E804" s="178">
        <v>-0.3</v>
      </c>
      <c r="F804" s="176">
        <v>-0.59</v>
      </c>
      <c r="G804" t="s">
        <v>5415</v>
      </c>
      <c r="H804">
        <v>47</v>
      </c>
      <c r="I804">
        <v>98</v>
      </c>
      <c r="J804">
        <v>8</v>
      </c>
      <c r="K804">
        <v>50.5</v>
      </c>
      <c r="L804">
        <v>49.9</v>
      </c>
      <c r="M804" s="175">
        <v>0.06</v>
      </c>
      <c r="N804" t="s">
        <v>3683</v>
      </c>
    </row>
    <row r="805" spans="1:14">
      <c r="A805">
        <v>2489</v>
      </c>
      <c r="B805" t="s">
        <v>2908</v>
      </c>
      <c r="C805">
        <v>39.799999999999997</v>
      </c>
      <c r="D805">
        <v>38.799999999999997</v>
      </c>
      <c r="E805" s="178">
        <v>-2.35</v>
      </c>
      <c r="F805" s="176">
        <v>-5.71</v>
      </c>
      <c r="G805" t="s">
        <v>6200</v>
      </c>
      <c r="H805">
        <v>12175</v>
      </c>
      <c r="I805">
        <v>18857</v>
      </c>
      <c r="J805">
        <v>61</v>
      </c>
      <c r="K805">
        <v>40.299999999999997</v>
      </c>
      <c r="L805">
        <v>38.799999999999997</v>
      </c>
      <c r="M805" s="175">
        <v>2</v>
      </c>
      <c r="N805" t="s">
        <v>3684</v>
      </c>
    </row>
    <row r="806" spans="1:14">
      <c r="A806">
        <v>2491</v>
      </c>
      <c r="B806" t="s">
        <v>768</v>
      </c>
      <c r="C806">
        <v>36.85</v>
      </c>
      <c r="D806">
        <v>34.200000000000003</v>
      </c>
      <c r="E806" s="178">
        <v>-2.65</v>
      </c>
      <c r="F806" s="176">
        <v>-7.19</v>
      </c>
      <c r="G806" t="s">
        <v>6232</v>
      </c>
      <c r="H806">
        <v>1004</v>
      </c>
      <c r="I806">
        <v>539</v>
      </c>
      <c r="J806">
        <v>8.1999999999999993</v>
      </c>
      <c r="K806">
        <v>36.85</v>
      </c>
      <c r="L806">
        <v>34.200000000000003</v>
      </c>
      <c r="M806" s="175">
        <v>1.22</v>
      </c>
      <c r="N806" t="s">
        <v>3685</v>
      </c>
    </row>
    <row r="807" spans="1:14">
      <c r="A807">
        <v>2492</v>
      </c>
      <c r="B807" t="s">
        <v>769</v>
      </c>
      <c r="C807">
        <v>404</v>
      </c>
      <c r="D807">
        <v>405.5</v>
      </c>
      <c r="E807" s="178">
        <v>-20.5</v>
      </c>
      <c r="F807" s="176">
        <v>-4.8099999999999996</v>
      </c>
      <c r="G807" t="s">
        <v>6233</v>
      </c>
      <c r="H807">
        <v>9372</v>
      </c>
      <c r="I807">
        <v>33039</v>
      </c>
      <c r="J807">
        <v>48.52</v>
      </c>
      <c r="K807">
        <v>423.5</v>
      </c>
      <c r="L807">
        <v>402</v>
      </c>
      <c r="M807" s="175">
        <v>1.93</v>
      </c>
      <c r="N807" t="s">
        <v>3686</v>
      </c>
    </row>
    <row r="808" spans="1:14">
      <c r="A808">
        <v>2493</v>
      </c>
      <c r="B808" t="s">
        <v>770</v>
      </c>
      <c r="C808">
        <v>198.5</v>
      </c>
      <c r="D808">
        <v>194.5</v>
      </c>
      <c r="E808" s="178">
        <v>-14</v>
      </c>
      <c r="F808" s="176">
        <v>-6.71</v>
      </c>
      <c r="G808" t="s">
        <v>6234</v>
      </c>
      <c r="H808">
        <v>2457</v>
      </c>
      <c r="I808">
        <v>3074</v>
      </c>
      <c r="J808">
        <v>12.68</v>
      </c>
      <c r="K808">
        <v>207</v>
      </c>
      <c r="L808">
        <v>194</v>
      </c>
      <c r="M808" s="175">
        <v>1.94</v>
      </c>
      <c r="N808" t="s">
        <v>3687</v>
      </c>
    </row>
    <row r="809" spans="1:14">
      <c r="A809">
        <v>2495</v>
      </c>
      <c r="B809" t="s">
        <v>771</v>
      </c>
      <c r="C809">
        <v>34.25</v>
      </c>
      <c r="D809">
        <v>33.9</v>
      </c>
      <c r="E809" s="178">
        <v>-1.35</v>
      </c>
      <c r="F809" s="176">
        <v>-3.83</v>
      </c>
      <c r="G809" t="s">
        <v>6235</v>
      </c>
      <c r="H809">
        <v>1623</v>
      </c>
      <c r="I809">
        <v>1446</v>
      </c>
      <c r="J809">
        <v>27.36</v>
      </c>
      <c r="K809">
        <v>34.549999999999997</v>
      </c>
      <c r="L809">
        <v>33.799999999999997</v>
      </c>
      <c r="M809" s="175">
        <v>0.59</v>
      </c>
      <c r="N809" t="s">
        <v>3688</v>
      </c>
    </row>
    <row r="810" spans="1:14">
      <c r="A810">
        <v>2496</v>
      </c>
      <c r="B810" t="s">
        <v>772</v>
      </c>
      <c r="C810">
        <v>54.8</v>
      </c>
      <c r="D810">
        <v>54.6</v>
      </c>
      <c r="E810" s="178">
        <v>-0.4</v>
      </c>
      <c r="F810" s="176">
        <v>-0.73</v>
      </c>
      <c r="G810" t="s">
        <v>5526</v>
      </c>
      <c r="H810">
        <v>17</v>
      </c>
      <c r="I810">
        <v>12</v>
      </c>
      <c r="J810">
        <v>2.0099999999999998</v>
      </c>
      <c r="K810">
        <v>54.8</v>
      </c>
      <c r="L810">
        <v>54.5</v>
      </c>
      <c r="M810" s="175">
        <v>0.08</v>
      </c>
      <c r="N810" t="s">
        <v>3689</v>
      </c>
    </row>
    <row r="811" spans="1:14">
      <c r="A811">
        <v>2497</v>
      </c>
      <c r="B811" t="s">
        <v>773</v>
      </c>
      <c r="C811">
        <v>43.8</v>
      </c>
      <c r="D811">
        <v>43.75</v>
      </c>
      <c r="E811" s="178">
        <v>-0.3</v>
      </c>
      <c r="F811" s="176">
        <v>-0.68</v>
      </c>
      <c r="G811" t="s">
        <v>6236</v>
      </c>
      <c r="H811">
        <v>193</v>
      </c>
      <c r="I811">
        <v>221</v>
      </c>
      <c r="J811">
        <v>13.09</v>
      </c>
      <c r="K811">
        <v>44.1</v>
      </c>
      <c r="L811">
        <v>43.55</v>
      </c>
      <c r="M811" s="175">
        <v>0.16</v>
      </c>
      <c r="N811" t="s">
        <v>3690</v>
      </c>
    </row>
    <row r="812" spans="1:14">
      <c r="A812">
        <v>2498</v>
      </c>
      <c r="B812" t="s">
        <v>774</v>
      </c>
      <c r="C812">
        <v>40.450000000000003</v>
      </c>
      <c r="D812">
        <v>39.85</v>
      </c>
      <c r="E812" s="178">
        <v>-1.1499999999999999</v>
      </c>
      <c r="F812" s="176">
        <v>-2.8</v>
      </c>
      <c r="G812" t="s">
        <v>6237</v>
      </c>
      <c r="H812">
        <v>5070</v>
      </c>
      <c r="I812">
        <v>3787</v>
      </c>
      <c r="J812">
        <v>83.7</v>
      </c>
      <c r="K812">
        <v>40.450000000000003</v>
      </c>
      <c r="L812">
        <v>39.799999999999997</v>
      </c>
      <c r="M812" s="175">
        <v>0.61</v>
      </c>
      <c r="N812" t="s">
        <v>3691</v>
      </c>
    </row>
    <row r="813" spans="1:14">
      <c r="A813">
        <v>2501</v>
      </c>
      <c r="B813" t="s">
        <v>775</v>
      </c>
      <c r="C813">
        <v>20.399999999999999</v>
      </c>
      <c r="D813">
        <v>20.65</v>
      </c>
      <c r="E813" s="178">
        <v>0.25</v>
      </c>
      <c r="F813" s="176">
        <v>1.23</v>
      </c>
      <c r="G813" t="s">
        <v>6238</v>
      </c>
      <c r="H813">
        <v>2621</v>
      </c>
      <c r="I813">
        <v>1292</v>
      </c>
      <c r="J813">
        <v>115.96</v>
      </c>
      <c r="K813">
        <v>20.75</v>
      </c>
      <c r="L813">
        <v>20.350000000000001</v>
      </c>
      <c r="M813" s="175">
        <v>0.23</v>
      </c>
      <c r="N813" t="s">
        <v>3692</v>
      </c>
    </row>
    <row r="814" spans="1:14">
      <c r="A814">
        <v>2504</v>
      </c>
      <c r="B814" t="s">
        <v>776</v>
      </c>
      <c r="C814">
        <v>31.8</v>
      </c>
      <c r="D814">
        <v>31.6</v>
      </c>
      <c r="E814" s="178">
        <v>-0.1</v>
      </c>
      <c r="F814" s="176">
        <v>-0.32</v>
      </c>
      <c r="G814" t="s">
        <v>6239</v>
      </c>
      <c r="H814">
        <v>1769</v>
      </c>
      <c r="I814">
        <v>2075</v>
      </c>
      <c r="J814">
        <v>118</v>
      </c>
      <c r="K814">
        <v>31.9</v>
      </c>
      <c r="L814">
        <v>31.45</v>
      </c>
      <c r="M814" s="175">
        <v>0.15</v>
      </c>
      <c r="N814" t="s">
        <v>3693</v>
      </c>
    </row>
    <row r="815" spans="1:14">
      <c r="A815">
        <v>2505</v>
      </c>
      <c r="B815" t="s">
        <v>1492</v>
      </c>
      <c r="C815">
        <v>17.7</v>
      </c>
      <c r="D815">
        <v>18.05</v>
      </c>
      <c r="E815" s="178">
        <v>0.35</v>
      </c>
      <c r="F815" s="176">
        <v>1.98</v>
      </c>
      <c r="G815" t="s">
        <v>5626</v>
      </c>
      <c r="H815">
        <v>817</v>
      </c>
      <c r="I815">
        <v>385</v>
      </c>
      <c r="J815">
        <v>38</v>
      </c>
      <c r="K815">
        <v>18.100000000000001</v>
      </c>
      <c r="L815">
        <v>17.649999999999999</v>
      </c>
      <c r="M815" s="175">
        <v>0.21</v>
      </c>
      <c r="N815" t="s">
        <v>3694</v>
      </c>
    </row>
    <row r="816" spans="1:14">
      <c r="A816">
        <v>2506</v>
      </c>
      <c r="B816" t="s">
        <v>777</v>
      </c>
      <c r="C816">
        <v>8.43</v>
      </c>
      <c r="D816">
        <v>8.39</v>
      </c>
      <c r="E816" s="178">
        <v>-0.05</v>
      </c>
      <c r="F816" s="176">
        <v>-0.59</v>
      </c>
      <c r="G816" t="s">
        <v>5396</v>
      </c>
      <c r="H816">
        <v>84</v>
      </c>
      <c r="I816">
        <v>50</v>
      </c>
      <c r="J816">
        <v>38.700000000000003</v>
      </c>
      <c r="K816">
        <v>8.43</v>
      </c>
      <c r="L816">
        <v>8.3699999999999992</v>
      </c>
      <c r="M816" s="175">
        <v>0.02</v>
      </c>
      <c r="N816" t="s">
        <v>3695</v>
      </c>
    </row>
    <row r="817" spans="1:14">
      <c r="A817">
        <v>2509</v>
      </c>
      <c r="B817" t="s">
        <v>778</v>
      </c>
      <c r="C817">
        <v>13.5</v>
      </c>
      <c r="D817">
        <v>13.25</v>
      </c>
      <c r="E817" s="178">
        <v>-0.2</v>
      </c>
      <c r="F817" s="176">
        <v>-1.49</v>
      </c>
      <c r="G817" t="s">
        <v>5181</v>
      </c>
      <c r="H817">
        <v>118</v>
      </c>
      <c r="I817">
        <v>174</v>
      </c>
      <c r="J817">
        <v>22.46</v>
      </c>
      <c r="K817">
        <v>13.5</v>
      </c>
      <c r="L817">
        <v>13.25</v>
      </c>
      <c r="M817" s="175">
        <v>0.05</v>
      </c>
      <c r="N817" t="s">
        <v>3696</v>
      </c>
    </row>
    <row r="818" spans="1:14">
      <c r="A818">
        <v>2511</v>
      </c>
      <c r="B818" t="s">
        <v>779</v>
      </c>
      <c r="C818">
        <v>8.2200000000000006</v>
      </c>
      <c r="D818">
        <v>8.1999999999999993</v>
      </c>
      <c r="E818" s="178">
        <v>0</v>
      </c>
      <c r="F818" s="176">
        <v>0</v>
      </c>
      <c r="G818" t="s">
        <v>5649</v>
      </c>
      <c r="H818">
        <v>508</v>
      </c>
      <c r="I818">
        <v>841</v>
      </c>
      <c r="J818">
        <v>162.33000000000001</v>
      </c>
      <c r="K818">
        <v>8.2200000000000006</v>
      </c>
      <c r="L818">
        <v>8.18</v>
      </c>
      <c r="M818" s="175">
        <v>0.03</v>
      </c>
      <c r="N818" t="s">
        <v>3697</v>
      </c>
    </row>
    <row r="819" spans="1:14">
      <c r="A819">
        <v>2514</v>
      </c>
      <c r="B819" t="s">
        <v>780</v>
      </c>
      <c r="C819">
        <v>11.4</v>
      </c>
      <c r="D819">
        <v>11.2</v>
      </c>
      <c r="E819" s="178">
        <v>-0.1</v>
      </c>
      <c r="F819" s="176">
        <v>-0.88</v>
      </c>
      <c r="G819" t="s">
        <v>5775</v>
      </c>
      <c r="H819">
        <v>70</v>
      </c>
      <c r="I819">
        <v>63</v>
      </c>
      <c r="J819">
        <v>39.47</v>
      </c>
      <c r="K819">
        <v>11.4</v>
      </c>
      <c r="L819">
        <v>11.2</v>
      </c>
      <c r="M819" s="175">
        <v>0.02</v>
      </c>
      <c r="N819" t="s">
        <v>3698</v>
      </c>
    </row>
    <row r="820" spans="1:14">
      <c r="A820">
        <v>2515</v>
      </c>
      <c r="B820" t="s">
        <v>781</v>
      </c>
      <c r="C820">
        <v>11.95</v>
      </c>
      <c r="D820">
        <v>11.85</v>
      </c>
      <c r="E820" s="178">
        <v>-0.15</v>
      </c>
      <c r="F820" s="176">
        <v>-1.25</v>
      </c>
      <c r="G820" t="s">
        <v>6240</v>
      </c>
      <c r="H820">
        <v>5360</v>
      </c>
      <c r="I820">
        <v>5792</v>
      </c>
      <c r="J820">
        <v>168.85</v>
      </c>
      <c r="K820">
        <v>12</v>
      </c>
      <c r="L820">
        <v>11.85</v>
      </c>
      <c r="M820" s="175">
        <v>0.32</v>
      </c>
      <c r="N820" t="s">
        <v>3699</v>
      </c>
    </row>
    <row r="821" spans="1:14">
      <c r="A821">
        <v>2516</v>
      </c>
      <c r="B821" t="s">
        <v>782</v>
      </c>
      <c r="C821">
        <v>15.55</v>
      </c>
      <c r="D821">
        <v>15.4</v>
      </c>
      <c r="E821" s="178">
        <v>-0.1</v>
      </c>
      <c r="F821" s="176">
        <v>-0.65</v>
      </c>
      <c r="G821" t="s">
        <v>6241</v>
      </c>
      <c r="H821">
        <v>378</v>
      </c>
      <c r="I821">
        <v>670</v>
      </c>
      <c r="J821">
        <v>22.63</v>
      </c>
      <c r="K821">
        <v>15.55</v>
      </c>
      <c r="L821">
        <v>15.25</v>
      </c>
      <c r="M821" s="175">
        <v>0.17</v>
      </c>
      <c r="N821" t="s">
        <v>3700</v>
      </c>
    </row>
    <row r="822" spans="1:14">
      <c r="A822">
        <v>2520</v>
      </c>
      <c r="B822" t="s">
        <v>783</v>
      </c>
      <c r="C822">
        <v>37.5</v>
      </c>
      <c r="D822">
        <v>37.75</v>
      </c>
      <c r="E822" s="178">
        <v>0.35</v>
      </c>
      <c r="F822" s="176">
        <v>0.94</v>
      </c>
      <c r="G822" t="s">
        <v>6242</v>
      </c>
      <c r="H822">
        <v>2101</v>
      </c>
      <c r="I822">
        <v>1213</v>
      </c>
      <c r="J822">
        <v>60.95</v>
      </c>
      <c r="K822">
        <v>38</v>
      </c>
      <c r="L822">
        <v>37.4</v>
      </c>
      <c r="M822" s="175">
        <v>0.34</v>
      </c>
      <c r="N822" t="s">
        <v>3701</v>
      </c>
    </row>
    <row r="823" spans="1:14">
      <c r="A823">
        <v>2524</v>
      </c>
      <c r="B823" t="s">
        <v>784</v>
      </c>
      <c r="C823">
        <v>33.5</v>
      </c>
      <c r="D823">
        <v>33.65</v>
      </c>
      <c r="E823" s="178">
        <v>0.25</v>
      </c>
      <c r="F823" s="176">
        <v>0.75</v>
      </c>
      <c r="G823" t="s">
        <v>5246</v>
      </c>
      <c r="H823">
        <v>88</v>
      </c>
      <c r="I823">
        <v>268</v>
      </c>
      <c r="J823">
        <v>36.619999999999997</v>
      </c>
      <c r="K823">
        <v>35</v>
      </c>
      <c r="L823">
        <v>33.4</v>
      </c>
      <c r="M823" s="175">
        <v>0.02</v>
      </c>
      <c r="N823" t="s">
        <v>3702</v>
      </c>
    </row>
    <row r="824" spans="1:14">
      <c r="A824">
        <v>2527</v>
      </c>
      <c r="B824" t="s">
        <v>785</v>
      </c>
      <c r="C824">
        <v>50.5</v>
      </c>
      <c r="D824">
        <v>49.7</v>
      </c>
      <c r="E824" s="178">
        <v>-1.7</v>
      </c>
      <c r="F824" s="176">
        <v>-3.31</v>
      </c>
      <c r="G824" t="s">
        <v>6243</v>
      </c>
      <c r="H824">
        <v>742</v>
      </c>
      <c r="I824">
        <v>760</v>
      </c>
      <c r="J824">
        <v>27.03</v>
      </c>
      <c r="K824">
        <v>50.7</v>
      </c>
      <c r="L824">
        <v>49.1</v>
      </c>
      <c r="M824" s="175">
        <v>0.27</v>
      </c>
      <c r="N824" t="s">
        <v>3703</v>
      </c>
    </row>
    <row r="825" spans="1:14">
      <c r="A825">
        <v>2528</v>
      </c>
      <c r="B825" t="s">
        <v>786</v>
      </c>
      <c r="C825">
        <v>18.649999999999999</v>
      </c>
      <c r="D825">
        <v>18.5</v>
      </c>
      <c r="E825" s="178">
        <v>0.05</v>
      </c>
      <c r="F825" s="176">
        <v>0.27</v>
      </c>
      <c r="G825" t="s">
        <v>5599</v>
      </c>
      <c r="H825">
        <v>341</v>
      </c>
      <c r="I825">
        <v>264</v>
      </c>
      <c r="J825">
        <v>50.28</v>
      </c>
      <c r="K825">
        <v>18.75</v>
      </c>
      <c r="L825">
        <v>18.45</v>
      </c>
      <c r="M825" s="175">
        <v>7.0000000000000007E-2</v>
      </c>
      <c r="N825" t="s">
        <v>3704</v>
      </c>
    </row>
    <row r="826" spans="1:14">
      <c r="A826">
        <v>2530</v>
      </c>
      <c r="B826" t="s">
        <v>787</v>
      </c>
      <c r="C826">
        <v>20.8</v>
      </c>
      <c r="D826">
        <v>20.8</v>
      </c>
      <c r="E826" s="178">
        <v>0</v>
      </c>
      <c r="F826" s="176">
        <v>0</v>
      </c>
      <c r="G826" t="s">
        <v>6244</v>
      </c>
      <c r="H826">
        <v>827</v>
      </c>
      <c r="I826">
        <v>608</v>
      </c>
      <c r="J826">
        <v>84.13</v>
      </c>
      <c r="K826">
        <v>21.3</v>
      </c>
      <c r="L826">
        <v>20.65</v>
      </c>
      <c r="M826" s="175">
        <v>0.1</v>
      </c>
      <c r="N826" t="s">
        <v>3696</v>
      </c>
    </row>
    <row r="827" spans="1:14">
      <c r="A827">
        <v>2534</v>
      </c>
      <c r="B827" t="s">
        <v>788</v>
      </c>
      <c r="C827">
        <v>16.600000000000001</v>
      </c>
      <c r="D827">
        <v>16.399999999999999</v>
      </c>
      <c r="E827" s="178">
        <v>-0.2</v>
      </c>
      <c r="F827" s="176">
        <v>-1.2</v>
      </c>
      <c r="G827" t="s">
        <v>6245</v>
      </c>
      <c r="H827">
        <v>884</v>
      </c>
      <c r="I827">
        <v>238</v>
      </c>
      <c r="J827">
        <v>47.42</v>
      </c>
      <c r="K827">
        <v>16.600000000000001</v>
      </c>
      <c r="L827">
        <v>16.350000000000001</v>
      </c>
      <c r="M827" s="175">
        <v>0.19</v>
      </c>
      <c r="N827" t="s">
        <v>3705</v>
      </c>
    </row>
    <row r="828" spans="1:14">
      <c r="A828">
        <v>2535</v>
      </c>
      <c r="B828" t="s">
        <v>789</v>
      </c>
      <c r="C828">
        <v>89.1</v>
      </c>
      <c r="D828">
        <v>89.3</v>
      </c>
      <c r="E828" s="178">
        <v>-0.1</v>
      </c>
      <c r="F828" s="176">
        <v>-0.11</v>
      </c>
      <c r="G828" t="s">
        <v>6246</v>
      </c>
      <c r="H828">
        <v>256</v>
      </c>
      <c r="I828">
        <v>279</v>
      </c>
      <c r="J828">
        <v>27.08</v>
      </c>
      <c r="K828">
        <v>89.9</v>
      </c>
      <c r="L828">
        <v>88.7</v>
      </c>
      <c r="M828" s="175">
        <v>0.09</v>
      </c>
      <c r="N828" t="s">
        <v>3706</v>
      </c>
    </row>
    <row r="829" spans="1:14">
      <c r="A829">
        <v>2536</v>
      </c>
      <c r="B829" t="s">
        <v>790</v>
      </c>
      <c r="C829">
        <v>18.149999999999999</v>
      </c>
      <c r="D829">
        <v>18.2</v>
      </c>
      <c r="E829" s="178">
        <v>-0.15</v>
      </c>
      <c r="F829" s="176">
        <v>-0.82</v>
      </c>
      <c r="G829" t="s">
        <v>5297</v>
      </c>
      <c r="H829">
        <v>334</v>
      </c>
      <c r="I829">
        <v>530</v>
      </c>
      <c r="J829">
        <v>33.28</v>
      </c>
      <c r="K829">
        <v>18.45</v>
      </c>
      <c r="L829">
        <v>18.149999999999999</v>
      </c>
      <c r="M829" s="175">
        <v>0.1</v>
      </c>
      <c r="N829" t="s">
        <v>3707</v>
      </c>
    </row>
    <row r="830" spans="1:14">
      <c r="A830">
        <v>2537</v>
      </c>
      <c r="B830" t="s">
        <v>791</v>
      </c>
      <c r="C830">
        <v>10.9</v>
      </c>
      <c r="D830">
        <v>10.9</v>
      </c>
      <c r="E830" s="178">
        <v>0</v>
      </c>
      <c r="F830" s="176">
        <v>0</v>
      </c>
      <c r="G830" t="s">
        <v>6247</v>
      </c>
      <c r="H830">
        <v>702</v>
      </c>
      <c r="I830">
        <v>355</v>
      </c>
      <c r="J830">
        <v>30.06</v>
      </c>
      <c r="K830">
        <v>10.95</v>
      </c>
      <c r="L830">
        <v>10.9</v>
      </c>
      <c r="M830" s="175">
        <v>0.23</v>
      </c>
      <c r="N830" t="s">
        <v>3708</v>
      </c>
    </row>
    <row r="831" spans="1:14">
      <c r="A831">
        <v>2538</v>
      </c>
      <c r="B831" t="s">
        <v>792</v>
      </c>
      <c r="C831">
        <v>8.86</v>
      </c>
      <c r="D831">
        <v>8.6999999999999993</v>
      </c>
      <c r="E831" s="178">
        <v>-0.12</v>
      </c>
      <c r="F831" s="176">
        <v>-1.36</v>
      </c>
      <c r="G831" t="s">
        <v>6248</v>
      </c>
      <c r="H831">
        <v>450</v>
      </c>
      <c r="I831">
        <v>243</v>
      </c>
      <c r="J831">
        <v>44.5</v>
      </c>
      <c r="K831">
        <v>8.86</v>
      </c>
      <c r="L831">
        <v>8.69</v>
      </c>
      <c r="M831" s="175">
        <v>0.1</v>
      </c>
      <c r="N831" t="s">
        <v>3707</v>
      </c>
    </row>
    <row r="832" spans="1:14">
      <c r="A832">
        <v>2539</v>
      </c>
      <c r="B832" t="s">
        <v>793</v>
      </c>
      <c r="C832">
        <v>34</v>
      </c>
      <c r="D832">
        <v>33.9</v>
      </c>
      <c r="E832" s="178">
        <v>0.05</v>
      </c>
      <c r="F832" s="176">
        <v>0.15</v>
      </c>
      <c r="G832" t="s">
        <v>6249</v>
      </c>
      <c r="H832">
        <v>1314</v>
      </c>
      <c r="I832">
        <v>597</v>
      </c>
      <c r="J832">
        <v>145.56</v>
      </c>
      <c r="K832">
        <v>34.35</v>
      </c>
      <c r="L832">
        <v>33.799999999999997</v>
      </c>
      <c r="M832" s="175">
        <v>0.09</v>
      </c>
      <c r="N832" t="s">
        <v>3709</v>
      </c>
    </row>
    <row r="833" spans="1:14">
      <c r="A833">
        <v>2540</v>
      </c>
      <c r="B833" t="s">
        <v>794</v>
      </c>
      <c r="C833">
        <v>50</v>
      </c>
      <c r="D833">
        <v>49.25</v>
      </c>
      <c r="E833" s="178">
        <v>-0.5</v>
      </c>
      <c r="F833" s="176">
        <v>-1.01</v>
      </c>
      <c r="G833" t="s">
        <v>6250</v>
      </c>
      <c r="H833">
        <v>685</v>
      </c>
      <c r="I833">
        <v>436</v>
      </c>
      <c r="J833">
        <v>94.49</v>
      </c>
      <c r="K833">
        <v>50.1</v>
      </c>
      <c r="L833">
        <v>49.25</v>
      </c>
      <c r="M833" s="175">
        <v>7.0000000000000007E-2</v>
      </c>
      <c r="N833" t="s">
        <v>3710</v>
      </c>
    </row>
    <row r="834" spans="1:14">
      <c r="A834">
        <v>2542</v>
      </c>
      <c r="B834" t="s">
        <v>795</v>
      </c>
      <c r="C834">
        <v>39.700000000000003</v>
      </c>
      <c r="D834">
        <v>39.35</v>
      </c>
      <c r="E834" s="178">
        <v>-0.35</v>
      </c>
      <c r="F834" s="176">
        <v>-0.88</v>
      </c>
      <c r="G834" t="s">
        <v>6251</v>
      </c>
      <c r="H834">
        <v>10307</v>
      </c>
      <c r="I834">
        <v>8692</v>
      </c>
      <c r="J834">
        <v>215.31</v>
      </c>
      <c r="K834">
        <v>39.85</v>
      </c>
      <c r="L834">
        <v>39.299999999999997</v>
      </c>
      <c r="M834" s="175">
        <v>0.48</v>
      </c>
      <c r="N834" t="s">
        <v>3711</v>
      </c>
    </row>
    <row r="835" spans="1:14">
      <c r="A835">
        <v>2543</v>
      </c>
      <c r="B835" t="s">
        <v>796</v>
      </c>
      <c r="C835">
        <v>39.299999999999997</v>
      </c>
      <c r="D835">
        <v>38.4</v>
      </c>
      <c r="E835" s="178">
        <v>-0.9</v>
      </c>
      <c r="F835" s="176">
        <v>-2.29</v>
      </c>
      <c r="G835" t="s">
        <v>6252</v>
      </c>
      <c r="H835">
        <v>1045</v>
      </c>
      <c r="I835">
        <v>904</v>
      </c>
      <c r="J835">
        <v>52.85</v>
      </c>
      <c r="K835">
        <v>39.799999999999997</v>
      </c>
      <c r="L835">
        <v>38.4</v>
      </c>
      <c r="M835" s="175">
        <v>0.2</v>
      </c>
      <c r="N835" t="s">
        <v>3712</v>
      </c>
    </row>
    <row r="836" spans="1:14">
      <c r="A836">
        <v>2545</v>
      </c>
      <c r="B836" t="s">
        <v>797</v>
      </c>
      <c r="C836">
        <v>34.700000000000003</v>
      </c>
      <c r="D836">
        <v>34.75</v>
      </c>
      <c r="E836" s="178">
        <v>0</v>
      </c>
      <c r="F836" s="176">
        <v>0</v>
      </c>
      <c r="G836" t="s">
        <v>5356</v>
      </c>
      <c r="H836">
        <v>212</v>
      </c>
      <c r="I836">
        <v>202</v>
      </c>
      <c r="J836">
        <v>37.97</v>
      </c>
      <c r="K836">
        <v>34.950000000000003</v>
      </c>
      <c r="L836">
        <v>34.6</v>
      </c>
      <c r="M836" s="175">
        <v>0.06</v>
      </c>
      <c r="N836" t="s">
        <v>3713</v>
      </c>
    </row>
    <row r="837" spans="1:14">
      <c r="A837">
        <v>2546</v>
      </c>
      <c r="B837" t="s">
        <v>798</v>
      </c>
      <c r="C837">
        <v>106.5</v>
      </c>
      <c r="D837">
        <v>105.5</v>
      </c>
      <c r="E837" s="178">
        <v>-2</v>
      </c>
      <c r="F837" s="176">
        <v>-1.86</v>
      </c>
      <c r="G837" t="s">
        <v>6253</v>
      </c>
      <c r="H837">
        <v>219</v>
      </c>
      <c r="I837">
        <v>145</v>
      </c>
      <c r="J837">
        <v>14.62</v>
      </c>
      <c r="K837">
        <v>107.5</v>
      </c>
      <c r="L837">
        <v>104.5</v>
      </c>
      <c r="M837" s="175">
        <v>0.15</v>
      </c>
      <c r="N837" t="s">
        <v>3714</v>
      </c>
    </row>
    <row r="838" spans="1:14">
      <c r="A838">
        <v>2547</v>
      </c>
      <c r="B838" t="s">
        <v>799</v>
      </c>
      <c r="C838">
        <v>9.9</v>
      </c>
      <c r="D838">
        <v>9.86</v>
      </c>
      <c r="E838" s="178">
        <v>-0.02</v>
      </c>
      <c r="F838" s="176">
        <v>-0.2</v>
      </c>
      <c r="G838" t="s">
        <v>6254</v>
      </c>
      <c r="H838">
        <v>773</v>
      </c>
      <c r="I838">
        <v>903</v>
      </c>
      <c r="J838">
        <v>103.51</v>
      </c>
      <c r="K838">
        <v>9.93</v>
      </c>
      <c r="L838">
        <v>9.85</v>
      </c>
      <c r="M838" s="175">
        <v>7.0000000000000007E-2</v>
      </c>
      <c r="N838" t="s">
        <v>3715</v>
      </c>
    </row>
    <row r="839" spans="1:14">
      <c r="A839">
        <v>2548</v>
      </c>
      <c r="B839" t="s">
        <v>800</v>
      </c>
      <c r="C839">
        <v>91.3</v>
      </c>
      <c r="D839">
        <v>91.2</v>
      </c>
      <c r="E839" s="178">
        <v>-0.1</v>
      </c>
      <c r="F839" s="176">
        <v>-0.11</v>
      </c>
      <c r="G839" t="s">
        <v>6255</v>
      </c>
      <c r="H839">
        <v>858</v>
      </c>
      <c r="I839">
        <v>765</v>
      </c>
      <c r="J839">
        <v>33.57</v>
      </c>
      <c r="K839">
        <v>92.1</v>
      </c>
      <c r="L839">
        <v>91.2</v>
      </c>
      <c r="M839" s="175">
        <v>0.26</v>
      </c>
      <c r="N839" t="s">
        <v>3716</v>
      </c>
    </row>
    <row r="840" spans="1:14">
      <c r="A840">
        <v>2596</v>
      </c>
      <c r="B840" t="s">
        <v>801</v>
      </c>
      <c r="C840">
        <v>33.700000000000003</v>
      </c>
      <c r="D840">
        <v>33.299999999999997</v>
      </c>
      <c r="E840" s="178">
        <v>-0.4</v>
      </c>
      <c r="F840" s="176">
        <v>-1.19</v>
      </c>
      <c r="G840" t="s">
        <v>5310</v>
      </c>
      <c r="H840">
        <v>34</v>
      </c>
      <c r="I840">
        <v>58</v>
      </c>
      <c r="J840">
        <v>10</v>
      </c>
      <c r="K840">
        <v>33.85</v>
      </c>
      <c r="L840">
        <v>33.049999999999997</v>
      </c>
      <c r="M840" s="175">
        <v>0.03</v>
      </c>
      <c r="N840" t="s">
        <v>3717</v>
      </c>
    </row>
    <row r="841" spans="1:14">
      <c r="A841">
        <v>2597</v>
      </c>
      <c r="B841" t="s">
        <v>802</v>
      </c>
      <c r="C841">
        <v>164</v>
      </c>
      <c r="D841">
        <v>163.5</v>
      </c>
      <c r="E841" s="178">
        <v>-0.5</v>
      </c>
      <c r="F841" s="176">
        <v>-0.3</v>
      </c>
      <c r="G841" t="s">
        <v>6256</v>
      </c>
      <c r="H841">
        <v>271</v>
      </c>
      <c r="I841">
        <v>145</v>
      </c>
      <c r="J841">
        <v>31.07</v>
      </c>
      <c r="K841">
        <v>165</v>
      </c>
      <c r="L841">
        <v>163</v>
      </c>
      <c r="M841" s="175">
        <v>0.09</v>
      </c>
      <c r="N841" t="s">
        <v>3718</v>
      </c>
    </row>
    <row r="842" spans="1:14">
      <c r="A842">
        <v>2601</v>
      </c>
      <c r="B842" t="s">
        <v>5265</v>
      </c>
      <c r="C842">
        <v>6.05</v>
      </c>
      <c r="D842">
        <v>6</v>
      </c>
      <c r="E842" s="178">
        <v>-0.05</v>
      </c>
      <c r="F842" s="176">
        <v>-0.83</v>
      </c>
      <c r="G842" t="s">
        <v>5287</v>
      </c>
      <c r="H842">
        <v>2337</v>
      </c>
      <c r="I842">
        <v>2554</v>
      </c>
      <c r="J842">
        <v>69.040000000000006</v>
      </c>
      <c r="K842">
        <v>6.07</v>
      </c>
      <c r="L842">
        <v>5.99</v>
      </c>
      <c r="M842" s="175">
        <v>0.34</v>
      </c>
      <c r="N842" t="s">
        <v>5266</v>
      </c>
    </row>
    <row r="843" spans="1:14">
      <c r="A843">
        <v>2603</v>
      </c>
      <c r="B843" t="s">
        <v>241</v>
      </c>
      <c r="C843">
        <v>260.5</v>
      </c>
      <c r="D843">
        <v>257</v>
      </c>
      <c r="E843" s="178">
        <v>-6</v>
      </c>
      <c r="F843" s="176">
        <v>-2.2799999999999998</v>
      </c>
      <c r="G843" t="s">
        <v>5690</v>
      </c>
      <c r="H843">
        <v>14959</v>
      </c>
      <c r="I843">
        <v>27369</v>
      </c>
      <c r="J843">
        <v>216.5</v>
      </c>
      <c r="K843">
        <v>261</v>
      </c>
      <c r="L843">
        <v>254.5</v>
      </c>
      <c r="M843" s="175">
        <v>0.69</v>
      </c>
      <c r="N843" t="s">
        <v>3719</v>
      </c>
    </row>
    <row r="844" spans="1:14">
      <c r="A844">
        <v>2605</v>
      </c>
      <c r="B844" t="s">
        <v>803</v>
      </c>
      <c r="C844">
        <v>36.950000000000003</v>
      </c>
      <c r="D844">
        <v>36</v>
      </c>
      <c r="E844" s="178">
        <v>-1.05</v>
      </c>
      <c r="F844" s="176">
        <v>-2.83</v>
      </c>
      <c r="G844" t="s">
        <v>6237</v>
      </c>
      <c r="H844">
        <v>5607</v>
      </c>
      <c r="I844">
        <v>8538</v>
      </c>
      <c r="J844">
        <v>58.54</v>
      </c>
      <c r="K844">
        <v>37.200000000000003</v>
      </c>
      <c r="L844">
        <v>36</v>
      </c>
      <c r="M844" s="175">
        <v>0.96</v>
      </c>
      <c r="N844" t="s">
        <v>3720</v>
      </c>
    </row>
    <row r="845" spans="1:14">
      <c r="A845">
        <v>2606</v>
      </c>
      <c r="B845" t="s">
        <v>804</v>
      </c>
      <c r="C845">
        <v>77.099999999999994</v>
      </c>
      <c r="D845">
        <v>76</v>
      </c>
      <c r="E845" s="178">
        <v>-2.2000000000000002</v>
      </c>
      <c r="F845" s="176">
        <v>-2.81</v>
      </c>
      <c r="G845" t="s">
        <v>5388</v>
      </c>
      <c r="H845">
        <v>3820</v>
      </c>
      <c r="I845">
        <v>3257</v>
      </c>
      <c r="J845">
        <v>84.51</v>
      </c>
      <c r="K845">
        <v>77.5</v>
      </c>
      <c r="L845">
        <v>75.8</v>
      </c>
      <c r="M845" s="175">
        <v>0.45</v>
      </c>
      <c r="N845" t="s">
        <v>3721</v>
      </c>
    </row>
    <row r="846" spans="1:14">
      <c r="A846">
        <v>2607</v>
      </c>
      <c r="B846" t="s">
        <v>2909</v>
      </c>
      <c r="C846">
        <v>58.7</v>
      </c>
      <c r="D846">
        <v>58</v>
      </c>
      <c r="E846" s="178">
        <v>-0.8</v>
      </c>
      <c r="F846" s="176">
        <v>-1.36</v>
      </c>
      <c r="G846" t="s">
        <v>6257</v>
      </c>
      <c r="H846">
        <v>1199</v>
      </c>
      <c r="I846">
        <v>1207</v>
      </c>
      <c r="J846">
        <v>53.36</v>
      </c>
      <c r="K846">
        <v>59.1</v>
      </c>
      <c r="L846">
        <v>58</v>
      </c>
      <c r="M846" s="175">
        <v>0.22</v>
      </c>
      <c r="N846" t="s">
        <v>3722</v>
      </c>
    </row>
    <row r="847" spans="1:14">
      <c r="A847">
        <v>2608</v>
      </c>
      <c r="B847" t="s">
        <v>805</v>
      </c>
      <c r="C847">
        <v>28.95</v>
      </c>
      <c r="D847">
        <v>28.95</v>
      </c>
      <c r="E847" s="178">
        <v>0.05</v>
      </c>
      <c r="F847" s="176">
        <v>0.17</v>
      </c>
      <c r="G847" t="s">
        <v>5798</v>
      </c>
      <c r="H847">
        <v>332</v>
      </c>
      <c r="I847">
        <v>253</v>
      </c>
      <c r="J847">
        <v>46.7</v>
      </c>
      <c r="K847">
        <v>29</v>
      </c>
      <c r="L847">
        <v>28.75</v>
      </c>
      <c r="M847" s="175">
        <v>7.0000000000000007E-2</v>
      </c>
      <c r="N847" t="s">
        <v>3723</v>
      </c>
    </row>
    <row r="848" spans="1:14">
      <c r="A848">
        <v>2609</v>
      </c>
      <c r="B848" t="s">
        <v>806</v>
      </c>
      <c r="C848">
        <v>65</v>
      </c>
      <c r="D848">
        <v>63.3</v>
      </c>
      <c r="E848" s="178">
        <v>-1.7</v>
      </c>
      <c r="F848" s="176">
        <v>-2.62</v>
      </c>
      <c r="G848" t="s">
        <v>5569</v>
      </c>
      <c r="H848">
        <v>31213</v>
      </c>
      <c r="I848">
        <v>52505</v>
      </c>
      <c r="J848">
        <v>349.21</v>
      </c>
      <c r="K848">
        <v>65.3</v>
      </c>
      <c r="L848">
        <v>63</v>
      </c>
      <c r="M848" s="175">
        <v>0.89</v>
      </c>
      <c r="N848" t="s">
        <v>3724</v>
      </c>
    </row>
    <row r="849" spans="1:14">
      <c r="A849">
        <v>2610</v>
      </c>
      <c r="B849" t="s">
        <v>247</v>
      </c>
      <c r="C849">
        <v>20.55</v>
      </c>
      <c r="D849">
        <v>20.55</v>
      </c>
      <c r="E849" s="178">
        <v>-0.1</v>
      </c>
      <c r="F849" s="176">
        <v>-0.48</v>
      </c>
      <c r="G849" t="s">
        <v>6258</v>
      </c>
      <c r="H849">
        <v>16994</v>
      </c>
      <c r="I849">
        <v>13833</v>
      </c>
      <c r="J849">
        <v>614.5</v>
      </c>
      <c r="K849">
        <v>20.6</v>
      </c>
      <c r="L849">
        <v>20.399999999999999</v>
      </c>
      <c r="M849" s="175">
        <v>0.28000000000000003</v>
      </c>
      <c r="N849" t="s">
        <v>3725</v>
      </c>
    </row>
    <row r="850" spans="1:14">
      <c r="A850">
        <v>2611</v>
      </c>
      <c r="B850" t="s">
        <v>807</v>
      </c>
      <c r="C850">
        <v>16.55</v>
      </c>
      <c r="D850">
        <v>16.399999999999999</v>
      </c>
      <c r="E850" s="178">
        <v>-0.15</v>
      </c>
      <c r="F850" s="176">
        <v>-0.91</v>
      </c>
      <c r="G850" t="s">
        <v>6259</v>
      </c>
      <c r="H850">
        <v>1336</v>
      </c>
      <c r="I850">
        <v>1583</v>
      </c>
      <c r="J850">
        <v>18.899999999999999</v>
      </c>
      <c r="K850">
        <v>16.7</v>
      </c>
      <c r="L850">
        <v>16.100000000000001</v>
      </c>
      <c r="M850" s="175">
        <v>0.71</v>
      </c>
      <c r="N850" t="s">
        <v>3726</v>
      </c>
    </row>
    <row r="851" spans="1:14">
      <c r="A851">
        <v>2612</v>
      </c>
      <c r="B851" t="s">
        <v>808</v>
      </c>
      <c r="C851">
        <v>60.9</v>
      </c>
      <c r="D851">
        <v>60.8</v>
      </c>
      <c r="E851" s="178">
        <v>-1.5</v>
      </c>
      <c r="F851" s="176">
        <v>-2.41</v>
      </c>
      <c r="G851" t="s">
        <v>6260</v>
      </c>
      <c r="H851">
        <v>523</v>
      </c>
      <c r="I851">
        <v>451</v>
      </c>
      <c r="J851">
        <v>19.75</v>
      </c>
      <c r="K851">
        <v>61.6</v>
      </c>
      <c r="L851">
        <v>60.3</v>
      </c>
      <c r="M851" s="175">
        <v>0.26</v>
      </c>
      <c r="N851" t="s">
        <v>3727</v>
      </c>
    </row>
    <row r="852" spans="1:14">
      <c r="A852">
        <v>2613</v>
      </c>
      <c r="B852" t="s">
        <v>809</v>
      </c>
      <c r="C852">
        <v>22.8</v>
      </c>
      <c r="D852">
        <v>22.35</v>
      </c>
      <c r="E852" s="178">
        <v>-0.45</v>
      </c>
      <c r="F852" s="176">
        <v>-1.97</v>
      </c>
      <c r="G852" t="s">
        <v>6261</v>
      </c>
      <c r="H852">
        <v>301</v>
      </c>
      <c r="I852">
        <v>768</v>
      </c>
      <c r="J852">
        <v>14.84</v>
      </c>
      <c r="K852">
        <v>22.8</v>
      </c>
      <c r="L852">
        <v>22.15</v>
      </c>
      <c r="M852" s="175">
        <v>0.2</v>
      </c>
      <c r="N852" t="s">
        <v>3728</v>
      </c>
    </row>
    <row r="853" spans="1:14">
      <c r="A853">
        <v>2614</v>
      </c>
      <c r="B853" t="s">
        <v>2289</v>
      </c>
      <c r="C853">
        <v>15.1</v>
      </c>
      <c r="D853">
        <v>15.05</v>
      </c>
      <c r="E853" s="178">
        <v>-0.1</v>
      </c>
      <c r="F853" s="176">
        <v>-0.66</v>
      </c>
      <c r="G853" t="s">
        <v>6262</v>
      </c>
      <c r="H853">
        <v>841</v>
      </c>
      <c r="I853">
        <v>1662</v>
      </c>
      <c r="J853">
        <v>47.84</v>
      </c>
      <c r="K853">
        <v>15.15</v>
      </c>
      <c r="L853">
        <v>15</v>
      </c>
      <c r="M853" s="175">
        <v>0.18</v>
      </c>
      <c r="N853" t="s">
        <v>3729</v>
      </c>
    </row>
    <row r="854" spans="1:14">
      <c r="A854">
        <v>2615</v>
      </c>
      <c r="B854" t="s">
        <v>248</v>
      </c>
      <c r="C854">
        <v>124.5</v>
      </c>
      <c r="D854">
        <v>119</v>
      </c>
      <c r="E854" s="178">
        <v>-6</v>
      </c>
      <c r="F854" s="176">
        <v>-4.8</v>
      </c>
      <c r="G854" t="s">
        <v>5511</v>
      </c>
      <c r="H854">
        <v>17340</v>
      </c>
      <c r="I854">
        <v>27036</v>
      </c>
      <c r="J854">
        <v>280.61</v>
      </c>
      <c r="K854">
        <v>126</v>
      </c>
      <c r="L854">
        <v>119</v>
      </c>
      <c r="M854" s="175">
        <v>0.62</v>
      </c>
      <c r="N854" t="s">
        <v>3730</v>
      </c>
    </row>
    <row r="855" spans="1:14">
      <c r="A855">
        <v>2616</v>
      </c>
      <c r="B855" t="s">
        <v>810</v>
      </c>
      <c r="C855">
        <v>13.15</v>
      </c>
      <c r="D855">
        <v>13.15</v>
      </c>
      <c r="E855" s="178">
        <v>0</v>
      </c>
      <c r="F855" s="176">
        <v>0</v>
      </c>
      <c r="G855" t="s">
        <v>6263</v>
      </c>
      <c r="H855">
        <v>68</v>
      </c>
      <c r="I855">
        <v>123</v>
      </c>
      <c r="J855">
        <v>13.73</v>
      </c>
      <c r="K855">
        <v>13.2</v>
      </c>
      <c r="L855">
        <v>13.1</v>
      </c>
      <c r="M855" s="175">
        <v>0.05</v>
      </c>
      <c r="N855" t="s">
        <v>3731</v>
      </c>
    </row>
    <row r="856" spans="1:14">
      <c r="A856">
        <v>2617</v>
      </c>
      <c r="B856" t="s">
        <v>811</v>
      </c>
      <c r="C856">
        <v>32.549999999999997</v>
      </c>
      <c r="D856">
        <v>32.35</v>
      </c>
      <c r="E856" s="178">
        <v>-0.45</v>
      </c>
      <c r="F856" s="176">
        <v>-1.37</v>
      </c>
      <c r="G856" t="s">
        <v>6264</v>
      </c>
      <c r="H856">
        <v>765</v>
      </c>
      <c r="I856">
        <v>926</v>
      </c>
      <c r="J856">
        <v>41.73</v>
      </c>
      <c r="K856">
        <v>32.799999999999997</v>
      </c>
      <c r="L856">
        <v>32.200000000000003</v>
      </c>
      <c r="M856" s="175">
        <v>0.18</v>
      </c>
      <c r="N856" t="s">
        <v>3732</v>
      </c>
    </row>
    <row r="857" spans="1:14">
      <c r="A857">
        <v>2618</v>
      </c>
      <c r="B857" t="s">
        <v>1553</v>
      </c>
      <c r="C857">
        <v>43.3</v>
      </c>
      <c r="D857">
        <v>43.45</v>
      </c>
      <c r="E857" s="178">
        <v>0.05</v>
      </c>
      <c r="F857" s="176">
        <v>0.12</v>
      </c>
      <c r="G857" t="s">
        <v>6265</v>
      </c>
      <c r="H857">
        <v>20207</v>
      </c>
      <c r="I857">
        <v>16164</v>
      </c>
      <c r="J857">
        <v>540.04</v>
      </c>
      <c r="K857">
        <v>43.5</v>
      </c>
      <c r="L857">
        <v>42.9</v>
      </c>
      <c r="M857" s="175">
        <v>0.37</v>
      </c>
      <c r="N857" t="s">
        <v>3725</v>
      </c>
    </row>
    <row r="858" spans="1:14">
      <c r="A858">
        <v>2630</v>
      </c>
      <c r="B858" t="s">
        <v>387</v>
      </c>
      <c r="C858">
        <v>44.9</v>
      </c>
      <c r="D858">
        <v>44</v>
      </c>
      <c r="E858" s="178">
        <v>-1.05</v>
      </c>
      <c r="F858" s="176">
        <v>-2.33</v>
      </c>
      <c r="G858" t="s">
        <v>5472</v>
      </c>
      <c r="H858">
        <v>586</v>
      </c>
      <c r="I858">
        <v>469</v>
      </c>
      <c r="J858">
        <v>20.94</v>
      </c>
      <c r="K858">
        <v>44.9</v>
      </c>
      <c r="L858">
        <v>43.95</v>
      </c>
      <c r="M858" s="175">
        <v>0.28000000000000003</v>
      </c>
      <c r="N858" t="s">
        <v>3733</v>
      </c>
    </row>
    <row r="859" spans="1:14">
      <c r="A859">
        <v>2633</v>
      </c>
      <c r="B859" t="s">
        <v>812</v>
      </c>
      <c r="C859">
        <v>26</v>
      </c>
      <c r="D859">
        <v>26.2</v>
      </c>
      <c r="E859" s="178">
        <v>0.2</v>
      </c>
      <c r="F859" s="176">
        <v>0.77</v>
      </c>
      <c r="G859" t="s">
        <v>5224</v>
      </c>
      <c r="H859">
        <v>6413</v>
      </c>
      <c r="I859">
        <v>3463</v>
      </c>
      <c r="J859">
        <v>562.83000000000004</v>
      </c>
      <c r="K859">
        <v>26.2</v>
      </c>
      <c r="L859">
        <v>25.9</v>
      </c>
      <c r="M859" s="175">
        <v>0.24</v>
      </c>
      <c r="N859" t="s">
        <v>3734</v>
      </c>
    </row>
    <row r="860" spans="1:14">
      <c r="A860">
        <v>2634</v>
      </c>
      <c r="B860" t="s">
        <v>249</v>
      </c>
      <c r="C860">
        <v>61.6</v>
      </c>
      <c r="D860">
        <v>60.7</v>
      </c>
      <c r="E860" s="178">
        <v>-1.4</v>
      </c>
      <c r="F860" s="176">
        <v>-2.25</v>
      </c>
      <c r="G860" t="s">
        <v>5484</v>
      </c>
      <c r="H860">
        <v>6400</v>
      </c>
      <c r="I860">
        <v>4836</v>
      </c>
      <c r="J860">
        <v>94.19</v>
      </c>
      <c r="K860">
        <v>61.6</v>
      </c>
      <c r="L860">
        <v>60.5</v>
      </c>
      <c r="M860" s="175">
        <v>0.68</v>
      </c>
      <c r="N860" t="s">
        <v>3735</v>
      </c>
    </row>
    <row r="861" spans="1:14">
      <c r="A861">
        <v>2636</v>
      </c>
      <c r="B861" t="s">
        <v>2619</v>
      </c>
      <c r="C861">
        <v>73</v>
      </c>
      <c r="D861">
        <v>72.5</v>
      </c>
      <c r="E861" s="178">
        <v>-1.1000000000000001</v>
      </c>
      <c r="F861" s="176">
        <v>-1.49</v>
      </c>
      <c r="G861" t="s">
        <v>5731</v>
      </c>
      <c r="H861">
        <v>335</v>
      </c>
      <c r="I861">
        <v>500</v>
      </c>
      <c r="J861">
        <v>14.18</v>
      </c>
      <c r="K861">
        <v>73.400000000000006</v>
      </c>
      <c r="L861">
        <v>71.900000000000006</v>
      </c>
      <c r="M861" s="175">
        <v>0.24</v>
      </c>
      <c r="N861" t="s">
        <v>3736</v>
      </c>
    </row>
    <row r="862" spans="1:14">
      <c r="A862">
        <v>2637</v>
      </c>
      <c r="B862" t="s">
        <v>1554</v>
      </c>
      <c r="C862">
        <v>103.5</v>
      </c>
      <c r="D862">
        <v>101</v>
      </c>
      <c r="E862" s="178">
        <v>-2.5</v>
      </c>
      <c r="F862" s="176">
        <v>-2.42</v>
      </c>
      <c r="G862" t="s">
        <v>5670</v>
      </c>
      <c r="H862">
        <v>1963</v>
      </c>
      <c r="I862">
        <v>3165</v>
      </c>
      <c r="J862">
        <v>74.64</v>
      </c>
      <c r="K862">
        <v>104</v>
      </c>
      <c r="L862">
        <v>100.5</v>
      </c>
      <c r="M862" s="175">
        <v>0.26</v>
      </c>
      <c r="N862" t="s">
        <v>3737</v>
      </c>
    </row>
    <row r="863" spans="1:14">
      <c r="A863">
        <v>2640</v>
      </c>
      <c r="B863" t="s">
        <v>813</v>
      </c>
      <c r="C863">
        <v>159</v>
      </c>
      <c r="D863">
        <v>157</v>
      </c>
      <c r="E863" s="178">
        <v>-3</v>
      </c>
      <c r="F863" s="176">
        <v>-1.88</v>
      </c>
      <c r="G863" t="s">
        <v>5258</v>
      </c>
      <c r="H863">
        <v>26</v>
      </c>
      <c r="I863">
        <v>29</v>
      </c>
      <c r="J863">
        <v>5.93</v>
      </c>
      <c r="K863">
        <v>159</v>
      </c>
      <c r="L863">
        <v>157</v>
      </c>
      <c r="M863" s="175">
        <v>0.04</v>
      </c>
      <c r="N863" t="s">
        <v>3738</v>
      </c>
    </row>
    <row r="864" spans="1:14">
      <c r="A864">
        <v>2641</v>
      </c>
      <c r="B864" t="s">
        <v>2891</v>
      </c>
      <c r="C864">
        <v>17.45</v>
      </c>
      <c r="D864">
        <v>17.149999999999999</v>
      </c>
      <c r="E864" s="178">
        <v>-0.35</v>
      </c>
      <c r="F864" s="176">
        <v>-2</v>
      </c>
      <c r="G864" t="s">
        <v>6266</v>
      </c>
      <c r="H864">
        <v>1438</v>
      </c>
      <c r="I864">
        <v>1190</v>
      </c>
      <c r="J864">
        <v>33.03</v>
      </c>
      <c r="K864">
        <v>17.45</v>
      </c>
      <c r="L864">
        <v>17.100000000000001</v>
      </c>
      <c r="M864" s="175">
        <v>0.44</v>
      </c>
      <c r="N864" t="s">
        <v>3739</v>
      </c>
    </row>
    <row r="865" spans="1:14">
      <c r="A865">
        <v>2642</v>
      </c>
      <c r="B865" t="s">
        <v>814</v>
      </c>
      <c r="C865">
        <v>20.25</v>
      </c>
      <c r="D865">
        <v>20.3</v>
      </c>
      <c r="E865" s="178">
        <v>0.05</v>
      </c>
      <c r="F865" s="176">
        <v>0.25</v>
      </c>
      <c r="G865" t="s">
        <v>5697</v>
      </c>
      <c r="H865">
        <v>43</v>
      </c>
      <c r="I865">
        <v>41</v>
      </c>
      <c r="J865">
        <v>9.5500000000000007</v>
      </c>
      <c r="K865">
        <v>20.399999999999999</v>
      </c>
      <c r="L865">
        <v>20.149999999999999</v>
      </c>
      <c r="M865" s="175">
        <v>0.05</v>
      </c>
      <c r="N865" t="s">
        <v>3740</v>
      </c>
    </row>
    <row r="866" spans="1:14">
      <c r="A866">
        <v>2643</v>
      </c>
      <c r="B866" t="s">
        <v>815</v>
      </c>
      <c r="C866">
        <v>62.3</v>
      </c>
      <c r="D866">
        <v>63</v>
      </c>
      <c r="E866" s="178">
        <v>0.1</v>
      </c>
      <c r="F866" s="176">
        <v>0.16</v>
      </c>
      <c r="G866" t="s">
        <v>6267</v>
      </c>
      <c r="H866">
        <v>8</v>
      </c>
      <c r="I866">
        <v>20</v>
      </c>
      <c r="J866">
        <v>3.5</v>
      </c>
      <c r="K866">
        <v>63</v>
      </c>
      <c r="L866">
        <v>62</v>
      </c>
      <c r="M866" s="175">
        <v>0.02</v>
      </c>
      <c r="N866" t="s">
        <v>3741</v>
      </c>
    </row>
    <row r="867" spans="1:14">
      <c r="A867">
        <v>2645</v>
      </c>
      <c r="B867" t="s">
        <v>1680</v>
      </c>
      <c r="C867">
        <v>172.5</v>
      </c>
      <c r="D867">
        <v>169.5</v>
      </c>
      <c r="E867" s="178">
        <v>-4</v>
      </c>
      <c r="F867" s="176">
        <v>-2.31</v>
      </c>
      <c r="G867" t="s">
        <v>5457</v>
      </c>
      <c r="H867">
        <v>1791</v>
      </c>
      <c r="I867">
        <v>939</v>
      </c>
      <c r="J867">
        <v>37.46</v>
      </c>
      <c r="K867">
        <v>174</v>
      </c>
      <c r="L867">
        <v>168.5</v>
      </c>
      <c r="M867" s="175">
        <v>0.48</v>
      </c>
      <c r="N867" t="s">
        <v>3742</v>
      </c>
    </row>
    <row r="868" spans="1:14">
      <c r="A868">
        <v>2646</v>
      </c>
      <c r="B868" t="s">
        <v>2650</v>
      </c>
      <c r="C868">
        <v>20.25</v>
      </c>
      <c r="D868">
        <v>20.2</v>
      </c>
      <c r="E868" s="178">
        <v>-0.05</v>
      </c>
      <c r="F868" s="176">
        <v>-0.25</v>
      </c>
      <c r="G868" t="s">
        <v>6268</v>
      </c>
      <c r="H868">
        <v>4640</v>
      </c>
      <c r="I868">
        <v>2973</v>
      </c>
      <c r="J868">
        <v>300.87</v>
      </c>
      <c r="K868">
        <v>20.25</v>
      </c>
      <c r="L868">
        <v>20.100000000000001</v>
      </c>
      <c r="M868" s="175">
        <v>0.15</v>
      </c>
      <c r="N868" t="s">
        <v>3743</v>
      </c>
    </row>
    <row r="869" spans="1:14">
      <c r="A869">
        <v>2701</v>
      </c>
      <c r="B869" t="s">
        <v>816</v>
      </c>
      <c r="C869">
        <v>10.35</v>
      </c>
      <c r="D869">
        <v>10.3</v>
      </c>
      <c r="E869" s="178">
        <v>0</v>
      </c>
      <c r="F869" s="176">
        <v>0</v>
      </c>
      <c r="G869" t="s">
        <v>6269</v>
      </c>
      <c r="H869">
        <v>47</v>
      </c>
      <c r="I869">
        <v>45</v>
      </c>
      <c r="J869">
        <v>45</v>
      </c>
      <c r="K869">
        <v>10.35</v>
      </c>
      <c r="L869">
        <v>10.3</v>
      </c>
      <c r="M869" s="175">
        <v>0.01</v>
      </c>
      <c r="N869" t="s">
        <v>3744</v>
      </c>
    </row>
    <row r="870" spans="1:14">
      <c r="A870">
        <v>2702</v>
      </c>
      <c r="B870" t="s">
        <v>817</v>
      </c>
      <c r="C870">
        <v>12.2</v>
      </c>
      <c r="D870">
        <v>12.1</v>
      </c>
      <c r="E870" s="178">
        <v>-0.15</v>
      </c>
      <c r="F870" s="176">
        <v>-1.22</v>
      </c>
      <c r="G870" t="s">
        <v>5711</v>
      </c>
      <c r="H870">
        <v>27</v>
      </c>
      <c r="I870">
        <v>62</v>
      </c>
      <c r="J870">
        <v>15.66</v>
      </c>
      <c r="K870">
        <v>12.25</v>
      </c>
      <c r="L870">
        <v>12.1</v>
      </c>
      <c r="M870" s="175">
        <v>0.02</v>
      </c>
      <c r="N870" t="s">
        <v>3745</v>
      </c>
    </row>
    <row r="871" spans="1:14">
      <c r="A871">
        <v>2704</v>
      </c>
      <c r="B871" t="s">
        <v>818</v>
      </c>
      <c r="C871">
        <v>45.15</v>
      </c>
      <c r="D871">
        <v>45</v>
      </c>
      <c r="E871" s="178">
        <v>-0.05</v>
      </c>
      <c r="F871" s="176">
        <v>-0.11</v>
      </c>
      <c r="G871" t="s">
        <v>5239</v>
      </c>
      <c r="H871">
        <v>71</v>
      </c>
      <c r="I871">
        <v>35</v>
      </c>
      <c r="J871">
        <v>36.69</v>
      </c>
      <c r="K871">
        <v>45.75</v>
      </c>
      <c r="L871">
        <v>44.85</v>
      </c>
      <c r="M871" s="175">
        <v>0.02</v>
      </c>
      <c r="N871" t="s">
        <v>3746</v>
      </c>
    </row>
    <row r="872" spans="1:14">
      <c r="A872">
        <v>2705</v>
      </c>
      <c r="B872" t="s">
        <v>819</v>
      </c>
      <c r="C872">
        <v>15.1</v>
      </c>
      <c r="D872">
        <v>15.1</v>
      </c>
      <c r="E872" s="178">
        <v>0</v>
      </c>
      <c r="F872" s="176">
        <v>0</v>
      </c>
      <c r="G872" t="s">
        <v>5196</v>
      </c>
      <c r="H872">
        <v>74</v>
      </c>
      <c r="I872">
        <v>105</v>
      </c>
      <c r="J872">
        <v>19.13</v>
      </c>
      <c r="K872">
        <v>15.1</v>
      </c>
      <c r="L872">
        <v>15</v>
      </c>
      <c r="M872" s="175">
        <v>0.04</v>
      </c>
      <c r="N872" t="s">
        <v>3747</v>
      </c>
    </row>
    <row r="873" spans="1:14">
      <c r="A873">
        <v>2706</v>
      </c>
      <c r="B873" t="s">
        <v>820</v>
      </c>
      <c r="C873">
        <v>12.25</v>
      </c>
      <c r="D873">
        <v>12.2</v>
      </c>
      <c r="E873" s="178">
        <v>0</v>
      </c>
      <c r="F873" s="176">
        <v>0</v>
      </c>
      <c r="G873" t="s">
        <v>5168</v>
      </c>
      <c r="H873">
        <v>89</v>
      </c>
      <c r="I873">
        <v>144</v>
      </c>
      <c r="J873">
        <v>50</v>
      </c>
      <c r="K873">
        <v>12.25</v>
      </c>
      <c r="L873">
        <v>12.15</v>
      </c>
      <c r="M873" s="175">
        <v>0.02</v>
      </c>
      <c r="N873" t="s">
        <v>3748</v>
      </c>
    </row>
    <row r="874" spans="1:14">
      <c r="A874">
        <v>2707</v>
      </c>
      <c r="B874" t="s">
        <v>821</v>
      </c>
      <c r="C874">
        <v>176.5</v>
      </c>
      <c r="D874">
        <v>178.5</v>
      </c>
      <c r="E874" s="178">
        <v>1.5</v>
      </c>
      <c r="F874" s="176">
        <v>0.85</v>
      </c>
      <c r="G874" t="s">
        <v>6270</v>
      </c>
      <c r="H874">
        <v>340</v>
      </c>
      <c r="I874">
        <v>105</v>
      </c>
      <c r="J874">
        <v>12.74</v>
      </c>
      <c r="K874">
        <v>179</v>
      </c>
      <c r="L874">
        <v>176.5</v>
      </c>
      <c r="M874" s="175">
        <v>0.27</v>
      </c>
      <c r="N874" t="s">
        <v>3749</v>
      </c>
    </row>
    <row r="875" spans="1:14">
      <c r="A875">
        <v>2712</v>
      </c>
      <c r="B875" t="s">
        <v>822</v>
      </c>
      <c r="C875">
        <v>13.35</v>
      </c>
      <c r="D875">
        <v>13.3</v>
      </c>
      <c r="E875" s="178">
        <v>-0.1</v>
      </c>
      <c r="F875" s="176">
        <v>-0.75</v>
      </c>
      <c r="G875" t="s">
        <v>5677</v>
      </c>
      <c r="H875">
        <v>23</v>
      </c>
      <c r="I875">
        <v>20</v>
      </c>
      <c r="J875">
        <v>10.5</v>
      </c>
      <c r="K875">
        <v>13.35</v>
      </c>
      <c r="L875">
        <v>13</v>
      </c>
      <c r="M875" s="175">
        <v>0.02</v>
      </c>
      <c r="N875" t="s">
        <v>3750</v>
      </c>
    </row>
    <row r="876" spans="1:14">
      <c r="A876">
        <v>2718</v>
      </c>
      <c r="B876" t="s">
        <v>2700</v>
      </c>
      <c r="C876">
        <v>39.5</v>
      </c>
      <c r="D876">
        <v>39.4</v>
      </c>
      <c r="E876" s="178">
        <v>-0.35</v>
      </c>
      <c r="F876" s="176">
        <v>-0.88</v>
      </c>
      <c r="G876" t="s">
        <v>5639</v>
      </c>
      <c r="H876">
        <v>22</v>
      </c>
      <c r="I876">
        <v>12</v>
      </c>
      <c r="J876">
        <v>8.76</v>
      </c>
      <c r="K876">
        <v>39.5</v>
      </c>
      <c r="L876">
        <v>39.25</v>
      </c>
      <c r="M876" s="175">
        <v>0.03</v>
      </c>
      <c r="N876" t="s">
        <v>3751</v>
      </c>
    </row>
    <row r="877" spans="1:14">
      <c r="A877">
        <v>2719</v>
      </c>
      <c r="B877" t="s">
        <v>1643</v>
      </c>
      <c r="C877">
        <v>19.149999999999999</v>
      </c>
      <c r="D877">
        <v>19.149999999999999</v>
      </c>
      <c r="E877" s="178">
        <v>0</v>
      </c>
      <c r="F877" s="176">
        <v>0</v>
      </c>
      <c r="G877" t="s">
        <v>6271</v>
      </c>
      <c r="H877">
        <v>5</v>
      </c>
      <c r="I877">
        <v>12</v>
      </c>
      <c r="J877">
        <v>6.95</v>
      </c>
      <c r="K877">
        <v>19.149999999999999</v>
      </c>
      <c r="L877">
        <v>19.149999999999999</v>
      </c>
      <c r="M877" s="175">
        <v>0.01</v>
      </c>
      <c r="N877" t="s">
        <v>3752</v>
      </c>
    </row>
    <row r="878" spans="1:14">
      <c r="A878">
        <v>2722</v>
      </c>
      <c r="B878" t="s">
        <v>823</v>
      </c>
      <c r="C878">
        <v>21.1</v>
      </c>
      <c r="D878">
        <v>20.9</v>
      </c>
      <c r="E878" s="178">
        <v>-0.05</v>
      </c>
      <c r="F878" s="176">
        <v>-0.24</v>
      </c>
      <c r="G878" t="s">
        <v>6272</v>
      </c>
      <c r="H878">
        <v>47</v>
      </c>
      <c r="I878">
        <v>35</v>
      </c>
      <c r="J878">
        <v>14.32</v>
      </c>
      <c r="K878">
        <v>21.15</v>
      </c>
      <c r="L878">
        <v>20.8</v>
      </c>
      <c r="M878" s="175">
        <v>0.03</v>
      </c>
      <c r="N878" t="s">
        <v>3753</v>
      </c>
    </row>
    <row r="879" spans="1:14">
      <c r="A879">
        <v>2723</v>
      </c>
      <c r="B879" t="s">
        <v>824</v>
      </c>
      <c r="C879">
        <v>81.8</v>
      </c>
      <c r="D879">
        <v>82.8</v>
      </c>
      <c r="E879" s="178">
        <v>0.8</v>
      </c>
      <c r="F879" s="176">
        <v>0.98</v>
      </c>
      <c r="G879" t="s">
        <v>6273</v>
      </c>
      <c r="H879">
        <v>494</v>
      </c>
      <c r="I879">
        <v>406</v>
      </c>
      <c r="J879">
        <v>18</v>
      </c>
      <c r="K879">
        <v>83.3</v>
      </c>
      <c r="L879">
        <v>81.099999999999994</v>
      </c>
      <c r="M879" s="175">
        <v>0.27</v>
      </c>
      <c r="N879" t="s">
        <v>3754</v>
      </c>
    </row>
    <row r="880" spans="1:14">
      <c r="A880">
        <v>2724</v>
      </c>
      <c r="B880" t="s">
        <v>2326</v>
      </c>
      <c r="C880" t="s">
        <v>1555</v>
      </c>
      <c r="D880" t="s">
        <v>1555</v>
      </c>
      <c r="E880" s="178" t="s">
        <v>1555</v>
      </c>
      <c r="F880" s="176" t="s">
        <v>1555</v>
      </c>
      <c r="G880" t="s">
        <v>1555</v>
      </c>
      <c r="H880">
        <v>0</v>
      </c>
      <c r="I880">
        <v>5</v>
      </c>
      <c r="J880">
        <v>5.97</v>
      </c>
      <c r="K880" t="s">
        <v>1555</v>
      </c>
      <c r="L880" t="s">
        <v>1555</v>
      </c>
      <c r="M880" s="175">
        <v>0</v>
      </c>
      <c r="N880" t="s">
        <v>3755</v>
      </c>
    </row>
    <row r="881" spans="1:14">
      <c r="A881">
        <v>2726</v>
      </c>
      <c r="B881" t="s">
        <v>2304</v>
      </c>
      <c r="C881">
        <v>7.9</v>
      </c>
      <c r="D881">
        <v>7.92</v>
      </c>
      <c r="E881" s="178">
        <v>-0.05</v>
      </c>
      <c r="F881" s="176">
        <v>-0.63</v>
      </c>
      <c r="G881" t="s">
        <v>6274</v>
      </c>
      <c r="H881">
        <v>64</v>
      </c>
      <c r="I881">
        <v>24</v>
      </c>
      <c r="J881">
        <v>3.77</v>
      </c>
      <c r="K881">
        <v>7.96</v>
      </c>
      <c r="L881">
        <v>7.75</v>
      </c>
      <c r="M881" s="175">
        <v>0.17</v>
      </c>
      <c r="N881" t="s">
        <v>3756</v>
      </c>
    </row>
    <row r="882" spans="1:14">
      <c r="A882">
        <v>2727</v>
      </c>
      <c r="B882" t="s">
        <v>825</v>
      </c>
      <c r="C882">
        <v>240</v>
      </c>
      <c r="D882">
        <v>246</v>
      </c>
      <c r="E882" s="178">
        <v>4</v>
      </c>
      <c r="F882" s="176">
        <v>1.65</v>
      </c>
      <c r="G882" t="s">
        <v>5362</v>
      </c>
      <c r="H882">
        <v>1057</v>
      </c>
      <c r="I882">
        <v>371</v>
      </c>
      <c r="J882">
        <v>8.2899999999999991</v>
      </c>
      <c r="K882">
        <v>248</v>
      </c>
      <c r="L882">
        <v>240</v>
      </c>
      <c r="M882" s="175">
        <v>1.27</v>
      </c>
      <c r="N882" t="s">
        <v>3757</v>
      </c>
    </row>
    <row r="883" spans="1:14">
      <c r="A883">
        <v>2729</v>
      </c>
      <c r="B883" t="s">
        <v>826</v>
      </c>
      <c r="C883">
        <v>156</v>
      </c>
      <c r="D883">
        <v>154</v>
      </c>
      <c r="E883" s="178">
        <v>-4</v>
      </c>
      <c r="F883" s="176">
        <v>-2.5299999999999998</v>
      </c>
      <c r="G883" t="s">
        <v>6275</v>
      </c>
      <c r="H883">
        <v>35</v>
      </c>
      <c r="I883">
        <v>17</v>
      </c>
      <c r="J883">
        <v>4.3</v>
      </c>
      <c r="K883">
        <v>156</v>
      </c>
      <c r="L883">
        <v>153.5</v>
      </c>
      <c r="M883" s="175">
        <v>0.08</v>
      </c>
      <c r="N883" t="s">
        <v>3758</v>
      </c>
    </row>
    <row r="884" spans="1:14">
      <c r="A884">
        <v>2731</v>
      </c>
      <c r="B884" t="s">
        <v>827</v>
      </c>
      <c r="C884">
        <v>142.5</v>
      </c>
      <c r="D884">
        <v>143.5</v>
      </c>
      <c r="E884" s="178">
        <v>1</v>
      </c>
      <c r="F884" s="176">
        <v>0.7</v>
      </c>
      <c r="G884" t="s">
        <v>6276</v>
      </c>
      <c r="H884">
        <v>486</v>
      </c>
      <c r="I884">
        <v>239</v>
      </c>
      <c r="J884">
        <v>9.33</v>
      </c>
      <c r="K884">
        <v>144.5</v>
      </c>
      <c r="L884">
        <v>141.5</v>
      </c>
      <c r="M884" s="175">
        <v>0.52</v>
      </c>
      <c r="N884" t="s">
        <v>3759</v>
      </c>
    </row>
    <row r="885" spans="1:14">
      <c r="A885">
        <v>2732</v>
      </c>
      <c r="B885" t="s">
        <v>828</v>
      </c>
      <c r="C885">
        <v>62.2</v>
      </c>
      <c r="D885">
        <v>62</v>
      </c>
      <c r="E885" s="178">
        <v>-0.5</v>
      </c>
      <c r="F885" s="176">
        <v>-0.8</v>
      </c>
      <c r="G885" t="s">
        <v>6277</v>
      </c>
      <c r="H885">
        <v>45</v>
      </c>
      <c r="I885">
        <v>29</v>
      </c>
      <c r="J885">
        <v>4.6500000000000004</v>
      </c>
      <c r="K885">
        <v>62.3</v>
      </c>
      <c r="L885">
        <v>61.9</v>
      </c>
      <c r="M885" s="175">
        <v>0.1</v>
      </c>
      <c r="N885" t="s">
        <v>3760</v>
      </c>
    </row>
    <row r="886" spans="1:14">
      <c r="A886">
        <v>2734</v>
      </c>
      <c r="B886" t="s">
        <v>829</v>
      </c>
      <c r="C886">
        <v>14.7</v>
      </c>
      <c r="D886">
        <v>14.65</v>
      </c>
      <c r="E886" s="178">
        <v>-0.15</v>
      </c>
      <c r="F886" s="176">
        <v>-1.01</v>
      </c>
      <c r="G886" t="s">
        <v>6278</v>
      </c>
      <c r="H886">
        <v>41</v>
      </c>
      <c r="I886">
        <v>109</v>
      </c>
      <c r="J886">
        <v>5.73</v>
      </c>
      <c r="K886">
        <v>14.7</v>
      </c>
      <c r="L886">
        <v>14.45</v>
      </c>
      <c r="M886" s="175">
        <v>7.0000000000000007E-2</v>
      </c>
      <c r="N886" t="s">
        <v>3761</v>
      </c>
    </row>
    <row r="887" spans="1:14">
      <c r="A887">
        <v>2736</v>
      </c>
      <c r="B887" t="s">
        <v>1611</v>
      </c>
      <c r="C887">
        <v>10.8</v>
      </c>
      <c r="D887">
        <v>10.55</v>
      </c>
      <c r="E887" s="178">
        <v>-0.2</v>
      </c>
      <c r="F887" s="176">
        <v>-1.86</v>
      </c>
      <c r="G887" t="s">
        <v>5368</v>
      </c>
      <c r="H887">
        <v>100</v>
      </c>
      <c r="I887">
        <v>58</v>
      </c>
      <c r="J887">
        <v>8</v>
      </c>
      <c r="K887">
        <v>10.8</v>
      </c>
      <c r="L887">
        <v>10.55</v>
      </c>
      <c r="M887" s="175">
        <v>0.13</v>
      </c>
      <c r="N887" t="s">
        <v>3762</v>
      </c>
    </row>
    <row r="888" spans="1:14">
      <c r="A888">
        <v>2739</v>
      </c>
      <c r="B888" t="s">
        <v>1647</v>
      </c>
      <c r="C888">
        <v>36.15</v>
      </c>
      <c r="D888">
        <v>36.15</v>
      </c>
      <c r="E888" s="178">
        <v>0</v>
      </c>
      <c r="F888" s="176">
        <v>0</v>
      </c>
      <c r="G888" t="s">
        <v>5293</v>
      </c>
      <c r="H888">
        <v>58</v>
      </c>
      <c r="I888">
        <v>39</v>
      </c>
      <c r="J888">
        <v>9.15</v>
      </c>
      <c r="K888">
        <v>36.450000000000003</v>
      </c>
      <c r="L888">
        <v>35.950000000000003</v>
      </c>
      <c r="M888" s="175">
        <v>0.06</v>
      </c>
      <c r="N888" t="s">
        <v>3763</v>
      </c>
    </row>
    <row r="889" spans="1:14">
      <c r="A889">
        <v>2740</v>
      </c>
      <c r="B889" t="s">
        <v>3095</v>
      </c>
      <c r="C889">
        <v>28.25</v>
      </c>
      <c r="D889">
        <v>28.3</v>
      </c>
      <c r="E889" s="178">
        <v>-2.35</v>
      </c>
      <c r="F889" s="176">
        <v>-7.67</v>
      </c>
      <c r="G889" t="s">
        <v>6279</v>
      </c>
      <c r="H889">
        <v>8</v>
      </c>
      <c r="I889">
        <v>6</v>
      </c>
      <c r="J889">
        <v>1.68</v>
      </c>
      <c r="K889">
        <v>30.1</v>
      </c>
      <c r="L889">
        <v>28.25</v>
      </c>
      <c r="M889" s="175">
        <v>0.05</v>
      </c>
      <c r="N889" t="s">
        <v>3764</v>
      </c>
    </row>
    <row r="890" spans="1:14">
      <c r="A890">
        <v>2743</v>
      </c>
      <c r="B890" t="s">
        <v>830</v>
      </c>
      <c r="C890">
        <v>52</v>
      </c>
      <c r="D890">
        <v>50.6</v>
      </c>
      <c r="E890" s="178">
        <v>-1.4</v>
      </c>
      <c r="F890" s="176">
        <v>-2.69</v>
      </c>
      <c r="G890" t="s">
        <v>5474</v>
      </c>
      <c r="H890">
        <v>44</v>
      </c>
      <c r="I890">
        <v>31</v>
      </c>
      <c r="J890">
        <v>4.68</v>
      </c>
      <c r="K890">
        <v>52</v>
      </c>
      <c r="L890">
        <v>50.6</v>
      </c>
      <c r="M890" s="175">
        <v>0.09</v>
      </c>
      <c r="N890" t="s">
        <v>3765</v>
      </c>
    </row>
    <row r="891" spans="1:14">
      <c r="A891">
        <v>2745</v>
      </c>
      <c r="B891" t="s">
        <v>374</v>
      </c>
      <c r="C891">
        <v>86.3</v>
      </c>
      <c r="D891">
        <v>85.5</v>
      </c>
      <c r="E891" s="178">
        <v>-0.5</v>
      </c>
      <c r="F891" s="176">
        <v>-0.57999999999999996</v>
      </c>
      <c r="G891" t="s">
        <v>5292</v>
      </c>
      <c r="H891">
        <v>71</v>
      </c>
      <c r="I891">
        <v>25</v>
      </c>
      <c r="J891">
        <v>3.38</v>
      </c>
      <c r="K891">
        <v>86.4</v>
      </c>
      <c r="L891">
        <v>85</v>
      </c>
      <c r="M891" s="175">
        <v>0.21</v>
      </c>
      <c r="N891" t="s">
        <v>3766</v>
      </c>
    </row>
    <row r="892" spans="1:14">
      <c r="A892">
        <v>2748</v>
      </c>
      <c r="B892" t="s">
        <v>831</v>
      </c>
      <c r="C892">
        <v>39.15</v>
      </c>
      <c r="D892">
        <v>38.450000000000003</v>
      </c>
      <c r="E892" s="178">
        <v>-0.3</v>
      </c>
      <c r="F892" s="176">
        <v>-0.77</v>
      </c>
      <c r="G892" t="s">
        <v>5853</v>
      </c>
      <c r="H892">
        <v>95</v>
      </c>
      <c r="I892">
        <v>35</v>
      </c>
      <c r="J892">
        <v>10.58</v>
      </c>
      <c r="K892">
        <v>39.15</v>
      </c>
      <c r="L892">
        <v>38.35</v>
      </c>
      <c r="M892" s="175">
        <v>0.09</v>
      </c>
      <c r="N892" t="s">
        <v>3767</v>
      </c>
    </row>
    <row r="893" spans="1:14">
      <c r="A893">
        <v>2751</v>
      </c>
      <c r="B893" t="s">
        <v>2611</v>
      </c>
      <c r="C893">
        <v>53.4</v>
      </c>
      <c r="D893">
        <v>52.6</v>
      </c>
      <c r="E893" s="178">
        <v>-0.8</v>
      </c>
      <c r="F893" s="176">
        <v>-1.5</v>
      </c>
      <c r="G893" t="s">
        <v>5672</v>
      </c>
      <c r="H893">
        <v>5</v>
      </c>
      <c r="I893">
        <v>11</v>
      </c>
      <c r="J893">
        <v>1.98</v>
      </c>
      <c r="K893">
        <v>53.4</v>
      </c>
      <c r="L893">
        <v>52.2</v>
      </c>
      <c r="M893" s="175">
        <v>0.03</v>
      </c>
      <c r="N893" t="s">
        <v>3768</v>
      </c>
    </row>
    <row r="894" spans="1:14">
      <c r="A894">
        <v>2752</v>
      </c>
      <c r="B894" t="s">
        <v>379</v>
      </c>
      <c r="C894">
        <v>178</v>
      </c>
      <c r="D894">
        <v>178</v>
      </c>
      <c r="E894" s="178">
        <v>-1</v>
      </c>
      <c r="F894" s="176">
        <v>-0.56000000000000005</v>
      </c>
      <c r="G894" t="s">
        <v>6280</v>
      </c>
      <c r="H894">
        <v>19</v>
      </c>
      <c r="I894">
        <v>5</v>
      </c>
      <c r="J894">
        <v>2.67</v>
      </c>
      <c r="K894">
        <v>180.5</v>
      </c>
      <c r="L894">
        <v>178</v>
      </c>
      <c r="M894" s="175">
        <v>7.0000000000000007E-2</v>
      </c>
      <c r="N894" t="s">
        <v>3769</v>
      </c>
    </row>
    <row r="895" spans="1:14">
      <c r="A895">
        <v>2753</v>
      </c>
      <c r="B895" t="s">
        <v>1556</v>
      </c>
      <c r="C895">
        <v>182</v>
      </c>
      <c r="D895">
        <v>184.5</v>
      </c>
      <c r="E895" s="178">
        <v>0.5</v>
      </c>
      <c r="F895" s="176">
        <v>0.27</v>
      </c>
      <c r="G895" t="s">
        <v>6281</v>
      </c>
      <c r="H895">
        <v>166</v>
      </c>
      <c r="I895">
        <v>114</v>
      </c>
      <c r="J895">
        <v>7</v>
      </c>
      <c r="K895">
        <v>185</v>
      </c>
      <c r="L895">
        <v>182</v>
      </c>
      <c r="M895" s="175">
        <v>0.24</v>
      </c>
      <c r="N895" t="s">
        <v>3770</v>
      </c>
    </row>
    <row r="896" spans="1:14">
      <c r="A896">
        <v>2754</v>
      </c>
      <c r="B896" t="s">
        <v>832</v>
      </c>
      <c r="C896">
        <v>66.400000000000006</v>
      </c>
      <c r="D896">
        <v>66.8</v>
      </c>
      <c r="E896" s="178">
        <v>-0.4</v>
      </c>
      <c r="F896" s="176">
        <v>-0.6</v>
      </c>
      <c r="G896" t="s">
        <v>5352</v>
      </c>
      <c r="H896">
        <v>15</v>
      </c>
      <c r="I896">
        <v>16</v>
      </c>
      <c r="J896">
        <v>4.6900000000000004</v>
      </c>
      <c r="K896">
        <v>67</v>
      </c>
      <c r="L896">
        <v>66.400000000000006</v>
      </c>
      <c r="M896" s="175">
        <v>0.03</v>
      </c>
      <c r="N896" t="s">
        <v>3771</v>
      </c>
    </row>
    <row r="897" spans="1:14">
      <c r="A897">
        <v>2755</v>
      </c>
      <c r="B897" t="s">
        <v>833</v>
      </c>
      <c r="C897">
        <v>95.6</v>
      </c>
      <c r="D897">
        <v>95.5</v>
      </c>
      <c r="E897" s="178">
        <v>-1.2</v>
      </c>
      <c r="F897" s="176">
        <v>-1.24</v>
      </c>
      <c r="G897" t="s">
        <v>6023</v>
      </c>
      <c r="H897">
        <v>45</v>
      </c>
      <c r="I897">
        <v>45</v>
      </c>
      <c r="J897">
        <v>4.7300000000000004</v>
      </c>
      <c r="K897">
        <v>95.6</v>
      </c>
      <c r="L897">
        <v>95</v>
      </c>
      <c r="M897" s="175">
        <v>0.1</v>
      </c>
      <c r="N897" t="s">
        <v>3772</v>
      </c>
    </row>
    <row r="898" spans="1:14">
      <c r="A898">
        <v>2756</v>
      </c>
      <c r="B898" t="s">
        <v>1623</v>
      </c>
      <c r="C898">
        <v>59.8</v>
      </c>
      <c r="D898">
        <v>60.3</v>
      </c>
      <c r="E898" s="178">
        <v>-1.2</v>
      </c>
      <c r="F898" s="176">
        <v>-1.95</v>
      </c>
      <c r="G898" t="s">
        <v>5353</v>
      </c>
      <c r="H898">
        <v>48</v>
      </c>
      <c r="I898">
        <v>68</v>
      </c>
      <c r="J898">
        <v>2.46</v>
      </c>
      <c r="K898">
        <v>60.3</v>
      </c>
      <c r="L898">
        <v>59</v>
      </c>
      <c r="M898" s="175">
        <v>0.2</v>
      </c>
      <c r="N898" t="s">
        <v>3773</v>
      </c>
    </row>
    <row r="899" spans="1:14">
      <c r="A899">
        <v>2762</v>
      </c>
      <c r="B899" t="s">
        <v>2327</v>
      </c>
      <c r="C899">
        <v>78.400000000000006</v>
      </c>
      <c r="D899">
        <v>78.2</v>
      </c>
      <c r="E899" s="178">
        <v>-0.5</v>
      </c>
      <c r="F899" s="176">
        <v>-0.64</v>
      </c>
      <c r="G899" t="s">
        <v>5358</v>
      </c>
      <c r="H899">
        <v>43</v>
      </c>
      <c r="I899">
        <v>40</v>
      </c>
      <c r="J899">
        <v>11.25</v>
      </c>
      <c r="K899">
        <v>78.8</v>
      </c>
      <c r="L899">
        <v>78</v>
      </c>
      <c r="M899" s="175">
        <v>0.04</v>
      </c>
      <c r="N899" t="s">
        <v>3774</v>
      </c>
    </row>
    <row r="900" spans="1:14">
      <c r="A900">
        <v>2801</v>
      </c>
      <c r="B900" t="s">
        <v>834</v>
      </c>
      <c r="C900">
        <v>28.85</v>
      </c>
      <c r="D900">
        <v>29.15</v>
      </c>
      <c r="E900" s="178">
        <v>0.35</v>
      </c>
      <c r="F900" s="176">
        <v>1.22</v>
      </c>
      <c r="G900" t="s">
        <v>6282</v>
      </c>
      <c r="H900">
        <v>26589</v>
      </c>
      <c r="I900">
        <v>17258</v>
      </c>
      <c r="J900">
        <v>1206.02</v>
      </c>
      <c r="K900">
        <v>29.2</v>
      </c>
      <c r="L900">
        <v>28.55</v>
      </c>
      <c r="M900" s="175">
        <v>0.22</v>
      </c>
      <c r="N900" t="s">
        <v>3775</v>
      </c>
    </row>
    <row r="901" spans="1:14">
      <c r="A901">
        <v>2812</v>
      </c>
      <c r="B901" t="s">
        <v>835</v>
      </c>
      <c r="C901">
        <v>18.600000000000001</v>
      </c>
      <c r="D901">
        <v>18.7</v>
      </c>
      <c r="E901" s="178">
        <v>0.05</v>
      </c>
      <c r="F901" s="176">
        <v>0.27</v>
      </c>
      <c r="G901" t="s">
        <v>6283</v>
      </c>
      <c r="H901">
        <v>16613</v>
      </c>
      <c r="I901">
        <v>12272</v>
      </c>
      <c r="J901">
        <v>642.51</v>
      </c>
      <c r="K901">
        <v>18.8</v>
      </c>
      <c r="L901">
        <v>18.55</v>
      </c>
      <c r="M901" s="175">
        <v>0.26</v>
      </c>
      <c r="N901" t="s">
        <v>3776</v>
      </c>
    </row>
    <row r="902" spans="1:14">
      <c r="A902">
        <v>2816</v>
      </c>
      <c r="B902" t="s">
        <v>836</v>
      </c>
      <c r="C902">
        <v>44.25</v>
      </c>
      <c r="D902">
        <v>45.25</v>
      </c>
      <c r="E902" s="178">
        <v>0.75</v>
      </c>
      <c r="F902" s="176">
        <v>1.69</v>
      </c>
      <c r="G902" t="s">
        <v>6284</v>
      </c>
      <c r="H902">
        <v>1100</v>
      </c>
      <c r="I902">
        <v>517</v>
      </c>
      <c r="J902">
        <v>22.36</v>
      </c>
      <c r="K902">
        <v>45.5</v>
      </c>
      <c r="L902">
        <v>43.8</v>
      </c>
      <c r="M902" s="175">
        <v>0.49</v>
      </c>
      <c r="N902" t="s">
        <v>3777</v>
      </c>
    </row>
    <row r="903" spans="1:14">
      <c r="A903">
        <v>2820</v>
      </c>
      <c r="B903" t="s">
        <v>837</v>
      </c>
      <c r="C903">
        <v>16.7</v>
      </c>
      <c r="D903">
        <v>16.8</v>
      </c>
      <c r="E903" s="178">
        <v>0.1</v>
      </c>
      <c r="F903" s="176">
        <v>0.6</v>
      </c>
      <c r="G903" t="s">
        <v>6285</v>
      </c>
      <c r="H903">
        <v>4057</v>
      </c>
      <c r="I903">
        <v>1950</v>
      </c>
      <c r="J903">
        <v>134.30000000000001</v>
      </c>
      <c r="K903">
        <v>16.850000000000001</v>
      </c>
      <c r="L903">
        <v>16.7</v>
      </c>
      <c r="M903" s="175">
        <v>0.3</v>
      </c>
      <c r="N903" t="s">
        <v>3778</v>
      </c>
    </row>
    <row r="904" spans="1:14">
      <c r="A904">
        <v>2832</v>
      </c>
      <c r="B904" t="s">
        <v>838</v>
      </c>
      <c r="C904">
        <v>57</v>
      </c>
      <c r="D904">
        <v>57.3</v>
      </c>
      <c r="E904" s="178">
        <v>0.2</v>
      </c>
      <c r="F904" s="176">
        <v>0.35</v>
      </c>
      <c r="G904" t="s">
        <v>6286</v>
      </c>
      <c r="H904">
        <v>173</v>
      </c>
      <c r="I904">
        <v>101</v>
      </c>
      <c r="J904">
        <v>25.35</v>
      </c>
      <c r="K904">
        <v>57.5</v>
      </c>
      <c r="L904">
        <v>56.9</v>
      </c>
      <c r="M904" s="175">
        <v>7.0000000000000007E-2</v>
      </c>
      <c r="N904" t="s">
        <v>3779</v>
      </c>
    </row>
    <row r="905" spans="1:14">
      <c r="A905">
        <v>2834</v>
      </c>
      <c r="B905" t="s">
        <v>839</v>
      </c>
      <c r="C905">
        <v>17.649999999999999</v>
      </c>
      <c r="D905">
        <v>17.649999999999999</v>
      </c>
      <c r="E905" s="178">
        <v>-0.05</v>
      </c>
      <c r="F905" s="176">
        <v>-0.28000000000000003</v>
      </c>
      <c r="G905" t="s">
        <v>6287</v>
      </c>
      <c r="H905">
        <v>29525</v>
      </c>
      <c r="I905">
        <v>17278</v>
      </c>
      <c r="J905">
        <v>1039.83</v>
      </c>
      <c r="K905">
        <v>17.75</v>
      </c>
      <c r="L905">
        <v>17.5</v>
      </c>
      <c r="M905" s="175">
        <v>0.28000000000000003</v>
      </c>
      <c r="N905" t="s">
        <v>3780</v>
      </c>
    </row>
    <row r="906" spans="1:14">
      <c r="A906">
        <v>2836</v>
      </c>
      <c r="B906" t="s">
        <v>840</v>
      </c>
      <c r="C906">
        <v>12.1</v>
      </c>
      <c r="D906">
        <v>12.1</v>
      </c>
      <c r="E906" s="178">
        <v>0.05</v>
      </c>
      <c r="F906" s="176">
        <v>0.41</v>
      </c>
      <c r="G906" t="s">
        <v>6288</v>
      </c>
      <c r="H906">
        <v>977</v>
      </c>
      <c r="I906">
        <v>1057</v>
      </c>
      <c r="J906">
        <v>185.83</v>
      </c>
      <c r="K906">
        <v>12.1</v>
      </c>
      <c r="L906">
        <v>12</v>
      </c>
      <c r="M906" s="175">
        <v>0.05</v>
      </c>
      <c r="N906" t="s">
        <v>3781</v>
      </c>
    </row>
    <row r="907" spans="1:14">
      <c r="A907">
        <v>2838</v>
      </c>
      <c r="B907" t="s">
        <v>841</v>
      </c>
      <c r="C907">
        <v>20.45</v>
      </c>
      <c r="D907">
        <v>20.5</v>
      </c>
      <c r="E907" s="178">
        <v>0.15</v>
      </c>
      <c r="F907" s="176">
        <v>0.74</v>
      </c>
      <c r="G907" t="s">
        <v>6289</v>
      </c>
      <c r="H907">
        <v>3030</v>
      </c>
      <c r="I907">
        <v>1200</v>
      </c>
      <c r="J907">
        <v>460.78</v>
      </c>
      <c r="K907">
        <v>20.6</v>
      </c>
      <c r="L907">
        <v>20.350000000000001</v>
      </c>
      <c r="M907" s="175">
        <v>7.0000000000000007E-2</v>
      </c>
      <c r="N907" t="s">
        <v>3782</v>
      </c>
    </row>
    <row r="908" spans="1:14">
      <c r="A908">
        <v>2845</v>
      </c>
      <c r="B908" t="s">
        <v>842</v>
      </c>
      <c r="C908">
        <v>13.15</v>
      </c>
      <c r="D908">
        <v>13.25</v>
      </c>
      <c r="E908" s="178">
        <v>0.05</v>
      </c>
      <c r="F908" s="176">
        <v>0.38</v>
      </c>
      <c r="G908" t="s">
        <v>5201</v>
      </c>
      <c r="H908">
        <v>8599</v>
      </c>
      <c r="I908">
        <v>5058</v>
      </c>
      <c r="J908">
        <v>492.34</v>
      </c>
      <c r="K908">
        <v>13.25</v>
      </c>
      <c r="L908">
        <v>13.05</v>
      </c>
      <c r="M908" s="175">
        <v>0.17</v>
      </c>
      <c r="N908" t="s">
        <v>3783</v>
      </c>
    </row>
    <row r="909" spans="1:14">
      <c r="A909">
        <v>2849</v>
      </c>
      <c r="B909" t="s">
        <v>843</v>
      </c>
      <c r="C909">
        <v>15.65</v>
      </c>
      <c r="D909">
        <v>15.85</v>
      </c>
      <c r="E909" s="178">
        <v>0.3</v>
      </c>
      <c r="F909" s="176">
        <v>1.93</v>
      </c>
      <c r="G909" t="s">
        <v>6290</v>
      </c>
      <c r="H909">
        <v>295</v>
      </c>
      <c r="I909">
        <v>68</v>
      </c>
      <c r="J909">
        <v>195.76</v>
      </c>
      <c r="K909">
        <v>15.9</v>
      </c>
      <c r="L909">
        <v>15.55</v>
      </c>
      <c r="M909" s="175">
        <v>0.02</v>
      </c>
      <c r="N909" t="s">
        <v>3784</v>
      </c>
    </row>
    <row r="910" spans="1:14">
      <c r="A910">
        <v>2850</v>
      </c>
      <c r="B910" t="s">
        <v>844</v>
      </c>
      <c r="C910">
        <v>168.5</v>
      </c>
      <c r="D910">
        <v>173</v>
      </c>
      <c r="E910" s="178">
        <v>5</v>
      </c>
      <c r="F910" s="176">
        <v>2.98</v>
      </c>
      <c r="G910" t="s">
        <v>5201</v>
      </c>
      <c r="H910">
        <v>661</v>
      </c>
      <c r="I910">
        <v>239</v>
      </c>
      <c r="J910">
        <v>31.6</v>
      </c>
      <c r="K910">
        <v>174</v>
      </c>
      <c r="L910">
        <v>168</v>
      </c>
      <c r="M910" s="175">
        <v>0.21</v>
      </c>
      <c r="N910" t="s">
        <v>3785</v>
      </c>
    </row>
    <row r="911" spans="1:14">
      <c r="A911">
        <v>2851</v>
      </c>
      <c r="B911" t="s">
        <v>845</v>
      </c>
      <c r="C911">
        <v>51.1</v>
      </c>
      <c r="D911">
        <v>53.2</v>
      </c>
      <c r="E911" s="178">
        <v>1.3</v>
      </c>
      <c r="F911" s="176">
        <v>2.5</v>
      </c>
      <c r="G911" t="s">
        <v>6291</v>
      </c>
      <c r="H911">
        <v>4600</v>
      </c>
      <c r="I911">
        <v>3424</v>
      </c>
      <c r="J911">
        <v>80.040000000000006</v>
      </c>
      <c r="K911">
        <v>53.3</v>
      </c>
      <c r="L911">
        <v>50.9</v>
      </c>
      <c r="M911" s="175">
        <v>0.56999999999999995</v>
      </c>
      <c r="N911" t="s">
        <v>3786</v>
      </c>
    </row>
    <row r="912" spans="1:14">
      <c r="A912">
        <v>2852</v>
      </c>
      <c r="B912" t="s">
        <v>846</v>
      </c>
      <c r="C912">
        <v>28.05</v>
      </c>
      <c r="D912">
        <v>28.1</v>
      </c>
      <c r="E912" s="178">
        <v>0</v>
      </c>
      <c r="F912" s="176">
        <v>0</v>
      </c>
      <c r="G912" t="s">
        <v>6292</v>
      </c>
      <c r="H912">
        <v>381</v>
      </c>
      <c r="I912">
        <v>293</v>
      </c>
      <c r="J912">
        <v>30.12</v>
      </c>
      <c r="K912">
        <v>28.3</v>
      </c>
      <c r="L912">
        <v>28</v>
      </c>
      <c r="M912" s="175">
        <v>0.13</v>
      </c>
      <c r="N912" t="s">
        <v>3787</v>
      </c>
    </row>
    <row r="913" spans="1:14">
      <c r="A913">
        <v>2855</v>
      </c>
      <c r="B913" t="s">
        <v>847</v>
      </c>
      <c r="C913">
        <v>59.6</v>
      </c>
      <c r="D913">
        <v>59.1</v>
      </c>
      <c r="E913" s="178">
        <v>-1.1000000000000001</v>
      </c>
      <c r="F913" s="176">
        <v>-1.83</v>
      </c>
      <c r="G913" t="s">
        <v>5479</v>
      </c>
      <c r="H913">
        <v>4347</v>
      </c>
      <c r="I913">
        <v>4518</v>
      </c>
      <c r="J913">
        <v>160.13999999999999</v>
      </c>
      <c r="K913">
        <v>59.7</v>
      </c>
      <c r="L913">
        <v>58.8</v>
      </c>
      <c r="M913" s="175">
        <v>0.27</v>
      </c>
      <c r="N913" t="s">
        <v>3788</v>
      </c>
    </row>
    <row r="914" spans="1:14">
      <c r="A914">
        <v>2880</v>
      </c>
      <c r="B914" t="s">
        <v>848</v>
      </c>
      <c r="C914">
        <v>49.15</v>
      </c>
      <c r="D914">
        <v>49.65</v>
      </c>
      <c r="E914" s="178">
        <v>0.75</v>
      </c>
      <c r="F914" s="176">
        <v>1.53</v>
      </c>
      <c r="G914" t="s">
        <v>5596</v>
      </c>
      <c r="H914">
        <v>22490</v>
      </c>
      <c r="I914">
        <v>13644</v>
      </c>
      <c r="J914">
        <v>1405.61</v>
      </c>
      <c r="K914">
        <v>50</v>
      </c>
      <c r="L914">
        <v>48.8</v>
      </c>
      <c r="M914" s="175">
        <v>0.16</v>
      </c>
      <c r="N914" t="s">
        <v>3789</v>
      </c>
    </row>
    <row r="915" spans="1:14">
      <c r="A915">
        <v>2881</v>
      </c>
      <c r="B915" t="s">
        <v>1557</v>
      </c>
      <c r="C915">
        <v>160.5</v>
      </c>
      <c r="D915">
        <v>159.5</v>
      </c>
      <c r="E915" s="178">
        <v>-1</v>
      </c>
      <c r="F915" s="176">
        <v>-0.62</v>
      </c>
      <c r="G915" t="s">
        <v>6293</v>
      </c>
      <c r="H915">
        <v>23883</v>
      </c>
      <c r="I915">
        <v>18394</v>
      </c>
      <c r="J915">
        <v>1400.74</v>
      </c>
      <c r="K915">
        <v>160.5</v>
      </c>
      <c r="L915">
        <v>157</v>
      </c>
      <c r="M915" s="175">
        <v>0.17</v>
      </c>
      <c r="N915" t="s">
        <v>3790</v>
      </c>
    </row>
    <row r="916" spans="1:14">
      <c r="A916">
        <v>2882</v>
      </c>
      <c r="B916" t="s">
        <v>250</v>
      </c>
      <c r="C916">
        <v>114</v>
      </c>
      <c r="D916">
        <v>113.5</v>
      </c>
      <c r="E916" s="178">
        <v>-0.5</v>
      </c>
      <c r="F916" s="176">
        <v>-0.44</v>
      </c>
      <c r="G916" t="s">
        <v>5568</v>
      </c>
      <c r="H916">
        <v>20580</v>
      </c>
      <c r="I916">
        <v>20283</v>
      </c>
      <c r="J916">
        <v>1466.92</v>
      </c>
      <c r="K916">
        <v>114.5</v>
      </c>
      <c r="L916">
        <v>112.5</v>
      </c>
      <c r="M916" s="175">
        <v>0.14000000000000001</v>
      </c>
      <c r="N916" t="s">
        <v>3791</v>
      </c>
    </row>
    <row r="917" spans="1:14">
      <c r="A917">
        <v>2883</v>
      </c>
      <c r="B917" t="s">
        <v>2642</v>
      </c>
      <c r="C917">
        <v>38.299999999999997</v>
      </c>
      <c r="D917">
        <v>38.4</v>
      </c>
      <c r="E917" s="178">
        <v>-0.25</v>
      </c>
      <c r="F917" s="176">
        <v>-0.65</v>
      </c>
      <c r="G917" t="s">
        <v>5320</v>
      </c>
      <c r="H917">
        <v>46804</v>
      </c>
      <c r="I917">
        <v>42669</v>
      </c>
      <c r="J917">
        <v>1697.46</v>
      </c>
      <c r="K917">
        <v>38.700000000000003</v>
      </c>
      <c r="L917">
        <v>38</v>
      </c>
      <c r="M917" s="175">
        <v>0.28000000000000003</v>
      </c>
      <c r="N917" t="s">
        <v>3792</v>
      </c>
    </row>
    <row r="918" spans="1:14">
      <c r="A918">
        <v>2884</v>
      </c>
      <c r="B918" t="s">
        <v>397</v>
      </c>
      <c r="C918">
        <v>48.35</v>
      </c>
      <c r="D918">
        <v>48.8</v>
      </c>
      <c r="E918" s="178">
        <v>1.5</v>
      </c>
      <c r="F918" s="176">
        <v>3.17</v>
      </c>
      <c r="G918" t="s">
        <v>5478</v>
      </c>
      <c r="H918">
        <v>62220</v>
      </c>
      <c r="I918">
        <v>22506</v>
      </c>
      <c r="J918">
        <v>1772.35</v>
      </c>
      <c r="K918">
        <v>49.5</v>
      </c>
      <c r="L918">
        <v>47.6</v>
      </c>
      <c r="M918" s="175">
        <v>0.35</v>
      </c>
      <c r="N918" t="s">
        <v>3793</v>
      </c>
    </row>
    <row r="919" spans="1:14">
      <c r="A919">
        <v>2885</v>
      </c>
      <c r="B919" t="s">
        <v>849</v>
      </c>
      <c r="C919">
        <v>72.400000000000006</v>
      </c>
      <c r="D919">
        <v>72.7</v>
      </c>
      <c r="E919" s="178">
        <v>0.5</v>
      </c>
      <c r="F919" s="176">
        <v>0.69</v>
      </c>
      <c r="G919" t="s">
        <v>6294</v>
      </c>
      <c r="H919">
        <v>32952</v>
      </c>
      <c r="I919">
        <v>27589</v>
      </c>
      <c r="J919">
        <v>1386.44</v>
      </c>
      <c r="K919">
        <v>72.8</v>
      </c>
      <c r="L919">
        <v>70.8</v>
      </c>
      <c r="M919" s="175">
        <v>0.24</v>
      </c>
      <c r="N919" t="s">
        <v>3794</v>
      </c>
    </row>
    <row r="920" spans="1:14">
      <c r="A920">
        <v>2886</v>
      </c>
      <c r="B920" t="s">
        <v>850</v>
      </c>
      <c r="C920">
        <v>51.2</v>
      </c>
      <c r="D920">
        <v>52.5</v>
      </c>
      <c r="E920" s="178">
        <v>1.4</v>
      </c>
      <c r="F920" s="176">
        <v>2.74</v>
      </c>
      <c r="G920" t="s">
        <v>5654</v>
      </c>
      <c r="H920">
        <v>46384</v>
      </c>
      <c r="I920">
        <v>20252</v>
      </c>
      <c r="J920">
        <v>1483.34</v>
      </c>
      <c r="K920">
        <v>52.5</v>
      </c>
      <c r="L920">
        <v>50.8</v>
      </c>
      <c r="M920" s="175">
        <v>0.31</v>
      </c>
      <c r="N920" t="s">
        <v>3795</v>
      </c>
    </row>
    <row r="921" spans="1:14">
      <c r="A921">
        <v>2887</v>
      </c>
      <c r="B921" t="s">
        <v>2870</v>
      </c>
      <c r="C921">
        <v>41.9</v>
      </c>
      <c r="D921">
        <v>41.6</v>
      </c>
      <c r="E921" s="178">
        <v>-1.05</v>
      </c>
      <c r="F921" s="176">
        <v>-2.46</v>
      </c>
      <c r="G921" t="s">
        <v>5992</v>
      </c>
      <c r="H921">
        <v>72699</v>
      </c>
      <c r="I921">
        <v>50131</v>
      </c>
      <c r="J921">
        <v>2511.5100000000002</v>
      </c>
      <c r="K921">
        <v>42.2</v>
      </c>
      <c r="L921">
        <v>41.2</v>
      </c>
      <c r="M921" s="175">
        <v>0.28999999999999998</v>
      </c>
      <c r="N921" t="s">
        <v>3796</v>
      </c>
    </row>
    <row r="922" spans="1:14">
      <c r="A922">
        <v>2889</v>
      </c>
      <c r="B922" t="s">
        <v>851</v>
      </c>
      <c r="C922">
        <v>16.8</v>
      </c>
      <c r="D922">
        <v>16.8</v>
      </c>
      <c r="E922" s="178">
        <v>0</v>
      </c>
      <c r="F922" s="176">
        <v>0</v>
      </c>
      <c r="G922" t="s">
        <v>5325</v>
      </c>
      <c r="H922">
        <v>10235</v>
      </c>
      <c r="I922">
        <v>5830</v>
      </c>
      <c r="J922">
        <v>366.59</v>
      </c>
      <c r="K922">
        <v>16.95</v>
      </c>
      <c r="L922">
        <v>16.75</v>
      </c>
      <c r="M922" s="175">
        <v>0.28000000000000003</v>
      </c>
      <c r="N922" t="s">
        <v>3797</v>
      </c>
    </row>
    <row r="923" spans="1:14">
      <c r="A923">
        <v>2890</v>
      </c>
      <c r="B923" t="s">
        <v>852</v>
      </c>
      <c r="C923">
        <v>44.3</v>
      </c>
      <c r="D923">
        <v>45.6</v>
      </c>
      <c r="E923" s="178">
        <v>1.55</v>
      </c>
      <c r="F923" s="176">
        <v>3.52</v>
      </c>
      <c r="G923" t="s">
        <v>6295</v>
      </c>
      <c r="H923">
        <v>62070</v>
      </c>
      <c r="I923">
        <v>21474</v>
      </c>
      <c r="J923">
        <v>1542.22</v>
      </c>
      <c r="K923">
        <v>45.9</v>
      </c>
      <c r="L923">
        <v>43.8</v>
      </c>
      <c r="M923" s="175">
        <v>0.4</v>
      </c>
      <c r="N923" t="s">
        <v>3798</v>
      </c>
    </row>
    <row r="924" spans="1:14">
      <c r="A924">
        <v>2891</v>
      </c>
      <c r="B924" t="s">
        <v>853</v>
      </c>
      <c r="C924">
        <v>72</v>
      </c>
      <c r="D924">
        <v>72.900000000000006</v>
      </c>
      <c r="E924" s="178">
        <v>1.5</v>
      </c>
      <c r="F924" s="176">
        <v>2.1</v>
      </c>
      <c r="G924" t="s">
        <v>6296</v>
      </c>
      <c r="H924">
        <v>76127</v>
      </c>
      <c r="I924">
        <v>36059</v>
      </c>
      <c r="J924">
        <v>1967.59</v>
      </c>
      <c r="K924">
        <v>73.599999999999994</v>
      </c>
      <c r="L924">
        <v>70.7</v>
      </c>
      <c r="M924" s="175">
        <v>0.39</v>
      </c>
      <c r="N924" t="s">
        <v>3799</v>
      </c>
    </row>
    <row r="925" spans="1:14">
      <c r="A925">
        <v>2892</v>
      </c>
      <c r="B925" t="s">
        <v>854</v>
      </c>
      <c r="C925">
        <v>40.65</v>
      </c>
      <c r="D925">
        <v>41.6</v>
      </c>
      <c r="E925" s="178">
        <v>0.95</v>
      </c>
      <c r="F925" s="176">
        <v>2.34</v>
      </c>
      <c r="G925" t="s">
        <v>6297</v>
      </c>
      <c r="H925">
        <v>36661</v>
      </c>
      <c r="I925">
        <v>18181</v>
      </c>
      <c r="J925">
        <v>1437.95</v>
      </c>
      <c r="K925">
        <v>41.85</v>
      </c>
      <c r="L925">
        <v>40.450000000000003</v>
      </c>
      <c r="M925" s="175">
        <v>0.25</v>
      </c>
      <c r="N925" t="s">
        <v>3800</v>
      </c>
    </row>
    <row r="926" spans="1:14">
      <c r="A926">
        <v>2897</v>
      </c>
      <c r="B926" t="s">
        <v>322</v>
      </c>
      <c r="C926">
        <v>10.85</v>
      </c>
      <c r="D926">
        <v>10.85</v>
      </c>
      <c r="E926" s="178">
        <v>0</v>
      </c>
      <c r="F926" s="176">
        <v>0</v>
      </c>
      <c r="G926" t="s">
        <v>6298</v>
      </c>
      <c r="H926">
        <v>4067</v>
      </c>
      <c r="I926">
        <v>3157</v>
      </c>
      <c r="J926">
        <v>280.54000000000002</v>
      </c>
      <c r="K926">
        <v>10.95</v>
      </c>
      <c r="L926">
        <v>10.8</v>
      </c>
      <c r="M926" s="175">
        <v>0.14000000000000001</v>
      </c>
      <c r="N926" t="s">
        <v>3801</v>
      </c>
    </row>
    <row r="927" spans="1:14">
      <c r="A927">
        <v>2901</v>
      </c>
      <c r="B927" t="s">
        <v>855</v>
      </c>
      <c r="C927">
        <v>25</v>
      </c>
      <c r="D927">
        <v>24.4</v>
      </c>
      <c r="E927" s="178">
        <v>0</v>
      </c>
      <c r="F927" s="176">
        <v>0</v>
      </c>
      <c r="G927" t="s">
        <v>6299</v>
      </c>
      <c r="H927">
        <v>31</v>
      </c>
      <c r="I927">
        <v>45</v>
      </c>
      <c r="J927">
        <v>7.3</v>
      </c>
      <c r="K927">
        <v>25</v>
      </c>
      <c r="L927">
        <v>24.2</v>
      </c>
      <c r="M927" s="175">
        <v>0.04</v>
      </c>
      <c r="N927" t="s">
        <v>3802</v>
      </c>
    </row>
    <row r="928" spans="1:14">
      <c r="A928">
        <v>2903</v>
      </c>
      <c r="B928" t="s">
        <v>856</v>
      </c>
      <c r="C928">
        <v>22.3</v>
      </c>
      <c r="D928">
        <v>22.4</v>
      </c>
      <c r="E928" s="178">
        <v>0.1</v>
      </c>
      <c r="F928" s="176">
        <v>0.45</v>
      </c>
      <c r="G928" t="s">
        <v>6300</v>
      </c>
      <c r="H928">
        <v>2689</v>
      </c>
      <c r="I928">
        <v>1255</v>
      </c>
      <c r="J928">
        <v>141.69</v>
      </c>
      <c r="K928">
        <v>22.4</v>
      </c>
      <c r="L928">
        <v>22.25</v>
      </c>
      <c r="M928" s="175">
        <v>0.19</v>
      </c>
      <c r="N928" t="s">
        <v>3803</v>
      </c>
    </row>
    <row r="929" spans="1:14">
      <c r="A929">
        <v>2904</v>
      </c>
      <c r="B929" t="s">
        <v>857</v>
      </c>
      <c r="C929">
        <v>12.65</v>
      </c>
      <c r="D929">
        <v>12.65</v>
      </c>
      <c r="E929" s="178">
        <v>0</v>
      </c>
      <c r="F929" s="176">
        <v>0</v>
      </c>
      <c r="G929" t="s">
        <v>6301</v>
      </c>
      <c r="H929">
        <v>10</v>
      </c>
      <c r="I929">
        <v>26</v>
      </c>
      <c r="J929">
        <v>7.78</v>
      </c>
      <c r="K929">
        <v>12.65</v>
      </c>
      <c r="L929">
        <v>12.55</v>
      </c>
      <c r="M929" s="175">
        <v>0.01</v>
      </c>
      <c r="N929" t="s">
        <v>3804</v>
      </c>
    </row>
    <row r="930" spans="1:14">
      <c r="A930">
        <v>2905</v>
      </c>
      <c r="B930" t="s">
        <v>858</v>
      </c>
      <c r="C930">
        <v>17.600000000000001</v>
      </c>
      <c r="D930">
        <v>17.850000000000001</v>
      </c>
      <c r="E930" s="178">
        <v>0.2</v>
      </c>
      <c r="F930" s="176">
        <v>1.1299999999999999</v>
      </c>
      <c r="G930" t="s">
        <v>6302</v>
      </c>
      <c r="H930">
        <v>1418</v>
      </c>
      <c r="I930">
        <v>621</v>
      </c>
      <c r="J930">
        <v>111.04</v>
      </c>
      <c r="K930">
        <v>17.95</v>
      </c>
      <c r="L930">
        <v>17.600000000000001</v>
      </c>
      <c r="M930" s="175">
        <v>0.13</v>
      </c>
      <c r="N930" t="s">
        <v>3805</v>
      </c>
    </row>
    <row r="931" spans="1:14">
      <c r="A931">
        <v>2906</v>
      </c>
      <c r="B931" t="s">
        <v>859</v>
      </c>
      <c r="C931">
        <v>13.85</v>
      </c>
      <c r="D931">
        <v>13.85</v>
      </c>
      <c r="E931" s="178">
        <v>-0.05</v>
      </c>
      <c r="F931" s="176">
        <v>-0.36</v>
      </c>
      <c r="G931" t="s">
        <v>5750</v>
      </c>
      <c r="H931">
        <v>125</v>
      </c>
      <c r="I931">
        <v>296</v>
      </c>
      <c r="J931">
        <v>20.91</v>
      </c>
      <c r="K931">
        <v>14</v>
      </c>
      <c r="L931">
        <v>13.8</v>
      </c>
      <c r="M931" s="175">
        <v>0.06</v>
      </c>
      <c r="N931" t="s">
        <v>3806</v>
      </c>
    </row>
    <row r="932" spans="1:14">
      <c r="A932">
        <v>2908</v>
      </c>
      <c r="B932" t="s">
        <v>860</v>
      </c>
      <c r="C932">
        <v>21.95</v>
      </c>
      <c r="D932">
        <v>22</v>
      </c>
      <c r="E932" s="178">
        <v>0</v>
      </c>
      <c r="F932" s="176">
        <v>0</v>
      </c>
      <c r="G932" t="s">
        <v>5501</v>
      </c>
      <c r="H932">
        <v>288</v>
      </c>
      <c r="I932">
        <v>288</v>
      </c>
      <c r="J932">
        <v>50.99</v>
      </c>
      <c r="K932">
        <v>22.1</v>
      </c>
      <c r="L932">
        <v>21.95</v>
      </c>
      <c r="M932" s="175">
        <v>0.06</v>
      </c>
      <c r="N932" t="s">
        <v>3807</v>
      </c>
    </row>
    <row r="933" spans="1:14">
      <c r="A933">
        <v>2910</v>
      </c>
      <c r="B933" t="s">
        <v>861</v>
      </c>
      <c r="C933">
        <v>23.75</v>
      </c>
      <c r="D933">
        <v>23.5</v>
      </c>
      <c r="E933" s="178">
        <v>0.05</v>
      </c>
      <c r="F933" s="176">
        <v>0.21</v>
      </c>
      <c r="G933" t="s">
        <v>6303</v>
      </c>
      <c r="H933">
        <v>6</v>
      </c>
      <c r="I933">
        <v>6</v>
      </c>
      <c r="J933">
        <v>17.54</v>
      </c>
      <c r="K933">
        <v>23.95</v>
      </c>
      <c r="L933">
        <v>23.5</v>
      </c>
      <c r="M933" s="175">
        <v>0</v>
      </c>
      <c r="N933" t="s">
        <v>3808</v>
      </c>
    </row>
    <row r="934" spans="1:14">
      <c r="A934">
        <v>2911</v>
      </c>
      <c r="B934" t="s">
        <v>2607</v>
      </c>
      <c r="C934">
        <v>5.93</v>
      </c>
      <c r="D934">
        <v>5.93</v>
      </c>
      <c r="E934" s="178">
        <v>0</v>
      </c>
      <c r="F934" s="176">
        <v>0</v>
      </c>
      <c r="G934" t="s">
        <v>5367</v>
      </c>
      <c r="H934">
        <v>53</v>
      </c>
      <c r="I934">
        <v>107</v>
      </c>
      <c r="J934">
        <v>10.51</v>
      </c>
      <c r="K934">
        <v>5.93</v>
      </c>
      <c r="L934">
        <v>5.87</v>
      </c>
      <c r="M934" s="175">
        <v>0.05</v>
      </c>
      <c r="N934" t="s">
        <v>3809</v>
      </c>
    </row>
    <row r="935" spans="1:14">
      <c r="A935">
        <v>2912</v>
      </c>
      <c r="B935" t="s">
        <v>862</v>
      </c>
      <c r="C935">
        <v>220</v>
      </c>
      <c r="D935">
        <v>224</v>
      </c>
      <c r="E935" s="178">
        <v>4.5</v>
      </c>
      <c r="F935" s="176">
        <v>2.0499999999999998</v>
      </c>
      <c r="G935" t="s">
        <v>5291</v>
      </c>
      <c r="H935">
        <v>6389</v>
      </c>
      <c r="I935">
        <v>2246</v>
      </c>
      <c r="J935">
        <v>103.96</v>
      </c>
      <c r="K935">
        <v>225</v>
      </c>
      <c r="L935">
        <v>219</v>
      </c>
      <c r="M935" s="175">
        <v>0.61</v>
      </c>
      <c r="N935" t="s">
        <v>3810</v>
      </c>
    </row>
    <row r="936" spans="1:14">
      <c r="A936">
        <v>2913</v>
      </c>
      <c r="B936" t="s">
        <v>863</v>
      </c>
      <c r="C936">
        <v>11.3</v>
      </c>
      <c r="D936">
        <v>11.35</v>
      </c>
      <c r="E936" s="178">
        <v>0.05</v>
      </c>
      <c r="F936" s="176">
        <v>0.44</v>
      </c>
      <c r="G936" t="s">
        <v>6143</v>
      </c>
      <c r="H936">
        <v>2456</v>
      </c>
      <c r="I936">
        <v>1611</v>
      </c>
      <c r="J936">
        <v>79</v>
      </c>
      <c r="K936">
        <v>11.45</v>
      </c>
      <c r="L936">
        <v>11.2</v>
      </c>
      <c r="M936" s="175">
        <v>0.35</v>
      </c>
      <c r="N936" t="s">
        <v>3811</v>
      </c>
    </row>
    <row r="937" spans="1:14">
      <c r="A937">
        <v>2915</v>
      </c>
      <c r="B937" t="s">
        <v>864</v>
      </c>
      <c r="C937">
        <v>58.8</v>
      </c>
      <c r="D937">
        <v>58.9</v>
      </c>
      <c r="E937" s="178">
        <v>0.1</v>
      </c>
      <c r="F937" s="176">
        <v>0.17</v>
      </c>
      <c r="G937" t="s">
        <v>6304</v>
      </c>
      <c r="H937">
        <v>1701</v>
      </c>
      <c r="I937">
        <v>1419</v>
      </c>
      <c r="J937">
        <v>110.43</v>
      </c>
      <c r="K937">
        <v>59</v>
      </c>
      <c r="L937">
        <v>58.5</v>
      </c>
      <c r="M937" s="175">
        <v>0.15</v>
      </c>
      <c r="N937" t="s">
        <v>3812</v>
      </c>
    </row>
    <row r="938" spans="1:14">
      <c r="A938">
        <v>2916</v>
      </c>
      <c r="B938" t="s">
        <v>865</v>
      </c>
      <c r="C938">
        <v>40.15</v>
      </c>
      <c r="D938">
        <v>39.9</v>
      </c>
      <c r="E938" s="178">
        <v>-0.25</v>
      </c>
      <c r="F938" s="176">
        <v>-0.62</v>
      </c>
      <c r="G938" t="s">
        <v>5652</v>
      </c>
      <c r="H938">
        <v>75</v>
      </c>
      <c r="I938">
        <v>25</v>
      </c>
      <c r="J938">
        <v>6.46</v>
      </c>
      <c r="K938">
        <v>40.299999999999997</v>
      </c>
      <c r="L938">
        <v>39.85</v>
      </c>
      <c r="M938" s="175">
        <v>0.12</v>
      </c>
      <c r="N938" t="s">
        <v>3813</v>
      </c>
    </row>
    <row r="939" spans="1:14">
      <c r="A939">
        <v>2923</v>
      </c>
      <c r="B939" t="s">
        <v>866</v>
      </c>
      <c r="C939">
        <v>25.9</v>
      </c>
      <c r="D939">
        <v>25.3</v>
      </c>
      <c r="E939" s="178">
        <v>0.05</v>
      </c>
      <c r="F939" s="176">
        <v>0.2</v>
      </c>
      <c r="G939" t="s">
        <v>6305</v>
      </c>
      <c r="H939">
        <v>190</v>
      </c>
      <c r="I939">
        <v>73</v>
      </c>
      <c r="J939">
        <v>174.03</v>
      </c>
      <c r="K939">
        <v>27</v>
      </c>
      <c r="L939">
        <v>25</v>
      </c>
      <c r="M939" s="175">
        <v>0.01</v>
      </c>
      <c r="N939" t="s">
        <v>3814</v>
      </c>
    </row>
    <row r="940" spans="1:14">
      <c r="A940">
        <v>2924</v>
      </c>
      <c r="B940" t="s">
        <v>1679</v>
      </c>
      <c r="C940">
        <v>18.05</v>
      </c>
      <c r="D940">
        <v>18.5</v>
      </c>
      <c r="E940" s="178">
        <v>1.05</v>
      </c>
      <c r="F940" s="176">
        <v>6.02</v>
      </c>
      <c r="G940" t="s">
        <v>5622</v>
      </c>
      <c r="H940">
        <v>20</v>
      </c>
      <c r="I940">
        <v>6</v>
      </c>
      <c r="J940">
        <v>5.2</v>
      </c>
      <c r="K940">
        <v>18.899999999999999</v>
      </c>
      <c r="L940">
        <v>16.8</v>
      </c>
      <c r="M940" s="175">
        <v>0.04</v>
      </c>
      <c r="N940" t="s">
        <v>3815</v>
      </c>
    </row>
    <row r="941" spans="1:14">
      <c r="A941">
        <v>2926</v>
      </c>
      <c r="B941" t="s">
        <v>867</v>
      </c>
      <c r="C941">
        <v>30.6</v>
      </c>
      <c r="D941">
        <v>30.3</v>
      </c>
      <c r="E941" s="178">
        <v>0.25</v>
      </c>
      <c r="F941" s="176">
        <v>0.83</v>
      </c>
      <c r="G941" t="s">
        <v>6306</v>
      </c>
      <c r="H941">
        <v>2</v>
      </c>
      <c r="I941">
        <v>6</v>
      </c>
      <c r="J941">
        <v>4.74</v>
      </c>
      <c r="K941">
        <v>30.6</v>
      </c>
      <c r="L941">
        <v>30.3</v>
      </c>
      <c r="M941" s="175">
        <v>0</v>
      </c>
      <c r="N941" t="s">
        <v>3816</v>
      </c>
    </row>
    <row r="942" spans="1:14">
      <c r="A942">
        <v>2929</v>
      </c>
      <c r="B942" t="s">
        <v>868</v>
      </c>
      <c r="C942">
        <v>5.75</v>
      </c>
      <c r="D942">
        <v>5.74</v>
      </c>
      <c r="E942" s="178">
        <v>-0.02</v>
      </c>
      <c r="F942" s="176">
        <v>-0.35</v>
      </c>
      <c r="G942" t="s">
        <v>5578</v>
      </c>
      <c r="H942">
        <v>167</v>
      </c>
      <c r="I942">
        <v>118</v>
      </c>
      <c r="J942">
        <v>10.95</v>
      </c>
      <c r="K942">
        <v>5.8</v>
      </c>
      <c r="L942">
        <v>5.64</v>
      </c>
      <c r="M942" s="175">
        <v>0.15</v>
      </c>
      <c r="N942" t="s">
        <v>3817</v>
      </c>
    </row>
    <row r="943" spans="1:14">
      <c r="A943">
        <v>2937</v>
      </c>
      <c r="B943" t="s">
        <v>359</v>
      </c>
      <c r="C943">
        <v>44.9</v>
      </c>
      <c r="D943">
        <v>44.9</v>
      </c>
      <c r="E943" s="178">
        <v>0</v>
      </c>
      <c r="F943" s="176">
        <v>0</v>
      </c>
      <c r="G943" t="s">
        <v>5469</v>
      </c>
      <c r="H943">
        <v>5</v>
      </c>
      <c r="I943">
        <v>8</v>
      </c>
      <c r="J943">
        <v>4.79</v>
      </c>
      <c r="K943">
        <v>44.9</v>
      </c>
      <c r="L943">
        <v>43.55</v>
      </c>
      <c r="M943" s="175">
        <v>0.01</v>
      </c>
      <c r="N943" t="s">
        <v>3818</v>
      </c>
    </row>
    <row r="944" spans="1:14">
      <c r="A944">
        <v>2938</v>
      </c>
      <c r="B944" t="s">
        <v>5169</v>
      </c>
      <c r="C944">
        <v>18</v>
      </c>
      <c r="D944">
        <v>17.95</v>
      </c>
      <c r="E944" s="178">
        <v>-0.2</v>
      </c>
      <c r="F944" s="176">
        <v>-1.1000000000000001</v>
      </c>
      <c r="G944" t="s">
        <v>5366</v>
      </c>
      <c r="H944">
        <v>19</v>
      </c>
      <c r="I944">
        <v>105</v>
      </c>
      <c r="J944">
        <v>2.2799999999999998</v>
      </c>
      <c r="K944">
        <v>18</v>
      </c>
      <c r="L944">
        <v>17.850000000000001</v>
      </c>
      <c r="M944" s="175">
        <v>0.08</v>
      </c>
      <c r="N944" t="s">
        <v>5170</v>
      </c>
    </row>
    <row r="945" spans="1:14">
      <c r="A945">
        <v>2939</v>
      </c>
      <c r="B945" t="s">
        <v>2592</v>
      </c>
      <c r="C945">
        <v>24.6</v>
      </c>
      <c r="D945">
        <v>24.2</v>
      </c>
      <c r="E945" s="178">
        <v>-0.15</v>
      </c>
      <c r="F945" s="176">
        <v>-0.62</v>
      </c>
      <c r="G945" t="s">
        <v>6307</v>
      </c>
      <c r="H945">
        <v>35</v>
      </c>
      <c r="I945">
        <v>58</v>
      </c>
      <c r="J945">
        <v>4.55</v>
      </c>
      <c r="K945">
        <v>24.7</v>
      </c>
      <c r="L945">
        <v>24.2</v>
      </c>
      <c r="M945" s="175">
        <v>0.08</v>
      </c>
      <c r="N945" t="s">
        <v>3819</v>
      </c>
    </row>
    <row r="946" spans="1:14">
      <c r="A946">
        <v>2941</v>
      </c>
      <c r="B946" t="s">
        <v>2342</v>
      </c>
      <c r="C946">
        <v>31.75</v>
      </c>
      <c r="D946">
        <v>31.75</v>
      </c>
      <c r="E946" s="178">
        <v>0.6</v>
      </c>
      <c r="F946" s="176">
        <v>1.93</v>
      </c>
      <c r="G946" t="s">
        <v>6308</v>
      </c>
      <c r="H946">
        <v>1</v>
      </c>
      <c r="I946">
        <v>2</v>
      </c>
      <c r="J946">
        <v>1.54</v>
      </c>
      <c r="K946">
        <v>31.75</v>
      </c>
      <c r="L946">
        <v>31.75</v>
      </c>
      <c r="M946" s="175">
        <v>0.01</v>
      </c>
      <c r="N946" t="s">
        <v>3820</v>
      </c>
    </row>
    <row r="947" spans="1:14">
      <c r="A947">
        <v>2945</v>
      </c>
      <c r="B947" t="s">
        <v>1607</v>
      </c>
      <c r="C947">
        <v>39.75</v>
      </c>
      <c r="D947">
        <v>39.799999999999997</v>
      </c>
      <c r="E947" s="178">
        <v>0</v>
      </c>
      <c r="F947" s="176">
        <v>0</v>
      </c>
      <c r="G947" t="s">
        <v>6309</v>
      </c>
      <c r="H947">
        <v>8</v>
      </c>
      <c r="I947">
        <v>7</v>
      </c>
      <c r="J947">
        <v>6.75</v>
      </c>
      <c r="K947">
        <v>39.799999999999997</v>
      </c>
      <c r="L947">
        <v>39.15</v>
      </c>
      <c r="M947" s="175">
        <v>0.01</v>
      </c>
      <c r="N947" t="s">
        <v>3821</v>
      </c>
    </row>
    <row r="948" spans="1:14">
      <c r="A948">
        <v>2947</v>
      </c>
      <c r="B948" t="s">
        <v>1558</v>
      </c>
      <c r="C948">
        <v>59.7</v>
      </c>
      <c r="D948">
        <v>59.3</v>
      </c>
      <c r="E948" s="178">
        <v>-0.8</v>
      </c>
      <c r="F948" s="176">
        <v>-1.33</v>
      </c>
      <c r="G948" t="s">
        <v>6310</v>
      </c>
      <c r="H948">
        <v>59</v>
      </c>
      <c r="I948">
        <v>7</v>
      </c>
      <c r="J948">
        <v>2.36</v>
      </c>
      <c r="K948">
        <v>59.7</v>
      </c>
      <c r="L948">
        <v>56.4</v>
      </c>
      <c r="M948" s="175">
        <v>0.25</v>
      </c>
      <c r="N948" t="s">
        <v>3822</v>
      </c>
    </row>
    <row r="949" spans="1:14">
      <c r="A949">
        <v>2948</v>
      </c>
      <c r="B949" t="s">
        <v>2892</v>
      </c>
      <c r="C949">
        <v>35.950000000000003</v>
      </c>
      <c r="D949">
        <v>36.700000000000003</v>
      </c>
      <c r="E949" s="178">
        <v>-0.05</v>
      </c>
      <c r="F949" s="176">
        <v>-0.14000000000000001</v>
      </c>
      <c r="G949" t="s">
        <v>6311</v>
      </c>
      <c r="H949">
        <v>2</v>
      </c>
      <c r="I949">
        <v>0</v>
      </c>
      <c r="J949">
        <v>3.2</v>
      </c>
      <c r="K949">
        <v>36.700000000000003</v>
      </c>
      <c r="L949">
        <v>35.950000000000003</v>
      </c>
      <c r="M949" s="175">
        <v>0.01</v>
      </c>
      <c r="N949" t="s">
        <v>3823</v>
      </c>
    </row>
    <row r="950" spans="1:14">
      <c r="A950">
        <v>2949</v>
      </c>
      <c r="B950" t="s">
        <v>2319</v>
      </c>
      <c r="C950" t="s">
        <v>1555</v>
      </c>
      <c r="D950" t="s">
        <v>1555</v>
      </c>
      <c r="E950" s="178" t="s">
        <v>1555</v>
      </c>
      <c r="F950" s="176" t="s">
        <v>1555</v>
      </c>
      <c r="G950" t="s">
        <v>1555</v>
      </c>
      <c r="H950">
        <v>0</v>
      </c>
      <c r="I950">
        <v>0</v>
      </c>
      <c r="J950">
        <v>3.06</v>
      </c>
      <c r="K950" t="s">
        <v>1555</v>
      </c>
      <c r="L950" t="s">
        <v>1555</v>
      </c>
      <c r="M950" s="175">
        <v>0</v>
      </c>
      <c r="N950" t="s">
        <v>3824</v>
      </c>
    </row>
    <row r="951" spans="1:14">
      <c r="A951">
        <v>3002</v>
      </c>
      <c r="B951" t="s">
        <v>869</v>
      </c>
      <c r="C951">
        <v>18.8</v>
      </c>
      <c r="D951">
        <v>19.350000000000001</v>
      </c>
      <c r="E951" s="178">
        <v>0.4</v>
      </c>
      <c r="F951" s="176">
        <v>2.11</v>
      </c>
      <c r="G951" t="s">
        <v>6312</v>
      </c>
      <c r="H951">
        <v>1284</v>
      </c>
      <c r="I951">
        <v>103</v>
      </c>
      <c r="J951">
        <v>10.199999999999999</v>
      </c>
      <c r="K951">
        <v>20.8</v>
      </c>
      <c r="L951">
        <v>18.649999999999999</v>
      </c>
      <c r="M951" s="175">
        <v>1.26</v>
      </c>
      <c r="N951" t="s">
        <v>3825</v>
      </c>
    </row>
    <row r="952" spans="1:14">
      <c r="A952">
        <v>3003</v>
      </c>
      <c r="B952" t="s">
        <v>870</v>
      </c>
      <c r="C952">
        <v>56.5</v>
      </c>
      <c r="D952">
        <v>56.2</v>
      </c>
      <c r="E952" s="178">
        <v>-0.9</v>
      </c>
      <c r="F952" s="176">
        <v>-1.58</v>
      </c>
      <c r="G952" t="s">
        <v>6313</v>
      </c>
      <c r="H952">
        <v>317</v>
      </c>
      <c r="I952">
        <v>263</v>
      </c>
      <c r="J952">
        <v>15.57</v>
      </c>
      <c r="K952">
        <v>56.8</v>
      </c>
      <c r="L952">
        <v>56</v>
      </c>
      <c r="M952" s="175">
        <v>0.2</v>
      </c>
      <c r="N952" t="s">
        <v>3826</v>
      </c>
    </row>
    <row r="953" spans="1:14">
      <c r="A953">
        <v>3004</v>
      </c>
      <c r="B953" t="s">
        <v>871</v>
      </c>
      <c r="C953">
        <v>120</v>
      </c>
      <c r="D953">
        <v>120.5</v>
      </c>
      <c r="E953" s="178">
        <v>-1</v>
      </c>
      <c r="F953" s="176">
        <v>-0.82</v>
      </c>
      <c r="G953" t="s">
        <v>6314</v>
      </c>
      <c r="H953">
        <v>180</v>
      </c>
      <c r="I953">
        <v>203</v>
      </c>
      <c r="J953">
        <v>6.44</v>
      </c>
      <c r="K953">
        <v>121</v>
      </c>
      <c r="L953">
        <v>119.5</v>
      </c>
      <c r="M953" s="175">
        <v>0.28000000000000003</v>
      </c>
      <c r="N953" t="s">
        <v>3827</v>
      </c>
    </row>
    <row r="954" spans="1:14">
      <c r="A954">
        <v>3005</v>
      </c>
      <c r="B954" t="s">
        <v>872</v>
      </c>
      <c r="C954">
        <v>120.5</v>
      </c>
      <c r="D954">
        <v>121</v>
      </c>
      <c r="E954" s="178">
        <v>0.5</v>
      </c>
      <c r="F954" s="176">
        <v>0.41</v>
      </c>
      <c r="G954" t="s">
        <v>6315</v>
      </c>
      <c r="H954">
        <v>5812</v>
      </c>
      <c r="I954">
        <v>1548</v>
      </c>
      <c r="J954">
        <v>62.49</v>
      </c>
      <c r="K954">
        <v>122</v>
      </c>
      <c r="L954">
        <v>119.5</v>
      </c>
      <c r="M954" s="175">
        <v>0.93</v>
      </c>
      <c r="N954" t="s">
        <v>3828</v>
      </c>
    </row>
    <row r="955" spans="1:14">
      <c r="A955">
        <v>3006</v>
      </c>
      <c r="B955" t="s">
        <v>873</v>
      </c>
      <c r="C955">
        <v>235</v>
      </c>
      <c r="D955">
        <v>229</v>
      </c>
      <c r="E955" s="178">
        <v>-18</v>
      </c>
      <c r="F955" s="176">
        <v>-7.29</v>
      </c>
      <c r="G955" t="s">
        <v>5810</v>
      </c>
      <c r="H955">
        <v>7444</v>
      </c>
      <c r="I955">
        <v>7400</v>
      </c>
      <c r="J955">
        <v>29.81</v>
      </c>
      <c r="K955">
        <v>238</v>
      </c>
      <c r="L955">
        <v>226.5</v>
      </c>
      <c r="M955" s="175">
        <v>2.5</v>
      </c>
      <c r="N955" t="s">
        <v>3829</v>
      </c>
    </row>
    <row r="956" spans="1:14">
      <c r="A956">
        <v>3008</v>
      </c>
      <c r="B956" t="s">
        <v>395</v>
      </c>
      <c r="C956">
        <v>6500</v>
      </c>
      <c r="D956">
        <v>6605</v>
      </c>
      <c r="E956" s="178">
        <v>-275</v>
      </c>
      <c r="F956" s="176">
        <v>-4</v>
      </c>
      <c r="G956" t="s">
        <v>6316</v>
      </c>
      <c r="H956">
        <v>3063</v>
      </c>
      <c r="I956">
        <v>3937</v>
      </c>
      <c r="J956">
        <v>13.08</v>
      </c>
      <c r="K956">
        <v>6835</v>
      </c>
      <c r="L956">
        <v>6485</v>
      </c>
      <c r="M956" s="175">
        <v>2.34</v>
      </c>
      <c r="N956" t="s">
        <v>3830</v>
      </c>
    </row>
    <row r="957" spans="1:14">
      <c r="A957">
        <v>3010</v>
      </c>
      <c r="B957" t="s">
        <v>874</v>
      </c>
      <c r="C957">
        <v>136</v>
      </c>
      <c r="D957">
        <v>138</v>
      </c>
      <c r="E957" s="178">
        <v>-1</v>
      </c>
      <c r="F957" s="176">
        <v>-0.72</v>
      </c>
      <c r="G957" t="s">
        <v>6317</v>
      </c>
      <c r="H957">
        <v>1370</v>
      </c>
      <c r="I957">
        <v>960</v>
      </c>
      <c r="J957">
        <v>25.94</v>
      </c>
      <c r="K957">
        <v>140</v>
      </c>
      <c r="L957">
        <v>136</v>
      </c>
      <c r="M957" s="175">
        <v>0.53</v>
      </c>
      <c r="N957" t="s">
        <v>3831</v>
      </c>
    </row>
    <row r="958" spans="1:14">
      <c r="A958">
        <v>3011</v>
      </c>
      <c r="B958" t="s">
        <v>875</v>
      </c>
      <c r="C958">
        <v>10</v>
      </c>
      <c r="D958">
        <v>9.93</v>
      </c>
      <c r="E958" s="178">
        <v>-0.22</v>
      </c>
      <c r="F958" s="176">
        <v>-2.17</v>
      </c>
      <c r="G958" t="s">
        <v>5376</v>
      </c>
      <c r="H958">
        <v>242</v>
      </c>
      <c r="I958">
        <v>310</v>
      </c>
      <c r="J958">
        <v>12.96</v>
      </c>
      <c r="K958">
        <v>10.1</v>
      </c>
      <c r="L958">
        <v>9.92</v>
      </c>
      <c r="M958" s="175">
        <v>0.21</v>
      </c>
      <c r="N958" t="s">
        <v>3832</v>
      </c>
    </row>
    <row r="959" spans="1:14">
      <c r="A959">
        <v>3013</v>
      </c>
      <c r="B959" t="s">
        <v>876</v>
      </c>
      <c r="C959">
        <v>95.3</v>
      </c>
      <c r="D959">
        <v>94.7</v>
      </c>
      <c r="E959" s="178">
        <v>-2.7</v>
      </c>
      <c r="F959" s="176">
        <v>-2.77</v>
      </c>
      <c r="G959" t="s">
        <v>6318</v>
      </c>
      <c r="H959">
        <v>5880</v>
      </c>
      <c r="I959">
        <v>4289</v>
      </c>
      <c r="J959">
        <v>21.33</v>
      </c>
      <c r="K959">
        <v>99</v>
      </c>
      <c r="L959">
        <v>94.4</v>
      </c>
      <c r="M959" s="175">
        <v>2.76</v>
      </c>
      <c r="N959" t="s">
        <v>3833</v>
      </c>
    </row>
    <row r="960" spans="1:14">
      <c r="A960">
        <v>3014</v>
      </c>
      <c r="B960" t="s">
        <v>877</v>
      </c>
      <c r="C960">
        <v>143.5</v>
      </c>
      <c r="D960">
        <v>146.5</v>
      </c>
      <c r="E960" s="178">
        <v>0.5</v>
      </c>
      <c r="F960" s="176">
        <v>0.34</v>
      </c>
      <c r="G960" t="s">
        <v>5771</v>
      </c>
      <c r="H960">
        <v>2328</v>
      </c>
      <c r="I960">
        <v>2984</v>
      </c>
      <c r="J960">
        <v>16.600000000000001</v>
      </c>
      <c r="K960">
        <v>147</v>
      </c>
      <c r="L960">
        <v>143</v>
      </c>
      <c r="M960" s="175">
        <v>1.4</v>
      </c>
      <c r="N960" t="s">
        <v>3834</v>
      </c>
    </row>
    <row r="961" spans="1:14">
      <c r="A961">
        <v>3015</v>
      </c>
      <c r="B961" t="s">
        <v>203</v>
      </c>
      <c r="C961">
        <v>52.4</v>
      </c>
      <c r="D961">
        <v>51.3</v>
      </c>
      <c r="E961" s="178">
        <v>-1.2</v>
      </c>
      <c r="F961" s="176">
        <v>-2.29</v>
      </c>
      <c r="G961" t="s">
        <v>5704</v>
      </c>
      <c r="H961">
        <v>286</v>
      </c>
      <c r="I961">
        <v>302</v>
      </c>
      <c r="J961">
        <v>18.73</v>
      </c>
      <c r="K961">
        <v>52.4</v>
      </c>
      <c r="L961">
        <v>51.3</v>
      </c>
      <c r="M961" s="175">
        <v>0.15</v>
      </c>
      <c r="N961" t="s">
        <v>3835</v>
      </c>
    </row>
    <row r="962" spans="1:14">
      <c r="A962">
        <v>3016</v>
      </c>
      <c r="B962" t="s">
        <v>878</v>
      </c>
      <c r="C962">
        <v>163</v>
      </c>
      <c r="D962">
        <v>156.5</v>
      </c>
      <c r="E962" s="178">
        <v>-13</v>
      </c>
      <c r="F962" s="176">
        <v>-7.67</v>
      </c>
      <c r="G962" t="s">
        <v>6319</v>
      </c>
      <c r="H962">
        <v>9110</v>
      </c>
      <c r="I962">
        <v>9153</v>
      </c>
      <c r="J962">
        <v>29.55</v>
      </c>
      <c r="K962">
        <v>165</v>
      </c>
      <c r="L962">
        <v>155.5</v>
      </c>
      <c r="M962" s="175">
        <v>3.1</v>
      </c>
      <c r="N962" t="s">
        <v>3836</v>
      </c>
    </row>
    <row r="963" spans="1:14">
      <c r="A963">
        <v>3017</v>
      </c>
      <c r="B963" t="s">
        <v>879</v>
      </c>
      <c r="C963">
        <v>3200</v>
      </c>
      <c r="D963">
        <v>3085</v>
      </c>
      <c r="E963" s="178">
        <v>-230</v>
      </c>
      <c r="F963" s="176">
        <v>-6.94</v>
      </c>
      <c r="G963" t="s">
        <v>5945</v>
      </c>
      <c r="H963">
        <v>3705</v>
      </c>
      <c r="I963">
        <v>2835</v>
      </c>
      <c r="J963">
        <v>39.450000000000003</v>
      </c>
      <c r="K963">
        <v>3220</v>
      </c>
      <c r="L963">
        <v>3050</v>
      </c>
      <c r="M963" s="175">
        <v>0.94</v>
      </c>
      <c r="N963" t="s">
        <v>3837</v>
      </c>
    </row>
    <row r="964" spans="1:14">
      <c r="A964">
        <v>3018</v>
      </c>
      <c r="B964" t="s">
        <v>2313</v>
      </c>
      <c r="C964">
        <v>10.3</v>
      </c>
      <c r="D964">
        <v>10.7</v>
      </c>
      <c r="E964" s="178">
        <v>0.1</v>
      </c>
      <c r="F964" s="176">
        <v>0.94</v>
      </c>
      <c r="G964" t="s">
        <v>6320</v>
      </c>
      <c r="H964">
        <v>27</v>
      </c>
      <c r="I964">
        <v>149</v>
      </c>
      <c r="J964">
        <v>7.54</v>
      </c>
      <c r="K964">
        <v>10.7</v>
      </c>
      <c r="L964">
        <v>10.3</v>
      </c>
      <c r="M964" s="175">
        <v>7.0000000000000007E-2</v>
      </c>
      <c r="N964" t="s">
        <v>3838</v>
      </c>
    </row>
    <row r="965" spans="1:14">
      <c r="A965">
        <v>3019</v>
      </c>
      <c r="B965" t="s">
        <v>880</v>
      </c>
      <c r="C965">
        <v>133.5</v>
      </c>
      <c r="D965">
        <v>133</v>
      </c>
      <c r="E965" s="178">
        <v>-3.5</v>
      </c>
      <c r="F965" s="176">
        <v>-2.56</v>
      </c>
      <c r="G965" t="s">
        <v>5460</v>
      </c>
      <c r="H965">
        <v>2602</v>
      </c>
      <c r="I965">
        <v>2208</v>
      </c>
      <c r="J965">
        <v>27.92</v>
      </c>
      <c r="K965">
        <v>135.5</v>
      </c>
      <c r="L965">
        <v>132.5</v>
      </c>
      <c r="M965" s="175">
        <v>0.93</v>
      </c>
      <c r="N965" t="s">
        <v>3839</v>
      </c>
    </row>
    <row r="966" spans="1:14">
      <c r="A966">
        <v>3021</v>
      </c>
      <c r="B966" t="s">
        <v>881</v>
      </c>
      <c r="C966">
        <v>26.6</v>
      </c>
      <c r="D966">
        <v>25.5</v>
      </c>
      <c r="E966" s="178">
        <v>-1.3</v>
      </c>
      <c r="F966" s="176">
        <v>-4.8499999999999996</v>
      </c>
      <c r="G966" t="s">
        <v>6321</v>
      </c>
      <c r="H966">
        <v>423</v>
      </c>
      <c r="I966">
        <v>942</v>
      </c>
      <c r="J966">
        <v>9.4700000000000006</v>
      </c>
      <c r="K966">
        <v>26.6</v>
      </c>
      <c r="L966">
        <v>25.1</v>
      </c>
      <c r="M966" s="175">
        <v>0.45</v>
      </c>
      <c r="N966" t="s">
        <v>3840</v>
      </c>
    </row>
    <row r="967" spans="1:14">
      <c r="A967">
        <v>3022</v>
      </c>
      <c r="B967" t="s">
        <v>882</v>
      </c>
      <c r="C967">
        <v>89.2</v>
      </c>
      <c r="D967">
        <v>88.7</v>
      </c>
      <c r="E967" s="178">
        <v>-2.1</v>
      </c>
      <c r="F967" s="176">
        <v>-2.31</v>
      </c>
      <c r="G967" t="s">
        <v>6322</v>
      </c>
      <c r="H967">
        <v>757</v>
      </c>
      <c r="I967">
        <v>598</v>
      </c>
      <c r="J967">
        <v>17.66</v>
      </c>
      <c r="K967">
        <v>89.7</v>
      </c>
      <c r="L967">
        <v>87.7</v>
      </c>
      <c r="M967" s="175">
        <v>0.43</v>
      </c>
      <c r="N967" t="s">
        <v>3841</v>
      </c>
    </row>
    <row r="968" spans="1:14">
      <c r="A968">
        <v>3023</v>
      </c>
      <c r="B968" t="s">
        <v>1559</v>
      </c>
      <c r="C968">
        <v>320</v>
      </c>
      <c r="D968">
        <v>321.5</v>
      </c>
      <c r="E968" s="178">
        <v>3</v>
      </c>
      <c r="F968" s="176">
        <v>0.94</v>
      </c>
      <c r="G968" t="s">
        <v>5741</v>
      </c>
      <c r="H968">
        <v>1117</v>
      </c>
      <c r="I968">
        <v>718</v>
      </c>
      <c r="J968">
        <v>24.01</v>
      </c>
      <c r="K968">
        <v>325</v>
      </c>
      <c r="L968">
        <v>316</v>
      </c>
      <c r="M968" s="175">
        <v>0.47</v>
      </c>
      <c r="N968" t="s">
        <v>3842</v>
      </c>
    </row>
    <row r="969" spans="1:14">
      <c r="A969">
        <v>3024</v>
      </c>
      <c r="B969" t="s">
        <v>883</v>
      </c>
      <c r="C969">
        <v>13.85</v>
      </c>
      <c r="D969">
        <v>13.65</v>
      </c>
      <c r="E969" s="178">
        <v>-0.2</v>
      </c>
      <c r="F969" s="176">
        <v>-1.44</v>
      </c>
      <c r="G969" t="s">
        <v>6323</v>
      </c>
      <c r="H969">
        <v>519</v>
      </c>
      <c r="I969">
        <v>665</v>
      </c>
      <c r="J969">
        <v>27.72</v>
      </c>
      <c r="K969">
        <v>13.95</v>
      </c>
      <c r="L969">
        <v>13.65</v>
      </c>
      <c r="M969" s="175">
        <v>0.19</v>
      </c>
      <c r="N969" t="s">
        <v>3843</v>
      </c>
    </row>
    <row r="970" spans="1:14">
      <c r="A970">
        <v>3025</v>
      </c>
      <c r="B970" t="s">
        <v>2320</v>
      </c>
      <c r="C970">
        <v>55.9</v>
      </c>
      <c r="D970">
        <v>55</v>
      </c>
      <c r="E970" s="178">
        <v>-0.9</v>
      </c>
      <c r="F970" s="176">
        <v>-1.61</v>
      </c>
      <c r="G970" t="s">
        <v>6324</v>
      </c>
      <c r="H970">
        <v>243</v>
      </c>
      <c r="I970">
        <v>489</v>
      </c>
      <c r="J970">
        <v>5.67</v>
      </c>
      <c r="K970">
        <v>55.9</v>
      </c>
      <c r="L970">
        <v>54.5</v>
      </c>
      <c r="M970" s="175">
        <v>0.43</v>
      </c>
      <c r="N970" t="s">
        <v>3844</v>
      </c>
    </row>
    <row r="971" spans="1:14">
      <c r="A971">
        <v>3026</v>
      </c>
      <c r="B971" t="s">
        <v>251</v>
      </c>
      <c r="C971">
        <v>800</v>
      </c>
      <c r="D971">
        <v>811</v>
      </c>
      <c r="E971" s="178">
        <v>-43</v>
      </c>
      <c r="F971" s="176">
        <v>-5.04</v>
      </c>
      <c r="G971" t="s">
        <v>6325</v>
      </c>
      <c r="H971">
        <v>14153</v>
      </c>
      <c r="I971">
        <v>12132</v>
      </c>
      <c r="J971">
        <v>16.59</v>
      </c>
      <c r="K971">
        <v>861</v>
      </c>
      <c r="L971">
        <v>800</v>
      </c>
      <c r="M971" s="175">
        <v>8.5299999999999994</v>
      </c>
      <c r="N971" t="s">
        <v>3845</v>
      </c>
    </row>
    <row r="972" spans="1:14">
      <c r="A972">
        <v>3027</v>
      </c>
      <c r="B972" t="s">
        <v>884</v>
      </c>
      <c r="C972">
        <v>18.649999999999999</v>
      </c>
      <c r="D972">
        <v>18.45</v>
      </c>
      <c r="E972" s="178">
        <v>-0.4</v>
      </c>
      <c r="F972" s="176">
        <v>-2.12</v>
      </c>
      <c r="G972" t="s">
        <v>6326</v>
      </c>
      <c r="H972">
        <v>137</v>
      </c>
      <c r="I972">
        <v>292</v>
      </c>
      <c r="J972">
        <v>12.92</v>
      </c>
      <c r="K972">
        <v>19.100000000000001</v>
      </c>
      <c r="L972">
        <v>18.45</v>
      </c>
      <c r="M972" s="175">
        <v>0.12</v>
      </c>
      <c r="N972" t="s">
        <v>3846</v>
      </c>
    </row>
    <row r="973" spans="1:14">
      <c r="A973">
        <v>3028</v>
      </c>
      <c r="B973" t="s">
        <v>885</v>
      </c>
      <c r="C973">
        <v>62.2</v>
      </c>
      <c r="D973">
        <v>62.1</v>
      </c>
      <c r="E973" s="178">
        <v>-0.4</v>
      </c>
      <c r="F973" s="176">
        <v>-0.64</v>
      </c>
      <c r="G973" t="s">
        <v>6327</v>
      </c>
      <c r="H973">
        <v>1042</v>
      </c>
      <c r="I973">
        <v>1068</v>
      </c>
      <c r="J973">
        <v>26.1</v>
      </c>
      <c r="K973">
        <v>62.4</v>
      </c>
      <c r="L973">
        <v>61.5</v>
      </c>
      <c r="M973" s="175">
        <v>0.44</v>
      </c>
      <c r="N973" t="s">
        <v>3847</v>
      </c>
    </row>
    <row r="974" spans="1:14">
      <c r="A974">
        <v>3029</v>
      </c>
      <c r="B974" t="s">
        <v>1560</v>
      </c>
      <c r="C974">
        <v>119.5</v>
      </c>
      <c r="D974">
        <v>119.5</v>
      </c>
      <c r="E974" s="178">
        <v>-2</v>
      </c>
      <c r="F974" s="176">
        <v>-1.65</v>
      </c>
      <c r="G974" t="s">
        <v>6328</v>
      </c>
      <c r="H974">
        <v>1704</v>
      </c>
      <c r="I974">
        <v>1838</v>
      </c>
      <c r="J974">
        <v>16.7</v>
      </c>
      <c r="K974">
        <v>122</v>
      </c>
      <c r="L974">
        <v>119</v>
      </c>
      <c r="M974" s="175">
        <v>1.1000000000000001</v>
      </c>
      <c r="N974" t="s">
        <v>3848</v>
      </c>
    </row>
    <row r="975" spans="1:14">
      <c r="A975">
        <v>3030</v>
      </c>
      <c r="B975" t="s">
        <v>1561</v>
      </c>
      <c r="C975">
        <v>300.5</v>
      </c>
      <c r="D975">
        <v>285</v>
      </c>
      <c r="E975" s="178">
        <v>-22</v>
      </c>
      <c r="F975" s="176">
        <v>-7.17</v>
      </c>
      <c r="G975" t="s">
        <v>6329</v>
      </c>
      <c r="H975">
        <v>1938</v>
      </c>
      <c r="I975">
        <v>2313</v>
      </c>
      <c r="J975">
        <v>23.62</v>
      </c>
      <c r="K975">
        <v>301.5</v>
      </c>
      <c r="L975">
        <v>284.5</v>
      </c>
      <c r="M975" s="175">
        <v>0.82</v>
      </c>
      <c r="N975" t="s">
        <v>3849</v>
      </c>
    </row>
    <row r="976" spans="1:14">
      <c r="A976">
        <v>3031</v>
      </c>
      <c r="B976" t="s">
        <v>886</v>
      </c>
      <c r="C976">
        <v>31.5</v>
      </c>
      <c r="D976">
        <v>30.7</v>
      </c>
      <c r="E976" s="178">
        <v>-1.65</v>
      </c>
      <c r="F976" s="176">
        <v>-5.0999999999999996</v>
      </c>
      <c r="G976" t="s">
        <v>6330</v>
      </c>
      <c r="H976">
        <v>1858</v>
      </c>
      <c r="I976">
        <v>4665</v>
      </c>
      <c r="J976">
        <v>17.32</v>
      </c>
      <c r="K976">
        <v>31.95</v>
      </c>
      <c r="L976">
        <v>30.6</v>
      </c>
      <c r="M976" s="175">
        <v>1.07</v>
      </c>
      <c r="N976" t="s">
        <v>3850</v>
      </c>
    </row>
    <row r="977" spans="1:14">
      <c r="A977">
        <v>3032</v>
      </c>
      <c r="B977" t="s">
        <v>887</v>
      </c>
      <c r="C977">
        <v>75</v>
      </c>
      <c r="D977">
        <v>73.5</v>
      </c>
      <c r="E977" s="178">
        <v>-3</v>
      </c>
      <c r="F977" s="176">
        <v>-3.92</v>
      </c>
      <c r="G977" t="s">
        <v>6331</v>
      </c>
      <c r="H977">
        <v>497</v>
      </c>
      <c r="I977">
        <v>211</v>
      </c>
      <c r="J977">
        <v>11.33</v>
      </c>
      <c r="K977">
        <v>75.900000000000006</v>
      </c>
      <c r="L977">
        <v>72.900000000000006</v>
      </c>
      <c r="M977" s="175">
        <v>0.48</v>
      </c>
      <c r="N977" t="s">
        <v>3851</v>
      </c>
    </row>
    <row r="978" spans="1:14">
      <c r="A978">
        <v>3033</v>
      </c>
      <c r="B978" t="s">
        <v>888</v>
      </c>
      <c r="C978">
        <v>43.1</v>
      </c>
      <c r="D978">
        <v>42.7</v>
      </c>
      <c r="E978" s="178">
        <v>-1.1000000000000001</v>
      </c>
      <c r="F978" s="176">
        <v>-2.5099999999999998</v>
      </c>
      <c r="G978" t="s">
        <v>6332</v>
      </c>
      <c r="H978">
        <v>4479</v>
      </c>
      <c r="I978">
        <v>4578</v>
      </c>
      <c r="J978">
        <v>52.45</v>
      </c>
      <c r="K978">
        <v>43.7</v>
      </c>
      <c r="L978">
        <v>42.7</v>
      </c>
      <c r="M978" s="175">
        <v>0.87</v>
      </c>
      <c r="N978" t="s">
        <v>3852</v>
      </c>
    </row>
    <row r="979" spans="1:14">
      <c r="A979">
        <v>3034</v>
      </c>
      <c r="B979" t="s">
        <v>199</v>
      </c>
      <c r="C979">
        <v>551</v>
      </c>
      <c r="D979">
        <v>565</v>
      </c>
      <c r="E979" s="178">
        <v>5</v>
      </c>
      <c r="F979" s="176">
        <v>0.89</v>
      </c>
      <c r="G979" t="s">
        <v>6333</v>
      </c>
      <c r="H979">
        <v>5313</v>
      </c>
      <c r="I979">
        <v>3018</v>
      </c>
      <c r="J979">
        <v>61.15</v>
      </c>
      <c r="K979">
        <v>567</v>
      </c>
      <c r="L979">
        <v>544</v>
      </c>
      <c r="M979" s="175">
        <v>0.87</v>
      </c>
      <c r="N979" t="s">
        <v>3853</v>
      </c>
    </row>
    <row r="980" spans="1:14">
      <c r="A980">
        <v>3035</v>
      </c>
      <c r="B980" t="s">
        <v>889</v>
      </c>
      <c r="C980">
        <v>204</v>
      </c>
      <c r="D980">
        <v>197.5</v>
      </c>
      <c r="E980" s="178">
        <v>-13.5</v>
      </c>
      <c r="F980" s="176">
        <v>-6.4</v>
      </c>
      <c r="G980" t="s">
        <v>5430</v>
      </c>
      <c r="H980">
        <v>10784</v>
      </c>
      <c r="I980">
        <v>3871</v>
      </c>
      <c r="J980">
        <v>26.06</v>
      </c>
      <c r="K980">
        <v>209.5</v>
      </c>
      <c r="L980">
        <v>197</v>
      </c>
      <c r="M980" s="175">
        <v>4.1399999999999997</v>
      </c>
      <c r="N980" t="s">
        <v>3854</v>
      </c>
    </row>
    <row r="981" spans="1:14">
      <c r="A981">
        <v>3036</v>
      </c>
      <c r="B981" t="s">
        <v>890</v>
      </c>
      <c r="C981">
        <v>212</v>
      </c>
      <c r="D981">
        <v>208</v>
      </c>
      <c r="E981" s="178">
        <v>-8</v>
      </c>
      <c r="F981" s="176">
        <v>-3.7</v>
      </c>
      <c r="G981" t="s">
        <v>6334</v>
      </c>
      <c r="H981">
        <v>9040</v>
      </c>
      <c r="I981">
        <v>7529</v>
      </c>
      <c r="J981">
        <v>134.66</v>
      </c>
      <c r="K981">
        <v>214.5</v>
      </c>
      <c r="L981">
        <v>208</v>
      </c>
      <c r="M981" s="175">
        <v>0.67</v>
      </c>
      <c r="N981" t="s">
        <v>3855</v>
      </c>
    </row>
    <row r="982" spans="1:14">
      <c r="A982">
        <v>3037</v>
      </c>
      <c r="B982" t="s">
        <v>252</v>
      </c>
      <c r="C982">
        <v>1100</v>
      </c>
      <c r="D982">
        <v>1075</v>
      </c>
      <c r="E982" s="178">
        <v>-110</v>
      </c>
      <c r="F982" s="176">
        <v>-9.2799999999999994</v>
      </c>
      <c r="G982" t="s">
        <v>6335</v>
      </c>
      <c r="H982">
        <v>27150</v>
      </c>
      <c r="I982">
        <v>11991</v>
      </c>
      <c r="J982">
        <v>164.39</v>
      </c>
      <c r="K982">
        <v>1115</v>
      </c>
      <c r="L982">
        <v>1070</v>
      </c>
      <c r="M982" s="175">
        <v>1.65</v>
      </c>
      <c r="N982" t="s">
        <v>3856</v>
      </c>
    </row>
    <row r="983" spans="1:14">
      <c r="A983">
        <v>3038</v>
      </c>
      <c r="B983" t="s">
        <v>253</v>
      </c>
      <c r="C983">
        <v>20.5</v>
      </c>
      <c r="D983">
        <v>20.3</v>
      </c>
      <c r="E983" s="178">
        <v>-0.1</v>
      </c>
      <c r="F983" s="176">
        <v>-0.49</v>
      </c>
      <c r="G983" t="s">
        <v>5443</v>
      </c>
      <c r="H983">
        <v>161</v>
      </c>
      <c r="I983">
        <v>108</v>
      </c>
      <c r="J983">
        <v>15.74</v>
      </c>
      <c r="K983">
        <v>20.5</v>
      </c>
      <c r="L983">
        <v>20.2</v>
      </c>
      <c r="M983" s="175">
        <v>0.1</v>
      </c>
      <c r="N983" t="s">
        <v>3857</v>
      </c>
    </row>
    <row r="984" spans="1:14">
      <c r="A984">
        <v>3040</v>
      </c>
      <c r="B984" t="s">
        <v>891</v>
      </c>
      <c r="C984">
        <v>31.3</v>
      </c>
      <c r="D984">
        <v>30</v>
      </c>
      <c r="E984" s="178">
        <v>-1.3</v>
      </c>
      <c r="F984" s="176">
        <v>-4.1500000000000004</v>
      </c>
      <c r="G984" t="s">
        <v>6336</v>
      </c>
      <c r="H984">
        <v>786</v>
      </c>
      <c r="I984">
        <v>474</v>
      </c>
      <c r="J984">
        <v>6.62</v>
      </c>
      <c r="K984">
        <v>31.35</v>
      </c>
      <c r="L984">
        <v>30</v>
      </c>
      <c r="M984" s="175">
        <v>1.19</v>
      </c>
      <c r="N984" t="s">
        <v>3858</v>
      </c>
    </row>
    <row r="985" spans="1:14">
      <c r="A985">
        <v>3041</v>
      </c>
      <c r="B985" t="s">
        <v>407</v>
      </c>
      <c r="C985">
        <v>24.7</v>
      </c>
      <c r="D985">
        <v>24.35</v>
      </c>
      <c r="E985" s="178">
        <v>-1.1499999999999999</v>
      </c>
      <c r="F985" s="176">
        <v>-4.51</v>
      </c>
      <c r="G985" t="s">
        <v>6337</v>
      </c>
      <c r="H985">
        <v>1322</v>
      </c>
      <c r="I985">
        <v>1789</v>
      </c>
      <c r="J985">
        <v>14.21</v>
      </c>
      <c r="K985">
        <v>25.2</v>
      </c>
      <c r="L985">
        <v>24.25</v>
      </c>
      <c r="M985" s="175">
        <v>1.1299999999999999</v>
      </c>
      <c r="N985" t="s">
        <v>3859</v>
      </c>
    </row>
    <row r="986" spans="1:14">
      <c r="A986">
        <v>3042</v>
      </c>
      <c r="B986" t="s">
        <v>1562</v>
      </c>
      <c r="C986">
        <v>193</v>
      </c>
      <c r="D986">
        <v>189.5</v>
      </c>
      <c r="E986" s="178">
        <v>-15.5</v>
      </c>
      <c r="F986" s="176">
        <v>-7.56</v>
      </c>
      <c r="G986" t="s">
        <v>5584</v>
      </c>
      <c r="H986">
        <v>9678</v>
      </c>
      <c r="I986">
        <v>10127</v>
      </c>
      <c r="J986">
        <v>34.299999999999997</v>
      </c>
      <c r="K986">
        <v>199.5</v>
      </c>
      <c r="L986">
        <v>186.5</v>
      </c>
      <c r="M986" s="175">
        <v>3.04</v>
      </c>
      <c r="N986" t="s">
        <v>3860</v>
      </c>
    </row>
    <row r="987" spans="1:14">
      <c r="A987">
        <v>3043</v>
      </c>
      <c r="B987" t="s">
        <v>892</v>
      </c>
      <c r="C987">
        <v>20.05</v>
      </c>
      <c r="D987">
        <v>19.5</v>
      </c>
      <c r="E987" s="178">
        <v>-0.55000000000000004</v>
      </c>
      <c r="F987" s="176">
        <v>-2.74</v>
      </c>
      <c r="G987" t="s">
        <v>5617</v>
      </c>
      <c r="H987">
        <v>112</v>
      </c>
      <c r="I987">
        <v>64</v>
      </c>
      <c r="J987">
        <v>3.9</v>
      </c>
      <c r="K987">
        <v>20.05</v>
      </c>
      <c r="L987">
        <v>19.5</v>
      </c>
      <c r="M987" s="175">
        <v>0.28999999999999998</v>
      </c>
      <c r="N987" t="s">
        <v>3861</v>
      </c>
    </row>
    <row r="988" spans="1:14">
      <c r="A988">
        <v>3044</v>
      </c>
      <c r="B988" t="s">
        <v>893</v>
      </c>
      <c r="C988">
        <v>580</v>
      </c>
      <c r="D988">
        <v>586</v>
      </c>
      <c r="E988" s="178">
        <v>-17</v>
      </c>
      <c r="F988" s="176">
        <v>-2.82</v>
      </c>
      <c r="G988" t="s">
        <v>6338</v>
      </c>
      <c r="H988">
        <v>3867</v>
      </c>
      <c r="I988">
        <v>3139</v>
      </c>
      <c r="J988">
        <v>52.56</v>
      </c>
      <c r="K988">
        <v>595</v>
      </c>
      <c r="L988">
        <v>571</v>
      </c>
      <c r="M988" s="175">
        <v>0.74</v>
      </c>
      <c r="N988" t="s">
        <v>3862</v>
      </c>
    </row>
    <row r="989" spans="1:14">
      <c r="A989">
        <v>3045</v>
      </c>
      <c r="B989" t="s">
        <v>894</v>
      </c>
      <c r="C989">
        <v>127</v>
      </c>
      <c r="D989">
        <v>131</v>
      </c>
      <c r="E989" s="178">
        <v>4.5</v>
      </c>
      <c r="F989" s="176">
        <v>3.56</v>
      </c>
      <c r="G989" t="s">
        <v>5573</v>
      </c>
      <c r="H989">
        <v>16303</v>
      </c>
      <c r="I989">
        <v>6732</v>
      </c>
      <c r="J989">
        <v>372.48</v>
      </c>
      <c r="K989">
        <v>133</v>
      </c>
      <c r="L989">
        <v>126.5</v>
      </c>
      <c r="M989" s="175">
        <v>0.44</v>
      </c>
      <c r="N989" t="s">
        <v>3863</v>
      </c>
    </row>
    <row r="990" spans="1:14">
      <c r="A990">
        <v>3046</v>
      </c>
      <c r="B990" t="s">
        <v>895</v>
      </c>
      <c r="C990">
        <v>51.8</v>
      </c>
      <c r="D990">
        <v>51.1</v>
      </c>
      <c r="E990" s="178">
        <v>-0.7</v>
      </c>
      <c r="F990" s="176">
        <v>-1.35</v>
      </c>
      <c r="G990" t="s">
        <v>6339</v>
      </c>
      <c r="H990">
        <v>261</v>
      </c>
      <c r="I990">
        <v>197</v>
      </c>
      <c r="J990">
        <v>7.84</v>
      </c>
      <c r="K990">
        <v>51.8</v>
      </c>
      <c r="L990">
        <v>50.9</v>
      </c>
      <c r="M990" s="175">
        <v>0.33</v>
      </c>
      <c r="N990" t="s">
        <v>3864</v>
      </c>
    </row>
    <row r="991" spans="1:14">
      <c r="A991">
        <v>3047</v>
      </c>
      <c r="B991" t="s">
        <v>896</v>
      </c>
      <c r="C991">
        <v>14.65</v>
      </c>
      <c r="D991">
        <v>14.3</v>
      </c>
      <c r="E991" s="178">
        <v>-0.45</v>
      </c>
      <c r="F991" s="176">
        <v>-3.05</v>
      </c>
      <c r="G991" t="s">
        <v>6340</v>
      </c>
      <c r="H991">
        <v>646</v>
      </c>
      <c r="I991">
        <v>501</v>
      </c>
      <c r="J991">
        <v>22.48</v>
      </c>
      <c r="K991">
        <v>14.65</v>
      </c>
      <c r="L991">
        <v>14.3</v>
      </c>
      <c r="M991" s="175">
        <v>0.28999999999999998</v>
      </c>
      <c r="N991" t="s">
        <v>3865</v>
      </c>
    </row>
    <row r="992" spans="1:14">
      <c r="A992">
        <v>3048</v>
      </c>
      <c r="B992" t="s">
        <v>897</v>
      </c>
      <c r="C992">
        <v>55.5</v>
      </c>
      <c r="D992">
        <v>54.7</v>
      </c>
      <c r="E992" s="178">
        <v>-2.1</v>
      </c>
      <c r="F992" s="176">
        <v>-3.7</v>
      </c>
      <c r="G992" t="s">
        <v>6237</v>
      </c>
      <c r="H992">
        <v>3679</v>
      </c>
      <c r="I992">
        <v>5657</v>
      </c>
      <c r="J992">
        <v>26.98</v>
      </c>
      <c r="K992">
        <v>56.3</v>
      </c>
      <c r="L992">
        <v>54.6</v>
      </c>
      <c r="M992" s="175">
        <v>1.5</v>
      </c>
      <c r="N992" t="s">
        <v>3866</v>
      </c>
    </row>
    <row r="993" spans="1:14">
      <c r="A993">
        <v>3049</v>
      </c>
      <c r="B993" t="s">
        <v>2293</v>
      </c>
      <c r="C993">
        <v>11.9</v>
      </c>
      <c r="D993">
        <v>11.7</v>
      </c>
      <c r="E993" s="178">
        <v>-0.4</v>
      </c>
      <c r="F993" s="176">
        <v>-3.31</v>
      </c>
      <c r="G993" t="s">
        <v>6341</v>
      </c>
      <c r="H993">
        <v>2798</v>
      </c>
      <c r="I993">
        <v>2520</v>
      </c>
      <c r="J993">
        <v>80.2</v>
      </c>
      <c r="K993">
        <v>11.95</v>
      </c>
      <c r="L993">
        <v>11.7</v>
      </c>
      <c r="M993" s="175">
        <v>0.35</v>
      </c>
      <c r="N993" t="s">
        <v>3867</v>
      </c>
    </row>
    <row r="994" spans="1:14">
      <c r="A994">
        <v>3050</v>
      </c>
      <c r="B994" t="s">
        <v>898</v>
      </c>
      <c r="C994">
        <v>11.6</v>
      </c>
      <c r="D994">
        <v>11.45</v>
      </c>
      <c r="E994" s="178">
        <v>-0.25</v>
      </c>
      <c r="F994" s="176">
        <v>-2.14</v>
      </c>
      <c r="G994" t="s">
        <v>6342</v>
      </c>
      <c r="H994">
        <v>427</v>
      </c>
      <c r="I994">
        <v>403</v>
      </c>
      <c r="J994">
        <v>15.5</v>
      </c>
      <c r="K994">
        <v>11.6</v>
      </c>
      <c r="L994">
        <v>11.3</v>
      </c>
      <c r="M994" s="175">
        <v>0.28000000000000003</v>
      </c>
      <c r="N994" t="s">
        <v>3868</v>
      </c>
    </row>
    <row r="995" spans="1:14">
      <c r="A995">
        <v>3051</v>
      </c>
      <c r="B995" t="s">
        <v>1616</v>
      </c>
      <c r="C995">
        <v>21.7</v>
      </c>
      <c r="D995">
        <v>21.2</v>
      </c>
      <c r="E995" s="178">
        <v>-0.5</v>
      </c>
      <c r="F995" s="176">
        <v>-2.2999999999999998</v>
      </c>
      <c r="G995" t="s">
        <v>5577</v>
      </c>
      <c r="H995">
        <v>575</v>
      </c>
      <c r="I995">
        <v>366</v>
      </c>
      <c r="J995">
        <v>16.7</v>
      </c>
      <c r="K995">
        <v>21.7</v>
      </c>
      <c r="L995">
        <v>21.05</v>
      </c>
      <c r="M995" s="175">
        <v>0.34</v>
      </c>
      <c r="N995" t="s">
        <v>3869</v>
      </c>
    </row>
    <row r="996" spans="1:14">
      <c r="A996">
        <v>3052</v>
      </c>
      <c r="B996" t="s">
        <v>899</v>
      </c>
      <c r="C996">
        <v>10.7</v>
      </c>
      <c r="D996">
        <v>10.7</v>
      </c>
      <c r="E996" s="178">
        <v>-0.05</v>
      </c>
      <c r="F996" s="176">
        <v>-0.47</v>
      </c>
      <c r="G996" t="s">
        <v>6049</v>
      </c>
      <c r="H996">
        <v>149</v>
      </c>
      <c r="I996">
        <v>218</v>
      </c>
      <c r="J996">
        <v>23.32</v>
      </c>
      <c r="K996">
        <v>10.75</v>
      </c>
      <c r="L996">
        <v>10.65</v>
      </c>
      <c r="M996" s="175">
        <v>0.06</v>
      </c>
      <c r="N996" t="s">
        <v>3870</v>
      </c>
    </row>
    <row r="997" spans="1:14">
      <c r="A997">
        <v>3054</v>
      </c>
      <c r="B997" t="s">
        <v>900</v>
      </c>
      <c r="C997">
        <v>56.8</v>
      </c>
      <c r="D997">
        <v>56.1</v>
      </c>
      <c r="E997" s="178">
        <v>-0.6</v>
      </c>
      <c r="F997" s="176">
        <v>-1.06</v>
      </c>
      <c r="G997" t="s">
        <v>5461</v>
      </c>
      <c r="H997">
        <v>62</v>
      </c>
      <c r="I997">
        <v>102</v>
      </c>
      <c r="J997">
        <v>8.07</v>
      </c>
      <c r="K997">
        <v>56.8</v>
      </c>
      <c r="L997">
        <v>55.2</v>
      </c>
      <c r="M997" s="175">
        <v>0.08</v>
      </c>
      <c r="N997" t="s">
        <v>3871</v>
      </c>
    </row>
    <row r="998" spans="1:14">
      <c r="A998">
        <v>3055</v>
      </c>
      <c r="B998" t="s">
        <v>901</v>
      </c>
      <c r="C998">
        <v>147</v>
      </c>
      <c r="D998">
        <v>147</v>
      </c>
      <c r="E998" s="178">
        <v>-16</v>
      </c>
      <c r="F998" s="176">
        <v>-9.82</v>
      </c>
      <c r="G998" t="s">
        <v>6343</v>
      </c>
      <c r="H998">
        <v>780</v>
      </c>
      <c r="I998">
        <v>977</v>
      </c>
      <c r="J998">
        <v>11.5</v>
      </c>
      <c r="K998">
        <v>147</v>
      </c>
      <c r="L998">
        <v>147</v>
      </c>
      <c r="M998" s="175">
        <v>0.79</v>
      </c>
      <c r="N998" t="s">
        <v>3872</v>
      </c>
    </row>
    <row r="999" spans="1:14">
      <c r="A999">
        <v>3056</v>
      </c>
      <c r="B999" t="s">
        <v>2283</v>
      </c>
      <c r="C999">
        <v>13.75</v>
      </c>
      <c r="D999">
        <v>13.6</v>
      </c>
      <c r="E999" s="178">
        <v>-0.15</v>
      </c>
      <c r="F999" s="176">
        <v>-1.0900000000000001</v>
      </c>
      <c r="G999" t="s">
        <v>6344</v>
      </c>
      <c r="H999">
        <v>730</v>
      </c>
      <c r="I999">
        <v>443</v>
      </c>
      <c r="J999">
        <v>48.06</v>
      </c>
      <c r="K999">
        <v>13.75</v>
      </c>
      <c r="L999">
        <v>13.55</v>
      </c>
      <c r="M999" s="175">
        <v>0.15</v>
      </c>
      <c r="N999" t="s">
        <v>3873</v>
      </c>
    </row>
    <row r="1000" spans="1:14">
      <c r="A1000">
        <v>3057</v>
      </c>
      <c r="B1000" t="s">
        <v>2910</v>
      </c>
      <c r="C1000">
        <v>14.9</v>
      </c>
      <c r="D1000">
        <v>14.5</v>
      </c>
      <c r="E1000" s="178">
        <v>-0.4</v>
      </c>
      <c r="F1000" s="176">
        <v>-2.68</v>
      </c>
      <c r="G1000" t="s">
        <v>5327</v>
      </c>
      <c r="H1000">
        <v>319</v>
      </c>
      <c r="I1000">
        <v>101</v>
      </c>
      <c r="J1000">
        <v>6.79</v>
      </c>
      <c r="K1000">
        <v>14.9</v>
      </c>
      <c r="L1000">
        <v>13.9</v>
      </c>
      <c r="M1000" s="175">
        <v>0.53</v>
      </c>
      <c r="N1000" t="s">
        <v>3874</v>
      </c>
    </row>
    <row r="1001" spans="1:14">
      <c r="A1001">
        <v>3058</v>
      </c>
      <c r="B1001" t="s">
        <v>902</v>
      </c>
      <c r="C1001">
        <v>8.64</v>
      </c>
      <c r="D1001">
        <v>8.2899999999999991</v>
      </c>
      <c r="E1001" s="178">
        <v>-0.24</v>
      </c>
      <c r="F1001" s="176">
        <v>-2.81</v>
      </c>
      <c r="G1001" t="s">
        <v>5228</v>
      </c>
      <c r="H1001">
        <v>423</v>
      </c>
      <c r="I1001">
        <v>988</v>
      </c>
      <c r="J1001">
        <v>20.170000000000002</v>
      </c>
      <c r="K1001">
        <v>8.64</v>
      </c>
      <c r="L1001">
        <v>8.2799999999999994</v>
      </c>
      <c r="M1001" s="175">
        <v>0.21</v>
      </c>
      <c r="N1001" t="s">
        <v>3875</v>
      </c>
    </row>
    <row r="1002" spans="1:14">
      <c r="A1002">
        <v>3059</v>
      </c>
      <c r="B1002" t="s">
        <v>903</v>
      </c>
      <c r="C1002">
        <v>38.700000000000003</v>
      </c>
      <c r="D1002">
        <v>37.9</v>
      </c>
      <c r="E1002" s="178">
        <v>-1.1000000000000001</v>
      </c>
      <c r="F1002" s="176">
        <v>-2.82</v>
      </c>
      <c r="G1002" t="s">
        <v>6345</v>
      </c>
      <c r="H1002">
        <v>1594</v>
      </c>
      <c r="I1002">
        <v>1401</v>
      </c>
      <c r="J1002">
        <v>30.77</v>
      </c>
      <c r="K1002">
        <v>38.700000000000003</v>
      </c>
      <c r="L1002">
        <v>37.75</v>
      </c>
      <c r="M1002" s="175">
        <v>0.52</v>
      </c>
      <c r="N1002" t="s">
        <v>3876</v>
      </c>
    </row>
    <row r="1003" spans="1:14">
      <c r="A1003">
        <v>3060</v>
      </c>
      <c r="B1003" t="s">
        <v>904</v>
      </c>
      <c r="C1003">
        <v>28</v>
      </c>
      <c r="D1003">
        <v>27.35</v>
      </c>
      <c r="E1003" s="178">
        <v>-0.8</v>
      </c>
      <c r="F1003" s="176">
        <v>-2.84</v>
      </c>
      <c r="G1003" t="s">
        <v>6346</v>
      </c>
      <c r="H1003">
        <v>1182</v>
      </c>
      <c r="I1003">
        <v>890</v>
      </c>
      <c r="J1003">
        <v>13.76</v>
      </c>
      <c r="K1003">
        <v>28</v>
      </c>
      <c r="L1003">
        <v>27.1</v>
      </c>
      <c r="M1003" s="175">
        <v>0.86</v>
      </c>
      <c r="N1003" t="s">
        <v>3877</v>
      </c>
    </row>
    <row r="1004" spans="1:14">
      <c r="A1004">
        <v>3062</v>
      </c>
      <c r="B1004" t="s">
        <v>905</v>
      </c>
      <c r="C1004">
        <v>22.85</v>
      </c>
      <c r="D1004">
        <v>21.6</v>
      </c>
      <c r="E1004" s="178">
        <v>-0.75</v>
      </c>
      <c r="F1004" s="176">
        <v>-3.36</v>
      </c>
      <c r="G1004" t="s">
        <v>6347</v>
      </c>
      <c r="H1004">
        <v>3343</v>
      </c>
      <c r="I1004">
        <v>1673</v>
      </c>
      <c r="J1004">
        <v>33.01</v>
      </c>
      <c r="K1004">
        <v>22.95</v>
      </c>
      <c r="L1004">
        <v>21.6</v>
      </c>
      <c r="M1004" s="175">
        <v>1.01</v>
      </c>
      <c r="N1004" t="s">
        <v>3878</v>
      </c>
    </row>
    <row r="1005" spans="1:14">
      <c r="A1005">
        <v>3064</v>
      </c>
      <c r="B1005" t="s">
        <v>906</v>
      </c>
      <c r="C1005" t="s">
        <v>1555</v>
      </c>
      <c r="D1005" t="s">
        <v>1555</v>
      </c>
      <c r="E1005" s="178" t="s">
        <v>1555</v>
      </c>
      <c r="F1005" s="176" t="s">
        <v>1555</v>
      </c>
      <c r="G1005" t="s">
        <v>1555</v>
      </c>
      <c r="H1005">
        <v>0</v>
      </c>
      <c r="I1005">
        <v>0</v>
      </c>
      <c r="J1005">
        <v>1.3</v>
      </c>
      <c r="K1005" t="s">
        <v>1555</v>
      </c>
      <c r="L1005" t="s">
        <v>1555</v>
      </c>
      <c r="M1005" s="175">
        <v>0</v>
      </c>
      <c r="N1005" t="s">
        <v>3879</v>
      </c>
    </row>
    <row r="1006" spans="1:14">
      <c r="A1006">
        <v>3066</v>
      </c>
      <c r="B1006" t="s">
        <v>907</v>
      </c>
      <c r="C1006">
        <v>26.7</v>
      </c>
      <c r="D1006">
        <v>25.4</v>
      </c>
      <c r="E1006" s="178">
        <v>-1.55</v>
      </c>
      <c r="F1006" s="176">
        <v>-5.75</v>
      </c>
      <c r="G1006" t="s">
        <v>6348</v>
      </c>
      <c r="H1006">
        <v>792</v>
      </c>
      <c r="I1006">
        <v>732</v>
      </c>
      <c r="J1006">
        <v>8.31</v>
      </c>
      <c r="K1006">
        <v>26.7</v>
      </c>
      <c r="L1006">
        <v>25.2</v>
      </c>
      <c r="M1006" s="175">
        <v>0.95</v>
      </c>
      <c r="N1006" t="s">
        <v>3880</v>
      </c>
    </row>
    <row r="1007" spans="1:14">
      <c r="A1007">
        <v>3067</v>
      </c>
      <c r="B1007" t="s">
        <v>1609</v>
      </c>
      <c r="C1007">
        <v>18.149999999999999</v>
      </c>
      <c r="D1007">
        <v>18.149999999999999</v>
      </c>
      <c r="E1007" s="178">
        <v>0.15</v>
      </c>
      <c r="F1007" s="176">
        <v>0.83</v>
      </c>
      <c r="G1007" t="s">
        <v>6349</v>
      </c>
      <c r="H1007">
        <v>1</v>
      </c>
      <c r="I1007">
        <v>2</v>
      </c>
      <c r="J1007">
        <v>2</v>
      </c>
      <c r="K1007">
        <v>18.149999999999999</v>
      </c>
      <c r="L1007">
        <v>18.149999999999999</v>
      </c>
      <c r="M1007" s="175">
        <v>0.01</v>
      </c>
      <c r="N1007" t="s">
        <v>3881</v>
      </c>
    </row>
    <row r="1008" spans="1:14">
      <c r="A1008">
        <v>3071</v>
      </c>
      <c r="B1008" t="s">
        <v>908</v>
      </c>
      <c r="C1008">
        <v>22.3</v>
      </c>
      <c r="D1008">
        <v>21.95</v>
      </c>
      <c r="E1008" s="178">
        <v>-0.35</v>
      </c>
      <c r="F1008" s="176">
        <v>-1.57</v>
      </c>
      <c r="G1008" t="s">
        <v>6350</v>
      </c>
      <c r="H1008">
        <v>368</v>
      </c>
      <c r="I1008">
        <v>189</v>
      </c>
      <c r="J1008">
        <v>11</v>
      </c>
      <c r="K1008">
        <v>22.3</v>
      </c>
      <c r="L1008">
        <v>21.6</v>
      </c>
      <c r="M1008" s="175">
        <v>0.33</v>
      </c>
      <c r="N1008" t="s">
        <v>3882</v>
      </c>
    </row>
    <row r="1009" spans="1:14">
      <c r="A1009">
        <v>3073</v>
      </c>
      <c r="B1009" t="s">
        <v>2024</v>
      </c>
      <c r="C1009">
        <v>21.4</v>
      </c>
      <c r="D1009">
        <v>21.25</v>
      </c>
      <c r="E1009" s="178">
        <v>-0.15</v>
      </c>
      <c r="F1009" s="176">
        <v>-0.7</v>
      </c>
      <c r="G1009" t="s">
        <v>6351</v>
      </c>
      <c r="H1009">
        <v>18</v>
      </c>
      <c r="I1009">
        <v>62</v>
      </c>
      <c r="J1009">
        <v>3.95</v>
      </c>
      <c r="K1009">
        <v>21.4</v>
      </c>
      <c r="L1009">
        <v>20.9</v>
      </c>
      <c r="M1009" s="175">
        <v>0.05</v>
      </c>
      <c r="N1009" t="s">
        <v>3883</v>
      </c>
    </row>
    <row r="1010" spans="1:14">
      <c r="A1010">
        <v>3078</v>
      </c>
      <c r="B1010" t="s">
        <v>909</v>
      </c>
      <c r="C1010">
        <v>47.5</v>
      </c>
      <c r="D1010">
        <v>47.4</v>
      </c>
      <c r="E1010" s="178">
        <v>-0.3</v>
      </c>
      <c r="F1010" s="176">
        <v>-0.63</v>
      </c>
      <c r="G1010" t="s">
        <v>6352</v>
      </c>
      <c r="H1010">
        <v>482</v>
      </c>
      <c r="I1010">
        <v>415</v>
      </c>
      <c r="J1010">
        <v>22.74</v>
      </c>
      <c r="K1010">
        <v>47.65</v>
      </c>
      <c r="L1010">
        <v>47</v>
      </c>
      <c r="M1010" s="175">
        <v>0.21</v>
      </c>
      <c r="N1010" t="s">
        <v>3884</v>
      </c>
    </row>
    <row r="1011" spans="1:14">
      <c r="A1011">
        <v>3081</v>
      </c>
      <c r="B1011" t="s">
        <v>910</v>
      </c>
      <c r="C1011">
        <v>2620</v>
      </c>
      <c r="D1011">
        <v>2640</v>
      </c>
      <c r="E1011" s="178">
        <v>-240</v>
      </c>
      <c r="F1011" s="176">
        <v>-8.33</v>
      </c>
      <c r="G1011" t="s">
        <v>6353</v>
      </c>
      <c r="H1011">
        <v>3008</v>
      </c>
      <c r="I1011">
        <v>3767</v>
      </c>
      <c r="J1011">
        <v>10.19</v>
      </c>
      <c r="K1011">
        <v>2780</v>
      </c>
      <c r="L1011">
        <v>2615</v>
      </c>
      <c r="M1011" s="175">
        <v>2.96</v>
      </c>
      <c r="N1011" t="s">
        <v>3885</v>
      </c>
    </row>
    <row r="1012" spans="1:14">
      <c r="A1012">
        <v>3083</v>
      </c>
      <c r="B1012" t="s">
        <v>911</v>
      </c>
      <c r="C1012">
        <v>23.1</v>
      </c>
      <c r="D1012">
        <v>22.9</v>
      </c>
      <c r="E1012" s="178">
        <v>-0.3</v>
      </c>
      <c r="F1012" s="176">
        <v>-1.29</v>
      </c>
      <c r="G1012" t="s">
        <v>6354</v>
      </c>
      <c r="H1012">
        <v>20</v>
      </c>
      <c r="I1012">
        <v>26</v>
      </c>
      <c r="J1012">
        <v>8.65</v>
      </c>
      <c r="K1012">
        <v>23.1</v>
      </c>
      <c r="L1012">
        <v>22.8</v>
      </c>
      <c r="M1012" s="175">
        <v>0.02</v>
      </c>
      <c r="N1012" t="s">
        <v>3886</v>
      </c>
    </row>
    <row r="1013" spans="1:14">
      <c r="A1013">
        <v>3085</v>
      </c>
      <c r="B1013" t="s">
        <v>5421</v>
      </c>
      <c r="C1013">
        <v>15.1</v>
      </c>
      <c r="D1013">
        <v>15.5</v>
      </c>
      <c r="E1013" s="178">
        <v>-0.65</v>
      </c>
      <c r="F1013" s="176">
        <v>-4.0199999999999996</v>
      </c>
      <c r="G1013" t="s">
        <v>5414</v>
      </c>
      <c r="H1013">
        <v>8</v>
      </c>
      <c r="I1013">
        <v>4</v>
      </c>
      <c r="J1013">
        <v>5.36</v>
      </c>
      <c r="K1013">
        <v>15.5</v>
      </c>
      <c r="L1013">
        <v>15.1</v>
      </c>
      <c r="M1013" s="175">
        <v>0.01</v>
      </c>
      <c r="N1013" t="s">
        <v>5422</v>
      </c>
    </row>
    <row r="1014" spans="1:14">
      <c r="A1014">
        <v>3086</v>
      </c>
      <c r="B1014" t="s">
        <v>3122</v>
      </c>
      <c r="C1014">
        <v>26.55</v>
      </c>
      <c r="D1014">
        <v>26.55</v>
      </c>
      <c r="E1014" s="178">
        <v>-0.25</v>
      </c>
      <c r="F1014" s="176">
        <v>-0.93</v>
      </c>
      <c r="G1014" t="s">
        <v>5159</v>
      </c>
      <c r="H1014">
        <v>83</v>
      </c>
      <c r="I1014">
        <v>86</v>
      </c>
      <c r="J1014">
        <v>2.73</v>
      </c>
      <c r="K1014">
        <v>27.1</v>
      </c>
      <c r="L1014">
        <v>26.5</v>
      </c>
      <c r="M1014" s="175">
        <v>0.03</v>
      </c>
      <c r="N1014" t="s">
        <v>3887</v>
      </c>
    </row>
    <row r="1015" spans="1:14">
      <c r="A1015">
        <v>3088</v>
      </c>
      <c r="B1015" t="s">
        <v>912</v>
      </c>
      <c r="C1015">
        <v>126</v>
      </c>
      <c r="D1015">
        <v>123.5</v>
      </c>
      <c r="E1015" s="178">
        <v>-4</v>
      </c>
      <c r="F1015" s="176">
        <v>-3.14</v>
      </c>
      <c r="G1015" t="s">
        <v>6355</v>
      </c>
      <c r="H1015">
        <v>704</v>
      </c>
      <c r="I1015">
        <v>695</v>
      </c>
      <c r="J1015">
        <v>11.31</v>
      </c>
      <c r="K1015">
        <v>126</v>
      </c>
      <c r="L1015">
        <v>121.5</v>
      </c>
      <c r="M1015" s="175">
        <v>0.62</v>
      </c>
      <c r="N1015" t="s">
        <v>3888</v>
      </c>
    </row>
    <row r="1016" spans="1:14">
      <c r="A1016">
        <v>3090</v>
      </c>
      <c r="B1016" t="s">
        <v>1563</v>
      </c>
      <c r="C1016">
        <v>178</v>
      </c>
      <c r="D1016">
        <v>171.5</v>
      </c>
      <c r="E1016" s="178">
        <v>-12</v>
      </c>
      <c r="F1016" s="176">
        <v>-6.54</v>
      </c>
      <c r="G1016" t="s">
        <v>6356</v>
      </c>
      <c r="H1016">
        <v>36778</v>
      </c>
      <c r="I1016">
        <v>8997</v>
      </c>
      <c r="J1016">
        <v>28.76</v>
      </c>
      <c r="K1016">
        <v>192.5</v>
      </c>
      <c r="L1016">
        <v>171</v>
      </c>
      <c r="M1016" s="175">
        <v>12.79</v>
      </c>
      <c r="N1016" t="s">
        <v>3889</v>
      </c>
    </row>
    <row r="1017" spans="1:14">
      <c r="A1017">
        <v>3092</v>
      </c>
      <c r="B1017" t="s">
        <v>913</v>
      </c>
      <c r="C1017">
        <v>23.1</v>
      </c>
      <c r="D1017">
        <v>22.95</v>
      </c>
      <c r="E1017" s="178">
        <v>-0.4</v>
      </c>
      <c r="F1017" s="176">
        <v>-1.71</v>
      </c>
      <c r="G1017" t="s">
        <v>5256</v>
      </c>
      <c r="H1017">
        <v>135</v>
      </c>
      <c r="I1017">
        <v>168</v>
      </c>
      <c r="J1017">
        <v>10.66</v>
      </c>
      <c r="K1017">
        <v>23.1</v>
      </c>
      <c r="L1017">
        <v>22.6</v>
      </c>
      <c r="M1017" s="175">
        <v>0.13</v>
      </c>
      <c r="N1017" t="s">
        <v>3890</v>
      </c>
    </row>
    <row r="1018" spans="1:14">
      <c r="A1018">
        <v>3093</v>
      </c>
      <c r="B1018" t="s">
        <v>1675</v>
      </c>
      <c r="C1018">
        <v>39.65</v>
      </c>
      <c r="D1018">
        <v>38.4</v>
      </c>
      <c r="E1018" s="178">
        <v>-1.5</v>
      </c>
      <c r="F1018" s="176">
        <v>-3.76</v>
      </c>
      <c r="G1018" t="s">
        <v>5666</v>
      </c>
      <c r="H1018">
        <v>337</v>
      </c>
      <c r="I1018">
        <v>454</v>
      </c>
      <c r="J1018">
        <v>3.63</v>
      </c>
      <c r="K1018">
        <v>39.65</v>
      </c>
      <c r="L1018">
        <v>38.299999999999997</v>
      </c>
      <c r="M1018" s="175">
        <v>0.23</v>
      </c>
      <c r="N1018" t="s">
        <v>3891</v>
      </c>
    </row>
    <row r="1019" spans="1:14">
      <c r="A1019">
        <v>3094</v>
      </c>
      <c r="B1019" t="s">
        <v>914</v>
      </c>
      <c r="C1019">
        <v>60.6</v>
      </c>
      <c r="D1019">
        <v>58.8</v>
      </c>
      <c r="E1019" s="178">
        <v>-6.5</v>
      </c>
      <c r="F1019" s="176">
        <v>-9.9499999999999993</v>
      </c>
      <c r="G1019" t="s">
        <v>5557</v>
      </c>
      <c r="H1019">
        <v>6525</v>
      </c>
      <c r="I1019">
        <v>2709</v>
      </c>
      <c r="J1019">
        <v>8.31</v>
      </c>
      <c r="K1019">
        <v>62.5</v>
      </c>
      <c r="L1019">
        <v>58.8</v>
      </c>
      <c r="M1019" s="175">
        <v>7.85</v>
      </c>
      <c r="N1019" t="s">
        <v>3892</v>
      </c>
    </row>
    <row r="1020" spans="1:14">
      <c r="A1020">
        <v>3095</v>
      </c>
      <c r="B1020" t="s">
        <v>915</v>
      </c>
      <c r="C1020">
        <v>32.75</v>
      </c>
      <c r="D1020">
        <v>32.5</v>
      </c>
      <c r="E1020" s="178">
        <v>-0.25</v>
      </c>
      <c r="F1020" s="176">
        <v>-0.76</v>
      </c>
      <c r="G1020" t="s">
        <v>5213</v>
      </c>
      <c r="H1020">
        <v>36</v>
      </c>
      <c r="I1020">
        <v>8</v>
      </c>
      <c r="J1020">
        <v>1.47</v>
      </c>
      <c r="K1020">
        <v>32.799999999999997</v>
      </c>
      <c r="L1020">
        <v>32.5</v>
      </c>
      <c r="M1020" s="175">
        <v>0.25</v>
      </c>
      <c r="N1020" t="s">
        <v>3893</v>
      </c>
    </row>
    <row r="1021" spans="1:14">
      <c r="A1021">
        <v>3105</v>
      </c>
      <c r="B1021" t="s">
        <v>916</v>
      </c>
      <c r="C1021">
        <v>520</v>
      </c>
      <c r="D1021">
        <v>502</v>
      </c>
      <c r="E1021" s="178">
        <v>-55</v>
      </c>
      <c r="F1021" s="176">
        <v>-9.8699999999999992</v>
      </c>
      <c r="G1021" t="s">
        <v>6357</v>
      </c>
      <c r="H1021">
        <v>16069</v>
      </c>
      <c r="I1021">
        <v>19140</v>
      </c>
      <c r="J1021">
        <v>42.39</v>
      </c>
      <c r="K1021">
        <v>526</v>
      </c>
      <c r="L1021">
        <v>502</v>
      </c>
      <c r="M1021" s="175">
        <v>3.79</v>
      </c>
      <c r="N1021" t="s">
        <v>3894</v>
      </c>
    </row>
    <row r="1022" spans="1:14">
      <c r="A1022">
        <v>3114</v>
      </c>
      <c r="B1022" t="s">
        <v>917</v>
      </c>
      <c r="C1022">
        <v>40.950000000000003</v>
      </c>
      <c r="D1022">
        <v>40.85</v>
      </c>
      <c r="E1022" s="178">
        <v>-0.45</v>
      </c>
      <c r="F1022" s="176">
        <v>-1.0900000000000001</v>
      </c>
      <c r="G1022" t="s">
        <v>6358</v>
      </c>
      <c r="H1022">
        <v>3312</v>
      </c>
      <c r="I1022">
        <v>830</v>
      </c>
      <c r="J1022">
        <v>6.77</v>
      </c>
      <c r="K1022">
        <v>42.9</v>
      </c>
      <c r="L1022">
        <v>40</v>
      </c>
      <c r="M1022" s="175">
        <v>4.8899999999999997</v>
      </c>
      <c r="N1022" t="s">
        <v>3895</v>
      </c>
    </row>
    <row r="1023" spans="1:14">
      <c r="A1023">
        <v>3115</v>
      </c>
      <c r="B1023" t="s">
        <v>2715</v>
      </c>
      <c r="C1023">
        <v>8.2200000000000006</v>
      </c>
      <c r="D1023">
        <v>8.18</v>
      </c>
      <c r="E1023" s="178">
        <v>-0.05</v>
      </c>
      <c r="F1023" s="176">
        <v>-0.61</v>
      </c>
      <c r="G1023" t="s">
        <v>6359</v>
      </c>
      <c r="H1023">
        <v>10</v>
      </c>
      <c r="I1023">
        <v>12</v>
      </c>
      <c r="J1023">
        <v>7.22</v>
      </c>
      <c r="K1023">
        <v>8.3699999999999992</v>
      </c>
      <c r="L1023">
        <v>8</v>
      </c>
      <c r="M1023" s="175">
        <v>0.01</v>
      </c>
      <c r="N1023" t="s">
        <v>3896</v>
      </c>
    </row>
    <row r="1024" spans="1:14">
      <c r="A1024">
        <v>3118</v>
      </c>
      <c r="B1024" t="s">
        <v>918</v>
      </c>
      <c r="C1024">
        <v>31.4</v>
      </c>
      <c r="D1024">
        <v>30.9</v>
      </c>
      <c r="E1024" s="178">
        <v>-0.15</v>
      </c>
      <c r="F1024" s="176">
        <v>-0.48</v>
      </c>
      <c r="G1024" t="s">
        <v>5351</v>
      </c>
      <c r="H1024">
        <v>13</v>
      </c>
      <c r="I1024">
        <v>18</v>
      </c>
      <c r="J1024">
        <v>3.25</v>
      </c>
      <c r="K1024">
        <v>31.4</v>
      </c>
      <c r="L1024">
        <v>30.9</v>
      </c>
      <c r="M1024" s="175">
        <v>0.04</v>
      </c>
      <c r="N1024" t="s">
        <v>3897</v>
      </c>
    </row>
    <row r="1025" spans="1:14">
      <c r="A1025">
        <v>3122</v>
      </c>
      <c r="B1025" t="s">
        <v>919</v>
      </c>
      <c r="C1025">
        <v>24.5</v>
      </c>
      <c r="D1025">
        <v>23.5</v>
      </c>
      <c r="E1025" s="178">
        <v>-0.6</v>
      </c>
      <c r="F1025" s="176">
        <v>-2.4900000000000002</v>
      </c>
      <c r="G1025" t="s">
        <v>5411</v>
      </c>
      <c r="H1025">
        <v>84</v>
      </c>
      <c r="I1025">
        <v>39</v>
      </c>
      <c r="J1025">
        <v>4.08</v>
      </c>
      <c r="K1025">
        <v>24.5</v>
      </c>
      <c r="L1025">
        <v>23.3</v>
      </c>
      <c r="M1025" s="175">
        <v>0.21</v>
      </c>
      <c r="N1025" t="s">
        <v>3898</v>
      </c>
    </row>
    <row r="1026" spans="1:14">
      <c r="A1026">
        <v>3128</v>
      </c>
      <c r="B1026" t="s">
        <v>920</v>
      </c>
      <c r="C1026">
        <v>19.8</v>
      </c>
      <c r="D1026">
        <v>20.100000000000001</v>
      </c>
      <c r="E1026" s="178">
        <v>0.05</v>
      </c>
      <c r="F1026" s="176">
        <v>0.25</v>
      </c>
      <c r="G1026" t="s">
        <v>5210</v>
      </c>
      <c r="H1026">
        <v>76</v>
      </c>
      <c r="I1026">
        <v>44</v>
      </c>
      <c r="J1026">
        <v>5.0199999999999996</v>
      </c>
      <c r="K1026">
        <v>20.100000000000001</v>
      </c>
      <c r="L1026">
        <v>19.75</v>
      </c>
      <c r="M1026" s="175">
        <v>0.15</v>
      </c>
      <c r="N1026" t="s">
        <v>3899</v>
      </c>
    </row>
    <row r="1027" spans="1:14">
      <c r="A1027">
        <v>3130</v>
      </c>
      <c r="B1027" t="s">
        <v>921</v>
      </c>
      <c r="C1027">
        <v>208.5</v>
      </c>
      <c r="D1027">
        <v>208</v>
      </c>
      <c r="E1027" s="178">
        <v>0</v>
      </c>
      <c r="F1027" s="176">
        <v>0</v>
      </c>
      <c r="G1027" t="s">
        <v>6074</v>
      </c>
      <c r="H1027">
        <v>55</v>
      </c>
      <c r="I1027">
        <v>39</v>
      </c>
      <c r="J1027">
        <v>3.32</v>
      </c>
      <c r="K1027">
        <v>208.5</v>
      </c>
      <c r="L1027">
        <v>207</v>
      </c>
      <c r="M1027" s="175">
        <v>0.17</v>
      </c>
      <c r="N1027" t="s">
        <v>3900</v>
      </c>
    </row>
    <row r="1028" spans="1:14">
      <c r="A1028">
        <v>3131</v>
      </c>
      <c r="B1028" t="s">
        <v>922</v>
      </c>
      <c r="C1028">
        <v>2260</v>
      </c>
      <c r="D1028">
        <v>2140</v>
      </c>
      <c r="E1028" s="178">
        <v>-225</v>
      </c>
      <c r="F1028" s="176">
        <v>-9.51</v>
      </c>
      <c r="G1028" t="s">
        <v>6360</v>
      </c>
      <c r="H1028">
        <v>443</v>
      </c>
      <c r="I1028">
        <v>316</v>
      </c>
      <c r="J1028">
        <v>3.04</v>
      </c>
      <c r="K1028">
        <v>2265</v>
      </c>
      <c r="L1028">
        <v>2130</v>
      </c>
      <c r="M1028" s="175">
        <v>1.47</v>
      </c>
      <c r="N1028" t="s">
        <v>3901</v>
      </c>
    </row>
    <row r="1029" spans="1:14">
      <c r="A1029">
        <v>3135</v>
      </c>
      <c r="B1029" t="s">
        <v>2857</v>
      </c>
      <c r="C1029">
        <v>147</v>
      </c>
      <c r="D1029">
        <v>143</v>
      </c>
      <c r="E1029" s="178">
        <v>-7.5</v>
      </c>
      <c r="F1029" s="176">
        <v>-4.9800000000000004</v>
      </c>
      <c r="G1029" t="s">
        <v>5189</v>
      </c>
      <c r="H1029">
        <v>711</v>
      </c>
      <c r="I1029">
        <v>498</v>
      </c>
      <c r="J1029">
        <v>10.24</v>
      </c>
      <c r="K1029">
        <v>147</v>
      </c>
      <c r="L1029">
        <v>142</v>
      </c>
      <c r="M1029" s="175">
        <v>0.7</v>
      </c>
      <c r="N1029" t="s">
        <v>3902</v>
      </c>
    </row>
    <row r="1030" spans="1:14">
      <c r="A1030">
        <v>3138</v>
      </c>
      <c r="B1030" t="s">
        <v>923</v>
      </c>
      <c r="C1030">
        <v>99.7</v>
      </c>
      <c r="D1030">
        <v>97.2</v>
      </c>
      <c r="E1030" s="178">
        <v>-4.8</v>
      </c>
      <c r="F1030" s="176">
        <v>-4.71</v>
      </c>
      <c r="G1030" t="s">
        <v>6361</v>
      </c>
      <c r="H1030">
        <v>444</v>
      </c>
      <c r="I1030">
        <v>445</v>
      </c>
      <c r="J1030">
        <v>5.64</v>
      </c>
      <c r="K1030">
        <v>101</v>
      </c>
      <c r="L1030">
        <v>97.1</v>
      </c>
      <c r="M1030" s="175">
        <v>0.79</v>
      </c>
      <c r="N1030" t="s">
        <v>3903</v>
      </c>
    </row>
    <row r="1031" spans="1:14">
      <c r="A1031">
        <v>3141</v>
      </c>
      <c r="B1031" t="s">
        <v>924</v>
      </c>
      <c r="C1031">
        <v>73</v>
      </c>
      <c r="D1031">
        <v>73.3</v>
      </c>
      <c r="E1031" s="178">
        <v>-2.6</v>
      </c>
      <c r="F1031" s="176">
        <v>-3.43</v>
      </c>
      <c r="G1031" t="s">
        <v>6362</v>
      </c>
      <c r="H1031">
        <v>982</v>
      </c>
      <c r="I1031">
        <v>1745</v>
      </c>
      <c r="J1031">
        <v>7.55</v>
      </c>
      <c r="K1031">
        <v>74.599999999999994</v>
      </c>
      <c r="L1031">
        <v>72.3</v>
      </c>
      <c r="M1031" s="175">
        <v>1.3</v>
      </c>
      <c r="N1031" t="s">
        <v>3904</v>
      </c>
    </row>
    <row r="1032" spans="1:14">
      <c r="A1032">
        <v>3147</v>
      </c>
      <c r="B1032" t="s">
        <v>329</v>
      </c>
      <c r="C1032">
        <v>289.5</v>
      </c>
      <c r="D1032">
        <v>294</v>
      </c>
      <c r="E1032" s="178">
        <v>-6.5</v>
      </c>
      <c r="F1032" s="176">
        <v>-2.16</v>
      </c>
      <c r="G1032" t="s">
        <v>5440</v>
      </c>
      <c r="H1032">
        <v>912</v>
      </c>
      <c r="I1032">
        <v>1982</v>
      </c>
      <c r="J1032">
        <v>4.37</v>
      </c>
      <c r="K1032">
        <v>303.5</v>
      </c>
      <c r="L1032">
        <v>289.5</v>
      </c>
      <c r="M1032" s="175">
        <v>2.09</v>
      </c>
      <c r="N1032" t="s">
        <v>3905</v>
      </c>
    </row>
    <row r="1033" spans="1:14">
      <c r="A1033">
        <v>3149</v>
      </c>
      <c r="B1033" t="s">
        <v>925</v>
      </c>
      <c r="C1033">
        <v>75.099999999999994</v>
      </c>
      <c r="D1033">
        <v>71.2</v>
      </c>
      <c r="E1033" s="178">
        <v>-6.5</v>
      </c>
      <c r="F1033" s="176">
        <v>-8.3699999999999992</v>
      </c>
      <c r="G1033" t="s">
        <v>6363</v>
      </c>
      <c r="H1033">
        <v>9541</v>
      </c>
      <c r="I1033">
        <v>8533</v>
      </c>
      <c r="J1033">
        <v>28.62</v>
      </c>
      <c r="K1033">
        <v>76</v>
      </c>
      <c r="L1033">
        <v>71.2</v>
      </c>
      <c r="M1033" s="175">
        <v>3.33</v>
      </c>
      <c r="N1033" t="s">
        <v>3906</v>
      </c>
    </row>
    <row r="1034" spans="1:14">
      <c r="A1034">
        <v>3152</v>
      </c>
      <c r="B1034" t="s">
        <v>3201</v>
      </c>
      <c r="C1034">
        <v>236</v>
      </c>
      <c r="D1034">
        <v>227</v>
      </c>
      <c r="E1034" s="178">
        <v>-11.5</v>
      </c>
      <c r="F1034" s="176">
        <v>-4.82</v>
      </c>
      <c r="G1034" t="s">
        <v>6364</v>
      </c>
      <c r="H1034">
        <v>90</v>
      </c>
      <c r="I1034">
        <v>104</v>
      </c>
      <c r="J1034">
        <v>3.9</v>
      </c>
      <c r="K1034">
        <v>236</v>
      </c>
      <c r="L1034">
        <v>226</v>
      </c>
      <c r="M1034" s="175">
        <v>0.23</v>
      </c>
      <c r="N1034" t="s">
        <v>3907</v>
      </c>
    </row>
    <row r="1035" spans="1:14">
      <c r="A1035">
        <v>3158</v>
      </c>
      <c r="B1035" t="s">
        <v>2938</v>
      </c>
      <c r="C1035">
        <v>84.6</v>
      </c>
      <c r="D1035">
        <v>84.4</v>
      </c>
      <c r="E1035" s="178">
        <v>-0.2</v>
      </c>
      <c r="F1035" s="176">
        <v>-0.24</v>
      </c>
      <c r="G1035" t="s">
        <v>5748</v>
      </c>
      <c r="H1035">
        <v>6</v>
      </c>
      <c r="I1035">
        <v>6</v>
      </c>
      <c r="J1035">
        <v>3.07</v>
      </c>
      <c r="K1035">
        <v>84.8</v>
      </c>
      <c r="L1035">
        <v>84.4</v>
      </c>
      <c r="M1035" s="175">
        <v>0.02</v>
      </c>
      <c r="N1035" t="s">
        <v>3908</v>
      </c>
    </row>
    <row r="1036" spans="1:14">
      <c r="A1036">
        <v>3162</v>
      </c>
      <c r="B1036" t="s">
        <v>926</v>
      </c>
      <c r="C1036">
        <v>78.7</v>
      </c>
      <c r="D1036">
        <v>76.400000000000006</v>
      </c>
      <c r="E1036" s="178">
        <v>-3.9</v>
      </c>
      <c r="F1036" s="176">
        <v>-4.8600000000000003</v>
      </c>
      <c r="G1036" t="s">
        <v>5695</v>
      </c>
      <c r="H1036">
        <v>1385</v>
      </c>
      <c r="I1036">
        <v>1481</v>
      </c>
      <c r="J1036">
        <v>15.4</v>
      </c>
      <c r="K1036">
        <v>78.7</v>
      </c>
      <c r="L1036">
        <v>75.599999999999994</v>
      </c>
      <c r="M1036" s="175">
        <v>0.9</v>
      </c>
      <c r="N1036" t="s">
        <v>3909</v>
      </c>
    </row>
    <row r="1037" spans="1:14">
      <c r="A1037">
        <v>3163</v>
      </c>
      <c r="B1037" t="s">
        <v>927</v>
      </c>
      <c r="C1037">
        <v>622</v>
      </c>
      <c r="D1037">
        <v>604</v>
      </c>
      <c r="E1037" s="178">
        <v>-49</v>
      </c>
      <c r="F1037" s="176">
        <v>-7.5</v>
      </c>
      <c r="G1037" t="s">
        <v>5699</v>
      </c>
      <c r="H1037">
        <v>1981</v>
      </c>
      <c r="I1037">
        <v>2241</v>
      </c>
      <c r="J1037">
        <v>9.4600000000000009</v>
      </c>
      <c r="K1037">
        <v>627</v>
      </c>
      <c r="L1037">
        <v>593</v>
      </c>
      <c r="M1037" s="175">
        <v>2.09</v>
      </c>
      <c r="N1037" t="s">
        <v>3910</v>
      </c>
    </row>
    <row r="1038" spans="1:14">
      <c r="A1038">
        <v>3164</v>
      </c>
      <c r="B1038" t="s">
        <v>928</v>
      </c>
      <c r="C1038">
        <v>16.899999999999999</v>
      </c>
      <c r="D1038">
        <v>16.95</v>
      </c>
      <c r="E1038" s="178">
        <v>0.05</v>
      </c>
      <c r="F1038" s="176">
        <v>0.3</v>
      </c>
      <c r="G1038" t="s">
        <v>5314</v>
      </c>
      <c r="H1038">
        <v>18</v>
      </c>
      <c r="I1038">
        <v>31</v>
      </c>
      <c r="J1038">
        <v>8.6</v>
      </c>
      <c r="K1038">
        <v>16.95</v>
      </c>
      <c r="L1038">
        <v>16.8</v>
      </c>
      <c r="M1038" s="175">
        <v>0.02</v>
      </c>
      <c r="N1038" t="s">
        <v>3911</v>
      </c>
    </row>
    <row r="1039" spans="1:14">
      <c r="A1039">
        <v>3167</v>
      </c>
      <c r="B1039" t="s">
        <v>929</v>
      </c>
      <c r="C1039">
        <v>960</v>
      </c>
      <c r="D1039">
        <v>960</v>
      </c>
      <c r="E1039" s="178">
        <v>0</v>
      </c>
      <c r="F1039" s="176">
        <v>0</v>
      </c>
      <c r="G1039" t="s">
        <v>5773</v>
      </c>
      <c r="H1039">
        <v>9583</v>
      </c>
      <c r="I1039">
        <v>2611</v>
      </c>
      <c r="J1039">
        <v>9.14</v>
      </c>
      <c r="K1039">
        <v>1045</v>
      </c>
      <c r="L1039">
        <v>957</v>
      </c>
      <c r="M1039" s="175">
        <v>10.71</v>
      </c>
      <c r="N1039" t="s">
        <v>3912</v>
      </c>
    </row>
    <row r="1040" spans="1:14">
      <c r="A1040">
        <v>3168</v>
      </c>
      <c r="B1040" t="s">
        <v>2343</v>
      </c>
      <c r="C1040">
        <v>42.85</v>
      </c>
      <c r="D1040">
        <v>42.35</v>
      </c>
      <c r="E1040" s="178">
        <v>0.3</v>
      </c>
      <c r="F1040" s="176">
        <v>0.71</v>
      </c>
      <c r="G1040" t="s">
        <v>5279</v>
      </c>
      <c r="H1040">
        <v>48</v>
      </c>
      <c r="I1040">
        <v>10</v>
      </c>
      <c r="J1040">
        <v>7.51</v>
      </c>
      <c r="K1040">
        <v>42.85</v>
      </c>
      <c r="L1040">
        <v>41.45</v>
      </c>
      <c r="M1040" s="175">
        <v>0.06</v>
      </c>
      <c r="N1040" t="s">
        <v>3913</v>
      </c>
    </row>
    <row r="1041" spans="1:14">
      <c r="A1041">
        <v>3169</v>
      </c>
      <c r="B1041" t="s">
        <v>930</v>
      </c>
      <c r="C1041">
        <v>104.5</v>
      </c>
      <c r="D1041">
        <v>101.5</v>
      </c>
      <c r="E1041" s="178">
        <v>-3</v>
      </c>
      <c r="F1041" s="176">
        <v>-2.87</v>
      </c>
      <c r="G1041" t="s">
        <v>6365</v>
      </c>
      <c r="H1041">
        <v>134</v>
      </c>
      <c r="I1041">
        <v>201</v>
      </c>
      <c r="J1041">
        <v>6.33</v>
      </c>
      <c r="K1041">
        <v>104.5</v>
      </c>
      <c r="L1041">
        <v>101</v>
      </c>
      <c r="M1041" s="175">
        <v>0.21</v>
      </c>
      <c r="N1041" t="s">
        <v>3914</v>
      </c>
    </row>
    <row r="1042" spans="1:14">
      <c r="A1042">
        <v>3171</v>
      </c>
      <c r="B1042" t="s">
        <v>2641</v>
      </c>
      <c r="C1042">
        <v>58</v>
      </c>
      <c r="D1042">
        <v>57.8</v>
      </c>
      <c r="E1042" s="178">
        <v>-0.7</v>
      </c>
      <c r="F1042" s="176">
        <v>-1.2</v>
      </c>
      <c r="G1042" t="s">
        <v>6366</v>
      </c>
      <c r="H1042">
        <v>5</v>
      </c>
      <c r="I1042">
        <v>4</v>
      </c>
      <c r="J1042">
        <v>3.31</v>
      </c>
      <c r="K1042">
        <v>58</v>
      </c>
      <c r="L1042">
        <v>57.8</v>
      </c>
      <c r="M1042" s="175">
        <v>0.02</v>
      </c>
      <c r="N1042" t="s">
        <v>3915</v>
      </c>
    </row>
    <row r="1043" spans="1:14">
      <c r="A1043">
        <v>3176</v>
      </c>
      <c r="B1043" t="s">
        <v>931</v>
      </c>
      <c r="C1043">
        <v>35.1</v>
      </c>
      <c r="D1043">
        <v>34.75</v>
      </c>
      <c r="E1043" s="178">
        <v>-0.8</v>
      </c>
      <c r="F1043" s="176">
        <v>-2.25</v>
      </c>
      <c r="G1043" t="s">
        <v>6367</v>
      </c>
      <c r="H1043">
        <v>472</v>
      </c>
      <c r="I1043">
        <v>645</v>
      </c>
      <c r="J1043">
        <v>13.93</v>
      </c>
      <c r="K1043">
        <v>35.35</v>
      </c>
      <c r="L1043">
        <v>34.6</v>
      </c>
      <c r="M1043" s="175">
        <v>0.34</v>
      </c>
      <c r="N1043" t="s">
        <v>3916</v>
      </c>
    </row>
    <row r="1044" spans="1:14">
      <c r="A1044">
        <v>3178</v>
      </c>
      <c r="B1044" t="s">
        <v>344</v>
      </c>
      <c r="C1044">
        <v>63.9</v>
      </c>
      <c r="D1044">
        <v>63.5</v>
      </c>
      <c r="E1044" s="178">
        <v>-1.3</v>
      </c>
      <c r="F1044" s="176">
        <v>-2.0099999999999998</v>
      </c>
      <c r="G1044" t="s">
        <v>6368</v>
      </c>
      <c r="H1044">
        <v>130</v>
      </c>
      <c r="I1044">
        <v>109</v>
      </c>
      <c r="J1044">
        <v>4.51</v>
      </c>
      <c r="K1044">
        <v>65.099999999999994</v>
      </c>
      <c r="L1044">
        <v>63</v>
      </c>
      <c r="M1044" s="175">
        <v>0.28999999999999998</v>
      </c>
      <c r="N1044" t="s">
        <v>3917</v>
      </c>
    </row>
    <row r="1045" spans="1:14">
      <c r="A1045">
        <v>3188</v>
      </c>
      <c r="B1045" t="s">
        <v>119</v>
      </c>
      <c r="C1045">
        <v>22.8</v>
      </c>
      <c r="D1045">
        <v>22.85</v>
      </c>
      <c r="E1045" s="178">
        <v>-0.05</v>
      </c>
      <c r="F1045" s="176">
        <v>-0.22</v>
      </c>
      <c r="G1045" t="s">
        <v>5723</v>
      </c>
      <c r="H1045">
        <v>102</v>
      </c>
      <c r="I1045">
        <v>169</v>
      </c>
      <c r="J1045">
        <v>18.91</v>
      </c>
      <c r="K1045">
        <v>23</v>
      </c>
      <c r="L1045">
        <v>22.7</v>
      </c>
      <c r="M1045" s="175">
        <v>0.05</v>
      </c>
      <c r="N1045" t="s">
        <v>3918</v>
      </c>
    </row>
    <row r="1046" spans="1:14">
      <c r="A1046">
        <v>3189</v>
      </c>
      <c r="B1046" t="s">
        <v>932</v>
      </c>
      <c r="C1046">
        <v>990</v>
      </c>
      <c r="D1046">
        <v>979</v>
      </c>
      <c r="E1046" s="178">
        <v>-71</v>
      </c>
      <c r="F1046" s="176">
        <v>-6.76</v>
      </c>
      <c r="G1046" t="s">
        <v>6369</v>
      </c>
      <c r="H1046">
        <v>12262</v>
      </c>
      <c r="I1046">
        <v>10247</v>
      </c>
      <c r="J1046">
        <v>52.69</v>
      </c>
      <c r="K1046">
        <v>1005</v>
      </c>
      <c r="L1046">
        <v>968</v>
      </c>
      <c r="M1046" s="175">
        <v>2.33</v>
      </c>
      <c r="N1046" t="s">
        <v>3919</v>
      </c>
    </row>
    <row r="1047" spans="1:14">
      <c r="A1047">
        <v>3191</v>
      </c>
      <c r="B1047" t="s">
        <v>2356</v>
      </c>
      <c r="C1047">
        <v>16.8</v>
      </c>
      <c r="D1047">
        <v>16.8</v>
      </c>
      <c r="E1047" s="178">
        <v>0</v>
      </c>
      <c r="F1047" s="176">
        <v>0</v>
      </c>
      <c r="G1047" t="s">
        <v>6370</v>
      </c>
      <c r="H1047">
        <v>12</v>
      </c>
      <c r="I1047">
        <v>24</v>
      </c>
      <c r="J1047">
        <v>4.3600000000000003</v>
      </c>
      <c r="K1047">
        <v>16.8</v>
      </c>
      <c r="L1047">
        <v>16.7</v>
      </c>
      <c r="M1047" s="175">
        <v>0.03</v>
      </c>
      <c r="N1047" t="s">
        <v>3920</v>
      </c>
    </row>
    <row r="1048" spans="1:14">
      <c r="A1048">
        <v>3205</v>
      </c>
      <c r="B1048" t="s">
        <v>933</v>
      </c>
      <c r="C1048">
        <v>46.2</v>
      </c>
      <c r="D1048">
        <v>46</v>
      </c>
      <c r="E1048" s="178">
        <v>-0.8</v>
      </c>
      <c r="F1048" s="176">
        <v>-1.71</v>
      </c>
      <c r="G1048" t="s">
        <v>5174</v>
      </c>
      <c r="H1048">
        <v>35</v>
      </c>
      <c r="I1048">
        <v>22</v>
      </c>
      <c r="J1048">
        <v>6.75</v>
      </c>
      <c r="K1048">
        <v>46.2</v>
      </c>
      <c r="L1048">
        <v>46</v>
      </c>
      <c r="M1048" s="175">
        <v>0.05</v>
      </c>
      <c r="N1048" t="s">
        <v>3921</v>
      </c>
    </row>
    <row r="1049" spans="1:14">
      <c r="A1049">
        <v>3206</v>
      </c>
      <c r="B1049" t="s">
        <v>934</v>
      </c>
      <c r="C1049">
        <v>34.15</v>
      </c>
      <c r="D1049">
        <v>33.799999999999997</v>
      </c>
      <c r="E1049" s="178">
        <v>-0.35</v>
      </c>
      <c r="F1049" s="176">
        <v>-1.02</v>
      </c>
      <c r="G1049" t="s">
        <v>5342</v>
      </c>
      <c r="H1049">
        <v>45</v>
      </c>
      <c r="I1049">
        <v>25</v>
      </c>
      <c r="J1049">
        <v>5.89</v>
      </c>
      <c r="K1049">
        <v>34.549999999999997</v>
      </c>
      <c r="L1049">
        <v>33.6</v>
      </c>
      <c r="M1049" s="175">
        <v>0.08</v>
      </c>
      <c r="N1049" t="s">
        <v>3922</v>
      </c>
    </row>
    <row r="1050" spans="1:14">
      <c r="A1050">
        <v>3207</v>
      </c>
      <c r="B1050" t="s">
        <v>935</v>
      </c>
      <c r="C1050">
        <v>37.9</v>
      </c>
      <c r="D1050">
        <v>37.200000000000003</v>
      </c>
      <c r="E1050" s="178">
        <v>-1</v>
      </c>
      <c r="F1050" s="176">
        <v>-2.62</v>
      </c>
      <c r="G1050" t="s">
        <v>5755</v>
      </c>
      <c r="H1050">
        <v>172</v>
      </c>
      <c r="I1050">
        <v>126</v>
      </c>
      <c r="J1050">
        <v>6.64</v>
      </c>
      <c r="K1050">
        <v>38.5</v>
      </c>
      <c r="L1050">
        <v>37.15</v>
      </c>
      <c r="M1050" s="175">
        <v>0.26</v>
      </c>
      <c r="N1050" t="s">
        <v>3923</v>
      </c>
    </row>
    <row r="1051" spans="1:14">
      <c r="A1051">
        <v>3209</v>
      </c>
      <c r="B1051" t="s">
        <v>936</v>
      </c>
      <c r="C1051">
        <v>47.1</v>
      </c>
      <c r="D1051">
        <v>47.4</v>
      </c>
      <c r="E1051" s="178">
        <v>-0.3</v>
      </c>
      <c r="F1051" s="176">
        <v>-0.63</v>
      </c>
      <c r="G1051" t="s">
        <v>6371</v>
      </c>
      <c r="H1051">
        <v>1665</v>
      </c>
      <c r="I1051">
        <v>1462</v>
      </c>
      <c r="J1051">
        <v>24.72</v>
      </c>
      <c r="K1051">
        <v>47.95</v>
      </c>
      <c r="L1051">
        <v>47.1</v>
      </c>
      <c r="M1051" s="175">
        <v>0.67</v>
      </c>
      <c r="N1051" t="s">
        <v>3924</v>
      </c>
    </row>
    <row r="1052" spans="1:14">
      <c r="A1052">
        <v>3211</v>
      </c>
      <c r="B1052" t="s">
        <v>937</v>
      </c>
      <c r="C1052">
        <v>356</v>
      </c>
      <c r="D1052">
        <v>349</v>
      </c>
      <c r="E1052" s="178">
        <v>-12</v>
      </c>
      <c r="F1052" s="176">
        <v>-3.32</v>
      </c>
      <c r="G1052" t="s">
        <v>5633</v>
      </c>
      <c r="H1052">
        <v>2989</v>
      </c>
      <c r="I1052">
        <v>3072</v>
      </c>
      <c r="J1052">
        <v>15.55</v>
      </c>
      <c r="K1052">
        <v>358</v>
      </c>
      <c r="L1052">
        <v>342.5</v>
      </c>
      <c r="M1052" s="175">
        <v>1.94</v>
      </c>
      <c r="N1052" t="s">
        <v>3925</v>
      </c>
    </row>
    <row r="1053" spans="1:14">
      <c r="A1053">
        <v>3213</v>
      </c>
      <c r="B1053" t="s">
        <v>70</v>
      </c>
      <c r="C1053">
        <v>124</v>
      </c>
      <c r="D1053">
        <v>122</v>
      </c>
      <c r="E1053" s="178">
        <v>-2.5</v>
      </c>
      <c r="F1053" s="176">
        <v>-2.0099999999999998</v>
      </c>
      <c r="G1053" t="s">
        <v>6372</v>
      </c>
      <c r="H1053">
        <v>167</v>
      </c>
      <c r="I1053">
        <v>192</v>
      </c>
      <c r="J1053">
        <v>5.87</v>
      </c>
      <c r="K1053">
        <v>124</v>
      </c>
      <c r="L1053">
        <v>122</v>
      </c>
      <c r="M1053" s="175">
        <v>0.28000000000000003</v>
      </c>
      <c r="N1053" t="s">
        <v>3926</v>
      </c>
    </row>
    <row r="1054" spans="1:14">
      <c r="A1054">
        <v>3217</v>
      </c>
      <c r="B1054" t="s">
        <v>120</v>
      </c>
      <c r="C1054">
        <v>127</v>
      </c>
      <c r="D1054">
        <v>127</v>
      </c>
      <c r="E1054" s="178">
        <v>-2</v>
      </c>
      <c r="F1054" s="176">
        <v>-1.55</v>
      </c>
      <c r="G1054" t="s">
        <v>6373</v>
      </c>
      <c r="H1054">
        <v>387</v>
      </c>
      <c r="I1054">
        <v>250</v>
      </c>
      <c r="J1054">
        <v>9.01</v>
      </c>
      <c r="K1054">
        <v>128</v>
      </c>
      <c r="L1054">
        <v>125.5</v>
      </c>
      <c r="M1054" s="175">
        <v>0.43</v>
      </c>
      <c r="N1054" t="s">
        <v>3927</v>
      </c>
    </row>
    <row r="1055" spans="1:14">
      <c r="A1055">
        <v>3218</v>
      </c>
      <c r="B1055" t="s">
        <v>260</v>
      </c>
      <c r="C1055">
        <v>132.5</v>
      </c>
      <c r="D1055">
        <v>131.5</v>
      </c>
      <c r="E1055" s="178">
        <v>-1.5</v>
      </c>
      <c r="F1055" s="176">
        <v>-1.1299999999999999</v>
      </c>
      <c r="G1055" t="s">
        <v>6374</v>
      </c>
      <c r="H1055">
        <v>203</v>
      </c>
      <c r="I1055">
        <v>130</v>
      </c>
      <c r="J1055">
        <v>8.4700000000000006</v>
      </c>
      <c r="K1055">
        <v>132.5</v>
      </c>
      <c r="L1055">
        <v>131.5</v>
      </c>
      <c r="M1055" s="175">
        <v>0.24</v>
      </c>
      <c r="N1055" t="s">
        <v>3928</v>
      </c>
    </row>
    <row r="1056" spans="1:14">
      <c r="A1056">
        <v>3219</v>
      </c>
      <c r="B1056" t="s">
        <v>1564</v>
      </c>
      <c r="C1056">
        <v>115</v>
      </c>
      <c r="D1056">
        <v>117</v>
      </c>
      <c r="E1056" s="178">
        <v>-3.5</v>
      </c>
      <c r="F1056" s="176">
        <v>-2.9</v>
      </c>
      <c r="G1056" t="s">
        <v>5255</v>
      </c>
      <c r="H1056">
        <v>1230</v>
      </c>
      <c r="I1056">
        <v>2799</v>
      </c>
      <c r="J1056">
        <v>7.18</v>
      </c>
      <c r="K1056">
        <v>120</v>
      </c>
      <c r="L1056">
        <v>114</v>
      </c>
      <c r="M1056" s="175">
        <v>1.71</v>
      </c>
      <c r="N1056" t="s">
        <v>3929</v>
      </c>
    </row>
    <row r="1057" spans="1:14">
      <c r="A1057">
        <v>3221</v>
      </c>
      <c r="B1057" t="s">
        <v>938</v>
      </c>
      <c r="C1057">
        <v>52.6</v>
      </c>
      <c r="D1057">
        <v>51.2</v>
      </c>
      <c r="E1057" s="178">
        <v>-2.9</v>
      </c>
      <c r="F1057" s="176">
        <v>-5.36</v>
      </c>
      <c r="G1057" t="s">
        <v>6375</v>
      </c>
      <c r="H1057">
        <v>1405</v>
      </c>
      <c r="I1057">
        <v>2199</v>
      </c>
      <c r="J1057">
        <v>10.5</v>
      </c>
      <c r="K1057">
        <v>53.6</v>
      </c>
      <c r="L1057">
        <v>51.2</v>
      </c>
      <c r="M1057" s="175">
        <v>1.34</v>
      </c>
      <c r="N1057" t="s">
        <v>3930</v>
      </c>
    </row>
    <row r="1058" spans="1:14">
      <c r="A1058">
        <v>3224</v>
      </c>
      <c r="B1058" t="s">
        <v>939</v>
      </c>
      <c r="C1058">
        <v>30.8</v>
      </c>
      <c r="D1058">
        <v>30.35</v>
      </c>
      <c r="E1058" s="178">
        <v>-0.8</v>
      </c>
      <c r="F1058" s="176">
        <v>-2.57</v>
      </c>
      <c r="G1058" t="s">
        <v>5391</v>
      </c>
      <c r="H1058">
        <v>87</v>
      </c>
      <c r="I1058">
        <v>818</v>
      </c>
      <c r="J1058">
        <v>7.82</v>
      </c>
      <c r="K1058">
        <v>30.8</v>
      </c>
      <c r="L1058">
        <v>30.1</v>
      </c>
      <c r="M1058" s="175">
        <v>0.11</v>
      </c>
      <c r="N1058" t="s">
        <v>3931</v>
      </c>
    </row>
    <row r="1059" spans="1:14">
      <c r="A1059">
        <v>3226</v>
      </c>
      <c r="B1059" t="s">
        <v>2787</v>
      </c>
      <c r="C1059">
        <v>57.7</v>
      </c>
      <c r="D1059">
        <v>56</v>
      </c>
      <c r="E1059" s="178">
        <v>-1.4</v>
      </c>
      <c r="F1059" s="176">
        <v>-2.44</v>
      </c>
      <c r="G1059" t="s">
        <v>5594</v>
      </c>
      <c r="H1059">
        <v>11</v>
      </c>
      <c r="I1059">
        <v>11</v>
      </c>
      <c r="J1059">
        <v>6.44</v>
      </c>
      <c r="K1059">
        <v>57.8</v>
      </c>
      <c r="L1059">
        <v>55</v>
      </c>
      <c r="M1059" s="175">
        <v>0.02</v>
      </c>
      <c r="N1059" t="s">
        <v>3932</v>
      </c>
    </row>
    <row r="1060" spans="1:14">
      <c r="A1060">
        <v>3227</v>
      </c>
      <c r="B1060" t="s">
        <v>940</v>
      </c>
      <c r="C1060">
        <v>185</v>
      </c>
      <c r="D1060">
        <v>187.5</v>
      </c>
      <c r="E1060" s="178">
        <v>-0.5</v>
      </c>
      <c r="F1060" s="176">
        <v>-0.27</v>
      </c>
      <c r="G1060" t="s">
        <v>6376</v>
      </c>
      <c r="H1060">
        <v>1179</v>
      </c>
      <c r="I1060">
        <v>686</v>
      </c>
      <c r="J1060">
        <v>15.2</v>
      </c>
      <c r="K1060">
        <v>189</v>
      </c>
      <c r="L1060">
        <v>183.5</v>
      </c>
      <c r="M1060" s="175">
        <v>0.78</v>
      </c>
      <c r="N1060" t="s">
        <v>3933</v>
      </c>
    </row>
    <row r="1061" spans="1:14">
      <c r="A1061">
        <v>3228</v>
      </c>
      <c r="B1061" t="s">
        <v>941</v>
      </c>
      <c r="C1061">
        <v>158</v>
      </c>
      <c r="D1061">
        <v>153</v>
      </c>
      <c r="E1061" s="178">
        <v>-6.5</v>
      </c>
      <c r="F1061" s="176">
        <v>-4.08</v>
      </c>
      <c r="G1061" t="s">
        <v>6377</v>
      </c>
      <c r="H1061">
        <v>231</v>
      </c>
      <c r="I1061">
        <v>307</v>
      </c>
      <c r="J1061">
        <v>7.19</v>
      </c>
      <c r="K1061">
        <v>158</v>
      </c>
      <c r="L1061">
        <v>153</v>
      </c>
      <c r="M1061" s="175">
        <v>0.32</v>
      </c>
      <c r="N1061" t="s">
        <v>3934</v>
      </c>
    </row>
    <row r="1062" spans="1:14">
      <c r="A1062">
        <v>3229</v>
      </c>
      <c r="B1062" t="s">
        <v>1621</v>
      </c>
      <c r="C1062">
        <v>52.7</v>
      </c>
      <c r="D1062">
        <v>50</v>
      </c>
      <c r="E1062" s="178">
        <v>-3.6</v>
      </c>
      <c r="F1062" s="176">
        <v>-6.72</v>
      </c>
      <c r="G1062" t="s">
        <v>6378</v>
      </c>
      <c r="H1062">
        <v>740</v>
      </c>
      <c r="I1062">
        <v>651</v>
      </c>
      <c r="J1062">
        <v>6.43</v>
      </c>
      <c r="K1062">
        <v>52.7</v>
      </c>
      <c r="L1062">
        <v>50</v>
      </c>
      <c r="M1062" s="175">
        <v>2.29</v>
      </c>
      <c r="N1062" t="s">
        <v>3935</v>
      </c>
    </row>
    <row r="1063" spans="1:14">
      <c r="A1063">
        <v>3230</v>
      </c>
      <c r="B1063" t="s">
        <v>942</v>
      </c>
      <c r="C1063">
        <v>26.3</v>
      </c>
      <c r="D1063">
        <v>26.3</v>
      </c>
      <c r="E1063" s="178">
        <v>-2.9</v>
      </c>
      <c r="F1063" s="176">
        <v>-9.93</v>
      </c>
      <c r="G1063" t="s">
        <v>6379</v>
      </c>
      <c r="H1063">
        <v>599</v>
      </c>
      <c r="I1063">
        <v>673</v>
      </c>
      <c r="J1063">
        <v>8.6</v>
      </c>
      <c r="K1063">
        <v>26.3</v>
      </c>
      <c r="L1063">
        <v>26.3</v>
      </c>
      <c r="M1063" s="175">
        <v>0.7</v>
      </c>
      <c r="N1063" t="s">
        <v>3936</v>
      </c>
    </row>
    <row r="1064" spans="1:14">
      <c r="A1064">
        <v>3231</v>
      </c>
      <c r="B1064" t="s">
        <v>943</v>
      </c>
      <c r="C1064">
        <v>184.5</v>
      </c>
      <c r="D1064">
        <v>176</v>
      </c>
      <c r="E1064" s="178">
        <v>-11</v>
      </c>
      <c r="F1064" s="176">
        <v>-5.88</v>
      </c>
      <c r="G1064" t="s">
        <v>6380</v>
      </c>
      <c r="H1064">
        <v>73425</v>
      </c>
      <c r="I1064">
        <v>33757</v>
      </c>
      <c r="J1064">
        <v>342.98</v>
      </c>
      <c r="K1064">
        <v>184.5</v>
      </c>
      <c r="L1064">
        <v>173.5</v>
      </c>
      <c r="M1064" s="175">
        <v>2.14</v>
      </c>
      <c r="N1064" t="s">
        <v>3572</v>
      </c>
    </row>
    <row r="1065" spans="1:14">
      <c r="A1065">
        <v>3232</v>
      </c>
      <c r="B1065" t="s">
        <v>944</v>
      </c>
      <c r="C1065">
        <v>20</v>
      </c>
      <c r="D1065">
        <v>20</v>
      </c>
      <c r="E1065" s="178">
        <v>0</v>
      </c>
      <c r="F1065" s="176">
        <v>0</v>
      </c>
      <c r="G1065" t="s">
        <v>6381</v>
      </c>
      <c r="H1065">
        <v>15</v>
      </c>
      <c r="I1065">
        <v>31</v>
      </c>
      <c r="J1065">
        <v>4.66</v>
      </c>
      <c r="K1065">
        <v>20</v>
      </c>
      <c r="L1065">
        <v>19.899999999999999</v>
      </c>
      <c r="M1065" s="175">
        <v>0.03</v>
      </c>
      <c r="N1065" t="s">
        <v>3937</v>
      </c>
    </row>
    <row r="1066" spans="1:14">
      <c r="A1066">
        <v>3234</v>
      </c>
      <c r="B1066" t="s">
        <v>945</v>
      </c>
      <c r="C1066">
        <v>166.5</v>
      </c>
      <c r="D1066">
        <v>168</v>
      </c>
      <c r="E1066" s="178">
        <v>-8</v>
      </c>
      <c r="F1066" s="176">
        <v>-4.55</v>
      </c>
      <c r="G1066" t="s">
        <v>6382</v>
      </c>
      <c r="H1066">
        <v>1676</v>
      </c>
      <c r="I1066">
        <v>3561</v>
      </c>
      <c r="J1066">
        <v>12.73</v>
      </c>
      <c r="K1066">
        <v>175</v>
      </c>
      <c r="L1066">
        <v>166.5</v>
      </c>
      <c r="M1066" s="175">
        <v>1.33</v>
      </c>
      <c r="N1066" t="s">
        <v>3938</v>
      </c>
    </row>
    <row r="1067" spans="1:14">
      <c r="A1067">
        <v>3236</v>
      </c>
      <c r="B1067" t="s">
        <v>946</v>
      </c>
      <c r="C1067">
        <v>56.8</v>
      </c>
      <c r="D1067">
        <v>55</v>
      </c>
      <c r="E1067" s="178">
        <v>-3.3</v>
      </c>
      <c r="F1067" s="176">
        <v>-5.66</v>
      </c>
      <c r="G1067" t="s">
        <v>5433</v>
      </c>
      <c r="H1067">
        <v>5913</v>
      </c>
      <c r="I1067">
        <v>14294</v>
      </c>
      <c r="J1067">
        <v>10.5</v>
      </c>
      <c r="K1067">
        <v>59</v>
      </c>
      <c r="L1067">
        <v>55</v>
      </c>
      <c r="M1067" s="175">
        <v>5.63</v>
      </c>
      <c r="N1067" t="s">
        <v>3939</v>
      </c>
    </row>
    <row r="1068" spans="1:14">
      <c r="A1068">
        <v>3252</v>
      </c>
      <c r="B1068" t="s">
        <v>947</v>
      </c>
      <c r="C1068">
        <v>15.1</v>
      </c>
      <c r="D1068">
        <v>15.1</v>
      </c>
      <c r="E1068" s="178">
        <v>-0.35</v>
      </c>
      <c r="F1068" s="176">
        <v>-2.27</v>
      </c>
      <c r="G1068" t="s">
        <v>5335</v>
      </c>
      <c r="H1068">
        <v>7</v>
      </c>
      <c r="I1068">
        <v>101</v>
      </c>
      <c r="J1068">
        <v>5.0199999999999996</v>
      </c>
      <c r="K1068">
        <v>15.2</v>
      </c>
      <c r="L1068">
        <v>15.1</v>
      </c>
      <c r="M1068" s="175">
        <v>0.01</v>
      </c>
      <c r="N1068" t="s">
        <v>3940</v>
      </c>
    </row>
    <row r="1069" spans="1:14">
      <c r="A1069">
        <v>3257</v>
      </c>
      <c r="B1069" t="s">
        <v>948</v>
      </c>
      <c r="C1069">
        <v>48.6</v>
      </c>
      <c r="D1069">
        <v>47.85</v>
      </c>
      <c r="E1069" s="178">
        <v>-1.1000000000000001</v>
      </c>
      <c r="F1069" s="176">
        <v>-2.25</v>
      </c>
      <c r="G1069" t="s">
        <v>6383</v>
      </c>
      <c r="H1069">
        <v>149</v>
      </c>
      <c r="I1069">
        <v>92</v>
      </c>
      <c r="J1069">
        <v>7.98</v>
      </c>
      <c r="K1069">
        <v>48.7</v>
      </c>
      <c r="L1069">
        <v>47.5</v>
      </c>
      <c r="M1069" s="175">
        <v>0.19</v>
      </c>
      <c r="N1069" t="s">
        <v>3941</v>
      </c>
    </row>
    <row r="1070" spans="1:14">
      <c r="A1070">
        <v>3259</v>
      </c>
      <c r="B1070" t="s">
        <v>2290</v>
      </c>
      <c r="C1070">
        <v>10.55</v>
      </c>
      <c r="D1070">
        <v>10.35</v>
      </c>
      <c r="E1070" s="178">
        <v>-1.1499999999999999</v>
      </c>
      <c r="F1070" s="176">
        <v>-10</v>
      </c>
      <c r="G1070" t="s">
        <v>6267</v>
      </c>
      <c r="H1070">
        <v>48</v>
      </c>
      <c r="I1070">
        <v>9</v>
      </c>
      <c r="J1070">
        <v>7.3</v>
      </c>
      <c r="K1070">
        <v>10.6</v>
      </c>
      <c r="L1070">
        <v>10.35</v>
      </c>
      <c r="M1070" s="175">
        <v>7.0000000000000007E-2</v>
      </c>
      <c r="N1070" t="s">
        <v>3942</v>
      </c>
    </row>
    <row r="1071" spans="1:14">
      <c r="A1071">
        <v>3260</v>
      </c>
      <c r="B1071" t="s">
        <v>949</v>
      </c>
      <c r="C1071">
        <v>358</v>
      </c>
      <c r="D1071">
        <v>350</v>
      </c>
      <c r="E1071" s="178">
        <v>-17.5</v>
      </c>
      <c r="F1071" s="176">
        <v>-4.76</v>
      </c>
      <c r="G1071" t="s">
        <v>6384</v>
      </c>
      <c r="H1071">
        <v>4613</v>
      </c>
      <c r="I1071">
        <v>4109</v>
      </c>
      <c r="J1071">
        <v>35.65</v>
      </c>
      <c r="K1071">
        <v>360</v>
      </c>
      <c r="L1071">
        <v>350</v>
      </c>
      <c r="M1071" s="175">
        <v>1.29</v>
      </c>
      <c r="N1071" t="s">
        <v>3943</v>
      </c>
    </row>
    <row r="1072" spans="1:14">
      <c r="A1072">
        <v>3264</v>
      </c>
      <c r="B1072" t="s">
        <v>950</v>
      </c>
      <c r="C1072">
        <v>266</v>
      </c>
      <c r="D1072">
        <v>268</v>
      </c>
      <c r="E1072" s="178">
        <v>-10</v>
      </c>
      <c r="F1072" s="176">
        <v>-3.6</v>
      </c>
      <c r="G1072" t="s">
        <v>6385</v>
      </c>
      <c r="H1072">
        <v>21955</v>
      </c>
      <c r="I1072">
        <v>24207</v>
      </c>
      <c r="J1072">
        <v>49.02</v>
      </c>
      <c r="K1072">
        <v>271</v>
      </c>
      <c r="L1072">
        <v>260.5</v>
      </c>
      <c r="M1072" s="175">
        <v>4.4800000000000004</v>
      </c>
      <c r="N1072" t="s">
        <v>3944</v>
      </c>
    </row>
    <row r="1073" spans="1:14">
      <c r="A1073">
        <v>3265</v>
      </c>
      <c r="B1073" t="s">
        <v>951</v>
      </c>
      <c r="C1073">
        <v>281</v>
      </c>
      <c r="D1073">
        <v>278</v>
      </c>
      <c r="E1073" s="178">
        <v>-14.5</v>
      </c>
      <c r="F1073" s="176">
        <v>-4.96</v>
      </c>
      <c r="G1073" t="s">
        <v>6386</v>
      </c>
      <c r="H1073">
        <v>2897</v>
      </c>
      <c r="I1073">
        <v>7441</v>
      </c>
      <c r="J1073">
        <v>13.63</v>
      </c>
      <c r="K1073">
        <v>285.5</v>
      </c>
      <c r="L1073">
        <v>263.5</v>
      </c>
      <c r="M1073" s="175">
        <v>2.13</v>
      </c>
      <c r="N1073" t="s">
        <v>3945</v>
      </c>
    </row>
    <row r="1074" spans="1:14">
      <c r="A1074">
        <v>3266</v>
      </c>
      <c r="B1074" t="s">
        <v>952</v>
      </c>
      <c r="C1074">
        <v>14</v>
      </c>
      <c r="D1074">
        <v>13.7</v>
      </c>
      <c r="E1074" s="178">
        <v>-0.3</v>
      </c>
      <c r="F1074" s="176">
        <v>-2.14</v>
      </c>
      <c r="G1074" t="s">
        <v>5168</v>
      </c>
      <c r="H1074">
        <v>78</v>
      </c>
      <c r="I1074">
        <v>24</v>
      </c>
      <c r="J1074">
        <v>35.229999999999997</v>
      </c>
      <c r="K1074">
        <v>14.2</v>
      </c>
      <c r="L1074">
        <v>13.7</v>
      </c>
      <c r="M1074" s="175">
        <v>0.02</v>
      </c>
      <c r="N1074" t="s">
        <v>3707</v>
      </c>
    </row>
    <row r="1075" spans="1:14">
      <c r="A1075">
        <v>3268</v>
      </c>
      <c r="B1075" t="s">
        <v>953</v>
      </c>
      <c r="C1075">
        <v>26.1</v>
      </c>
      <c r="D1075">
        <v>26.1</v>
      </c>
      <c r="E1075" s="178">
        <v>0</v>
      </c>
      <c r="F1075" s="176">
        <v>0</v>
      </c>
      <c r="G1075" t="s">
        <v>5496</v>
      </c>
      <c r="H1075">
        <v>376</v>
      </c>
      <c r="I1075">
        <v>941</v>
      </c>
      <c r="J1075">
        <v>3.47</v>
      </c>
      <c r="K1075">
        <v>26.65</v>
      </c>
      <c r="L1075">
        <v>25.55</v>
      </c>
      <c r="M1075" s="175">
        <v>1.08</v>
      </c>
      <c r="N1075" t="s">
        <v>3946</v>
      </c>
    </row>
    <row r="1076" spans="1:14">
      <c r="A1076">
        <v>3272</v>
      </c>
      <c r="B1076" t="s">
        <v>954</v>
      </c>
      <c r="C1076">
        <v>13.8</v>
      </c>
      <c r="D1076">
        <v>13.9</v>
      </c>
      <c r="E1076" s="178">
        <v>-0.05</v>
      </c>
      <c r="F1076" s="176">
        <v>-0.36</v>
      </c>
      <c r="G1076" t="s">
        <v>6387</v>
      </c>
      <c r="H1076">
        <v>34</v>
      </c>
      <c r="I1076">
        <v>16</v>
      </c>
      <c r="J1076">
        <v>6.12</v>
      </c>
      <c r="K1076">
        <v>13.9</v>
      </c>
      <c r="L1076">
        <v>13.55</v>
      </c>
      <c r="M1076" s="175">
        <v>0.06</v>
      </c>
      <c r="N1076" t="s">
        <v>3947</v>
      </c>
    </row>
    <row r="1077" spans="1:14">
      <c r="A1077">
        <v>3276</v>
      </c>
      <c r="B1077" t="s">
        <v>955</v>
      </c>
      <c r="C1077">
        <v>14.8</v>
      </c>
      <c r="D1077">
        <v>14.45</v>
      </c>
      <c r="E1077" s="178">
        <v>-0.55000000000000004</v>
      </c>
      <c r="F1077" s="176">
        <v>-3.67</v>
      </c>
      <c r="G1077" t="s">
        <v>5323</v>
      </c>
      <c r="H1077">
        <v>142</v>
      </c>
      <c r="I1077">
        <v>203</v>
      </c>
      <c r="J1077">
        <v>6.97</v>
      </c>
      <c r="K1077">
        <v>14.85</v>
      </c>
      <c r="L1077">
        <v>14.45</v>
      </c>
      <c r="M1077" s="175">
        <v>0.2</v>
      </c>
      <c r="N1077" t="s">
        <v>3948</v>
      </c>
    </row>
    <row r="1078" spans="1:14">
      <c r="A1078">
        <v>3284</v>
      </c>
      <c r="B1078" t="s">
        <v>956</v>
      </c>
      <c r="C1078">
        <v>20.149999999999999</v>
      </c>
      <c r="D1078">
        <v>19.8</v>
      </c>
      <c r="E1078" s="178">
        <v>-0.55000000000000004</v>
      </c>
      <c r="F1078" s="176">
        <v>-2.7</v>
      </c>
      <c r="G1078" t="s">
        <v>5407</v>
      </c>
      <c r="H1078">
        <v>211</v>
      </c>
      <c r="I1078">
        <v>301</v>
      </c>
      <c r="J1078">
        <v>10.86</v>
      </c>
      <c r="K1078">
        <v>20.149999999999999</v>
      </c>
      <c r="L1078">
        <v>19.55</v>
      </c>
      <c r="M1078" s="175">
        <v>0.19</v>
      </c>
      <c r="N1078" t="s">
        <v>3949</v>
      </c>
    </row>
    <row r="1079" spans="1:14">
      <c r="A1079">
        <v>3285</v>
      </c>
      <c r="B1079" t="s">
        <v>957</v>
      </c>
      <c r="C1079">
        <v>41.1</v>
      </c>
      <c r="D1079">
        <v>41.8</v>
      </c>
      <c r="E1079" s="178">
        <v>-0.55000000000000004</v>
      </c>
      <c r="F1079" s="176">
        <v>-1.3</v>
      </c>
      <c r="G1079" t="s">
        <v>5423</v>
      </c>
      <c r="H1079">
        <v>35</v>
      </c>
      <c r="I1079">
        <v>37</v>
      </c>
      <c r="J1079">
        <v>4.2699999999999996</v>
      </c>
      <c r="K1079">
        <v>42.5</v>
      </c>
      <c r="L1079">
        <v>41.1</v>
      </c>
      <c r="M1079" s="175">
        <v>0.08</v>
      </c>
      <c r="N1079" t="s">
        <v>3950</v>
      </c>
    </row>
    <row r="1080" spans="1:14">
      <c r="A1080">
        <v>3287</v>
      </c>
      <c r="B1080" t="s">
        <v>958</v>
      </c>
      <c r="C1080">
        <v>57.7</v>
      </c>
      <c r="D1080">
        <v>58.7</v>
      </c>
      <c r="E1080" s="178">
        <v>1</v>
      </c>
      <c r="F1080" s="176">
        <v>1.73</v>
      </c>
      <c r="G1080" t="s">
        <v>6388</v>
      </c>
      <c r="H1080">
        <v>10447</v>
      </c>
      <c r="I1080">
        <v>1744</v>
      </c>
      <c r="J1080">
        <v>4.4000000000000004</v>
      </c>
      <c r="K1080">
        <v>61</v>
      </c>
      <c r="L1080">
        <v>56.2</v>
      </c>
      <c r="M1080" s="175">
        <v>23.76</v>
      </c>
      <c r="N1080" t="s">
        <v>3951</v>
      </c>
    </row>
    <row r="1081" spans="1:14">
      <c r="A1081">
        <v>3288</v>
      </c>
      <c r="B1081" t="s">
        <v>1660</v>
      </c>
      <c r="C1081">
        <v>22.95</v>
      </c>
      <c r="D1081">
        <v>21.7</v>
      </c>
      <c r="E1081" s="178">
        <v>-0.4</v>
      </c>
      <c r="F1081" s="176">
        <v>-1.81</v>
      </c>
      <c r="G1081" t="s">
        <v>5620</v>
      </c>
      <c r="H1081">
        <v>65</v>
      </c>
      <c r="I1081">
        <v>72</v>
      </c>
      <c r="J1081">
        <v>1.64</v>
      </c>
      <c r="K1081">
        <v>22.95</v>
      </c>
      <c r="L1081">
        <v>20.85</v>
      </c>
      <c r="M1081" s="175">
        <v>0.4</v>
      </c>
      <c r="N1081" t="s">
        <v>3952</v>
      </c>
    </row>
    <row r="1082" spans="1:14">
      <c r="A1082">
        <v>3289</v>
      </c>
      <c r="B1082" t="s">
        <v>959</v>
      </c>
      <c r="C1082">
        <v>136</v>
      </c>
      <c r="D1082">
        <v>134.5</v>
      </c>
      <c r="E1082" s="178">
        <v>-4.5</v>
      </c>
      <c r="F1082" s="176">
        <v>-3.24</v>
      </c>
      <c r="G1082" t="s">
        <v>6389</v>
      </c>
      <c r="H1082">
        <v>569</v>
      </c>
      <c r="I1082">
        <v>421</v>
      </c>
      <c r="J1082">
        <v>8.67</v>
      </c>
      <c r="K1082">
        <v>137</v>
      </c>
      <c r="L1082">
        <v>133.5</v>
      </c>
      <c r="M1082" s="175">
        <v>0.66</v>
      </c>
      <c r="N1082" t="s">
        <v>3953</v>
      </c>
    </row>
    <row r="1083" spans="1:14">
      <c r="A1083">
        <v>3290</v>
      </c>
      <c r="B1083" t="s">
        <v>2866</v>
      </c>
      <c r="C1083">
        <v>50.8</v>
      </c>
      <c r="D1083">
        <v>50</v>
      </c>
      <c r="E1083" s="178">
        <v>-1.8</v>
      </c>
      <c r="F1083" s="176">
        <v>-3.47</v>
      </c>
      <c r="G1083" t="s">
        <v>6390</v>
      </c>
      <c r="H1083">
        <v>827</v>
      </c>
      <c r="I1083">
        <v>2706</v>
      </c>
      <c r="J1083">
        <v>9.02</v>
      </c>
      <c r="K1083">
        <v>51.5</v>
      </c>
      <c r="L1083">
        <v>50</v>
      </c>
      <c r="M1083" s="175">
        <v>0.92</v>
      </c>
      <c r="N1083" t="s">
        <v>3954</v>
      </c>
    </row>
    <row r="1084" spans="1:14">
      <c r="A1084">
        <v>3293</v>
      </c>
      <c r="B1084" t="s">
        <v>960</v>
      </c>
      <c r="C1084">
        <v>808</v>
      </c>
      <c r="D1084">
        <v>811</v>
      </c>
      <c r="E1084" s="178">
        <v>0</v>
      </c>
      <c r="F1084" s="176">
        <v>0</v>
      </c>
      <c r="G1084" t="s">
        <v>5430</v>
      </c>
      <c r="H1084">
        <v>2690</v>
      </c>
      <c r="I1084">
        <v>1615</v>
      </c>
      <c r="J1084">
        <v>28.18</v>
      </c>
      <c r="K1084">
        <v>817</v>
      </c>
      <c r="L1084">
        <v>800</v>
      </c>
      <c r="M1084" s="175">
        <v>0.95</v>
      </c>
      <c r="N1084" t="s">
        <v>3955</v>
      </c>
    </row>
    <row r="1085" spans="1:14">
      <c r="A1085">
        <v>3294</v>
      </c>
      <c r="B1085" t="s">
        <v>961</v>
      </c>
      <c r="C1085">
        <v>30.7</v>
      </c>
      <c r="D1085">
        <v>30</v>
      </c>
      <c r="E1085" s="178">
        <v>-1.1000000000000001</v>
      </c>
      <c r="F1085" s="176">
        <v>-3.54</v>
      </c>
      <c r="G1085" t="s">
        <v>6391</v>
      </c>
      <c r="H1085">
        <v>508</v>
      </c>
      <c r="I1085">
        <v>287</v>
      </c>
      <c r="J1085">
        <v>13.2</v>
      </c>
      <c r="K1085">
        <v>30.7</v>
      </c>
      <c r="L1085">
        <v>29.95</v>
      </c>
      <c r="M1085" s="175">
        <v>0.38</v>
      </c>
      <c r="N1085" t="s">
        <v>3956</v>
      </c>
    </row>
    <row r="1086" spans="1:14">
      <c r="A1086">
        <v>3296</v>
      </c>
      <c r="B1086" t="s">
        <v>962</v>
      </c>
      <c r="C1086">
        <v>27.2</v>
      </c>
      <c r="D1086">
        <v>27.6</v>
      </c>
      <c r="E1086" s="178">
        <v>-0.1</v>
      </c>
      <c r="F1086" s="176">
        <v>-0.36</v>
      </c>
      <c r="G1086" t="s">
        <v>5245</v>
      </c>
      <c r="H1086">
        <v>58</v>
      </c>
      <c r="I1086">
        <v>76</v>
      </c>
      <c r="J1086">
        <v>9.67</v>
      </c>
      <c r="K1086">
        <v>28.1</v>
      </c>
      <c r="L1086">
        <v>27.2</v>
      </c>
      <c r="M1086" s="175">
        <v>0.06</v>
      </c>
      <c r="N1086" t="s">
        <v>3957</v>
      </c>
    </row>
    <row r="1087" spans="1:14">
      <c r="A1087">
        <v>3297</v>
      </c>
      <c r="B1087" t="s">
        <v>963</v>
      </c>
      <c r="C1087">
        <v>31.7</v>
      </c>
      <c r="D1087">
        <v>30.3</v>
      </c>
      <c r="E1087" s="178">
        <v>-1.5</v>
      </c>
      <c r="F1087" s="176">
        <v>-4.72</v>
      </c>
      <c r="G1087" t="s">
        <v>6392</v>
      </c>
      <c r="H1087">
        <v>318</v>
      </c>
      <c r="I1087">
        <v>387</v>
      </c>
      <c r="J1087">
        <v>3.6</v>
      </c>
      <c r="K1087">
        <v>33.1</v>
      </c>
      <c r="L1087">
        <v>30.1</v>
      </c>
      <c r="M1087" s="175">
        <v>0.88</v>
      </c>
      <c r="N1087" t="s">
        <v>3958</v>
      </c>
    </row>
    <row r="1088" spans="1:14">
      <c r="A1088">
        <v>3303</v>
      </c>
      <c r="B1088" t="s">
        <v>964</v>
      </c>
      <c r="C1088">
        <v>51.7</v>
      </c>
      <c r="D1088">
        <v>52</v>
      </c>
      <c r="E1088" s="178">
        <v>-0.2</v>
      </c>
      <c r="F1088" s="176">
        <v>-0.38</v>
      </c>
      <c r="G1088" t="s">
        <v>6393</v>
      </c>
      <c r="H1088">
        <v>302</v>
      </c>
      <c r="I1088">
        <v>288</v>
      </c>
      <c r="J1088">
        <v>9.48</v>
      </c>
      <c r="K1088">
        <v>52.4</v>
      </c>
      <c r="L1088">
        <v>51.4</v>
      </c>
      <c r="M1088" s="175">
        <v>0.32</v>
      </c>
      <c r="N1088" t="s">
        <v>3959</v>
      </c>
    </row>
    <row r="1089" spans="1:14">
      <c r="A1089">
        <v>3305</v>
      </c>
      <c r="B1089" t="s">
        <v>965</v>
      </c>
      <c r="C1089">
        <v>106.5</v>
      </c>
      <c r="D1089">
        <v>103</v>
      </c>
      <c r="E1089" s="178">
        <v>-5.5</v>
      </c>
      <c r="F1089" s="176">
        <v>-5.07</v>
      </c>
      <c r="G1089" t="s">
        <v>6394</v>
      </c>
      <c r="H1089">
        <v>883</v>
      </c>
      <c r="I1089">
        <v>701</v>
      </c>
      <c r="J1089">
        <v>14.37</v>
      </c>
      <c r="K1089">
        <v>106.5</v>
      </c>
      <c r="L1089">
        <v>102.5</v>
      </c>
      <c r="M1089" s="175">
        <v>0.62</v>
      </c>
      <c r="N1089" t="s">
        <v>3960</v>
      </c>
    </row>
    <row r="1090" spans="1:14">
      <c r="A1090">
        <v>3306</v>
      </c>
      <c r="B1090" t="s">
        <v>966</v>
      </c>
      <c r="C1090">
        <v>45.7</v>
      </c>
      <c r="D1090">
        <v>45.15</v>
      </c>
      <c r="E1090" s="178">
        <v>-0.55000000000000004</v>
      </c>
      <c r="F1090" s="176">
        <v>-1.2</v>
      </c>
      <c r="G1090" t="s">
        <v>6093</v>
      </c>
      <c r="H1090">
        <v>72</v>
      </c>
      <c r="I1090">
        <v>45</v>
      </c>
      <c r="J1090">
        <v>5.0599999999999996</v>
      </c>
      <c r="K1090">
        <v>45.7</v>
      </c>
      <c r="L1090">
        <v>45.15</v>
      </c>
      <c r="M1090" s="175">
        <v>0.14000000000000001</v>
      </c>
      <c r="N1090" t="s">
        <v>3961</v>
      </c>
    </row>
    <row r="1091" spans="1:14">
      <c r="A1091">
        <v>3308</v>
      </c>
      <c r="B1091" t="s">
        <v>2349</v>
      </c>
      <c r="C1091">
        <v>21.65</v>
      </c>
      <c r="D1091">
        <v>21.5</v>
      </c>
      <c r="E1091" s="178">
        <v>-0.75</v>
      </c>
      <c r="F1091" s="176">
        <v>-3.37</v>
      </c>
      <c r="G1091" t="s">
        <v>6395</v>
      </c>
      <c r="H1091">
        <v>28</v>
      </c>
      <c r="I1091">
        <v>46</v>
      </c>
      <c r="J1091">
        <v>6</v>
      </c>
      <c r="K1091">
        <v>21.85</v>
      </c>
      <c r="L1091">
        <v>21.5</v>
      </c>
      <c r="M1091" s="175">
        <v>0.05</v>
      </c>
      <c r="N1091" t="s">
        <v>5219</v>
      </c>
    </row>
    <row r="1092" spans="1:14">
      <c r="A1092">
        <v>3310</v>
      </c>
      <c r="B1092" t="s">
        <v>967</v>
      </c>
      <c r="C1092">
        <v>68.7</v>
      </c>
      <c r="D1092">
        <v>68</v>
      </c>
      <c r="E1092" s="178">
        <v>0.2</v>
      </c>
      <c r="F1092" s="176">
        <v>0.28999999999999998</v>
      </c>
      <c r="G1092" t="s">
        <v>5604</v>
      </c>
      <c r="H1092">
        <v>22</v>
      </c>
      <c r="I1092">
        <v>25</v>
      </c>
      <c r="J1092">
        <v>7.49</v>
      </c>
      <c r="K1092">
        <v>68.7</v>
      </c>
      <c r="L1092">
        <v>67.099999999999994</v>
      </c>
      <c r="M1092" s="175">
        <v>0.03</v>
      </c>
      <c r="N1092" t="s">
        <v>3962</v>
      </c>
    </row>
    <row r="1093" spans="1:14">
      <c r="A1093">
        <v>3311</v>
      </c>
      <c r="B1093" t="s">
        <v>968</v>
      </c>
      <c r="C1093">
        <v>55.2</v>
      </c>
      <c r="D1093">
        <v>50.7</v>
      </c>
      <c r="E1093" s="178">
        <v>-5.3</v>
      </c>
      <c r="F1093" s="176">
        <v>-9.4600000000000009</v>
      </c>
      <c r="G1093" t="s">
        <v>6382</v>
      </c>
      <c r="H1093">
        <v>5421</v>
      </c>
      <c r="I1093">
        <v>6115</v>
      </c>
      <c r="J1093">
        <v>10</v>
      </c>
      <c r="K1093">
        <v>55.8</v>
      </c>
      <c r="L1093">
        <v>50.4</v>
      </c>
      <c r="M1093" s="175">
        <v>5.42</v>
      </c>
      <c r="N1093" t="s">
        <v>3963</v>
      </c>
    </row>
    <row r="1094" spans="1:14">
      <c r="A1094">
        <v>3312</v>
      </c>
      <c r="B1094" t="s">
        <v>969</v>
      </c>
      <c r="C1094">
        <v>49.3</v>
      </c>
      <c r="D1094">
        <v>48.3</v>
      </c>
      <c r="E1094" s="178">
        <v>-1.7</v>
      </c>
      <c r="F1094" s="176">
        <v>-3.4</v>
      </c>
      <c r="G1094" t="s">
        <v>6396</v>
      </c>
      <c r="H1094">
        <v>898</v>
      </c>
      <c r="I1094">
        <v>595</v>
      </c>
      <c r="J1094">
        <v>18.260000000000002</v>
      </c>
      <c r="K1094">
        <v>49.3</v>
      </c>
      <c r="L1094">
        <v>48</v>
      </c>
      <c r="M1094" s="175">
        <v>0.49</v>
      </c>
      <c r="N1094" t="s">
        <v>3964</v>
      </c>
    </row>
    <row r="1095" spans="1:14">
      <c r="A1095">
        <v>3313</v>
      </c>
      <c r="B1095" t="s">
        <v>970</v>
      </c>
      <c r="C1095">
        <v>10.3</v>
      </c>
      <c r="D1095">
        <v>10.25</v>
      </c>
      <c r="E1095" s="178">
        <v>-0.05</v>
      </c>
      <c r="F1095" s="176">
        <v>-0.49</v>
      </c>
      <c r="G1095" t="s">
        <v>5627</v>
      </c>
      <c r="H1095">
        <v>97</v>
      </c>
      <c r="I1095">
        <v>61</v>
      </c>
      <c r="J1095">
        <v>22.11</v>
      </c>
      <c r="K1095">
        <v>10.4</v>
      </c>
      <c r="L1095">
        <v>10.199999999999999</v>
      </c>
      <c r="M1095" s="175">
        <v>0.04</v>
      </c>
      <c r="N1095" t="s">
        <v>3965</v>
      </c>
    </row>
    <row r="1096" spans="1:14">
      <c r="A1096">
        <v>3317</v>
      </c>
      <c r="B1096" t="s">
        <v>971</v>
      </c>
      <c r="C1096">
        <v>64.5</v>
      </c>
      <c r="D1096">
        <v>63.8</v>
      </c>
      <c r="E1096" s="178">
        <v>-3.3</v>
      </c>
      <c r="F1096" s="176">
        <v>-4.92</v>
      </c>
      <c r="G1096" t="s">
        <v>6397</v>
      </c>
      <c r="H1096">
        <v>1088</v>
      </c>
      <c r="I1096">
        <v>3216</v>
      </c>
      <c r="J1096">
        <v>9</v>
      </c>
      <c r="K1096">
        <v>66</v>
      </c>
      <c r="L1096">
        <v>63.5</v>
      </c>
      <c r="M1096" s="175">
        <v>1.21</v>
      </c>
      <c r="N1096" t="s">
        <v>3966</v>
      </c>
    </row>
    <row r="1097" spans="1:14">
      <c r="A1097">
        <v>3321</v>
      </c>
      <c r="B1097" t="s">
        <v>2881</v>
      </c>
      <c r="C1097">
        <v>17</v>
      </c>
      <c r="D1097">
        <v>16.399999999999999</v>
      </c>
      <c r="E1097" s="178">
        <v>-0.7</v>
      </c>
      <c r="F1097" s="176">
        <v>-4.09</v>
      </c>
      <c r="G1097" t="s">
        <v>5303</v>
      </c>
      <c r="H1097">
        <v>287</v>
      </c>
      <c r="I1097">
        <v>166</v>
      </c>
      <c r="J1097">
        <v>8.61</v>
      </c>
      <c r="K1097">
        <v>17</v>
      </c>
      <c r="L1097">
        <v>16.350000000000001</v>
      </c>
      <c r="M1097" s="175">
        <v>0.33</v>
      </c>
      <c r="N1097" t="s">
        <v>3967</v>
      </c>
    </row>
    <row r="1098" spans="1:14">
      <c r="A1098">
        <v>3322</v>
      </c>
      <c r="B1098" t="s">
        <v>972</v>
      </c>
      <c r="C1098">
        <v>10.6</v>
      </c>
      <c r="D1098">
        <v>10.3</v>
      </c>
      <c r="E1098" s="178">
        <v>-0.3</v>
      </c>
      <c r="F1098" s="176">
        <v>-2.83</v>
      </c>
      <c r="G1098" t="s">
        <v>5791</v>
      </c>
      <c r="H1098">
        <v>625</v>
      </c>
      <c r="I1098">
        <v>497</v>
      </c>
      <c r="J1098">
        <v>13.86</v>
      </c>
      <c r="K1098">
        <v>10.6</v>
      </c>
      <c r="L1098">
        <v>10.3</v>
      </c>
      <c r="M1098" s="175">
        <v>0.45</v>
      </c>
      <c r="N1098" t="s">
        <v>3968</v>
      </c>
    </row>
    <row r="1099" spans="1:14">
      <c r="A1099">
        <v>3323</v>
      </c>
      <c r="B1099" t="s">
        <v>973</v>
      </c>
      <c r="C1099">
        <v>29.65</v>
      </c>
      <c r="D1099">
        <v>29.05</v>
      </c>
      <c r="E1099" s="178">
        <v>-0.8</v>
      </c>
      <c r="F1099" s="176">
        <v>-2.68</v>
      </c>
      <c r="G1099" t="s">
        <v>6398</v>
      </c>
      <c r="H1099">
        <v>486</v>
      </c>
      <c r="I1099">
        <v>665</v>
      </c>
      <c r="J1099">
        <v>9.9600000000000009</v>
      </c>
      <c r="K1099">
        <v>29.8</v>
      </c>
      <c r="L1099">
        <v>29</v>
      </c>
      <c r="M1099" s="175">
        <v>0.49</v>
      </c>
      <c r="N1099" t="s">
        <v>3969</v>
      </c>
    </row>
    <row r="1100" spans="1:14">
      <c r="A1100">
        <v>3324</v>
      </c>
      <c r="B1100" t="s">
        <v>974</v>
      </c>
      <c r="C1100">
        <v>1425</v>
      </c>
      <c r="D1100">
        <v>1410</v>
      </c>
      <c r="E1100" s="178">
        <v>-80</v>
      </c>
      <c r="F1100" s="176">
        <v>-5.37</v>
      </c>
      <c r="G1100" t="s">
        <v>6399</v>
      </c>
      <c r="H1100">
        <v>2072</v>
      </c>
      <c r="I1100">
        <v>3299</v>
      </c>
      <c r="J1100">
        <v>9.3699999999999992</v>
      </c>
      <c r="K1100">
        <v>1465</v>
      </c>
      <c r="L1100">
        <v>1400</v>
      </c>
      <c r="M1100" s="175">
        <v>2.23</v>
      </c>
      <c r="N1100" t="s">
        <v>3970</v>
      </c>
    </row>
    <row r="1101" spans="1:14">
      <c r="A1101">
        <v>3325</v>
      </c>
      <c r="B1101" t="s">
        <v>975</v>
      </c>
      <c r="C1101">
        <v>11.2</v>
      </c>
      <c r="D1101">
        <v>11.25</v>
      </c>
      <c r="E1101" s="178">
        <v>-0.05</v>
      </c>
      <c r="F1101" s="176">
        <v>-0.44</v>
      </c>
      <c r="G1101" t="s">
        <v>5631</v>
      </c>
      <c r="H1101">
        <v>287</v>
      </c>
      <c r="I1101">
        <v>105</v>
      </c>
      <c r="J1101">
        <v>11.02</v>
      </c>
      <c r="K1101">
        <v>11.3</v>
      </c>
      <c r="L1101">
        <v>10.95</v>
      </c>
      <c r="M1101" s="175">
        <v>0.26</v>
      </c>
      <c r="N1101" t="s">
        <v>3971</v>
      </c>
    </row>
    <row r="1102" spans="1:14">
      <c r="A1102">
        <v>3332</v>
      </c>
      <c r="B1102" t="s">
        <v>976</v>
      </c>
      <c r="C1102">
        <v>63.8</v>
      </c>
      <c r="D1102">
        <v>63.5</v>
      </c>
      <c r="E1102" s="178">
        <v>-0.5</v>
      </c>
      <c r="F1102" s="176">
        <v>-0.78</v>
      </c>
      <c r="G1102" t="s">
        <v>5456</v>
      </c>
      <c r="H1102">
        <v>4</v>
      </c>
      <c r="I1102">
        <v>7</v>
      </c>
      <c r="J1102">
        <v>4.8099999999999996</v>
      </c>
      <c r="K1102">
        <v>63.8</v>
      </c>
      <c r="L1102">
        <v>63.5</v>
      </c>
      <c r="M1102" s="175">
        <v>0.01</v>
      </c>
      <c r="N1102" t="s">
        <v>3972</v>
      </c>
    </row>
    <row r="1103" spans="1:14">
      <c r="A1103">
        <v>3338</v>
      </c>
      <c r="B1103" t="s">
        <v>977</v>
      </c>
      <c r="C1103">
        <v>68.8</v>
      </c>
      <c r="D1103">
        <v>66.599999999999994</v>
      </c>
      <c r="E1103" s="178">
        <v>-2.2000000000000002</v>
      </c>
      <c r="F1103" s="176">
        <v>-3.2</v>
      </c>
      <c r="G1103" t="s">
        <v>6400</v>
      </c>
      <c r="H1103">
        <v>668</v>
      </c>
      <c r="I1103">
        <v>470</v>
      </c>
      <c r="J1103">
        <v>8.7899999999999991</v>
      </c>
      <c r="K1103">
        <v>69.3</v>
      </c>
      <c r="L1103">
        <v>65.900000000000006</v>
      </c>
      <c r="M1103" s="175">
        <v>0.76</v>
      </c>
      <c r="N1103" t="s">
        <v>3973</v>
      </c>
    </row>
    <row r="1104" spans="1:14">
      <c r="A1104">
        <v>3339</v>
      </c>
      <c r="B1104" t="s">
        <v>978</v>
      </c>
      <c r="C1104">
        <v>44</v>
      </c>
      <c r="D1104">
        <v>42.7</v>
      </c>
      <c r="E1104" s="178">
        <v>-1.95</v>
      </c>
      <c r="F1104" s="176">
        <v>-4.37</v>
      </c>
      <c r="G1104" t="s">
        <v>6401</v>
      </c>
      <c r="H1104">
        <v>938</v>
      </c>
      <c r="I1104">
        <v>877</v>
      </c>
      <c r="J1104">
        <v>6.66</v>
      </c>
      <c r="K1104">
        <v>45.25</v>
      </c>
      <c r="L1104">
        <v>42.7</v>
      </c>
      <c r="M1104" s="175">
        <v>1.41</v>
      </c>
      <c r="N1104" t="s">
        <v>3974</v>
      </c>
    </row>
    <row r="1105" spans="1:14">
      <c r="A1105">
        <v>3346</v>
      </c>
      <c r="B1105" t="s">
        <v>979</v>
      </c>
      <c r="C1105">
        <v>21.85</v>
      </c>
      <c r="D1105">
        <v>21.5</v>
      </c>
      <c r="E1105" s="178">
        <v>-0.45</v>
      </c>
      <c r="F1105" s="176">
        <v>-2.0499999999999998</v>
      </c>
      <c r="G1105" t="s">
        <v>6402</v>
      </c>
      <c r="H1105">
        <v>323</v>
      </c>
      <c r="I1105">
        <v>377</v>
      </c>
      <c r="J1105">
        <v>12.12</v>
      </c>
      <c r="K1105">
        <v>21.85</v>
      </c>
      <c r="L1105">
        <v>21.2</v>
      </c>
      <c r="M1105" s="175">
        <v>0.27</v>
      </c>
      <c r="N1105" t="s">
        <v>3975</v>
      </c>
    </row>
    <row r="1106" spans="1:14">
      <c r="A1106">
        <v>3349</v>
      </c>
      <c r="B1106" t="s">
        <v>1629</v>
      </c>
      <c r="C1106">
        <v>18.850000000000001</v>
      </c>
      <c r="D1106">
        <v>18.850000000000001</v>
      </c>
      <c r="E1106" s="178">
        <v>0</v>
      </c>
      <c r="F1106" s="176">
        <v>0</v>
      </c>
      <c r="G1106" t="s">
        <v>6061</v>
      </c>
      <c r="H1106">
        <v>361</v>
      </c>
      <c r="I1106">
        <v>322</v>
      </c>
      <c r="J1106">
        <v>4.78</v>
      </c>
      <c r="K1106">
        <v>19</v>
      </c>
      <c r="L1106">
        <v>18.55</v>
      </c>
      <c r="M1106" s="175">
        <v>0.75</v>
      </c>
      <c r="N1106" t="s">
        <v>3976</v>
      </c>
    </row>
    <row r="1107" spans="1:14">
      <c r="A1107">
        <v>3354</v>
      </c>
      <c r="B1107" t="s">
        <v>980</v>
      </c>
      <c r="C1107">
        <v>38</v>
      </c>
      <c r="D1107">
        <v>38</v>
      </c>
      <c r="E1107" s="178">
        <v>3.45</v>
      </c>
      <c r="F1107" s="176">
        <v>9.99</v>
      </c>
      <c r="G1107" t="s">
        <v>6403</v>
      </c>
      <c r="H1107">
        <v>3914</v>
      </c>
      <c r="I1107">
        <v>3419</v>
      </c>
      <c r="J1107">
        <v>7.01</v>
      </c>
      <c r="K1107">
        <v>38</v>
      </c>
      <c r="L1107">
        <v>37.9</v>
      </c>
      <c r="M1107" s="175">
        <v>5.58</v>
      </c>
      <c r="N1107" t="s">
        <v>3977</v>
      </c>
    </row>
    <row r="1108" spans="1:14">
      <c r="A1108">
        <v>3356</v>
      </c>
      <c r="B1108" t="s">
        <v>5190</v>
      </c>
      <c r="C1108">
        <v>74.2</v>
      </c>
      <c r="D1108">
        <v>72.5</v>
      </c>
      <c r="E1108" s="178">
        <v>-3.1</v>
      </c>
      <c r="F1108" s="176">
        <v>-4.0999999999999996</v>
      </c>
      <c r="G1108" t="s">
        <v>6404</v>
      </c>
      <c r="H1108">
        <v>823</v>
      </c>
      <c r="I1108">
        <v>1463</v>
      </c>
      <c r="J1108">
        <v>6.86</v>
      </c>
      <c r="K1108">
        <v>75.2</v>
      </c>
      <c r="L1108">
        <v>71.900000000000006</v>
      </c>
      <c r="M1108" s="175">
        <v>1.2</v>
      </c>
      <c r="N1108" t="s">
        <v>5191</v>
      </c>
    </row>
    <row r="1109" spans="1:14">
      <c r="A1109">
        <v>3357</v>
      </c>
      <c r="B1109" t="s">
        <v>1565</v>
      </c>
      <c r="C1109">
        <v>216</v>
      </c>
      <c r="D1109">
        <v>210.5</v>
      </c>
      <c r="E1109" s="178">
        <v>-16</v>
      </c>
      <c r="F1109" s="176">
        <v>-7.06</v>
      </c>
      <c r="G1109" t="s">
        <v>6405</v>
      </c>
      <c r="H1109">
        <v>1585</v>
      </c>
      <c r="I1109">
        <v>1685</v>
      </c>
      <c r="J1109">
        <v>11.88</v>
      </c>
      <c r="K1109">
        <v>218.5</v>
      </c>
      <c r="L1109">
        <v>209.5</v>
      </c>
      <c r="M1109" s="175">
        <v>1.34</v>
      </c>
      <c r="N1109" t="s">
        <v>3978</v>
      </c>
    </row>
    <row r="1110" spans="1:14">
      <c r="A1110">
        <v>3360</v>
      </c>
      <c r="B1110" t="s">
        <v>981</v>
      </c>
      <c r="C1110">
        <v>14.25</v>
      </c>
      <c r="D1110">
        <v>14.45</v>
      </c>
      <c r="E1110" s="178">
        <v>0.15</v>
      </c>
      <c r="F1110" s="176">
        <v>1.05</v>
      </c>
      <c r="G1110" t="s">
        <v>5304</v>
      </c>
      <c r="H1110">
        <v>251</v>
      </c>
      <c r="I1110">
        <v>325</v>
      </c>
      <c r="J1110">
        <v>7.64</v>
      </c>
      <c r="K1110">
        <v>14.45</v>
      </c>
      <c r="L1110">
        <v>14.05</v>
      </c>
      <c r="M1110" s="175">
        <v>0.33</v>
      </c>
      <c r="N1110" t="s">
        <v>3979</v>
      </c>
    </row>
    <row r="1111" spans="1:14">
      <c r="A1111">
        <v>3362</v>
      </c>
      <c r="B1111" t="s">
        <v>982</v>
      </c>
      <c r="C1111">
        <v>175.5</v>
      </c>
      <c r="D1111">
        <v>177</v>
      </c>
      <c r="E1111" s="178">
        <v>-7</v>
      </c>
      <c r="F1111" s="176">
        <v>-3.8</v>
      </c>
      <c r="G1111" t="s">
        <v>6406</v>
      </c>
      <c r="H1111">
        <v>2764</v>
      </c>
      <c r="I1111">
        <v>6899</v>
      </c>
      <c r="J1111">
        <v>14.74</v>
      </c>
      <c r="K1111">
        <v>182.5</v>
      </c>
      <c r="L1111">
        <v>175.5</v>
      </c>
      <c r="M1111" s="175">
        <v>1.87</v>
      </c>
      <c r="N1111" t="s">
        <v>3980</v>
      </c>
    </row>
    <row r="1112" spans="1:14">
      <c r="A1112">
        <v>3363</v>
      </c>
      <c r="B1112" t="s">
        <v>983</v>
      </c>
      <c r="C1112">
        <v>520</v>
      </c>
      <c r="D1112">
        <v>520</v>
      </c>
      <c r="E1112" s="178">
        <v>-39</v>
      </c>
      <c r="F1112" s="176">
        <v>-6.98</v>
      </c>
      <c r="G1112" t="s">
        <v>5633</v>
      </c>
      <c r="H1112">
        <v>1992</v>
      </c>
      <c r="I1112">
        <v>4154</v>
      </c>
      <c r="J1112">
        <v>11.36</v>
      </c>
      <c r="K1112">
        <v>534</v>
      </c>
      <c r="L1112">
        <v>513</v>
      </c>
      <c r="M1112" s="175">
        <v>1.75</v>
      </c>
      <c r="N1112" t="s">
        <v>3981</v>
      </c>
    </row>
    <row r="1113" spans="1:14">
      <c r="A1113">
        <v>3372</v>
      </c>
      <c r="B1113" t="s">
        <v>984</v>
      </c>
      <c r="C1113">
        <v>16.2</v>
      </c>
      <c r="D1113">
        <v>15.4</v>
      </c>
      <c r="E1113" s="178">
        <v>-0.8</v>
      </c>
      <c r="F1113" s="176">
        <v>-4.9400000000000004</v>
      </c>
      <c r="G1113" t="s">
        <v>6407</v>
      </c>
      <c r="H1113">
        <v>700</v>
      </c>
      <c r="I1113">
        <v>351</v>
      </c>
      <c r="J1113">
        <v>23.53</v>
      </c>
      <c r="K1113">
        <v>16.2</v>
      </c>
      <c r="L1113">
        <v>15.35</v>
      </c>
      <c r="M1113" s="175">
        <v>0.3</v>
      </c>
      <c r="N1113" t="s">
        <v>3982</v>
      </c>
    </row>
    <row r="1114" spans="1:14">
      <c r="A1114">
        <v>3373</v>
      </c>
      <c r="B1114" t="s">
        <v>985</v>
      </c>
      <c r="C1114">
        <v>16.55</v>
      </c>
      <c r="D1114">
        <v>16.850000000000001</v>
      </c>
      <c r="E1114" s="178">
        <v>-0.15</v>
      </c>
      <c r="F1114" s="176">
        <v>-0.88</v>
      </c>
      <c r="G1114" t="s">
        <v>6408</v>
      </c>
      <c r="H1114">
        <v>274</v>
      </c>
      <c r="I1114">
        <v>1022</v>
      </c>
      <c r="J1114">
        <v>4.76</v>
      </c>
      <c r="K1114">
        <v>17.75</v>
      </c>
      <c r="L1114">
        <v>16.55</v>
      </c>
      <c r="M1114" s="175">
        <v>0.57999999999999996</v>
      </c>
      <c r="N1114" t="s">
        <v>3983</v>
      </c>
    </row>
    <row r="1115" spans="1:14">
      <c r="A1115">
        <v>3374</v>
      </c>
      <c r="B1115" t="s">
        <v>986</v>
      </c>
      <c r="C1115">
        <v>482.5</v>
      </c>
      <c r="D1115">
        <v>452.5</v>
      </c>
      <c r="E1115" s="178">
        <v>-46.5</v>
      </c>
      <c r="F1115" s="176">
        <v>-9.32</v>
      </c>
      <c r="G1115" t="s">
        <v>6409</v>
      </c>
      <c r="H1115">
        <v>12059</v>
      </c>
      <c r="I1115">
        <v>10579</v>
      </c>
      <c r="J1115">
        <v>27.14</v>
      </c>
      <c r="K1115">
        <v>484</v>
      </c>
      <c r="L1115">
        <v>449.5</v>
      </c>
      <c r="M1115" s="175">
        <v>4.4400000000000004</v>
      </c>
      <c r="N1115" t="s">
        <v>3984</v>
      </c>
    </row>
    <row r="1116" spans="1:14">
      <c r="A1116">
        <v>3376</v>
      </c>
      <c r="B1116" t="s">
        <v>64</v>
      </c>
      <c r="C1116">
        <v>176</v>
      </c>
      <c r="D1116">
        <v>176.5</v>
      </c>
      <c r="E1116" s="178">
        <v>-2.5</v>
      </c>
      <c r="F1116" s="176">
        <v>-1.4</v>
      </c>
      <c r="G1116" t="s">
        <v>6410</v>
      </c>
      <c r="H1116">
        <v>2083</v>
      </c>
      <c r="I1116">
        <v>2458</v>
      </c>
      <c r="J1116">
        <v>19.579999999999998</v>
      </c>
      <c r="K1116">
        <v>179.5</v>
      </c>
      <c r="L1116">
        <v>175.5</v>
      </c>
      <c r="M1116" s="175">
        <v>1.06</v>
      </c>
      <c r="N1116" t="s">
        <v>3985</v>
      </c>
    </row>
    <row r="1117" spans="1:14">
      <c r="A1117">
        <v>3379</v>
      </c>
      <c r="B1117" t="s">
        <v>987</v>
      </c>
      <c r="C1117">
        <v>26.55</v>
      </c>
      <c r="D1117">
        <v>26</v>
      </c>
      <c r="E1117" s="178">
        <v>-0.95</v>
      </c>
      <c r="F1117" s="176">
        <v>-3.53</v>
      </c>
      <c r="G1117" t="s">
        <v>5636</v>
      </c>
      <c r="H1117">
        <v>74</v>
      </c>
      <c r="I1117">
        <v>45</v>
      </c>
      <c r="J1117">
        <v>3.8</v>
      </c>
      <c r="K1117">
        <v>26.55</v>
      </c>
      <c r="L1117">
        <v>25.7</v>
      </c>
      <c r="M1117" s="175">
        <v>0.19</v>
      </c>
      <c r="N1117" t="s">
        <v>3986</v>
      </c>
    </row>
    <row r="1118" spans="1:14">
      <c r="A1118">
        <v>3380</v>
      </c>
      <c r="B1118" t="s">
        <v>988</v>
      </c>
      <c r="C1118">
        <v>31.45</v>
      </c>
      <c r="D1118">
        <v>31.4</v>
      </c>
      <c r="E1118" s="178">
        <v>-0.25</v>
      </c>
      <c r="F1118" s="176">
        <v>-0.79</v>
      </c>
      <c r="G1118" t="s">
        <v>5564</v>
      </c>
      <c r="H1118">
        <v>1601</v>
      </c>
      <c r="I1118">
        <v>1980</v>
      </c>
      <c r="J1118">
        <v>54.17</v>
      </c>
      <c r="K1118">
        <v>31.65</v>
      </c>
      <c r="L1118">
        <v>31.1</v>
      </c>
      <c r="M1118" s="175">
        <v>0.3</v>
      </c>
      <c r="N1118" t="s">
        <v>3987</v>
      </c>
    </row>
    <row r="1119" spans="1:14">
      <c r="A1119">
        <v>3388</v>
      </c>
      <c r="B1119" t="s">
        <v>989</v>
      </c>
      <c r="C1119">
        <v>84</v>
      </c>
      <c r="D1119">
        <v>82.8</v>
      </c>
      <c r="E1119" s="178">
        <v>-1.7</v>
      </c>
      <c r="F1119" s="176">
        <v>-2.0099999999999998</v>
      </c>
      <c r="G1119" t="s">
        <v>6411</v>
      </c>
      <c r="H1119">
        <v>328</v>
      </c>
      <c r="I1119">
        <v>468</v>
      </c>
      <c r="J1119">
        <v>8.5500000000000007</v>
      </c>
      <c r="K1119">
        <v>84.2</v>
      </c>
      <c r="L1119">
        <v>82.6</v>
      </c>
      <c r="M1119" s="175">
        <v>0.39</v>
      </c>
      <c r="N1119" t="s">
        <v>3988</v>
      </c>
    </row>
    <row r="1120" spans="1:14">
      <c r="A1120">
        <v>3390</v>
      </c>
      <c r="B1120" t="s">
        <v>990</v>
      </c>
      <c r="C1120">
        <v>22</v>
      </c>
      <c r="D1120">
        <v>21.7</v>
      </c>
      <c r="E1120" s="178">
        <v>-0.45</v>
      </c>
      <c r="F1120" s="176">
        <v>-2.0299999999999998</v>
      </c>
      <c r="G1120" t="s">
        <v>5579</v>
      </c>
      <c r="H1120">
        <v>208</v>
      </c>
      <c r="I1120">
        <v>174</v>
      </c>
      <c r="J1120">
        <v>7.93</v>
      </c>
      <c r="K1120">
        <v>22.25</v>
      </c>
      <c r="L1120">
        <v>21.65</v>
      </c>
      <c r="M1120" s="175">
        <v>0.26</v>
      </c>
      <c r="N1120" t="s">
        <v>3989</v>
      </c>
    </row>
    <row r="1121" spans="1:14">
      <c r="A1121">
        <v>3402</v>
      </c>
      <c r="B1121" t="s">
        <v>991</v>
      </c>
      <c r="C1121">
        <v>134</v>
      </c>
      <c r="D1121">
        <v>131.5</v>
      </c>
      <c r="E1121" s="178">
        <v>-3.5</v>
      </c>
      <c r="F1121" s="176">
        <v>-2.59</v>
      </c>
      <c r="G1121" t="s">
        <v>6412</v>
      </c>
      <c r="H1121">
        <v>328</v>
      </c>
      <c r="I1121">
        <v>277</v>
      </c>
      <c r="J1121">
        <v>7.3</v>
      </c>
      <c r="K1121">
        <v>134</v>
      </c>
      <c r="L1121">
        <v>130.5</v>
      </c>
      <c r="M1121" s="175">
        <v>0.45</v>
      </c>
      <c r="N1121" t="s">
        <v>3990</v>
      </c>
    </row>
    <row r="1122" spans="1:14">
      <c r="A1122">
        <v>3406</v>
      </c>
      <c r="B1122" t="s">
        <v>254</v>
      </c>
      <c r="C1122">
        <v>1025</v>
      </c>
      <c r="D1122">
        <v>1115</v>
      </c>
      <c r="E1122" s="178">
        <v>50</v>
      </c>
      <c r="F1122" s="176">
        <v>4.6900000000000004</v>
      </c>
      <c r="G1122" t="s">
        <v>6413</v>
      </c>
      <c r="H1122">
        <v>12711</v>
      </c>
      <c r="I1122">
        <v>8216</v>
      </c>
      <c r="J1122">
        <v>11.27</v>
      </c>
      <c r="K1122">
        <v>1165</v>
      </c>
      <c r="L1122">
        <v>1010</v>
      </c>
      <c r="M1122" s="175">
        <v>11.27</v>
      </c>
      <c r="N1122" t="s">
        <v>3991</v>
      </c>
    </row>
    <row r="1123" spans="1:14">
      <c r="A1123">
        <v>3413</v>
      </c>
      <c r="B1123" t="s">
        <v>992</v>
      </c>
      <c r="C1123">
        <v>280</v>
      </c>
      <c r="D1123">
        <v>278</v>
      </c>
      <c r="E1123" s="178">
        <v>-8</v>
      </c>
      <c r="F1123" s="176">
        <v>-2.8</v>
      </c>
      <c r="G1123" t="s">
        <v>5457</v>
      </c>
      <c r="H1123">
        <v>1098</v>
      </c>
      <c r="I1123">
        <v>566</v>
      </c>
      <c r="J1123">
        <v>11.14</v>
      </c>
      <c r="K1123">
        <v>284.5</v>
      </c>
      <c r="L1123">
        <v>277.5</v>
      </c>
      <c r="M1123" s="175">
        <v>0.99</v>
      </c>
      <c r="N1123" t="s">
        <v>3992</v>
      </c>
    </row>
    <row r="1124" spans="1:14">
      <c r="A1124">
        <v>3416</v>
      </c>
      <c r="B1124" t="s">
        <v>993</v>
      </c>
      <c r="C1124">
        <v>178</v>
      </c>
      <c r="D1124">
        <v>183</v>
      </c>
      <c r="E1124" s="178">
        <v>2.5</v>
      </c>
      <c r="F1124" s="176">
        <v>1.39</v>
      </c>
      <c r="G1124" t="s">
        <v>6414</v>
      </c>
      <c r="H1124">
        <v>441</v>
      </c>
      <c r="I1124">
        <v>862</v>
      </c>
      <c r="J1124">
        <v>8.49</v>
      </c>
      <c r="K1124">
        <v>184</v>
      </c>
      <c r="L1124">
        <v>175</v>
      </c>
      <c r="M1124" s="175">
        <v>0.52</v>
      </c>
      <c r="N1124" t="s">
        <v>3993</v>
      </c>
    </row>
    <row r="1125" spans="1:14">
      <c r="A1125">
        <v>3419</v>
      </c>
      <c r="B1125" t="s">
        <v>994</v>
      </c>
      <c r="C1125">
        <v>11.75</v>
      </c>
      <c r="D1125">
        <v>11.7</v>
      </c>
      <c r="E1125" s="178">
        <v>-0.05</v>
      </c>
      <c r="F1125" s="176">
        <v>-0.43</v>
      </c>
      <c r="G1125" t="s">
        <v>5261</v>
      </c>
      <c r="H1125">
        <v>92</v>
      </c>
      <c r="I1125">
        <v>180</v>
      </c>
      <c r="J1125">
        <v>12.05</v>
      </c>
      <c r="K1125">
        <v>11.75</v>
      </c>
      <c r="L1125">
        <v>11.5</v>
      </c>
      <c r="M1125" s="175">
        <v>0.08</v>
      </c>
      <c r="N1125" t="s">
        <v>3994</v>
      </c>
    </row>
    <row r="1126" spans="1:14">
      <c r="A1126">
        <v>3430</v>
      </c>
      <c r="B1126" t="s">
        <v>1653</v>
      </c>
      <c r="C1126">
        <v>94.6</v>
      </c>
      <c r="D1126">
        <v>91.1</v>
      </c>
      <c r="E1126" s="178">
        <v>-4.5999999999999996</v>
      </c>
      <c r="F1126" s="176">
        <v>-4.8099999999999996</v>
      </c>
      <c r="G1126" t="s">
        <v>6415</v>
      </c>
      <c r="H1126">
        <v>224</v>
      </c>
      <c r="I1126">
        <v>337</v>
      </c>
      <c r="J1126">
        <v>3.37</v>
      </c>
      <c r="K1126">
        <v>95.4</v>
      </c>
      <c r="L1126">
        <v>91</v>
      </c>
      <c r="M1126" s="175">
        <v>0.66</v>
      </c>
      <c r="N1126" t="s">
        <v>3995</v>
      </c>
    </row>
    <row r="1127" spans="1:14">
      <c r="A1127">
        <v>3432</v>
      </c>
      <c r="B1127" t="s">
        <v>2328</v>
      </c>
      <c r="C1127">
        <v>14.45</v>
      </c>
      <c r="D1127">
        <v>14.2</v>
      </c>
      <c r="E1127" s="178">
        <v>-0.25</v>
      </c>
      <c r="F1127" s="176">
        <v>-1.73</v>
      </c>
      <c r="G1127" t="s">
        <v>6117</v>
      </c>
      <c r="H1127">
        <v>45</v>
      </c>
      <c r="I1127">
        <v>16</v>
      </c>
      <c r="J1127">
        <v>4.22</v>
      </c>
      <c r="K1127">
        <v>14.95</v>
      </c>
      <c r="L1127">
        <v>14.15</v>
      </c>
      <c r="M1127" s="175">
        <v>0.13</v>
      </c>
      <c r="N1127" t="s">
        <v>5300</v>
      </c>
    </row>
    <row r="1128" spans="1:14">
      <c r="A1128">
        <v>3434</v>
      </c>
      <c r="B1128" t="s">
        <v>995</v>
      </c>
      <c r="C1128">
        <v>31.65</v>
      </c>
      <c r="D1128">
        <v>31</v>
      </c>
      <c r="E1128" s="178">
        <v>-0.45</v>
      </c>
      <c r="F1128" s="176">
        <v>-1.43</v>
      </c>
      <c r="G1128" t="s">
        <v>5182</v>
      </c>
      <c r="H1128">
        <v>44</v>
      </c>
      <c r="I1128">
        <v>89</v>
      </c>
      <c r="J1128">
        <v>3.58</v>
      </c>
      <c r="K1128">
        <v>31.65</v>
      </c>
      <c r="L1128">
        <v>30.45</v>
      </c>
      <c r="M1128" s="175">
        <v>0.12</v>
      </c>
      <c r="N1128" t="s">
        <v>3996</v>
      </c>
    </row>
    <row r="1129" spans="1:14">
      <c r="A1129">
        <v>3437</v>
      </c>
      <c r="B1129" t="s">
        <v>996</v>
      </c>
      <c r="C1129">
        <v>20.100000000000001</v>
      </c>
      <c r="D1129">
        <v>19.75</v>
      </c>
      <c r="E1129" s="178">
        <v>-0.6</v>
      </c>
      <c r="F1129" s="176">
        <v>-2.95</v>
      </c>
      <c r="G1129" t="s">
        <v>6416</v>
      </c>
      <c r="H1129">
        <v>460</v>
      </c>
      <c r="I1129">
        <v>601</v>
      </c>
      <c r="J1129">
        <v>14.45</v>
      </c>
      <c r="K1129">
        <v>20.149999999999999</v>
      </c>
      <c r="L1129">
        <v>19.600000000000001</v>
      </c>
      <c r="M1129" s="175">
        <v>0.32</v>
      </c>
      <c r="N1129" t="s">
        <v>3997</v>
      </c>
    </row>
    <row r="1130" spans="1:14">
      <c r="A1130">
        <v>3438</v>
      </c>
      <c r="B1130" t="s">
        <v>997</v>
      </c>
      <c r="C1130">
        <v>59.6</v>
      </c>
      <c r="D1130">
        <v>58.1</v>
      </c>
      <c r="E1130" s="178">
        <v>-1.6</v>
      </c>
      <c r="F1130" s="176">
        <v>-2.68</v>
      </c>
      <c r="G1130" t="s">
        <v>5537</v>
      </c>
      <c r="H1130">
        <v>73</v>
      </c>
      <c r="I1130">
        <v>67</v>
      </c>
      <c r="J1130">
        <v>4.72</v>
      </c>
      <c r="K1130">
        <v>59.6</v>
      </c>
      <c r="L1130">
        <v>58</v>
      </c>
      <c r="M1130" s="175">
        <v>0.15</v>
      </c>
      <c r="N1130" t="s">
        <v>3998</v>
      </c>
    </row>
    <row r="1131" spans="1:14">
      <c r="A1131">
        <v>3441</v>
      </c>
      <c r="B1131" t="s">
        <v>998</v>
      </c>
      <c r="C1131">
        <v>226.5</v>
      </c>
      <c r="D1131">
        <v>225.5</v>
      </c>
      <c r="E1131" s="178">
        <v>-11.5</v>
      </c>
      <c r="F1131" s="176">
        <v>-4.8499999999999996</v>
      </c>
      <c r="G1131" t="s">
        <v>5670</v>
      </c>
      <c r="H1131">
        <v>901</v>
      </c>
      <c r="I1131">
        <v>9565</v>
      </c>
      <c r="J1131">
        <v>4</v>
      </c>
      <c r="K1131">
        <v>232</v>
      </c>
      <c r="L1131">
        <v>213.5</v>
      </c>
      <c r="M1131" s="175">
        <v>2.25</v>
      </c>
      <c r="N1131" t="s">
        <v>3999</v>
      </c>
    </row>
    <row r="1132" spans="1:14">
      <c r="A1132">
        <v>3443</v>
      </c>
      <c r="B1132" t="s">
        <v>999</v>
      </c>
      <c r="C1132">
        <v>7905</v>
      </c>
      <c r="D1132">
        <v>7670</v>
      </c>
      <c r="E1132" s="178">
        <v>-575</v>
      </c>
      <c r="F1132" s="176">
        <v>-6.97</v>
      </c>
      <c r="G1132" t="s">
        <v>6417</v>
      </c>
      <c r="H1132">
        <v>2213</v>
      </c>
      <c r="I1132">
        <v>1415</v>
      </c>
      <c r="J1132">
        <v>13.4</v>
      </c>
      <c r="K1132">
        <v>8095</v>
      </c>
      <c r="L1132">
        <v>7570</v>
      </c>
      <c r="M1132" s="175">
        <v>1.65</v>
      </c>
      <c r="N1132" t="s">
        <v>4000</v>
      </c>
    </row>
    <row r="1133" spans="1:14">
      <c r="A1133">
        <v>3444</v>
      </c>
      <c r="B1133" t="s">
        <v>1000</v>
      </c>
      <c r="C1133">
        <v>74.7</v>
      </c>
      <c r="D1133">
        <v>72</v>
      </c>
      <c r="E1133" s="178">
        <v>-3.7</v>
      </c>
      <c r="F1133" s="176">
        <v>-4.8899999999999997</v>
      </c>
      <c r="G1133" t="s">
        <v>5287</v>
      </c>
      <c r="H1133">
        <v>192</v>
      </c>
      <c r="I1133">
        <v>69</v>
      </c>
      <c r="J1133">
        <v>4.5</v>
      </c>
      <c r="K1133">
        <v>74.7</v>
      </c>
      <c r="L1133">
        <v>71.900000000000006</v>
      </c>
      <c r="M1133" s="175">
        <v>0.43</v>
      </c>
      <c r="N1133" t="s">
        <v>4001</v>
      </c>
    </row>
    <row r="1134" spans="1:14">
      <c r="A1134">
        <v>3447</v>
      </c>
      <c r="B1134" t="s">
        <v>1676</v>
      </c>
      <c r="C1134">
        <v>28</v>
      </c>
      <c r="D1134">
        <v>27.5</v>
      </c>
      <c r="E1134" s="178">
        <v>-0.9</v>
      </c>
      <c r="F1134" s="176">
        <v>-3.17</v>
      </c>
      <c r="G1134" t="s">
        <v>6418</v>
      </c>
      <c r="H1134">
        <v>177</v>
      </c>
      <c r="I1134">
        <v>367</v>
      </c>
      <c r="J1134">
        <v>7.74</v>
      </c>
      <c r="K1134">
        <v>28</v>
      </c>
      <c r="L1134">
        <v>27.45</v>
      </c>
      <c r="M1134" s="175">
        <v>0.23</v>
      </c>
      <c r="N1134" t="s">
        <v>4002</v>
      </c>
    </row>
    <row r="1135" spans="1:14">
      <c r="A1135">
        <v>3450</v>
      </c>
      <c r="B1135" t="s">
        <v>1001</v>
      </c>
      <c r="C1135">
        <v>470.5</v>
      </c>
      <c r="D1135">
        <v>467.5</v>
      </c>
      <c r="E1135" s="178">
        <v>-32.5</v>
      </c>
      <c r="F1135" s="176">
        <v>-6.5</v>
      </c>
      <c r="G1135" t="s">
        <v>6419</v>
      </c>
      <c r="H1135">
        <v>7795</v>
      </c>
      <c r="I1135">
        <v>8376</v>
      </c>
      <c r="J1135">
        <v>14.57</v>
      </c>
      <c r="K1135">
        <v>485.5</v>
      </c>
      <c r="L1135">
        <v>461.5</v>
      </c>
      <c r="M1135" s="175">
        <v>5.35</v>
      </c>
      <c r="N1135" t="s">
        <v>4003</v>
      </c>
    </row>
    <row r="1136" spans="1:14">
      <c r="A1136">
        <v>3455</v>
      </c>
      <c r="B1136" t="s">
        <v>1002</v>
      </c>
      <c r="C1136">
        <v>278</v>
      </c>
      <c r="D1136">
        <v>269</v>
      </c>
      <c r="E1136" s="178">
        <v>-19.5</v>
      </c>
      <c r="F1136" s="176">
        <v>-6.76</v>
      </c>
      <c r="G1136" t="s">
        <v>5229</v>
      </c>
      <c r="H1136">
        <v>3718</v>
      </c>
      <c r="I1136">
        <v>2297</v>
      </c>
      <c r="J1136">
        <v>5.99</v>
      </c>
      <c r="K1136">
        <v>284</v>
      </c>
      <c r="L1136">
        <v>263</v>
      </c>
      <c r="M1136" s="175">
        <v>6.21</v>
      </c>
      <c r="N1136" t="s">
        <v>4004</v>
      </c>
    </row>
    <row r="1137" spans="1:14">
      <c r="A1137">
        <v>3465</v>
      </c>
      <c r="B1137" t="s">
        <v>1003</v>
      </c>
      <c r="C1137">
        <v>27.9</v>
      </c>
      <c r="D1137">
        <v>27.7</v>
      </c>
      <c r="E1137" s="178">
        <v>-1.3</v>
      </c>
      <c r="F1137" s="176">
        <v>-4.4800000000000004</v>
      </c>
      <c r="G1137" t="s">
        <v>6420</v>
      </c>
      <c r="H1137">
        <v>24</v>
      </c>
      <c r="I1137">
        <v>26</v>
      </c>
      <c r="J1137">
        <v>4.2300000000000004</v>
      </c>
      <c r="K1137">
        <v>28.8</v>
      </c>
      <c r="L1137">
        <v>27.7</v>
      </c>
      <c r="M1137" s="175">
        <v>0.06</v>
      </c>
      <c r="N1137" t="s">
        <v>4005</v>
      </c>
    </row>
    <row r="1138" spans="1:14">
      <c r="A1138">
        <v>3466</v>
      </c>
      <c r="B1138" t="s">
        <v>2294</v>
      </c>
      <c r="C1138">
        <v>29.2</v>
      </c>
      <c r="D1138">
        <v>28.6</v>
      </c>
      <c r="E1138" s="178">
        <v>-0.6</v>
      </c>
      <c r="F1138" s="176">
        <v>-2.0499999999999998</v>
      </c>
      <c r="G1138" t="s">
        <v>5292</v>
      </c>
      <c r="H1138">
        <v>213</v>
      </c>
      <c r="I1138">
        <v>444</v>
      </c>
      <c r="J1138">
        <v>7.79</v>
      </c>
      <c r="K1138">
        <v>29.45</v>
      </c>
      <c r="L1138">
        <v>28.15</v>
      </c>
      <c r="M1138" s="175">
        <v>0.27</v>
      </c>
      <c r="N1138" t="s">
        <v>4006</v>
      </c>
    </row>
    <row r="1139" spans="1:14">
      <c r="A1139">
        <v>3467</v>
      </c>
      <c r="B1139" t="s">
        <v>2800</v>
      </c>
      <c r="C1139">
        <v>63.9</v>
      </c>
      <c r="D1139">
        <v>61.9</v>
      </c>
      <c r="E1139" s="178">
        <v>-3.6</v>
      </c>
      <c r="F1139" s="176">
        <v>-5.5</v>
      </c>
      <c r="G1139" t="s">
        <v>5708</v>
      </c>
      <c r="H1139">
        <v>279</v>
      </c>
      <c r="I1139">
        <v>374</v>
      </c>
      <c r="J1139">
        <v>3.16</v>
      </c>
      <c r="K1139">
        <v>64.3</v>
      </c>
      <c r="L1139">
        <v>60.8</v>
      </c>
      <c r="M1139" s="175">
        <v>0.9</v>
      </c>
      <c r="N1139" t="s">
        <v>4007</v>
      </c>
    </row>
    <row r="1140" spans="1:14">
      <c r="A1140">
        <v>3479</v>
      </c>
      <c r="B1140" t="s">
        <v>1004</v>
      </c>
      <c r="C1140">
        <v>133</v>
      </c>
      <c r="D1140">
        <v>131</v>
      </c>
      <c r="E1140" s="178">
        <v>-3</v>
      </c>
      <c r="F1140" s="176">
        <v>-2.2400000000000002</v>
      </c>
      <c r="G1140" t="s">
        <v>6421</v>
      </c>
      <c r="H1140">
        <v>689</v>
      </c>
      <c r="I1140">
        <v>631</v>
      </c>
      <c r="J1140">
        <v>7.31</v>
      </c>
      <c r="K1140">
        <v>135.5</v>
      </c>
      <c r="L1140">
        <v>130</v>
      </c>
      <c r="M1140" s="175">
        <v>0.94</v>
      </c>
      <c r="N1140" t="s">
        <v>4008</v>
      </c>
    </row>
    <row r="1141" spans="1:14">
      <c r="A1141">
        <v>3481</v>
      </c>
      <c r="B1141" t="s">
        <v>255</v>
      </c>
      <c r="C1141">
        <v>49.6</v>
      </c>
      <c r="D1141">
        <v>48.3</v>
      </c>
      <c r="E1141" s="178">
        <v>-2.6</v>
      </c>
      <c r="F1141" s="176">
        <v>-5.1100000000000003</v>
      </c>
      <c r="G1141" t="s">
        <v>6422</v>
      </c>
      <c r="H1141">
        <v>146329</v>
      </c>
      <c r="I1141">
        <v>96761</v>
      </c>
      <c r="J1141">
        <v>798.92</v>
      </c>
      <c r="K1141">
        <v>50.3</v>
      </c>
      <c r="L1141">
        <v>48.3</v>
      </c>
      <c r="M1141" s="175">
        <v>1.83</v>
      </c>
      <c r="N1141" t="s">
        <v>4009</v>
      </c>
    </row>
    <row r="1142" spans="1:14">
      <c r="A1142">
        <v>3483</v>
      </c>
      <c r="B1142" t="s">
        <v>1005</v>
      </c>
      <c r="C1142">
        <v>87</v>
      </c>
      <c r="D1142">
        <v>86.3</v>
      </c>
      <c r="E1142" s="178">
        <v>-2.2999999999999998</v>
      </c>
      <c r="F1142" s="176">
        <v>-2.6</v>
      </c>
      <c r="G1142" t="s">
        <v>6423</v>
      </c>
      <c r="H1142">
        <v>887</v>
      </c>
      <c r="I1142">
        <v>1594</v>
      </c>
      <c r="J1142">
        <v>9.9</v>
      </c>
      <c r="K1142">
        <v>88.3</v>
      </c>
      <c r="L1142">
        <v>85</v>
      </c>
      <c r="M1142" s="175">
        <v>0.9</v>
      </c>
      <c r="N1142" t="s">
        <v>4010</v>
      </c>
    </row>
    <row r="1143" spans="1:14">
      <c r="A1143">
        <v>3484</v>
      </c>
      <c r="B1143" t="s">
        <v>1006</v>
      </c>
      <c r="C1143">
        <v>49.8</v>
      </c>
      <c r="D1143">
        <v>49.6</v>
      </c>
      <c r="E1143" s="178">
        <v>-0.8</v>
      </c>
      <c r="F1143" s="176">
        <v>-1.59</v>
      </c>
      <c r="G1143" t="s">
        <v>6224</v>
      </c>
      <c r="H1143">
        <v>125</v>
      </c>
      <c r="I1143">
        <v>220</v>
      </c>
      <c r="J1143">
        <v>7.88</v>
      </c>
      <c r="K1143">
        <v>49.9</v>
      </c>
      <c r="L1143">
        <v>49.45</v>
      </c>
      <c r="M1143" s="175">
        <v>0.16</v>
      </c>
      <c r="N1143" t="s">
        <v>4011</v>
      </c>
    </row>
    <row r="1144" spans="1:14">
      <c r="A1144">
        <v>3485</v>
      </c>
      <c r="B1144" t="s">
        <v>3165</v>
      </c>
      <c r="C1144">
        <v>224.5</v>
      </c>
      <c r="D1144">
        <v>248</v>
      </c>
      <c r="E1144" s="178">
        <v>22.5</v>
      </c>
      <c r="F1144" s="176">
        <v>9.98</v>
      </c>
      <c r="G1144" t="s">
        <v>5339</v>
      </c>
      <c r="H1144">
        <v>714</v>
      </c>
      <c r="I1144">
        <v>97</v>
      </c>
      <c r="J1144">
        <v>3.85</v>
      </c>
      <c r="K1144">
        <v>248</v>
      </c>
      <c r="L1144">
        <v>220.5</v>
      </c>
      <c r="M1144" s="175">
        <v>1.85</v>
      </c>
      <c r="N1144" t="s">
        <v>4012</v>
      </c>
    </row>
    <row r="1145" spans="1:14">
      <c r="A1145">
        <v>3489</v>
      </c>
      <c r="B1145" t="s">
        <v>1007</v>
      </c>
      <c r="C1145">
        <v>22.35</v>
      </c>
      <c r="D1145">
        <v>22.8</v>
      </c>
      <c r="E1145" s="178">
        <v>0.15</v>
      </c>
      <c r="F1145" s="176">
        <v>0.66</v>
      </c>
      <c r="G1145" t="s">
        <v>5268</v>
      </c>
      <c r="H1145">
        <v>59</v>
      </c>
      <c r="I1145">
        <v>33</v>
      </c>
      <c r="J1145">
        <v>9.0500000000000007</v>
      </c>
      <c r="K1145">
        <v>22.8</v>
      </c>
      <c r="L1145">
        <v>22.35</v>
      </c>
      <c r="M1145" s="175">
        <v>7.0000000000000007E-2</v>
      </c>
      <c r="N1145" t="s">
        <v>4013</v>
      </c>
    </row>
    <row r="1146" spans="1:14">
      <c r="A1146">
        <v>3490</v>
      </c>
      <c r="B1146" t="s">
        <v>1008</v>
      </c>
      <c r="C1146">
        <v>42.8</v>
      </c>
      <c r="D1146">
        <v>42.3</v>
      </c>
      <c r="E1146" s="178">
        <v>-1.1499999999999999</v>
      </c>
      <c r="F1146" s="176">
        <v>-2.65</v>
      </c>
      <c r="G1146" t="s">
        <v>6424</v>
      </c>
      <c r="H1146">
        <v>1660</v>
      </c>
      <c r="I1146">
        <v>1544</v>
      </c>
      <c r="J1146">
        <v>5.5</v>
      </c>
      <c r="K1146">
        <v>43.6</v>
      </c>
      <c r="L1146">
        <v>41.6</v>
      </c>
      <c r="M1146" s="175">
        <v>3.02</v>
      </c>
      <c r="N1146" t="s">
        <v>4014</v>
      </c>
    </row>
    <row r="1147" spans="1:14">
      <c r="A1147">
        <v>3491</v>
      </c>
      <c r="B1147" t="s">
        <v>1009</v>
      </c>
      <c r="C1147">
        <v>1350</v>
      </c>
      <c r="D1147">
        <v>1325</v>
      </c>
      <c r="E1147" s="178">
        <v>-85</v>
      </c>
      <c r="F1147" s="176">
        <v>-6.03</v>
      </c>
      <c r="G1147" t="s">
        <v>5229</v>
      </c>
      <c r="H1147">
        <v>765</v>
      </c>
      <c r="I1147">
        <v>1499</v>
      </c>
      <c r="J1147">
        <v>6.89</v>
      </c>
      <c r="K1147">
        <v>1370</v>
      </c>
      <c r="L1147">
        <v>1320</v>
      </c>
      <c r="M1147" s="175">
        <v>1.1100000000000001</v>
      </c>
      <c r="N1147" t="s">
        <v>4015</v>
      </c>
    </row>
    <row r="1148" spans="1:14">
      <c r="A1148">
        <v>3492</v>
      </c>
      <c r="B1148" t="s">
        <v>1010</v>
      </c>
      <c r="C1148">
        <v>19</v>
      </c>
      <c r="D1148">
        <v>19.600000000000001</v>
      </c>
      <c r="E1148" s="178">
        <v>0.35</v>
      </c>
      <c r="F1148" s="176">
        <v>1.82</v>
      </c>
      <c r="G1148" t="s">
        <v>5594</v>
      </c>
      <c r="H1148">
        <v>32</v>
      </c>
      <c r="I1148">
        <v>21</v>
      </c>
      <c r="J1148">
        <v>3.55</v>
      </c>
      <c r="K1148">
        <v>19.7</v>
      </c>
      <c r="L1148">
        <v>19</v>
      </c>
      <c r="M1148" s="175">
        <v>0.09</v>
      </c>
      <c r="N1148" t="s">
        <v>4016</v>
      </c>
    </row>
    <row r="1149" spans="1:14">
      <c r="A1149">
        <v>3494</v>
      </c>
      <c r="B1149" t="s">
        <v>2675</v>
      </c>
      <c r="C1149">
        <v>7</v>
      </c>
      <c r="D1149">
        <v>7.06</v>
      </c>
      <c r="E1149" s="178">
        <v>-0.01</v>
      </c>
      <c r="F1149" s="176">
        <v>-0.14000000000000001</v>
      </c>
      <c r="G1149" t="s">
        <v>6425</v>
      </c>
      <c r="H1149">
        <v>88</v>
      </c>
      <c r="I1149">
        <v>36</v>
      </c>
      <c r="J1149">
        <v>9.48</v>
      </c>
      <c r="K1149">
        <v>7.08</v>
      </c>
      <c r="L1149">
        <v>6.99</v>
      </c>
      <c r="M1149" s="175">
        <v>0.14000000000000001</v>
      </c>
      <c r="N1149" t="s">
        <v>4017</v>
      </c>
    </row>
    <row r="1150" spans="1:14">
      <c r="A1150">
        <v>3498</v>
      </c>
      <c r="B1150" t="s">
        <v>1011</v>
      </c>
      <c r="C1150">
        <v>230</v>
      </c>
      <c r="D1150">
        <v>231</v>
      </c>
      <c r="E1150" s="178">
        <v>-7</v>
      </c>
      <c r="F1150" s="176">
        <v>-2.94</v>
      </c>
      <c r="G1150" t="s">
        <v>6426</v>
      </c>
      <c r="H1150">
        <v>7874</v>
      </c>
      <c r="I1150">
        <v>3057</v>
      </c>
      <c r="J1150">
        <v>6.13</v>
      </c>
      <c r="K1150">
        <v>252</v>
      </c>
      <c r="L1150">
        <v>229</v>
      </c>
      <c r="M1150" s="175">
        <v>12.85</v>
      </c>
      <c r="N1150" t="s">
        <v>4018</v>
      </c>
    </row>
    <row r="1151" spans="1:14">
      <c r="A1151">
        <v>3499</v>
      </c>
      <c r="B1151" t="s">
        <v>1012</v>
      </c>
      <c r="C1151">
        <v>13.1</v>
      </c>
      <c r="D1151">
        <v>13.05</v>
      </c>
      <c r="E1151" s="178">
        <v>-0.25</v>
      </c>
      <c r="F1151" s="176">
        <v>-1.88</v>
      </c>
      <c r="G1151" t="s">
        <v>5451</v>
      </c>
      <c r="H1151">
        <v>41</v>
      </c>
      <c r="I1151">
        <v>30</v>
      </c>
      <c r="J1151">
        <v>5.5</v>
      </c>
      <c r="K1151">
        <v>13.2</v>
      </c>
      <c r="L1151">
        <v>12.9</v>
      </c>
      <c r="M1151" s="175">
        <v>7.0000000000000007E-2</v>
      </c>
      <c r="N1151" t="s">
        <v>4019</v>
      </c>
    </row>
    <row r="1152" spans="1:14">
      <c r="A1152">
        <v>3501</v>
      </c>
      <c r="B1152" t="s">
        <v>256</v>
      </c>
      <c r="C1152">
        <v>38.5</v>
      </c>
      <c r="D1152">
        <v>38.5</v>
      </c>
      <c r="E1152" s="178">
        <v>-0.25</v>
      </c>
      <c r="F1152" s="176">
        <v>-0.65</v>
      </c>
      <c r="G1152" t="s">
        <v>6427</v>
      </c>
      <c r="H1152">
        <v>120</v>
      </c>
      <c r="I1152">
        <v>177</v>
      </c>
      <c r="J1152">
        <v>11.83</v>
      </c>
      <c r="K1152">
        <v>38.700000000000003</v>
      </c>
      <c r="L1152">
        <v>38.35</v>
      </c>
      <c r="M1152" s="175">
        <v>0.1</v>
      </c>
      <c r="N1152" t="s">
        <v>4020</v>
      </c>
    </row>
    <row r="1153" spans="1:14">
      <c r="A1153">
        <v>3504</v>
      </c>
      <c r="B1153" t="s">
        <v>1013</v>
      </c>
      <c r="C1153">
        <v>80.099999999999994</v>
      </c>
      <c r="D1153">
        <v>80.3</v>
      </c>
      <c r="E1153" s="178">
        <v>-1.7</v>
      </c>
      <c r="F1153" s="176">
        <v>-2.0699999999999998</v>
      </c>
      <c r="G1153" t="s">
        <v>5307</v>
      </c>
      <c r="H1153">
        <v>1852</v>
      </c>
      <c r="I1153">
        <v>1966</v>
      </c>
      <c r="J1153">
        <v>11.41</v>
      </c>
      <c r="K1153">
        <v>83</v>
      </c>
      <c r="L1153">
        <v>79</v>
      </c>
      <c r="M1153" s="175">
        <v>1.62</v>
      </c>
      <c r="N1153" t="s">
        <v>4021</v>
      </c>
    </row>
    <row r="1154" spans="1:14">
      <c r="A1154">
        <v>3508</v>
      </c>
      <c r="B1154" t="s">
        <v>1014</v>
      </c>
      <c r="C1154">
        <v>24</v>
      </c>
      <c r="D1154">
        <v>23.8</v>
      </c>
      <c r="E1154" s="178">
        <v>-0.5</v>
      </c>
      <c r="F1154" s="176">
        <v>-2.06</v>
      </c>
      <c r="G1154" t="s">
        <v>5467</v>
      </c>
      <c r="H1154">
        <v>204</v>
      </c>
      <c r="I1154">
        <v>179</v>
      </c>
      <c r="J1154">
        <v>11.13</v>
      </c>
      <c r="K1154">
        <v>24.25</v>
      </c>
      <c r="L1154">
        <v>23.3</v>
      </c>
      <c r="M1154" s="175">
        <v>0.19</v>
      </c>
      <c r="N1154" t="s">
        <v>4022</v>
      </c>
    </row>
    <row r="1155" spans="1:14">
      <c r="A1155">
        <v>3511</v>
      </c>
      <c r="B1155" t="s">
        <v>1015</v>
      </c>
      <c r="C1155">
        <v>19.399999999999999</v>
      </c>
      <c r="D1155">
        <v>19.149999999999999</v>
      </c>
      <c r="E1155" s="178">
        <v>-0.3</v>
      </c>
      <c r="F1155" s="176">
        <v>-1.54</v>
      </c>
      <c r="G1155" t="s">
        <v>5615</v>
      </c>
      <c r="H1155">
        <v>123</v>
      </c>
      <c r="I1155">
        <v>77</v>
      </c>
      <c r="J1155">
        <v>8</v>
      </c>
      <c r="K1155">
        <v>19.399999999999999</v>
      </c>
      <c r="L1155">
        <v>19</v>
      </c>
      <c r="M1155" s="175">
        <v>0.15</v>
      </c>
      <c r="N1155" t="s">
        <v>4023</v>
      </c>
    </row>
    <row r="1156" spans="1:14">
      <c r="A1156">
        <v>3512</v>
      </c>
      <c r="B1156" t="s">
        <v>1016</v>
      </c>
      <c r="C1156">
        <v>18.75</v>
      </c>
      <c r="D1156">
        <v>18.899999999999999</v>
      </c>
      <c r="E1156" s="178">
        <v>-0.05</v>
      </c>
      <c r="F1156" s="176">
        <v>-0.26</v>
      </c>
      <c r="G1156" t="s">
        <v>6428</v>
      </c>
      <c r="H1156">
        <v>32</v>
      </c>
      <c r="I1156">
        <v>36</v>
      </c>
      <c r="J1156">
        <v>11.31</v>
      </c>
      <c r="K1156">
        <v>18.899999999999999</v>
      </c>
      <c r="L1156">
        <v>18.649999999999999</v>
      </c>
      <c r="M1156" s="175">
        <v>0.03</v>
      </c>
      <c r="N1156" t="s">
        <v>4024</v>
      </c>
    </row>
    <row r="1157" spans="1:14">
      <c r="A1157">
        <v>3515</v>
      </c>
      <c r="B1157" t="s">
        <v>1017</v>
      </c>
      <c r="C1157">
        <v>224.5</v>
      </c>
      <c r="D1157">
        <v>221.5</v>
      </c>
      <c r="E1157" s="178">
        <v>-4.5</v>
      </c>
      <c r="F1157" s="176">
        <v>-1.99</v>
      </c>
      <c r="G1157" t="s">
        <v>6429</v>
      </c>
      <c r="H1157">
        <v>363</v>
      </c>
      <c r="I1157">
        <v>546</v>
      </c>
      <c r="J1157">
        <v>12.35</v>
      </c>
      <c r="K1157">
        <v>225.5</v>
      </c>
      <c r="L1157">
        <v>220.5</v>
      </c>
      <c r="M1157" s="175">
        <v>0.28999999999999998</v>
      </c>
      <c r="N1157" t="s">
        <v>3606</v>
      </c>
    </row>
    <row r="1158" spans="1:14">
      <c r="A1158">
        <v>3516</v>
      </c>
      <c r="B1158" t="s">
        <v>1018</v>
      </c>
      <c r="C1158">
        <v>25.55</v>
      </c>
      <c r="D1158">
        <v>25.15</v>
      </c>
      <c r="E1158" s="178">
        <v>-0.4</v>
      </c>
      <c r="F1158" s="176">
        <v>-1.57</v>
      </c>
      <c r="G1158" t="s">
        <v>5655</v>
      </c>
      <c r="H1158">
        <v>21</v>
      </c>
      <c r="I1158">
        <v>72</v>
      </c>
      <c r="J1158">
        <v>5.96</v>
      </c>
      <c r="K1158">
        <v>25.55</v>
      </c>
      <c r="L1158">
        <v>25.15</v>
      </c>
      <c r="M1158" s="175">
        <v>0.04</v>
      </c>
      <c r="N1158" t="s">
        <v>4025</v>
      </c>
    </row>
    <row r="1159" spans="1:14">
      <c r="A1159">
        <v>3518</v>
      </c>
      <c r="B1159" t="s">
        <v>1019</v>
      </c>
      <c r="C1159">
        <v>43.7</v>
      </c>
      <c r="D1159">
        <v>41.45</v>
      </c>
      <c r="E1159" s="178">
        <v>-4.5999999999999996</v>
      </c>
      <c r="F1159" s="176">
        <v>-9.99</v>
      </c>
      <c r="G1159" t="s">
        <v>5359</v>
      </c>
      <c r="H1159">
        <v>5487</v>
      </c>
      <c r="I1159">
        <v>2608</v>
      </c>
      <c r="J1159">
        <v>10.25</v>
      </c>
      <c r="K1159">
        <v>43.85</v>
      </c>
      <c r="L1159">
        <v>41.45</v>
      </c>
      <c r="M1159" s="175">
        <v>5.63</v>
      </c>
      <c r="N1159" t="s">
        <v>4026</v>
      </c>
    </row>
    <row r="1160" spans="1:14">
      <c r="A1160">
        <v>3520</v>
      </c>
      <c r="B1160" t="s">
        <v>1020</v>
      </c>
      <c r="C1160">
        <v>18</v>
      </c>
      <c r="D1160">
        <v>17.899999999999999</v>
      </c>
      <c r="E1160" s="178">
        <v>-0.1</v>
      </c>
      <c r="F1160" s="176">
        <v>-0.56000000000000005</v>
      </c>
      <c r="G1160" t="s">
        <v>6100</v>
      </c>
      <c r="H1160">
        <v>104</v>
      </c>
      <c r="I1160">
        <v>214</v>
      </c>
      <c r="J1160">
        <v>8.3800000000000008</v>
      </c>
      <c r="K1160">
        <v>18</v>
      </c>
      <c r="L1160">
        <v>17.649999999999999</v>
      </c>
      <c r="M1160" s="175">
        <v>0.12</v>
      </c>
      <c r="N1160" t="s">
        <v>4027</v>
      </c>
    </row>
    <row r="1161" spans="1:14">
      <c r="A1161">
        <v>3521</v>
      </c>
      <c r="B1161" t="s">
        <v>3063</v>
      </c>
      <c r="C1161">
        <v>11.65</v>
      </c>
      <c r="D1161">
        <v>11.85</v>
      </c>
      <c r="E1161" s="178">
        <v>0.25</v>
      </c>
      <c r="F1161" s="176">
        <v>2.16</v>
      </c>
      <c r="G1161" t="s">
        <v>5717</v>
      </c>
      <c r="H1161">
        <v>140</v>
      </c>
      <c r="I1161">
        <v>41</v>
      </c>
      <c r="J1161">
        <v>18.579999999999998</v>
      </c>
      <c r="K1161">
        <v>12</v>
      </c>
      <c r="L1161">
        <v>11.55</v>
      </c>
      <c r="M1161" s="175">
        <v>0.08</v>
      </c>
      <c r="N1161" t="s">
        <v>4028</v>
      </c>
    </row>
    <row r="1162" spans="1:14">
      <c r="A1162">
        <v>3522</v>
      </c>
      <c r="B1162" t="s">
        <v>2627</v>
      </c>
      <c r="C1162">
        <v>11.65</v>
      </c>
      <c r="D1162">
        <v>11.65</v>
      </c>
      <c r="E1162" s="178">
        <v>0</v>
      </c>
      <c r="F1162" s="176">
        <v>0</v>
      </c>
      <c r="G1162" t="s">
        <v>5280</v>
      </c>
      <c r="H1162">
        <v>186</v>
      </c>
      <c r="I1162">
        <v>68</v>
      </c>
      <c r="J1162">
        <v>10.41</v>
      </c>
      <c r="K1162">
        <v>11.65</v>
      </c>
      <c r="L1162">
        <v>11.3</v>
      </c>
      <c r="M1162" s="175">
        <v>0.18</v>
      </c>
      <c r="N1162" t="s">
        <v>4029</v>
      </c>
    </row>
    <row r="1163" spans="1:14">
      <c r="A1163">
        <v>3523</v>
      </c>
      <c r="B1163" t="s">
        <v>1588</v>
      </c>
      <c r="C1163">
        <v>13.9</v>
      </c>
      <c r="D1163">
        <v>13.4</v>
      </c>
      <c r="E1163" s="178">
        <v>-0.95</v>
      </c>
      <c r="F1163" s="176">
        <v>-6.62</v>
      </c>
      <c r="G1163" t="s">
        <v>6430</v>
      </c>
      <c r="H1163">
        <v>7</v>
      </c>
      <c r="I1163">
        <v>9</v>
      </c>
      <c r="J1163">
        <v>6.43</v>
      </c>
      <c r="K1163">
        <v>13.9</v>
      </c>
      <c r="L1163">
        <v>13.35</v>
      </c>
      <c r="M1163" s="175">
        <v>0.01</v>
      </c>
      <c r="N1163" t="s">
        <v>4030</v>
      </c>
    </row>
    <row r="1164" spans="1:14">
      <c r="A1164">
        <v>3526</v>
      </c>
      <c r="B1164" t="s">
        <v>1021</v>
      </c>
      <c r="C1164">
        <v>271</v>
      </c>
      <c r="D1164">
        <v>268.5</v>
      </c>
      <c r="E1164" s="178">
        <v>-4.5</v>
      </c>
      <c r="F1164" s="176">
        <v>-1.65</v>
      </c>
      <c r="G1164" t="s">
        <v>6431</v>
      </c>
      <c r="H1164">
        <v>279</v>
      </c>
      <c r="I1164">
        <v>193</v>
      </c>
      <c r="J1164">
        <v>6.75</v>
      </c>
      <c r="K1164">
        <v>271.5</v>
      </c>
      <c r="L1164">
        <v>266</v>
      </c>
      <c r="M1164" s="175">
        <v>0.41</v>
      </c>
      <c r="N1164" t="s">
        <v>4031</v>
      </c>
    </row>
    <row r="1165" spans="1:14">
      <c r="A1165">
        <v>3527</v>
      </c>
      <c r="B1165" t="s">
        <v>1022</v>
      </c>
      <c r="C1165">
        <v>48.8</v>
      </c>
      <c r="D1165">
        <v>48.5</v>
      </c>
      <c r="E1165" s="178">
        <v>-1.25</v>
      </c>
      <c r="F1165" s="176">
        <v>-2.5099999999999998</v>
      </c>
      <c r="G1165" t="s">
        <v>6050</v>
      </c>
      <c r="H1165">
        <v>69</v>
      </c>
      <c r="I1165">
        <v>96</v>
      </c>
      <c r="J1165">
        <v>4.4400000000000004</v>
      </c>
      <c r="K1165">
        <v>49.05</v>
      </c>
      <c r="L1165">
        <v>48.3</v>
      </c>
      <c r="M1165" s="175">
        <v>0.16</v>
      </c>
      <c r="N1165" t="s">
        <v>4032</v>
      </c>
    </row>
    <row r="1166" spans="1:14">
      <c r="A1166">
        <v>3528</v>
      </c>
      <c r="B1166" t="s">
        <v>1023</v>
      </c>
      <c r="C1166">
        <v>85.7</v>
      </c>
      <c r="D1166">
        <v>82.8</v>
      </c>
      <c r="E1166" s="178">
        <v>-2.9</v>
      </c>
      <c r="F1166" s="176">
        <v>-3.38</v>
      </c>
      <c r="G1166" t="s">
        <v>6432</v>
      </c>
      <c r="H1166">
        <v>330</v>
      </c>
      <c r="I1166">
        <v>199</v>
      </c>
      <c r="J1166">
        <v>6.66</v>
      </c>
      <c r="K1166">
        <v>85.7</v>
      </c>
      <c r="L1166">
        <v>81.099999999999994</v>
      </c>
      <c r="M1166" s="175">
        <v>0.5</v>
      </c>
      <c r="N1166" t="s">
        <v>4033</v>
      </c>
    </row>
    <row r="1167" spans="1:14">
      <c r="A1167">
        <v>3529</v>
      </c>
      <c r="B1167" t="s">
        <v>2893</v>
      </c>
      <c r="C1167">
        <v>2710</v>
      </c>
      <c r="D1167">
        <v>2655</v>
      </c>
      <c r="E1167" s="178">
        <v>-220</v>
      </c>
      <c r="F1167" s="176">
        <v>-7.65</v>
      </c>
      <c r="G1167" t="s">
        <v>6433</v>
      </c>
      <c r="H1167">
        <v>1173</v>
      </c>
      <c r="I1167">
        <v>919</v>
      </c>
      <c r="J1167">
        <v>7.47</v>
      </c>
      <c r="K1167">
        <v>2740</v>
      </c>
      <c r="L1167">
        <v>2655</v>
      </c>
      <c r="M1167" s="175">
        <v>1.57</v>
      </c>
      <c r="N1167" t="s">
        <v>4034</v>
      </c>
    </row>
    <row r="1168" spans="1:14">
      <c r="A1168">
        <v>3530</v>
      </c>
      <c r="B1168" t="s">
        <v>365</v>
      </c>
      <c r="C1168">
        <v>57.5</v>
      </c>
      <c r="D1168">
        <v>56.8</v>
      </c>
      <c r="E1168" s="178">
        <v>-1.1000000000000001</v>
      </c>
      <c r="F1168" s="176">
        <v>-1.9</v>
      </c>
      <c r="G1168" t="s">
        <v>6248</v>
      </c>
      <c r="H1168">
        <v>69</v>
      </c>
      <c r="I1168">
        <v>95</v>
      </c>
      <c r="J1168">
        <v>7.75</v>
      </c>
      <c r="K1168">
        <v>57.5</v>
      </c>
      <c r="L1168">
        <v>56.6</v>
      </c>
      <c r="M1168" s="175">
        <v>0.09</v>
      </c>
      <c r="N1168" t="s">
        <v>4035</v>
      </c>
    </row>
    <row r="1169" spans="1:14">
      <c r="A1169">
        <v>3531</v>
      </c>
      <c r="B1169" t="s">
        <v>2894</v>
      </c>
      <c r="C1169">
        <v>21.6</v>
      </c>
      <c r="D1169">
        <v>21.3</v>
      </c>
      <c r="E1169" s="178">
        <v>-0.8</v>
      </c>
      <c r="F1169" s="176">
        <v>-3.62</v>
      </c>
      <c r="G1169" t="s">
        <v>6434</v>
      </c>
      <c r="H1169">
        <v>20</v>
      </c>
      <c r="I1169">
        <v>30</v>
      </c>
      <c r="J1169">
        <v>6.12</v>
      </c>
      <c r="K1169">
        <v>21.6</v>
      </c>
      <c r="L1169">
        <v>21.25</v>
      </c>
      <c r="M1169" s="175">
        <v>0.03</v>
      </c>
      <c r="N1169" t="s">
        <v>4036</v>
      </c>
    </row>
    <row r="1170" spans="1:14">
      <c r="A1170">
        <v>3532</v>
      </c>
      <c r="B1170" t="s">
        <v>1024</v>
      </c>
      <c r="C1170">
        <v>413</v>
      </c>
      <c r="D1170">
        <v>400</v>
      </c>
      <c r="E1170" s="178">
        <v>-34.5</v>
      </c>
      <c r="F1170" s="176">
        <v>-7.94</v>
      </c>
      <c r="G1170" t="s">
        <v>6190</v>
      </c>
      <c r="H1170">
        <v>4525</v>
      </c>
      <c r="I1170">
        <v>8883</v>
      </c>
      <c r="J1170">
        <v>38.78</v>
      </c>
      <c r="K1170">
        <v>424.5</v>
      </c>
      <c r="L1170">
        <v>398.5</v>
      </c>
      <c r="M1170" s="175">
        <v>1.17</v>
      </c>
      <c r="N1170" t="s">
        <v>4037</v>
      </c>
    </row>
    <row r="1171" spans="1:14">
      <c r="A1171">
        <v>3533</v>
      </c>
      <c r="B1171" t="s">
        <v>1025</v>
      </c>
      <c r="C1171">
        <v>1850</v>
      </c>
      <c r="D1171">
        <v>1815</v>
      </c>
      <c r="E1171" s="178">
        <v>-120</v>
      </c>
      <c r="F1171" s="176">
        <v>-6.2</v>
      </c>
      <c r="G1171" t="s">
        <v>6435</v>
      </c>
      <c r="H1171">
        <v>2539</v>
      </c>
      <c r="I1171">
        <v>2263</v>
      </c>
      <c r="J1171">
        <v>11.25</v>
      </c>
      <c r="K1171">
        <v>1880</v>
      </c>
      <c r="L1171">
        <v>1790</v>
      </c>
      <c r="M1171" s="175">
        <v>2.2599999999999998</v>
      </c>
      <c r="N1171" t="s">
        <v>4038</v>
      </c>
    </row>
    <row r="1172" spans="1:14">
      <c r="A1172">
        <v>3535</v>
      </c>
      <c r="B1172" t="s">
        <v>1026</v>
      </c>
      <c r="C1172">
        <v>92</v>
      </c>
      <c r="D1172">
        <v>94.5</v>
      </c>
      <c r="E1172" s="178">
        <v>1.6</v>
      </c>
      <c r="F1172" s="176">
        <v>1.72</v>
      </c>
      <c r="G1172" t="s">
        <v>6436</v>
      </c>
      <c r="H1172">
        <v>3425</v>
      </c>
      <c r="I1172">
        <v>644</v>
      </c>
      <c r="J1172">
        <v>7.91</v>
      </c>
      <c r="K1172">
        <v>98.5</v>
      </c>
      <c r="L1172">
        <v>90.1</v>
      </c>
      <c r="M1172" s="175">
        <v>4.33</v>
      </c>
      <c r="N1172" t="s">
        <v>4039</v>
      </c>
    </row>
    <row r="1173" spans="1:14">
      <c r="A1173">
        <v>3537</v>
      </c>
      <c r="B1173" t="s">
        <v>1027</v>
      </c>
      <c r="C1173">
        <v>57.9</v>
      </c>
      <c r="D1173">
        <v>56.4</v>
      </c>
      <c r="E1173" s="178">
        <v>-2.6</v>
      </c>
      <c r="F1173" s="176">
        <v>-4.41</v>
      </c>
      <c r="G1173" t="s">
        <v>5606</v>
      </c>
      <c r="H1173">
        <v>974</v>
      </c>
      <c r="I1173">
        <v>696</v>
      </c>
      <c r="J1173">
        <v>5.62</v>
      </c>
      <c r="K1173">
        <v>59</v>
      </c>
      <c r="L1173">
        <v>56.1</v>
      </c>
      <c r="M1173" s="175">
        <v>1.73</v>
      </c>
      <c r="N1173" t="s">
        <v>4040</v>
      </c>
    </row>
    <row r="1174" spans="1:14">
      <c r="A1174">
        <v>3540</v>
      </c>
      <c r="B1174" t="s">
        <v>1028</v>
      </c>
      <c r="C1174">
        <v>25.3</v>
      </c>
      <c r="D1174">
        <v>25</v>
      </c>
      <c r="E1174" s="178">
        <v>-0.5</v>
      </c>
      <c r="F1174" s="176">
        <v>-1.96</v>
      </c>
      <c r="G1174" t="s">
        <v>6437</v>
      </c>
      <c r="H1174">
        <v>679</v>
      </c>
      <c r="I1174">
        <v>574</v>
      </c>
      <c r="J1174">
        <v>8.4499999999999993</v>
      </c>
      <c r="K1174">
        <v>25.5</v>
      </c>
      <c r="L1174">
        <v>24.65</v>
      </c>
      <c r="M1174" s="175">
        <v>0.8</v>
      </c>
      <c r="N1174" t="s">
        <v>4041</v>
      </c>
    </row>
    <row r="1175" spans="1:14">
      <c r="A1175">
        <v>3541</v>
      </c>
      <c r="B1175" t="s">
        <v>196</v>
      </c>
      <c r="C1175">
        <v>24.05</v>
      </c>
      <c r="D1175">
        <v>24</v>
      </c>
      <c r="E1175" s="178">
        <v>-0.25</v>
      </c>
      <c r="F1175" s="176">
        <v>-1.03</v>
      </c>
      <c r="G1175" t="s">
        <v>6438</v>
      </c>
      <c r="H1175">
        <v>39</v>
      </c>
      <c r="I1175">
        <v>59</v>
      </c>
      <c r="J1175">
        <v>5.63</v>
      </c>
      <c r="K1175">
        <v>24.35</v>
      </c>
      <c r="L1175">
        <v>23.95</v>
      </c>
      <c r="M1175" s="175">
        <v>7.0000000000000007E-2</v>
      </c>
      <c r="N1175" t="s">
        <v>4042</v>
      </c>
    </row>
    <row r="1176" spans="1:14">
      <c r="A1176">
        <v>3543</v>
      </c>
      <c r="B1176" t="s">
        <v>1029</v>
      </c>
      <c r="C1176">
        <v>50</v>
      </c>
      <c r="D1176">
        <v>50.4</v>
      </c>
      <c r="E1176" s="178">
        <v>-1.5</v>
      </c>
      <c r="F1176" s="176">
        <v>-2.89</v>
      </c>
      <c r="G1176" t="s">
        <v>6439</v>
      </c>
      <c r="H1176">
        <v>1644</v>
      </c>
      <c r="I1176">
        <v>2974</v>
      </c>
      <c r="J1176">
        <v>14.63</v>
      </c>
      <c r="K1176">
        <v>52.2</v>
      </c>
      <c r="L1176">
        <v>49.95</v>
      </c>
      <c r="M1176" s="175">
        <v>1.49</v>
      </c>
      <c r="N1176" t="s">
        <v>4043</v>
      </c>
    </row>
    <row r="1177" spans="1:14">
      <c r="A1177">
        <v>3545</v>
      </c>
      <c r="B1177" t="s">
        <v>1030</v>
      </c>
      <c r="C1177">
        <v>50.2</v>
      </c>
      <c r="D1177">
        <v>49.7</v>
      </c>
      <c r="E1177" s="178">
        <v>-0.5</v>
      </c>
      <c r="F1177" s="176">
        <v>-1</v>
      </c>
      <c r="G1177" t="s">
        <v>6440</v>
      </c>
      <c r="H1177">
        <v>745</v>
      </c>
      <c r="I1177">
        <v>722</v>
      </c>
      <c r="J1177">
        <v>22.24</v>
      </c>
      <c r="K1177">
        <v>50.4</v>
      </c>
      <c r="L1177">
        <v>49.3</v>
      </c>
      <c r="M1177" s="175">
        <v>0.33</v>
      </c>
      <c r="N1177" t="s">
        <v>4044</v>
      </c>
    </row>
    <row r="1178" spans="1:14">
      <c r="A1178">
        <v>3546</v>
      </c>
      <c r="B1178" t="s">
        <v>1031</v>
      </c>
      <c r="C1178">
        <v>74.400000000000006</v>
      </c>
      <c r="D1178">
        <v>74.099999999999994</v>
      </c>
      <c r="E1178" s="178">
        <v>-0.3</v>
      </c>
      <c r="F1178" s="176">
        <v>-0.4</v>
      </c>
      <c r="G1178" t="s">
        <v>6441</v>
      </c>
      <c r="H1178">
        <v>170</v>
      </c>
      <c r="I1178">
        <v>155</v>
      </c>
      <c r="J1178">
        <v>6.13</v>
      </c>
      <c r="K1178">
        <v>74.5</v>
      </c>
      <c r="L1178">
        <v>73.599999999999994</v>
      </c>
      <c r="M1178" s="175">
        <v>0.28000000000000003</v>
      </c>
      <c r="N1178" t="s">
        <v>4045</v>
      </c>
    </row>
    <row r="1179" spans="1:14">
      <c r="A1179">
        <v>3548</v>
      </c>
      <c r="B1179" t="s">
        <v>1032</v>
      </c>
      <c r="C1179">
        <v>71</v>
      </c>
      <c r="D1179">
        <v>71.3</v>
      </c>
      <c r="E1179" s="178">
        <v>-1.1000000000000001</v>
      </c>
      <c r="F1179" s="176">
        <v>-1.52</v>
      </c>
      <c r="G1179" t="s">
        <v>6442</v>
      </c>
      <c r="H1179">
        <v>165</v>
      </c>
      <c r="I1179">
        <v>176</v>
      </c>
      <c r="J1179">
        <v>6.82</v>
      </c>
      <c r="K1179">
        <v>71.8</v>
      </c>
      <c r="L1179">
        <v>70.599999999999994</v>
      </c>
      <c r="M1179" s="175">
        <v>0.24</v>
      </c>
      <c r="N1179" t="s">
        <v>4046</v>
      </c>
    </row>
    <row r="1180" spans="1:14">
      <c r="A1180">
        <v>3550</v>
      </c>
      <c r="B1180" t="s">
        <v>1033</v>
      </c>
      <c r="C1180">
        <v>24.2</v>
      </c>
      <c r="D1180">
        <v>23.15</v>
      </c>
      <c r="E1180" s="178">
        <v>-1.45</v>
      </c>
      <c r="F1180" s="176">
        <v>-5.89</v>
      </c>
      <c r="G1180" t="s">
        <v>5491</v>
      </c>
      <c r="H1180">
        <v>1842</v>
      </c>
      <c r="I1180">
        <v>1362</v>
      </c>
      <c r="J1180">
        <v>10.76</v>
      </c>
      <c r="K1180">
        <v>24.35</v>
      </c>
      <c r="L1180">
        <v>23.1</v>
      </c>
      <c r="M1180" s="175">
        <v>1.71</v>
      </c>
      <c r="N1180" t="s">
        <v>4047</v>
      </c>
    </row>
    <row r="1181" spans="1:14">
      <c r="A1181">
        <v>3551</v>
      </c>
      <c r="B1181" t="s">
        <v>1034</v>
      </c>
      <c r="C1181">
        <v>190</v>
      </c>
      <c r="D1181">
        <v>188</v>
      </c>
      <c r="E1181" s="178">
        <v>-6</v>
      </c>
      <c r="F1181" s="176">
        <v>-3.09</v>
      </c>
      <c r="G1181" t="s">
        <v>6443</v>
      </c>
      <c r="H1181">
        <v>398</v>
      </c>
      <c r="I1181">
        <v>451</v>
      </c>
      <c r="J1181">
        <v>6.23</v>
      </c>
      <c r="K1181">
        <v>191</v>
      </c>
      <c r="L1181">
        <v>186</v>
      </c>
      <c r="M1181" s="175">
        <v>0.64</v>
      </c>
      <c r="N1181" t="s">
        <v>4048</v>
      </c>
    </row>
    <row r="1182" spans="1:14">
      <c r="A1182">
        <v>3552</v>
      </c>
      <c r="B1182" t="s">
        <v>1035</v>
      </c>
      <c r="C1182">
        <v>41.9</v>
      </c>
      <c r="D1182">
        <v>40.15</v>
      </c>
      <c r="E1182" s="178">
        <v>-2.25</v>
      </c>
      <c r="F1182" s="176">
        <v>-5.31</v>
      </c>
      <c r="G1182" t="s">
        <v>5505</v>
      </c>
      <c r="H1182">
        <v>302</v>
      </c>
      <c r="I1182">
        <v>176</v>
      </c>
      <c r="J1182">
        <v>9.7899999999999991</v>
      </c>
      <c r="K1182">
        <v>41.9</v>
      </c>
      <c r="L1182">
        <v>40.1</v>
      </c>
      <c r="M1182" s="175">
        <v>0.31</v>
      </c>
      <c r="N1182" t="s">
        <v>4049</v>
      </c>
    </row>
    <row r="1183" spans="1:14">
      <c r="A1183">
        <v>3555</v>
      </c>
      <c r="B1183" t="s">
        <v>2284</v>
      </c>
      <c r="C1183">
        <v>141</v>
      </c>
      <c r="D1183">
        <v>141.5</v>
      </c>
      <c r="E1183" s="178">
        <v>-4.5</v>
      </c>
      <c r="F1183" s="176">
        <v>-3.08</v>
      </c>
      <c r="G1183" t="s">
        <v>6444</v>
      </c>
      <c r="H1183">
        <v>95</v>
      </c>
      <c r="I1183">
        <v>71</v>
      </c>
      <c r="J1183">
        <v>4</v>
      </c>
      <c r="K1183">
        <v>146</v>
      </c>
      <c r="L1183">
        <v>139</v>
      </c>
      <c r="M1183" s="175">
        <v>0.24</v>
      </c>
      <c r="N1183" t="s">
        <v>4050</v>
      </c>
    </row>
    <row r="1184" spans="1:14">
      <c r="A1184">
        <v>3556</v>
      </c>
      <c r="B1184" t="s">
        <v>1036</v>
      </c>
      <c r="C1184">
        <v>62.5</v>
      </c>
      <c r="D1184">
        <v>61.5</v>
      </c>
      <c r="E1184" s="178">
        <v>-2</v>
      </c>
      <c r="F1184" s="176">
        <v>-3.15</v>
      </c>
      <c r="G1184" t="s">
        <v>6445</v>
      </c>
      <c r="H1184">
        <v>310</v>
      </c>
      <c r="I1184">
        <v>789</v>
      </c>
      <c r="J1184">
        <v>6.37</v>
      </c>
      <c r="K1184">
        <v>62.5</v>
      </c>
      <c r="L1184">
        <v>60.9</v>
      </c>
      <c r="M1184" s="175">
        <v>0.49</v>
      </c>
      <c r="N1184" t="s">
        <v>4051</v>
      </c>
    </row>
    <row r="1185" spans="1:14">
      <c r="A1185">
        <v>3557</v>
      </c>
      <c r="B1185" t="s">
        <v>1037</v>
      </c>
      <c r="C1185">
        <v>23.8</v>
      </c>
      <c r="D1185">
        <v>23.75</v>
      </c>
      <c r="E1185" s="178">
        <v>-0.05</v>
      </c>
      <c r="F1185" s="176">
        <v>-0.21</v>
      </c>
      <c r="G1185" t="s">
        <v>5220</v>
      </c>
      <c r="H1185">
        <v>46</v>
      </c>
      <c r="I1185">
        <v>26</v>
      </c>
      <c r="J1185">
        <v>8.43</v>
      </c>
      <c r="K1185">
        <v>23.8</v>
      </c>
      <c r="L1185">
        <v>23.25</v>
      </c>
      <c r="M1185" s="175">
        <v>0.05</v>
      </c>
      <c r="N1185" t="s">
        <v>4052</v>
      </c>
    </row>
    <row r="1186" spans="1:14">
      <c r="A1186">
        <v>3558</v>
      </c>
      <c r="B1186" t="s">
        <v>1038</v>
      </c>
      <c r="C1186">
        <v>137</v>
      </c>
      <c r="D1186">
        <v>135.5</v>
      </c>
      <c r="E1186" s="178">
        <v>-2</v>
      </c>
      <c r="F1186" s="176">
        <v>-1.45</v>
      </c>
      <c r="G1186" t="s">
        <v>6446</v>
      </c>
      <c r="H1186">
        <v>230</v>
      </c>
      <c r="I1186">
        <v>310</v>
      </c>
      <c r="J1186">
        <v>5.91</v>
      </c>
      <c r="K1186">
        <v>137.5</v>
      </c>
      <c r="L1186">
        <v>135</v>
      </c>
      <c r="M1186" s="175">
        <v>0.39</v>
      </c>
      <c r="N1186" t="s">
        <v>4053</v>
      </c>
    </row>
    <row r="1187" spans="1:14">
      <c r="A1187">
        <v>3563</v>
      </c>
      <c r="B1187" t="s">
        <v>121</v>
      </c>
      <c r="C1187">
        <v>690</v>
      </c>
      <c r="D1187">
        <v>692</v>
      </c>
      <c r="E1187" s="178">
        <v>-25</v>
      </c>
      <c r="F1187" s="176">
        <v>-3.49</v>
      </c>
      <c r="G1187" t="s">
        <v>5452</v>
      </c>
      <c r="H1187">
        <v>714</v>
      </c>
      <c r="I1187">
        <v>580</v>
      </c>
      <c r="J1187">
        <v>6.4</v>
      </c>
      <c r="K1187">
        <v>709</v>
      </c>
      <c r="L1187">
        <v>687</v>
      </c>
      <c r="M1187" s="175">
        <v>1.1200000000000001</v>
      </c>
      <c r="N1187" t="s">
        <v>4054</v>
      </c>
    </row>
    <row r="1188" spans="1:14">
      <c r="A1188">
        <v>3564</v>
      </c>
      <c r="B1188" t="s">
        <v>1039</v>
      </c>
      <c r="C1188">
        <v>71.5</v>
      </c>
      <c r="D1188">
        <v>71.3</v>
      </c>
      <c r="E1188" s="178">
        <v>-2.9</v>
      </c>
      <c r="F1188" s="176">
        <v>-3.91</v>
      </c>
      <c r="G1188" t="s">
        <v>5541</v>
      </c>
      <c r="H1188">
        <v>2226</v>
      </c>
      <c r="I1188">
        <v>3417</v>
      </c>
      <c r="J1188">
        <v>6</v>
      </c>
      <c r="K1188">
        <v>75</v>
      </c>
      <c r="L1188">
        <v>71</v>
      </c>
      <c r="M1188" s="175">
        <v>3.77</v>
      </c>
      <c r="N1188" t="s">
        <v>4055</v>
      </c>
    </row>
    <row r="1189" spans="1:14">
      <c r="A1189">
        <v>3567</v>
      </c>
      <c r="B1189" t="s">
        <v>1040</v>
      </c>
      <c r="C1189">
        <v>25.8</v>
      </c>
      <c r="D1189">
        <v>25.7</v>
      </c>
      <c r="E1189" s="178">
        <v>-0.4</v>
      </c>
      <c r="F1189" s="176">
        <v>-1.53</v>
      </c>
      <c r="G1189" t="s">
        <v>5937</v>
      </c>
      <c r="H1189">
        <v>52</v>
      </c>
      <c r="I1189">
        <v>33</v>
      </c>
      <c r="J1189">
        <v>3.4</v>
      </c>
      <c r="K1189">
        <v>25.8</v>
      </c>
      <c r="L1189">
        <v>25.65</v>
      </c>
      <c r="M1189" s="175">
        <v>0.15</v>
      </c>
      <c r="N1189" t="s">
        <v>4056</v>
      </c>
    </row>
    <row r="1190" spans="1:14">
      <c r="A1190">
        <v>3570</v>
      </c>
      <c r="B1190" t="s">
        <v>1041</v>
      </c>
      <c r="C1190">
        <v>164</v>
      </c>
      <c r="D1190">
        <v>165.5</v>
      </c>
      <c r="E1190" s="178">
        <v>-0.5</v>
      </c>
      <c r="F1190" s="176">
        <v>-0.3</v>
      </c>
      <c r="G1190" t="s">
        <v>5363</v>
      </c>
      <c r="H1190">
        <v>13</v>
      </c>
      <c r="I1190">
        <v>28</v>
      </c>
      <c r="J1190">
        <v>1.71</v>
      </c>
      <c r="K1190">
        <v>166</v>
      </c>
      <c r="L1190">
        <v>163.5</v>
      </c>
      <c r="M1190" s="175">
        <v>0.08</v>
      </c>
      <c r="N1190" t="s">
        <v>4057</v>
      </c>
    </row>
    <row r="1191" spans="1:14">
      <c r="A1191">
        <v>3576</v>
      </c>
      <c r="B1191" t="s">
        <v>1042</v>
      </c>
      <c r="C1191">
        <v>18.5</v>
      </c>
      <c r="D1191">
        <v>17.95</v>
      </c>
      <c r="E1191" s="178">
        <v>-0.7</v>
      </c>
      <c r="F1191" s="176">
        <v>-3.75</v>
      </c>
      <c r="G1191" t="s">
        <v>6447</v>
      </c>
      <c r="H1191">
        <v>13011</v>
      </c>
      <c r="I1191">
        <v>8461</v>
      </c>
      <c r="J1191">
        <v>162.78</v>
      </c>
      <c r="K1191">
        <v>18.600000000000001</v>
      </c>
      <c r="L1191">
        <v>17.899999999999999</v>
      </c>
      <c r="M1191" s="175">
        <v>0.8</v>
      </c>
      <c r="N1191" t="s">
        <v>4058</v>
      </c>
    </row>
    <row r="1192" spans="1:14">
      <c r="A1192">
        <v>3577</v>
      </c>
      <c r="B1192" t="s">
        <v>1043</v>
      </c>
      <c r="C1192">
        <v>95.1</v>
      </c>
      <c r="D1192">
        <v>92.5</v>
      </c>
      <c r="E1192" s="178">
        <v>-4.4000000000000004</v>
      </c>
      <c r="F1192" s="176">
        <v>-4.54</v>
      </c>
      <c r="G1192" t="s">
        <v>6448</v>
      </c>
      <c r="H1192">
        <v>296</v>
      </c>
      <c r="I1192">
        <v>489</v>
      </c>
      <c r="J1192">
        <v>6.4</v>
      </c>
      <c r="K1192">
        <v>96.2</v>
      </c>
      <c r="L1192">
        <v>92.3</v>
      </c>
      <c r="M1192" s="175">
        <v>0.46</v>
      </c>
      <c r="N1192" t="s">
        <v>4059</v>
      </c>
    </row>
    <row r="1193" spans="1:14">
      <c r="A1193">
        <v>3580</v>
      </c>
      <c r="B1193" t="s">
        <v>1044</v>
      </c>
      <c r="C1193">
        <v>117.5</v>
      </c>
      <c r="D1193">
        <v>110.5</v>
      </c>
      <c r="E1193" s="178">
        <v>-10.5</v>
      </c>
      <c r="F1193" s="176">
        <v>-8.68</v>
      </c>
      <c r="G1193" t="s">
        <v>5557</v>
      </c>
      <c r="H1193">
        <v>3443</v>
      </c>
      <c r="I1193">
        <v>3347</v>
      </c>
      <c r="J1193">
        <v>3.95</v>
      </c>
      <c r="K1193">
        <v>121.5</v>
      </c>
      <c r="L1193">
        <v>110.5</v>
      </c>
      <c r="M1193" s="175">
        <v>8.7200000000000006</v>
      </c>
      <c r="N1193" t="s">
        <v>4060</v>
      </c>
    </row>
    <row r="1194" spans="1:14">
      <c r="A1194">
        <v>3581</v>
      </c>
      <c r="B1194" t="s">
        <v>1045</v>
      </c>
      <c r="C1194">
        <v>105.5</v>
      </c>
      <c r="D1194">
        <v>100</v>
      </c>
      <c r="E1194" s="178">
        <v>-7.5</v>
      </c>
      <c r="F1194" s="176">
        <v>-6.98</v>
      </c>
      <c r="G1194" t="s">
        <v>6449</v>
      </c>
      <c r="H1194">
        <v>503</v>
      </c>
      <c r="I1194">
        <v>322</v>
      </c>
      <c r="J1194">
        <v>5.0999999999999996</v>
      </c>
      <c r="K1194">
        <v>105.5</v>
      </c>
      <c r="L1194">
        <v>99.5</v>
      </c>
      <c r="M1194" s="175">
        <v>0.99</v>
      </c>
      <c r="N1194" t="s">
        <v>4061</v>
      </c>
    </row>
    <row r="1195" spans="1:14">
      <c r="A1195">
        <v>3583</v>
      </c>
      <c r="B1195" t="s">
        <v>1046</v>
      </c>
      <c r="C1195">
        <v>685</v>
      </c>
      <c r="D1195">
        <v>653</v>
      </c>
      <c r="E1195" s="178">
        <v>-58</v>
      </c>
      <c r="F1195" s="176">
        <v>-8.16</v>
      </c>
      <c r="G1195" t="s">
        <v>6450</v>
      </c>
      <c r="H1195">
        <v>1247</v>
      </c>
      <c r="I1195">
        <v>931</v>
      </c>
      <c r="J1195">
        <v>8.39</v>
      </c>
      <c r="K1195">
        <v>688</v>
      </c>
      <c r="L1195">
        <v>647</v>
      </c>
      <c r="M1195" s="175">
        <v>1.49</v>
      </c>
      <c r="N1195" t="s">
        <v>4062</v>
      </c>
    </row>
    <row r="1196" spans="1:14">
      <c r="A1196">
        <v>3587</v>
      </c>
      <c r="B1196" t="s">
        <v>1047</v>
      </c>
      <c r="C1196">
        <v>234.5</v>
      </c>
      <c r="D1196">
        <v>226</v>
      </c>
      <c r="E1196" s="178">
        <v>-12.5</v>
      </c>
      <c r="F1196" s="176">
        <v>-5.24</v>
      </c>
      <c r="G1196" t="s">
        <v>5216</v>
      </c>
      <c r="H1196">
        <v>574</v>
      </c>
      <c r="I1196">
        <v>394</v>
      </c>
      <c r="J1196">
        <v>7.17</v>
      </c>
      <c r="K1196">
        <v>234.5</v>
      </c>
      <c r="L1196">
        <v>226</v>
      </c>
      <c r="M1196" s="175">
        <v>0.8</v>
      </c>
      <c r="N1196" t="s">
        <v>4063</v>
      </c>
    </row>
    <row r="1197" spans="1:14">
      <c r="A1197">
        <v>3588</v>
      </c>
      <c r="B1197" t="s">
        <v>1048</v>
      </c>
      <c r="C1197">
        <v>51.6</v>
      </c>
      <c r="D1197">
        <v>50.2</v>
      </c>
      <c r="E1197" s="178">
        <v>-1.6</v>
      </c>
      <c r="F1197" s="176">
        <v>-3.09</v>
      </c>
      <c r="G1197" t="s">
        <v>6451</v>
      </c>
      <c r="H1197">
        <v>366</v>
      </c>
      <c r="I1197">
        <v>288</v>
      </c>
      <c r="J1197">
        <v>6.2</v>
      </c>
      <c r="K1197">
        <v>51.6</v>
      </c>
      <c r="L1197">
        <v>49.95</v>
      </c>
      <c r="M1197" s="175">
        <v>0.59</v>
      </c>
      <c r="N1197" t="s">
        <v>4064</v>
      </c>
    </row>
    <row r="1198" spans="1:14">
      <c r="A1198">
        <v>3591</v>
      </c>
      <c r="B1198" t="s">
        <v>5192</v>
      </c>
      <c r="C1198">
        <v>27.2</v>
      </c>
      <c r="D1198">
        <v>26.65</v>
      </c>
      <c r="E1198" s="178">
        <v>-0.85</v>
      </c>
      <c r="F1198" s="176">
        <v>-3.09</v>
      </c>
      <c r="G1198" t="s">
        <v>6452</v>
      </c>
      <c r="H1198">
        <v>743</v>
      </c>
      <c r="I1198">
        <v>1548</v>
      </c>
      <c r="J1198">
        <v>13.04</v>
      </c>
      <c r="K1198">
        <v>27.6</v>
      </c>
      <c r="L1198">
        <v>26.55</v>
      </c>
      <c r="M1198" s="175">
        <v>0.56999999999999995</v>
      </c>
      <c r="N1198" t="s">
        <v>5193</v>
      </c>
    </row>
    <row r="1199" spans="1:14">
      <c r="A1199">
        <v>3592</v>
      </c>
      <c r="B1199" t="s">
        <v>1620</v>
      </c>
      <c r="C1199">
        <v>243.5</v>
      </c>
      <c r="D1199">
        <v>246.5</v>
      </c>
      <c r="E1199" s="178">
        <v>1</v>
      </c>
      <c r="F1199" s="176">
        <v>0.41</v>
      </c>
      <c r="G1199" t="s">
        <v>6453</v>
      </c>
      <c r="H1199">
        <v>960</v>
      </c>
      <c r="I1199">
        <v>476</v>
      </c>
      <c r="J1199">
        <v>7.59</v>
      </c>
      <c r="K1199">
        <v>251</v>
      </c>
      <c r="L1199">
        <v>241</v>
      </c>
      <c r="M1199" s="175">
        <v>1.27</v>
      </c>
      <c r="N1199" t="s">
        <v>4065</v>
      </c>
    </row>
    <row r="1200" spans="1:14">
      <c r="A1200">
        <v>3593</v>
      </c>
      <c r="B1200" t="s">
        <v>2965</v>
      </c>
      <c r="C1200">
        <v>10</v>
      </c>
      <c r="D1200">
        <v>10.45</v>
      </c>
      <c r="E1200" s="178">
        <v>0.45</v>
      </c>
      <c r="F1200" s="176">
        <v>4.5</v>
      </c>
      <c r="G1200" t="s">
        <v>6454</v>
      </c>
      <c r="H1200">
        <v>9</v>
      </c>
      <c r="I1200">
        <v>6</v>
      </c>
      <c r="J1200">
        <v>6.08</v>
      </c>
      <c r="K1200">
        <v>11</v>
      </c>
      <c r="L1200">
        <v>9.91</v>
      </c>
      <c r="M1200" s="175">
        <v>0.02</v>
      </c>
      <c r="N1200" t="s">
        <v>4066</v>
      </c>
    </row>
    <row r="1201" spans="1:14">
      <c r="A1201">
        <v>3594</v>
      </c>
      <c r="B1201" t="s">
        <v>1049</v>
      </c>
      <c r="C1201">
        <v>47</v>
      </c>
      <c r="D1201">
        <v>45.95</v>
      </c>
      <c r="E1201" s="178">
        <v>-1.65</v>
      </c>
      <c r="F1201" s="176">
        <v>-3.47</v>
      </c>
      <c r="G1201" t="s">
        <v>5531</v>
      </c>
      <c r="H1201">
        <v>477</v>
      </c>
      <c r="I1201">
        <v>594</v>
      </c>
      <c r="J1201">
        <v>9.59</v>
      </c>
      <c r="K1201">
        <v>47</v>
      </c>
      <c r="L1201">
        <v>45.7</v>
      </c>
      <c r="M1201" s="175">
        <v>0.5</v>
      </c>
      <c r="N1201" t="s">
        <v>4067</v>
      </c>
    </row>
    <row r="1202" spans="1:14">
      <c r="A1202">
        <v>3596</v>
      </c>
      <c r="B1202" t="s">
        <v>1566</v>
      </c>
      <c r="C1202">
        <v>159</v>
      </c>
      <c r="D1202">
        <v>158.5</v>
      </c>
      <c r="E1202" s="178">
        <v>-2</v>
      </c>
      <c r="F1202" s="176">
        <v>-1.25</v>
      </c>
      <c r="G1202" t="s">
        <v>5328</v>
      </c>
      <c r="H1202">
        <v>813</v>
      </c>
      <c r="I1202">
        <v>851</v>
      </c>
      <c r="J1202">
        <v>22.04</v>
      </c>
      <c r="K1202">
        <v>161</v>
      </c>
      <c r="L1202">
        <v>158</v>
      </c>
      <c r="M1202" s="175">
        <v>0.37</v>
      </c>
      <c r="N1202" t="s">
        <v>4068</v>
      </c>
    </row>
    <row r="1203" spans="1:14">
      <c r="A1203">
        <v>3597</v>
      </c>
      <c r="B1203" t="s">
        <v>1050</v>
      </c>
      <c r="C1203">
        <v>50.4</v>
      </c>
      <c r="D1203">
        <v>48.1</v>
      </c>
      <c r="E1203" s="178">
        <v>-5.3</v>
      </c>
      <c r="F1203" s="176">
        <v>-9.93</v>
      </c>
      <c r="G1203" t="s">
        <v>6455</v>
      </c>
      <c r="H1203">
        <v>1496</v>
      </c>
      <c r="I1203">
        <v>1736</v>
      </c>
      <c r="J1203">
        <v>3.92</v>
      </c>
      <c r="K1203">
        <v>51.5</v>
      </c>
      <c r="L1203">
        <v>48.1</v>
      </c>
      <c r="M1203" s="175">
        <v>3.81</v>
      </c>
      <c r="N1203" t="s">
        <v>4069</v>
      </c>
    </row>
    <row r="1204" spans="1:14">
      <c r="A1204">
        <v>3605</v>
      </c>
      <c r="B1204" t="s">
        <v>1051</v>
      </c>
      <c r="C1204">
        <v>180</v>
      </c>
      <c r="D1204">
        <v>175</v>
      </c>
      <c r="E1204" s="178">
        <v>-12</v>
      </c>
      <c r="F1204" s="176">
        <v>-6.42</v>
      </c>
      <c r="G1204" t="s">
        <v>5511</v>
      </c>
      <c r="H1204">
        <v>11781</v>
      </c>
      <c r="I1204">
        <v>25535</v>
      </c>
      <c r="J1204">
        <v>17.79</v>
      </c>
      <c r="K1204">
        <v>185.5</v>
      </c>
      <c r="L1204">
        <v>175</v>
      </c>
      <c r="M1204" s="175">
        <v>6.72</v>
      </c>
      <c r="N1204" t="s">
        <v>4070</v>
      </c>
    </row>
    <row r="1205" spans="1:14">
      <c r="A1205">
        <v>3607</v>
      </c>
      <c r="B1205" t="s">
        <v>1052</v>
      </c>
      <c r="C1205">
        <v>14.15</v>
      </c>
      <c r="D1205">
        <v>13.95</v>
      </c>
      <c r="E1205" s="178">
        <v>-0.25</v>
      </c>
      <c r="F1205" s="176">
        <v>-1.76</v>
      </c>
      <c r="G1205" t="s">
        <v>5576</v>
      </c>
      <c r="H1205">
        <v>238</v>
      </c>
      <c r="I1205">
        <v>196</v>
      </c>
      <c r="J1205">
        <v>12.17</v>
      </c>
      <c r="K1205">
        <v>14.15</v>
      </c>
      <c r="L1205">
        <v>13.9</v>
      </c>
      <c r="M1205" s="175">
        <v>0.2</v>
      </c>
      <c r="N1205" t="s">
        <v>4071</v>
      </c>
    </row>
    <row r="1206" spans="1:14">
      <c r="A1206">
        <v>3609</v>
      </c>
      <c r="B1206" t="s">
        <v>1567</v>
      </c>
      <c r="C1206">
        <v>25.7</v>
      </c>
      <c r="D1206">
        <v>25.2</v>
      </c>
      <c r="E1206" s="178">
        <v>-0.5</v>
      </c>
      <c r="F1206" s="176">
        <v>-1.95</v>
      </c>
      <c r="G1206" t="s">
        <v>6095</v>
      </c>
      <c r="H1206">
        <v>295</v>
      </c>
      <c r="I1206">
        <v>119</v>
      </c>
      <c r="J1206">
        <v>3.84</v>
      </c>
      <c r="K1206">
        <v>26.65</v>
      </c>
      <c r="L1206">
        <v>24.4</v>
      </c>
      <c r="M1206" s="175">
        <v>0.77</v>
      </c>
      <c r="N1206" t="s">
        <v>5151</v>
      </c>
    </row>
    <row r="1207" spans="1:14">
      <c r="A1207">
        <v>3611</v>
      </c>
      <c r="B1207" t="s">
        <v>1053</v>
      </c>
      <c r="C1207">
        <v>183.5</v>
      </c>
      <c r="D1207">
        <v>183</v>
      </c>
      <c r="E1207" s="178">
        <v>-1.5</v>
      </c>
      <c r="F1207" s="176">
        <v>-0.81</v>
      </c>
      <c r="G1207" t="s">
        <v>6456</v>
      </c>
      <c r="H1207">
        <v>41</v>
      </c>
      <c r="I1207">
        <v>30</v>
      </c>
      <c r="J1207">
        <v>4.76</v>
      </c>
      <c r="K1207">
        <v>184</v>
      </c>
      <c r="L1207">
        <v>183</v>
      </c>
      <c r="M1207" s="175">
        <v>0.09</v>
      </c>
      <c r="N1207" t="s">
        <v>4072</v>
      </c>
    </row>
    <row r="1208" spans="1:14">
      <c r="A1208">
        <v>3615</v>
      </c>
      <c r="B1208" t="s">
        <v>1054</v>
      </c>
      <c r="C1208">
        <v>40.450000000000003</v>
      </c>
      <c r="D1208">
        <v>39.4</v>
      </c>
      <c r="E1208" s="178">
        <v>-2.1</v>
      </c>
      <c r="F1208" s="176">
        <v>-5.0599999999999996</v>
      </c>
      <c r="G1208" t="s">
        <v>6457</v>
      </c>
      <c r="H1208">
        <v>618</v>
      </c>
      <c r="I1208">
        <v>736</v>
      </c>
      <c r="J1208">
        <v>6.85</v>
      </c>
      <c r="K1208">
        <v>40.450000000000003</v>
      </c>
      <c r="L1208">
        <v>38.950000000000003</v>
      </c>
      <c r="M1208" s="175">
        <v>0.9</v>
      </c>
      <c r="N1208" t="s">
        <v>4073</v>
      </c>
    </row>
    <row r="1209" spans="1:14">
      <c r="A1209">
        <v>3617</v>
      </c>
      <c r="B1209" t="s">
        <v>1055</v>
      </c>
      <c r="C1209">
        <v>262</v>
      </c>
      <c r="D1209">
        <v>261</v>
      </c>
      <c r="E1209" s="178">
        <v>-8</v>
      </c>
      <c r="F1209" s="176">
        <v>-2.97</v>
      </c>
      <c r="G1209" t="s">
        <v>5629</v>
      </c>
      <c r="H1209">
        <v>749</v>
      </c>
      <c r="I1209">
        <v>806</v>
      </c>
      <c r="J1209">
        <v>9.48</v>
      </c>
      <c r="K1209">
        <v>265</v>
      </c>
      <c r="L1209">
        <v>256</v>
      </c>
      <c r="M1209" s="175">
        <v>0.79</v>
      </c>
      <c r="N1209" t="s">
        <v>4074</v>
      </c>
    </row>
    <row r="1210" spans="1:14">
      <c r="A1210">
        <v>3622</v>
      </c>
      <c r="B1210" t="s">
        <v>1056</v>
      </c>
      <c r="C1210">
        <v>45.6</v>
      </c>
      <c r="D1210">
        <v>45.3</v>
      </c>
      <c r="E1210" s="178">
        <v>-0.45</v>
      </c>
      <c r="F1210" s="176">
        <v>-0.98</v>
      </c>
      <c r="G1210" t="s">
        <v>6458</v>
      </c>
      <c r="H1210">
        <v>222</v>
      </c>
      <c r="I1210">
        <v>245</v>
      </c>
      <c r="J1210">
        <v>15.13</v>
      </c>
      <c r="K1210">
        <v>45.6</v>
      </c>
      <c r="L1210">
        <v>44.7</v>
      </c>
      <c r="M1210" s="175">
        <v>0.15</v>
      </c>
      <c r="N1210" t="s">
        <v>4075</v>
      </c>
    </row>
    <row r="1211" spans="1:14">
      <c r="A1211">
        <v>3623</v>
      </c>
      <c r="B1211" t="s">
        <v>1057</v>
      </c>
      <c r="C1211">
        <v>26.8</v>
      </c>
      <c r="D1211">
        <v>25.5</v>
      </c>
      <c r="E1211" s="178">
        <v>-1.9</v>
      </c>
      <c r="F1211" s="176">
        <v>-6.93</v>
      </c>
      <c r="G1211" t="s">
        <v>5726</v>
      </c>
      <c r="H1211">
        <v>373</v>
      </c>
      <c r="I1211">
        <v>320</v>
      </c>
      <c r="J1211">
        <v>2.92</v>
      </c>
      <c r="K1211">
        <v>26.8</v>
      </c>
      <c r="L1211">
        <v>25.3</v>
      </c>
      <c r="M1211" s="175">
        <v>1.28</v>
      </c>
      <c r="N1211" t="s">
        <v>4076</v>
      </c>
    </row>
    <row r="1212" spans="1:14">
      <c r="A1212">
        <v>3624</v>
      </c>
      <c r="B1212" t="s">
        <v>1058</v>
      </c>
      <c r="C1212">
        <v>159</v>
      </c>
      <c r="D1212">
        <v>151.5</v>
      </c>
      <c r="E1212" s="178">
        <v>-14.5</v>
      </c>
      <c r="F1212" s="176">
        <v>-8.73</v>
      </c>
      <c r="G1212" t="s">
        <v>6459</v>
      </c>
      <c r="H1212">
        <v>16667</v>
      </c>
      <c r="I1212">
        <v>38369</v>
      </c>
      <c r="J1212">
        <v>11.73</v>
      </c>
      <c r="K1212">
        <v>162.5</v>
      </c>
      <c r="L1212">
        <v>151.5</v>
      </c>
      <c r="M1212" s="175">
        <v>14.2</v>
      </c>
      <c r="N1212" t="s">
        <v>4077</v>
      </c>
    </row>
    <row r="1213" spans="1:14">
      <c r="A1213">
        <v>3628</v>
      </c>
      <c r="B1213" t="s">
        <v>1059</v>
      </c>
      <c r="C1213">
        <v>71.2</v>
      </c>
      <c r="D1213">
        <v>70.099999999999994</v>
      </c>
      <c r="E1213" s="178">
        <v>-1.5</v>
      </c>
      <c r="F1213" s="176">
        <v>-2.09</v>
      </c>
      <c r="G1213" t="s">
        <v>6383</v>
      </c>
      <c r="H1213">
        <v>100</v>
      </c>
      <c r="I1213">
        <v>68</v>
      </c>
      <c r="J1213">
        <v>4.5</v>
      </c>
      <c r="K1213">
        <v>71.2</v>
      </c>
      <c r="L1213">
        <v>70.099999999999994</v>
      </c>
      <c r="M1213" s="175">
        <v>0.22</v>
      </c>
      <c r="N1213" t="s">
        <v>4078</v>
      </c>
    </row>
    <row r="1214" spans="1:14">
      <c r="A1214">
        <v>3629</v>
      </c>
      <c r="B1214" t="s">
        <v>1060</v>
      </c>
      <c r="C1214" t="s">
        <v>1555</v>
      </c>
      <c r="D1214" t="s">
        <v>1555</v>
      </c>
      <c r="E1214" s="178" t="s">
        <v>1555</v>
      </c>
      <c r="F1214" s="176" t="s">
        <v>1555</v>
      </c>
      <c r="G1214" t="s">
        <v>1555</v>
      </c>
      <c r="H1214">
        <v>0</v>
      </c>
      <c r="I1214">
        <v>8</v>
      </c>
      <c r="J1214">
        <v>3.3</v>
      </c>
      <c r="K1214" t="s">
        <v>1555</v>
      </c>
      <c r="L1214" t="s">
        <v>1555</v>
      </c>
      <c r="M1214" s="175">
        <v>0</v>
      </c>
      <c r="N1214" t="s">
        <v>4079</v>
      </c>
    </row>
    <row r="1215" spans="1:14">
      <c r="A1215">
        <v>3630</v>
      </c>
      <c r="B1215" t="s">
        <v>1061</v>
      </c>
      <c r="C1215">
        <v>27.9</v>
      </c>
      <c r="D1215">
        <v>27.1</v>
      </c>
      <c r="E1215" s="178">
        <v>-0.9</v>
      </c>
      <c r="F1215" s="176">
        <v>-3.21</v>
      </c>
      <c r="G1215" t="s">
        <v>6104</v>
      </c>
      <c r="H1215">
        <v>698</v>
      </c>
      <c r="I1215">
        <v>1007</v>
      </c>
      <c r="J1215">
        <v>20.420000000000002</v>
      </c>
      <c r="K1215">
        <v>28</v>
      </c>
      <c r="L1215">
        <v>27.1</v>
      </c>
      <c r="M1215" s="175">
        <v>0.34</v>
      </c>
      <c r="N1215" t="s">
        <v>4080</v>
      </c>
    </row>
    <row r="1216" spans="1:14">
      <c r="A1216">
        <v>3631</v>
      </c>
      <c r="B1216" t="s">
        <v>1062</v>
      </c>
      <c r="C1216">
        <v>48.7</v>
      </c>
      <c r="D1216">
        <v>46.9</v>
      </c>
      <c r="E1216" s="178">
        <v>-2.1</v>
      </c>
      <c r="F1216" s="176">
        <v>-4.29</v>
      </c>
      <c r="G1216" t="s">
        <v>6232</v>
      </c>
      <c r="H1216">
        <v>748</v>
      </c>
      <c r="I1216">
        <v>1132</v>
      </c>
      <c r="J1216">
        <v>8.18</v>
      </c>
      <c r="K1216">
        <v>48.7</v>
      </c>
      <c r="L1216">
        <v>46.25</v>
      </c>
      <c r="M1216" s="175">
        <v>0.91</v>
      </c>
      <c r="N1216" t="s">
        <v>4081</v>
      </c>
    </row>
    <row r="1217" spans="1:14">
      <c r="A1217">
        <v>3645</v>
      </c>
      <c r="B1217" t="s">
        <v>1063</v>
      </c>
      <c r="C1217">
        <v>72.5</v>
      </c>
      <c r="D1217">
        <v>72.2</v>
      </c>
      <c r="E1217" s="178">
        <v>-2.8</v>
      </c>
      <c r="F1217" s="176">
        <v>-3.73</v>
      </c>
      <c r="G1217" t="s">
        <v>5172</v>
      </c>
      <c r="H1217">
        <v>1475</v>
      </c>
      <c r="I1217">
        <v>2261</v>
      </c>
      <c r="J1217">
        <v>13.68</v>
      </c>
      <c r="K1217">
        <v>73.8</v>
      </c>
      <c r="L1217">
        <v>71.7</v>
      </c>
      <c r="M1217" s="175">
        <v>1.08</v>
      </c>
      <c r="N1217" t="s">
        <v>4082</v>
      </c>
    </row>
    <row r="1218" spans="1:14">
      <c r="A1218">
        <v>3646</v>
      </c>
      <c r="B1218" t="s">
        <v>1064</v>
      </c>
      <c r="C1218">
        <v>25.1</v>
      </c>
      <c r="D1218">
        <v>24.9</v>
      </c>
      <c r="E1218" s="178">
        <v>-0.05</v>
      </c>
      <c r="F1218" s="176">
        <v>-0.2</v>
      </c>
      <c r="G1218" t="s">
        <v>6460</v>
      </c>
      <c r="H1218">
        <v>39</v>
      </c>
      <c r="I1218">
        <v>19</v>
      </c>
      <c r="J1218">
        <v>3.93</v>
      </c>
      <c r="K1218">
        <v>25.1</v>
      </c>
      <c r="L1218">
        <v>24.3</v>
      </c>
      <c r="M1218" s="175">
        <v>0.1</v>
      </c>
      <c r="N1218" t="s">
        <v>4083</v>
      </c>
    </row>
    <row r="1219" spans="1:14">
      <c r="A1219">
        <v>3652</v>
      </c>
      <c r="B1219" t="s">
        <v>1065</v>
      </c>
      <c r="C1219">
        <v>34.299999999999997</v>
      </c>
      <c r="D1219">
        <v>33.75</v>
      </c>
      <c r="E1219" s="178">
        <v>-1.05</v>
      </c>
      <c r="F1219" s="176">
        <v>-3.02</v>
      </c>
      <c r="G1219" t="s">
        <v>5349</v>
      </c>
      <c r="H1219">
        <v>114</v>
      </c>
      <c r="I1219">
        <v>95</v>
      </c>
      <c r="J1219">
        <v>7.51</v>
      </c>
      <c r="K1219">
        <v>34.5</v>
      </c>
      <c r="L1219">
        <v>33.75</v>
      </c>
      <c r="M1219" s="175">
        <v>0.15</v>
      </c>
      <c r="N1219" t="s">
        <v>4084</v>
      </c>
    </row>
    <row r="1220" spans="1:14">
      <c r="A1220">
        <v>3653</v>
      </c>
      <c r="B1220" t="s">
        <v>1066</v>
      </c>
      <c r="C1220">
        <v>6720</v>
      </c>
      <c r="D1220">
        <v>6765</v>
      </c>
      <c r="E1220" s="178">
        <v>-305</v>
      </c>
      <c r="F1220" s="176">
        <v>-4.3099999999999996</v>
      </c>
      <c r="G1220" t="s">
        <v>6461</v>
      </c>
      <c r="H1220">
        <v>1656</v>
      </c>
      <c r="I1220">
        <v>1101</v>
      </c>
      <c r="J1220">
        <v>14.72</v>
      </c>
      <c r="K1220">
        <v>7070</v>
      </c>
      <c r="L1220">
        <v>6660</v>
      </c>
      <c r="M1220" s="175">
        <v>1.1200000000000001</v>
      </c>
      <c r="N1220" t="s">
        <v>4085</v>
      </c>
    </row>
    <row r="1221" spans="1:14">
      <c r="A1221">
        <v>3661</v>
      </c>
      <c r="B1221" t="s">
        <v>1067</v>
      </c>
      <c r="C1221">
        <v>3675</v>
      </c>
      <c r="D1221">
        <v>3705</v>
      </c>
      <c r="E1221" s="178">
        <v>-235</v>
      </c>
      <c r="F1221" s="176">
        <v>-5.96</v>
      </c>
      <c r="G1221" t="s">
        <v>6462</v>
      </c>
      <c r="H1221">
        <v>2039</v>
      </c>
      <c r="I1221">
        <v>4073</v>
      </c>
      <c r="J1221">
        <v>8.6300000000000008</v>
      </c>
      <c r="K1221">
        <v>3830</v>
      </c>
      <c r="L1221">
        <v>3670</v>
      </c>
      <c r="M1221" s="175">
        <v>2.44</v>
      </c>
      <c r="N1221" t="s">
        <v>4086</v>
      </c>
    </row>
    <row r="1222" spans="1:14">
      <c r="A1222">
        <v>3663</v>
      </c>
      <c r="B1222" t="s">
        <v>261</v>
      </c>
      <c r="C1222">
        <v>67.2</v>
      </c>
      <c r="D1222">
        <v>68.5</v>
      </c>
      <c r="E1222" s="178">
        <v>1.9</v>
      </c>
      <c r="F1222" s="176">
        <v>2.85</v>
      </c>
      <c r="G1222" t="s">
        <v>6291</v>
      </c>
      <c r="H1222">
        <v>3602</v>
      </c>
      <c r="I1222">
        <v>535</v>
      </c>
      <c r="J1222">
        <v>10.85</v>
      </c>
      <c r="K1222">
        <v>70.7</v>
      </c>
      <c r="L1222">
        <v>64.2</v>
      </c>
      <c r="M1222" s="175">
        <v>3.32</v>
      </c>
      <c r="N1222" t="s">
        <v>4087</v>
      </c>
    </row>
    <row r="1223" spans="1:14">
      <c r="A1223">
        <v>3664</v>
      </c>
      <c r="B1223" t="s">
        <v>1068</v>
      </c>
      <c r="C1223">
        <v>8.8000000000000007</v>
      </c>
      <c r="D1223">
        <v>8.8000000000000007</v>
      </c>
      <c r="E1223" s="178">
        <v>0</v>
      </c>
      <c r="F1223" s="176">
        <v>0</v>
      </c>
      <c r="G1223" t="s">
        <v>6463</v>
      </c>
      <c r="H1223">
        <v>45</v>
      </c>
      <c r="I1223">
        <v>21</v>
      </c>
      <c r="J1223">
        <v>7.59</v>
      </c>
      <c r="K1223">
        <v>8.8000000000000007</v>
      </c>
      <c r="L1223">
        <v>8.32</v>
      </c>
      <c r="M1223" s="175">
        <v>0.06</v>
      </c>
      <c r="N1223" t="s">
        <v>4088</v>
      </c>
    </row>
    <row r="1224" spans="1:14">
      <c r="A1224">
        <v>3665</v>
      </c>
      <c r="B1224" t="s">
        <v>1069</v>
      </c>
      <c r="C1224">
        <v>2140</v>
      </c>
      <c r="D1224">
        <v>2015</v>
      </c>
      <c r="E1224" s="178">
        <v>-220</v>
      </c>
      <c r="F1224" s="176">
        <v>-9.84</v>
      </c>
      <c r="G1224" t="s">
        <v>6464</v>
      </c>
      <c r="H1224">
        <v>2797</v>
      </c>
      <c r="I1224">
        <v>2805</v>
      </c>
      <c r="J1224">
        <v>19.96</v>
      </c>
      <c r="K1224">
        <v>2150</v>
      </c>
      <c r="L1224">
        <v>2015</v>
      </c>
      <c r="M1224" s="175">
        <v>1.4</v>
      </c>
      <c r="N1224" t="s">
        <v>5177</v>
      </c>
    </row>
    <row r="1225" spans="1:14">
      <c r="A1225">
        <v>3666</v>
      </c>
      <c r="B1225" t="s">
        <v>1070</v>
      </c>
      <c r="C1225">
        <v>28.25</v>
      </c>
      <c r="D1225">
        <v>27.85</v>
      </c>
      <c r="E1225" s="178">
        <v>0</v>
      </c>
      <c r="F1225" s="176">
        <v>0</v>
      </c>
      <c r="G1225" t="s">
        <v>5449</v>
      </c>
      <c r="H1225">
        <v>76</v>
      </c>
      <c r="I1225">
        <v>92</v>
      </c>
      <c r="J1225">
        <v>13.89</v>
      </c>
      <c r="K1225">
        <v>28.3</v>
      </c>
      <c r="L1225">
        <v>27.2</v>
      </c>
      <c r="M1225" s="175">
        <v>0.05</v>
      </c>
      <c r="N1225" t="s">
        <v>4089</v>
      </c>
    </row>
    <row r="1226" spans="1:14">
      <c r="A1226">
        <v>3669</v>
      </c>
      <c r="B1226" t="s">
        <v>1071</v>
      </c>
      <c r="C1226">
        <v>32</v>
      </c>
      <c r="D1226">
        <v>31.75</v>
      </c>
      <c r="E1226" s="178">
        <v>-0.25</v>
      </c>
      <c r="F1226" s="176">
        <v>-0.78</v>
      </c>
      <c r="G1226" t="s">
        <v>5844</v>
      </c>
      <c r="H1226">
        <v>180</v>
      </c>
      <c r="I1226">
        <v>107</v>
      </c>
      <c r="J1226">
        <v>9.2899999999999991</v>
      </c>
      <c r="K1226">
        <v>32.1</v>
      </c>
      <c r="L1226">
        <v>31.65</v>
      </c>
      <c r="M1226" s="175">
        <v>0.19</v>
      </c>
      <c r="N1226" t="s">
        <v>4090</v>
      </c>
    </row>
    <row r="1227" spans="1:14">
      <c r="A1227">
        <v>3672</v>
      </c>
      <c r="B1227" t="s">
        <v>1072</v>
      </c>
      <c r="C1227">
        <v>11.65</v>
      </c>
      <c r="D1227">
        <v>11.7</v>
      </c>
      <c r="E1227" s="178">
        <v>-0.3</v>
      </c>
      <c r="F1227" s="176">
        <v>-2.5</v>
      </c>
      <c r="G1227" t="s">
        <v>5678</v>
      </c>
      <c r="H1227">
        <v>23</v>
      </c>
      <c r="I1227">
        <v>152</v>
      </c>
      <c r="J1227">
        <v>4.08</v>
      </c>
      <c r="K1227">
        <v>11.7</v>
      </c>
      <c r="L1227">
        <v>11.65</v>
      </c>
      <c r="M1227" s="175">
        <v>0.06</v>
      </c>
      <c r="N1227" t="s">
        <v>4091</v>
      </c>
    </row>
    <row r="1228" spans="1:14">
      <c r="A1228">
        <v>3673</v>
      </c>
      <c r="B1228" t="s">
        <v>1073</v>
      </c>
      <c r="C1228">
        <v>71.5</v>
      </c>
      <c r="D1228">
        <v>69.900000000000006</v>
      </c>
      <c r="E1228" s="178">
        <v>-3.3</v>
      </c>
      <c r="F1228" s="176">
        <v>-4.51</v>
      </c>
      <c r="G1228" t="s">
        <v>6465</v>
      </c>
      <c r="H1228">
        <v>5882</v>
      </c>
      <c r="I1228">
        <v>6316</v>
      </c>
      <c r="J1228">
        <v>40.67</v>
      </c>
      <c r="K1228">
        <v>72.8</v>
      </c>
      <c r="L1228">
        <v>69.599999999999994</v>
      </c>
      <c r="M1228" s="175">
        <v>1.45</v>
      </c>
      <c r="N1228" t="s">
        <v>4092</v>
      </c>
    </row>
    <row r="1229" spans="1:14">
      <c r="A1229">
        <v>3675</v>
      </c>
      <c r="B1229" t="s">
        <v>1074</v>
      </c>
      <c r="C1229">
        <v>303</v>
      </c>
      <c r="D1229">
        <v>294</v>
      </c>
      <c r="E1229" s="178">
        <v>-23</v>
      </c>
      <c r="F1229" s="176">
        <v>-7.26</v>
      </c>
      <c r="G1229" t="s">
        <v>5295</v>
      </c>
      <c r="H1229">
        <v>1002</v>
      </c>
      <c r="I1229">
        <v>1251</v>
      </c>
      <c r="J1229">
        <v>5.31</v>
      </c>
      <c r="K1229">
        <v>308</v>
      </c>
      <c r="L1229">
        <v>294</v>
      </c>
      <c r="M1229" s="175">
        <v>1.89</v>
      </c>
      <c r="N1229" t="s">
        <v>4093</v>
      </c>
    </row>
    <row r="1230" spans="1:14">
      <c r="A1230">
        <v>3679</v>
      </c>
      <c r="B1230" t="s">
        <v>1075</v>
      </c>
      <c r="C1230">
        <v>108.5</v>
      </c>
      <c r="D1230">
        <v>108.5</v>
      </c>
      <c r="E1230" s="178">
        <v>0</v>
      </c>
      <c r="F1230" s="176">
        <v>0</v>
      </c>
      <c r="G1230" t="s">
        <v>6466</v>
      </c>
      <c r="H1230">
        <v>35</v>
      </c>
      <c r="I1230">
        <v>37</v>
      </c>
      <c r="J1230">
        <v>6.3</v>
      </c>
      <c r="K1230">
        <v>109</v>
      </c>
      <c r="L1230">
        <v>108</v>
      </c>
      <c r="M1230" s="175">
        <v>0.06</v>
      </c>
      <c r="N1230" t="s">
        <v>4094</v>
      </c>
    </row>
    <row r="1231" spans="1:14">
      <c r="A1231">
        <v>3680</v>
      </c>
      <c r="B1231" t="s">
        <v>122</v>
      </c>
      <c r="C1231">
        <v>530</v>
      </c>
      <c r="D1231">
        <v>513</v>
      </c>
      <c r="E1231" s="178">
        <v>-36</v>
      </c>
      <c r="F1231" s="176">
        <v>-6.56</v>
      </c>
      <c r="G1231" t="s">
        <v>6467</v>
      </c>
      <c r="H1231">
        <v>1430</v>
      </c>
      <c r="I1231">
        <v>1037</v>
      </c>
      <c r="J1231">
        <v>9.67</v>
      </c>
      <c r="K1231">
        <v>530</v>
      </c>
      <c r="L1231">
        <v>505</v>
      </c>
      <c r="M1231" s="175">
        <v>1.49</v>
      </c>
      <c r="N1231" t="s">
        <v>4095</v>
      </c>
    </row>
    <row r="1232" spans="1:14">
      <c r="A1232">
        <v>3684</v>
      </c>
      <c r="B1232" t="s">
        <v>1076</v>
      </c>
      <c r="C1232">
        <v>56.7</v>
      </c>
      <c r="D1232">
        <v>55.5</v>
      </c>
      <c r="E1232" s="178">
        <v>-1.5</v>
      </c>
      <c r="F1232" s="176">
        <v>-2.63</v>
      </c>
      <c r="G1232" t="s">
        <v>5223</v>
      </c>
      <c r="H1232">
        <v>37</v>
      </c>
      <c r="I1232">
        <v>460</v>
      </c>
      <c r="J1232">
        <v>3.03</v>
      </c>
      <c r="K1232">
        <v>56.7</v>
      </c>
      <c r="L1232">
        <v>55.5</v>
      </c>
      <c r="M1232" s="175">
        <v>0.12</v>
      </c>
      <c r="N1232" t="s">
        <v>4096</v>
      </c>
    </row>
    <row r="1233" spans="1:14">
      <c r="A1233">
        <v>3685</v>
      </c>
      <c r="B1233" t="s">
        <v>1077</v>
      </c>
      <c r="C1233">
        <v>37.299999999999997</v>
      </c>
      <c r="D1233">
        <v>37.65</v>
      </c>
      <c r="E1233" s="178">
        <v>-0.3</v>
      </c>
      <c r="F1233" s="176">
        <v>-0.79</v>
      </c>
      <c r="G1233" t="s">
        <v>6468</v>
      </c>
      <c r="H1233">
        <v>2644</v>
      </c>
      <c r="I1233">
        <v>3437</v>
      </c>
      <c r="J1233">
        <v>7.96</v>
      </c>
      <c r="K1233">
        <v>38.1</v>
      </c>
      <c r="L1233">
        <v>36.6</v>
      </c>
      <c r="M1233" s="175">
        <v>3.32</v>
      </c>
      <c r="N1233" t="s">
        <v>4097</v>
      </c>
    </row>
    <row r="1234" spans="1:14">
      <c r="A1234">
        <v>3686</v>
      </c>
      <c r="B1234" t="s">
        <v>1666</v>
      </c>
      <c r="C1234">
        <v>15.3</v>
      </c>
      <c r="D1234">
        <v>15.2</v>
      </c>
      <c r="E1234" s="178">
        <v>-0.1</v>
      </c>
      <c r="F1234" s="176">
        <v>-0.65</v>
      </c>
      <c r="G1234" t="s">
        <v>5241</v>
      </c>
      <c r="H1234">
        <v>85</v>
      </c>
      <c r="I1234">
        <v>75</v>
      </c>
      <c r="J1234">
        <v>7.65</v>
      </c>
      <c r="K1234">
        <v>15.45</v>
      </c>
      <c r="L1234">
        <v>15</v>
      </c>
      <c r="M1234" s="175">
        <v>0.11</v>
      </c>
      <c r="N1234" t="s">
        <v>4098</v>
      </c>
    </row>
    <row r="1235" spans="1:14">
      <c r="A1235">
        <v>3687</v>
      </c>
      <c r="B1235" t="s">
        <v>1078</v>
      </c>
      <c r="C1235">
        <v>61</v>
      </c>
      <c r="D1235">
        <v>60</v>
      </c>
      <c r="E1235" s="178">
        <v>-1</v>
      </c>
      <c r="F1235" s="176">
        <v>-1.64</v>
      </c>
      <c r="G1235" t="s">
        <v>5853</v>
      </c>
      <c r="H1235">
        <v>61</v>
      </c>
      <c r="I1235">
        <v>27</v>
      </c>
      <c r="J1235">
        <v>3.01</v>
      </c>
      <c r="K1235">
        <v>61</v>
      </c>
      <c r="L1235">
        <v>59.8</v>
      </c>
      <c r="M1235" s="175">
        <v>0.2</v>
      </c>
      <c r="N1235" t="s">
        <v>4099</v>
      </c>
    </row>
    <row r="1236" spans="1:14">
      <c r="A1236">
        <v>3689</v>
      </c>
      <c r="B1236" t="s">
        <v>1079</v>
      </c>
      <c r="C1236">
        <v>118</v>
      </c>
      <c r="D1236">
        <v>117.5</v>
      </c>
      <c r="E1236" s="178">
        <v>-2.5</v>
      </c>
      <c r="F1236" s="176">
        <v>-2.08</v>
      </c>
      <c r="G1236" t="s">
        <v>5324</v>
      </c>
      <c r="H1236">
        <v>1003</v>
      </c>
      <c r="I1236">
        <v>1064</v>
      </c>
      <c r="J1236">
        <v>8.9499999999999993</v>
      </c>
      <c r="K1236">
        <v>119.5</v>
      </c>
      <c r="L1236">
        <v>116.5</v>
      </c>
      <c r="M1236" s="175">
        <v>1.1200000000000001</v>
      </c>
      <c r="N1236" t="s">
        <v>4100</v>
      </c>
    </row>
    <row r="1237" spans="1:14">
      <c r="A1237">
        <v>3691</v>
      </c>
      <c r="B1237" t="s">
        <v>1080</v>
      </c>
      <c r="C1237">
        <v>100</v>
      </c>
      <c r="D1237">
        <v>97.5</v>
      </c>
      <c r="E1237" s="178">
        <v>-4</v>
      </c>
      <c r="F1237" s="176">
        <v>-3.94</v>
      </c>
      <c r="G1237" t="s">
        <v>6469</v>
      </c>
      <c r="H1237">
        <v>579</v>
      </c>
      <c r="I1237">
        <v>414</v>
      </c>
      <c r="J1237">
        <v>9.19</v>
      </c>
      <c r="K1237">
        <v>100</v>
      </c>
      <c r="L1237">
        <v>97</v>
      </c>
      <c r="M1237" s="175">
        <v>0.63</v>
      </c>
      <c r="N1237" t="s">
        <v>4101</v>
      </c>
    </row>
    <row r="1238" spans="1:14">
      <c r="A1238">
        <v>3693</v>
      </c>
      <c r="B1238" t="s">
        <v>1081</v>
      </c>
      <c r="C1238">
        <v>734</v>
      </c>
      <c r="D1238">
        <v>705</v>
      </c>
      <c r="E1238" s="178">
        <v>-49</v>
      </c>
      <c r="F1238" s="176">
        <v>-6.5</v>
      </c>
      <c r="G1238" t="s">
        <v>5426</v>
      </c>
      <c r="H1238">
        <v>1666</v>
      </c>
      <c r="I1238">
        <v>2879</v>
      </c>
      <c r="J1238">
        <v>4.3</v>
      </c>
      <c r="K1238">
        <v>749</v>
      </c>
      <c r="L1238">
        <v>703</v>
      </c>
      <c r="M1238" s="175">
        <v>3.88</v>
      </c>
      <c r="N1238" t="s">
        <v>4102</v>
      </c>
    </row>
    <row r="1239" spans="1:14">
      <c r="A1239">
        <v>3694</v>
      </c>
      <c r="B1239" t="s">
        <v>1082</v>
      </c>
      <c r="C1239">
        <v>49.65</v>
      </c>
      <c r="D1239">
        <v>48.2</v>
      </c>
      <c r="E1239" s="178">
        <v>-1.5</v>
      </c>
      <c r="F1239" s="176">
        <v>-3.02</v>
      </c>
      <c r="G1239" t="s">
        <v>6470</v>
      </c>
      <c r="H1239">
        <v>759</v>
      </c>
      <c r="I1239">
        <v>612</v>
      </c>
      <c r="J1239">
        <v>15.49</v>
      </c>
      <c r="K1239">
        <v>49.65</v>
      </c>
      <c r="L1239">
        <v>48.2</v>
      </c>
      <c r="M1239" s="175">
        <v>0.49</v>
      </c>
      <c r="N1239" t="s">
        <v>4103</v>
      </c>
    </row>
    <row r="1240" spans="1:14">
      <c r="A1240">
        <v>3701</v>
      </c>
      <c r="B1240" t="s">
        <v>1083</v>
      </c>
      <c r="C1240">
        <v>60.1</v>
      </c>
      <c r="D1240">
        <v>60.1</v>
      </c>
      <c r="E1240" s="178">
        <v>-3.9</v>
      </c>
      <c r="F1240" s="176">
        <v>-6.09</v>
      </c>
      <c r="G1240" t="s">
        <v>5343</v>
      </c>
      <c r="H1240">
        <v>2436</v>
      </c>
      <c r="I1240">
        <v>4658</v>
      </c>
      <c r="J1240">
        <v>23.67</v>
      </c>
      <c r="K1240">
        <v>62</v>
      </c>
      <c r="L1240">
        <v>59.2</v>
      </c>
      <c r="M1240" s="175">
        <v>1.03</v>
      </c>
      <c r="N1240" t="s">
        <v>4104</v>
      </c>
    </row>
    <row r="1241" spans="1:14">
      <c r="A1241">
        <v>3702</v>
      </c>
      <c r="B1241" t="s">
        <v>1084</v>
      </c>
      <c r="C1241">
        <v>116</v>
      </c>
      <c r="D1241">
        <v>115.5</v>
      </c>
      <c r="E1241" s="178">
        <v>-3</v>
      </c>
      <c r="F1241" s="176">
        <v>-2.5299999999999998</v>
      </c>
      <c r="G1241" t="s">
        <v>5669</v>
      </c>
      <c r="H1241">
        <v>11744</v>
      </c>
      <c r="I1241">
        <v>11544</v>
      </c>
      <c r="J1241">
        <v>175.14</v>
      </c>
      <c r="K1241">
        <v>117.5</v>
      </c>
      <c r="L1241">
        <v>114</v>
      </c>
      <c r="M1241" s="175">
        <v>0.67</v>
      </c>
      <c r="N1241" t="s">
        <v>4105</v>
      </c>
    </row>
    <row r="1242" spans="1:14">
      <c r="A1242">
        <v>3703</v>
      </c>
      <c r="B1242" t="s">
        <v>1085</v>
      </c>
      <c r="C1242">
        <v>20.350000000000001</v>
      </c>
      <c r="D1242">
        <v>20.399999999999999</v>
      </c>
      <c r="E1242" s="178">
        <v>0.05</v>
      </c>
      <c r="F1242" s="176">
        <v>0.25</v>
      </c>
      <c r="G1242" t="s">
        <v>6471</v>
      </c>
      <c r="H1242">
        <v>1210</v>
      </c>
      <c r="I1242">
        <v>975</v>
      </c>
      <c r="J1242">
        <v>82.32</v>
      </c>
      <c r="K1242">
        <v>20.45</v>
      </c>
      <c r="L1242">
        <v>20.25</v>
      </c>
      <c r="M1242" s="175">
        <v>0.15</v>
      </c>
      <c r="N1242" t="s">
        <v>4106</v>
      </c>
    </row>
    <row r="1243" spans="1:14">
      <c r="A1243">
        <v>3704</v>
      </c>
      <c r="B1243" t="s">
        <v>1667</v>
      </c>
      <c r="C1243">
        <v>40.299999999999997</v>
      </c>
      <c r="D1243">
        <v>39.700000000000003</v>
      </c>
      <c r="E1243" s="178">
        <v>-1.1000000000000001</v>
      </c>
      <c r="F1243" s="176">
        <v>-2.7</v>
      </c>
      <c r="G1243" t="s">
        <v>6472</v>
      </c>
      <c r="H1243">
        <v>1353</v>
      </c>
      <c r="I1243">
        <v>1432</v>
      </c>
      <c r="J1243">
        <v>41.54</v>
      </c>
      <c r="K1243">
        <v>40.450000000000003</v>
      </c>
      <c r="L1243">
        <v>39.65</v>
      </c>
      <c r="M1243" s="175">
        <v>0.33</v>
      </c>
      <c r="N1243" t="s">
        <v>4107</v>
      </c>
    </row>
    <row r="1244" spans="1:14">
      <c r="A1244">
        <v>3705</v>
      </c>
      <c r="B1244" t="s">
        <v>1086</v>
      </c>
      <c r="C1244">
        <v>60.7</v>
      </c>
      <c r="D1244">
        <v>61</v>
      </c>
      <c r="E1244" s="178">
        <v>0.7</v>
      </c>
      <c r="F1244" s="176">
        <v>1.1599999999999999</v>
      </c>
      <c r="G1244" t="s">
        <v>6473</v>
      </c>
      <c r="H1244">
        <v>638</v>
      </c>
      <c r="I1244">
        <v>718</v>
      </c>
      <c r="J1244">
        <v>26.64</v>
      </c>
      <c r="K1244">
        <v>61.3</v>
      </c>
      <c r="L1244">
        <v>60.4</v>
      </c>
      <c r="M1244" s="175">
        <v>0.24</v>
      </c>
      <c r="N1244" t="s">
        <v>4108</v>
      </c>
    </row>
    <row r="1245" spans="1:14">
      <c r="A1245">
        <v>3706</v>
      </c>
      <c r="B1245" t="s">
        <v>257</v>
      </c>
      <c r="C1245">
        <v>83.1</v>
      </c>
      <c r="D1245">
        <v>81.5</v>
      </c>
      <c r="E1245" s="178">
        <v>-2.7</v>
      </c>
      <c r="F1245" s="176">
        <v>-3.21</v>
      </c>
      <c r="G1245" t="s">
        <v>6474</v>
      </c>
      <c r="H1245">
        <v>10546</v>
      </c>
      <c r="I1245">
        <v>8882</v>
      </c>
      <c r="J1245">
        <v>145.99</v>
      </c>
      <c r="K1245">
        <v>83.6</v>
      </c>
      <c r="L1245">
        <v>81.5</v>
      </c>
      <c r="M1245" s="175">
        <v>0.72</v>
      </c>
      <c r="N1245" t="s">
        <v>4109</v>
      </c>
    </row>
    <row r="1246" spans="1:14">
      <c r="A1246">
        <v>3707</v>
      </c>
      <c r="B1246" t="s">
        <v>262</v>
      </c>
      <c r="C1246">
        <v>78.599999999999994</v>
      </c>
      <c r="D1246">
        <v>77</v>
      </c>
      <c r="E1246" s="178">
        <v>-4.7</v>
      </c>
      <c r="F1246" s="176">
        <v>-5.75</v>
      </c>
      <c r="G1246" t="s">
        <v>6475</v>
      </c>
      <c r="H1246">
        <v>8694</v>
      </c>
      <c r="I1246">
        <v>20767</v>
      </c>
      <c r="J1246">
        <v>40.11</v>
      </c>
      <c r="K1246">
        <v>80.3</v>
      </c>
      <c r="L1246">
        <v>77</v>
      </c>
      <c r="M1246" s="175">
        <v>2.17</v>
      </c>
      <c r="N1246" t="s">
        <v>4110</v>
      </c>
    </row>
    <row r="1247" spans="1:14">
      <c r="A1247">
        <v>3708</v>
      </c>
      <c r="B1247" t="s">
        <v>1087</v>
      </c>
      <c r="C1247">
        <v>96.4</v>
      </c>
      <c r="D1247">
        <v>93.8</v>
      </c>
      <c r="E1247" s="178">
        <v>-2.7</v>
      </c>
      <c r="F1247" s="176">
        <v>-2.8</v>
      </c>
      <c r="G1247" t="s">
        <v>6476</v>
      </c>
      <c r="H1247">
        <v>257</v>
      </c>
      <c r="I1247">
        <v>300</v>
      </c>
      <c r="J1247">
        <v>9.3699999999999992</v>
      </c>
      <c r="K1247">
        <v>96.4</v>
      </c>
      <c r="L1247">
        <v>93.8</v>
      </c>
      <c r="M1247" s="175">
        <v>0.28999999999999998</v>
      </c>
      <c r="N1247" t="s">
        <v>4111</v>
      </c>
    </row>
    <row r="1248" spans="1:14">
      <c r="A1248">
        <v>3709</v>
      </c>
      <c r="B1248" t="s">
        <v>384</v>
      </c>
      <c r="C1248">
        <v>66.5</v>
      </c>
      <c r="D1248">
        <v>65.400000000000006</v>
      </c>
      <c r="E1248" s="178">
        <v>-1.7</v>
      </c>
      <c r="F1248" s="176">
        <v>-2.5299999999999998</v>
      </c>
      <c r="G1248" t="s">
        <v>6477</v>
      </c>
      <c r="H1248">
        <v>576</v>
      </c>
      <c r="I1248">
        <v>1726</v>
      </c>
      <c r="J1248">
        <v>14.56</v>
      </c>
      <c r="K1248">
        <v>66.5</v>
      </c>
      <c r="L1248">
        <v>64.8</v>
      </c>
      <c r="M1248" s="175">
        <v>0.4</v>
      </c>
      <c r="N1248" t="s">
        <v>4112</v>
      </c>
    </row>
    <row r="1249" spans="1:14">
      <c r="A1249">
        <v>3710</v>
      </c>
      <c r="B1249" t="s">
        <v>5194</v>
      </c>
      <c r="C1249">
        <v>8.0500000000000007</v>
      </c>
      <c r="D1249">
        <v>8.2100000000000009</v>
      </c>
      <c r="E1249" s="178">
        <v>0.05</v>
      </c>
      <c r="F1249" s="176">
        <v>0.61</v>
      </c>
      <c r="G1249" t="s">
        <v>5293</v>
      </c>
      <c r="H1249">
        <v>255</v>
      </c>
      <c r="I1249">
        <v>163</v>
      </c>
      <c r="J1249">
        <v>17.71</v>
      </c>
      <c r="K1249">
        <v>8.2799999999999994</v>
      </c>
      <c r="L1249">
        <v>7.99</v>
      </c>
      <c r="M1249" s="175">
        <v>0.14000000000000001</v>
      </c>
      <c r="N1249" t="s">
        <v>5195</v>
      </c>
    </row>
    <row r="1250" spans="1:14">
      <c r="A1250">
        <v>3711</v>
      </c>
      <c r="B1250" t="s">
        <v>396</v>
      </c>
      <c r="C1250">
        <v>696</v>
      </c>
      <c r="D1250">
        <v>673</v>
      </c>
      <c r="E1250" s="178">
        <v>-74</v>
      </c>
      <c r="F1250" s="176">
        <v>-9.91</v>
      </c>
      <c r="G1250" t="s">
        <v>6478</v>
      </c>
      <c r="H1250">
        <v>34430</v>
      </c>
      <c r="I1250">
        <v>14015</v>
      </c>
      <c r="J1250">
        <v>448.81</v>
      </c>
      <c r="K1250">
        <v>699</v>
      </c>
      <c r="L1250">
        <v>673</v>
      </c>
      <c r="M1250" s="175">
        <v>0.77</v>
      </c>
      <c r="N1250" t="s">
        <v>4113</v>
      </c>
    </row>
    <row r="1251" spans="1:14">
      <c r="A1251">
        <v>3712</v>
      </c>
      <c r="B1251" t="s">
        <v>326</v>
      </c>
      <c r="C1251">
        <v>20.100000000000001</v>
      </c>
      <c r="D1251">
        <v>20.100000000000001</v>
      </c>
      <c r="E1251" s="178">
        <v>-0.05</v>
      </c>
      <c r="F1251" s="176">
        <v>-0.25</v>
      </c>
      <c r="G1251" t="s">
        <v>5297</v>
      </c>
      <c r="H1251">
        <v>304</v>
      </c>
      <c r="I1251">
        <v>538</v>
      </c>
      <c r="J1251">
        <v>24.62</v>
      </c>
      <c r="K1251">
        <v>20.2</v>
      </c>
      <c r="L1251">
        <v>19.95</v>
      </c>
      <c r="M1251" s="175">
        <v>0.12</v>
      </c>
      <c r="N1251" t="s">
        <v>4114</v>
      </c>
    </row>
    <row r="1252" spans="1:14">
      <c r="A1252">
        <v>3713</v>
      </c>
      <c r="B1252" t="s">
        <v>386</v>
      </c>
      <c r="C1252">
        <v>15</v>
      </c>
      <c r="D1252">
        <v>14.5</v>
      </c>
      <c r="E1252" s="178">
        <v>-0.6</v>
      </c>
      <c r="F1252" s="176">
        <v>-3.97</v>
      </c>
      <c r="G1252" t="s">
        <v>5914</v>
      </c>
      <c r="H1252">
        <v>122</v>
      </c>
      <c r="I1252">
        <v>372</v>
      </c>
      <c r="J1252">
        <v>8.81</v>
      </c>
      <c r="K1252">
        <v>15</v>
      </c>
      <c r="L1252">
        <v>14.3</v>
      </c>
      <c r="M1252" s="175">
        <v>0.14000000000000001</v>
      </c>
      <c r="N1252" t="s">
        <v>4115</v>
      </c>
    </row>
    <row r="1253" spans="1:14">
      <c r="A1253">
        <v>3714</v>
      </c>
      <c r="B1253" t="s">
        <v>1568</v>
      </c>
      <c r="C1253">
        <v>62</v>
      </c>
      <c r="D1253">
        <v>61.5</v>
      </c>
      <c r="E1253" s="178">
        <v>-2.7</v>
      </c>
      <c r="F1253" s="176">
        <v>-4.21</v>
      </c>
      <c r="G1253" t="s">
        <v>5653</v>
      </c>
      <c r="H1253">
        <v>6274</v>
      </c>
      <c r="I1253">
        <v>7011</v>
      </c>
      <c r="J1253">
        <v>73.790000000000006</v>
      </c>
      <c r="K1253">
        <v>62.9</v>
      </c>
      <c r="L1253">
        <v>61</v>
      </c>
      <c r="M1253" s="175">
        <v>0.94</v>
      </c>
      <c r="N1253" t="s">
        <v>4116</v>
      </c>
    </row>
    <row r="1254" spans="1:14">
      <c r="A1254">
        <v>3715</v>
      </c>
      <c r="B1254" t="s">
        <v>1648</v>
      </c>
      <c r="C1254">
        <v>134.5</v>
      </c>
      <c r="D1254">
        <v>131.5</v>
      </c>
      <c r="E1254" s="178">
        <v>-9</v>
      </c>
      <c r="F1254" s="176">
        <v>-6.41</v>
      </c>
      <c r="G1254" t="s">
        <v>6479</v>
      </c>
      <c r="H1254">
        <v>5822</v>
      </c>
      <c r="I1254">
        <v>9424</v>
      </c>
      <c r="J1254">
        <v>28.36</v>
      </c>
      <c r="K1254">
        <v>136.5</v>
      </c>
      <c r="L1254">
        <v>131.5</v>
      </c>
      <c r="M1254" s="175">
        <v>2.0499999999999998</v>
      </c>
      <c r="N1254" t="s">
        <v>4117</v>
      </c>
    </row>
    <row r="1255" spans="1:14">
      <c r="A1255">
        <v>3716</v>
      </c>
      <c r="B1255" t="s">
        <v>2602</v>
      </c>
      <c r="C1255">
        <v>34.1</v>
      </c>
      <c r="D1255">
        <v>34</v>
      </c>
      <c r="E1255" s="178">
        <v>0</v>
      </c>
      <c r="F1255" s="176">
        <v>0</v>
      </c>
      <c r="G1255" t="s">
        <v>6093</v>
      </c>
      <c r="H1255">
        <v>96</v>
      </c>
      <c r="I1255">
        <v>192</v>
      </c>
      <c r="J1255">
        <v>15.06</v>
      </c>
      <c r="K1255">
        <v>34.1</v>
      </c>
      <c r="L1255">
        <v>33.9</v>
      </c>
      <c r="M1255" s="175">
        <v>0.06</v>
      </c>
      <c r="N1255" t="s">
        <v>3445</v>
      </c>
    </row>
    <row r="1256" spans="1:14">
      <c r="A1256">
        <v>3717</v>
      </c>
      <c r="B1256" t="s">
        <v>2863</v>
      </c>
      <c r="C1256">
        <v>28.8</v>
      </c>
      <c r="D1256">
        <v>28.4</v>
      </c>
      <c r="E1256" s="178">
        <v>-1.2</v>
      </c>
      <c r="F1256" s="176">
        <v>-4.05</v>
      </c>
      <c r="G1256" t="s">
        <v>5714</v>
      </c>
      <c r="H1256">
        <v>7269</v>
      </c>
      <c r="I1256">
        <v>13830</v>
      </c>
      <c r="J1256">
        <v>21.41</v>
      </c>
      <c r="K1256">
        <v>29.45</v>
      </c>
      <c r="L1256">
        <v>28.4</v>
      </c>
      <c r="M1256" s="175">
        <v>3.5</v>
      </c>
      <c r="N1256" t="s">
        <v>4118</v>
      </c>
    </row>
    <row r="1257" spans="1:14">
      <c r="A1257">
        <v>3718</v>
      </c>
      <c r="B1257" t="s">
        <v>3256</v>
      </c>
      <c r="C1257">
        <v>60.9</v>
      </c>
      <c r="D1257">
        <v>60.3</v>
      </c>
      <c r="E1257" s="178">
        <v>-1.8</v>
      </c>
      <c r="F1257" s="176">
        <v>-2.9</v>
      </c>
      <c r="G1257" t="s">
        <v>5282</v>
      </c>
      <c r="H1257">
        <v>1922</v>
      </c>
      <c r="I1257">
        <v>1551</v>
      </c>
      <c r="J1257" t="s">
        <v>1555</v>
      </c>
      <c r="K1257">
        <v>61.8</v>
      </c>
      <c r="L1257">
        <v>60.3</v>
      </c>
      <c r="M1257" s="175">
        <v>0.49</v>
      </c>
      <c r="N1257" t="s">
        <v>4119</v>
      </c>
    </row>
    <row r="1258" spans="1:14">
      <c r="A1258">
        <v>4102</v>
      </c>
      <c r="B1258" t="s">
        <v>1088</v>
      </c>
      <c r="C1258">
        <v>18.75</v>
      </c>
      <c r="D1258">
        <v>18.75</v>
      </c>
      <c r="E1258" s="178">
        <v>-0.25</v>
      </c>
      <c r="F1258" s="176">
        <v>-1.32</v>
      </c>
      <c r="G1258" t="s">
        <v>6480</v>
      </c>
      <c r="H1258">
        <v>23</v>
      </c>
      <c r="I1258">
        <v>37</v>
      </c>
      <c r="J1258">
        <v>4.24</v>
      </c>
      <c r="K1258">
        <v>19</v>
      </c>
      <c r="L1258">
        <v>18.5</v>
      </c>
      <c r="M1258" s="175">
        <v>0.05</v>
      </c>
      <c r="N1258" t="s">
        <v>4120</v>
      </c>
    </row>
    <row r="1259" spans="1:14">
      <c r="A1259">
        <v>4104</v>
      </c>
      <c r="B1259" t="s">
        <v>1089</v>
      </c>
      <c r="C1259">
        <v>73.900000000000006</v>
      </c>
      <c r="D1259">
        <v>73.900000000000006</v>
      </c>
      <c r="E1259" s="178">
        <v>0</v>
      </c>
      <c r="F1259" s="176">
        <v>0</v>
      </c>
      <c r="G1259" t="s">
        <v>6481</v>
      </c>
      <c r="H1259">
        <v>334</v>
      </c>
      <c r="I1259">
        <v>166</v>
      </c>
      <c r="J1259">
        <v>18.84</v>
      </c>
      <c r="K1259">
        <v>74.5</v>
      </c>
      <c r="L1259">
        <v>73.7</v>
      </c>
      <c r="M1259" s="175">
        <v>0.18</v>
      </c>
      <c r="N1259" t="s">
        <v>4121</v>
      </c>
    </row>
    <row r="1260" spans="1:14">
      <c r="A1260">
        <v>4105</v>
      </c>
      <c r="B1260" t="s">
        <v>1090</v>
      </c>
      <c r="C1260">
        <v>81.8</v>
      </c>
      <c r="D1260">
        <v>82.2</v>
      </c>
      <c r="E1260" s="178">
        <v>0.4</v>
      </c>
      <c r="F1260" s="176">
        <v>0.49</v>
      </c>
      <c r="G1260" t="s">
        <v>6068</v>
      </c>
      <c r="H1260">
        <v>1270</v>
      </c>
      <c r="I1260">
        <v>1148</v>
      </c>
      <c r="J1260">
        <v>24.87</v>
      </c>
      <c r="K1260">
        <v>82.6</v>
      </c>
      <c r="L1260">
        <v>81.5</v>
      </c>
      <c r="M1260" s="175">
        <v>0.51</v>
      </c>
      <c r="N1260" t="s">
        <v>4122</v>
      </c>
    </row>
    <row r="1261" spans="1:14">
      <c r="A1261">
        <v>4106</v>
      </c>
      <c r="B1261" t="s">
        <v>1091</v>
      </c>
      <c r="C1261">
        <v>24.15</v>
      </c>
      <c r="D1261">
        <v>24.15</v>
      </c>
      <c r="E1261" s="178">
        <v>0.1</v>
      </c>
      <c r="F1261" s="176">
        <v>0.42</v>
      </c>
      <c r="G1261" t="s">
        <v>5212</v>
      </c>
      <c r="H1261">
        <v>49</v>
      </c>
      <c r="I1261">
        <v>134</v>
      </c>
      <c r="J1261">
        <v>10.09</v>
      </c>
      <c r="K1261">
        <v>24.15</v>
      </c>
      <c r="L1261">
        <v>23.95</v>
      </c>
      <c r="M1261" s="175">
        <v>0.05</v>
      </c>
      <c r="N1261" t="s">
        <v>4123</v>
      </c>
    </row>
    <row r="1262" spans="1:14">
      <c r="A1262">
        <v>4107</v>
      </c>
      <c r="B1262" t="s">
        <v>1092</v>
      </c>
      <c r="C1262">
        <v>109.5</v>
      </c>
      <c r="D1262">
        <v>109</v>
      </c>
      <c r="E1262" s="178">
        <v>-0.5</v>
      </c>
      <c r="F1262" s="176">
        <v>-0.46</v>
      </c>
      <c r="G1262" t="s">
        <v>5553</v>
      </c>
      <c r="H1262">
        <v>40</v>
      </c>
      <c r="I1262">
        <v>31</v>
      </c>
      <c r="J1262">
        <v>6.93</v>
      </c>
      <c r="K1262">
        <v>109.5</v>
      </c>
      <c r="L1262">
        <v>108.5</v>
      </c>
      <c r="M1262" s="175">
        <v>0.06</v>
      </c>
      <c r="N1262" t="s">
        <v>4124</v>
      </c>
    </row>
    <row r="1263" spans="1:14">
      <c r="A1263">
        <v>4108</v>
      </c>
      <c r="B1263" t="s">
        <v>1093</v>
      </c>
      <c r="C1263">
        <v>11.3</v>
      </c>
      <c r="D1263">
        <v>11.2</v>
      </c>
      <c r="E1263" s="178">
        <v>-0.1</v>
      </c>
      <c r="F1263" s="176">
        <v>-0.88</v>
      </c>
      <c r="G1263" t="s">
        <v>5636</v>
      </c>
      <c r="H1263">
        <v>172</v>
      </c>
      <c r="I1263">
        <v>232</v>
      </c>
      <c r="J1263">
        <v>19.86</v>
      </c>
      <c r="K1263">
        <v>11.4</v>
      </c>
      <c r="L1263">
        <v>11.2</v>
      </c>
      <c r="M1263" s="175">
        <v>0.09</v>
      </c>
      <c r="N1263" t="s">
        <v>4125</v>
      </c>
    </row>
    <row r="1264" spans="1:14">
      <c r="A1264">
        <v>4109</v>
      </c>
      <c r="B1264" t="s">
        <v>1094</v>
      </c>
      <c r="C1264">
        <v>10.95</v>
      </c>
      <c r="D1264">
        <v>11.2</v>
      </c>
      <c r="E1264" s="178">
        <v>0.2</v>
      </c>
      <c r="F1264" s="176">
        <v>1.82</v>
      </c>
      <c r="G1264" t="s">
        <v>6482</v>
      </c>
      <c r="H1264">
        <v>425</v>
      </c>
      <c r="I1264">
        <v>108</v>
      </c>
      <c r="J1264">
        <v>11.87</v>
      </c>
      <c r="K1264">
        <v>11.5</v>
      </c>
      <c r="L1264">
        <v>10.9</v>
      </c>
      <c r="M1264" s="175">
        <v>0.36</v>
      </c>
      <c r="N1264" t="s">
        <v>4126</v>
      </c>
    </row>
    <row r="1265" spans="1:14">
      <c r="A1265">
        <v>4111</v>
      </c>
      <c r="B1265" t="s">
        <v>1095</v>
      </c>
      <c r="C1265">
        <v>28.85</v>
      </c>
      <c r="D1265">
        <v>28.65</v>
      </c>
      <c r="E1265" s="178">
        <v>-0.25</v>
      </c>
      <c r="F1265" s="176">
        <v>-0.87</v>
      </c>
      <c r="G1265" t="s">
        <v>5174</v>
      </c>
      <c r="H1265">
        <v>56</v>
      </c>
      <c r="I1265">
        <v>29</v>
      </c>
      <c r="J1265">
        <v>5.98</v>
      </c>
      <c r="K1265">
        <v>29.05</v>
      </c>
      <c r="L1265">
        <v>28.65</v>
      </c>
      <c r="M1265" s="175">
        <v>0.09</v>
      </c>
      <c r="N1265" t="s">
        <v>4127</v>
      </c>
    </row>
    <row r="1266" spans="1:14">
      <c r="A1266">
        <v>4113</v>
      </c>
      <c r="B1266" t="s">
        <v>1096</v>
      </c>
      <c r="C1266">
        <v>14.4</v>
      </c>
      <c r="D1266">
        <v>14.25</v>
      </c>
      <c r="E1266" s="178">
        <v>-0.3</v>
      </c>
      <c r="F1266" s="176">
        <v>-2.06</v>
      </c>
      <c r="G1266" t="s">
        <v>5507</v>
      </c>
      <c r="H1266">
        <v>215</v>
      </c>
      <c r="I1266">
        <v>429</v>
      </c>
      <c r="J1266">
        <v>23.11</v>
      </c>
      <c r="K1266">
        <v>14.4</v>
      </c>
      <c r="L1266">
        <v>14.1</v>
      </c>
      <c r="M1266" s="175">
        <v>0.09</v>
      </c>
      <c r="N1266" t="s">
        <v>4128</v>
      </c>
    </row>
    <row r="1267" spans="1:14">
      <c r="A1267">
        <v>4114</v>
      </c>
      <c r="B1267" t="s">
        <v>2895</v>
      </c>
      <c r="C1267">
        <v>29.95</v>
      </c>
      <c r="D1267">
        <v>30.15</v>
      </c>
      <c r="E1267" s="178">
        <v>0.25</v>
      </c>
      <c r="F1267" s="176">
        <v>0.84</v>
      </c>
      <c r="G1267" t="s">
        <v>6483</v>
      </c>
      <c r="H1267">
        <v>1909</v>
      </c>
      <c r="I1267">
        <v>1273</v>
      </c>
      <c r="J1267">
        <v>55.19</v>
      </c>
      <c r="K1267">
        <v>30.2</v>
      </c>
      <c r="L1267">
        <v>29.95</v>
      </c>
      <c r="M1267" s="175">
        <v>0.35</v>
      </c>
      <c r="N1267" t="s">
        <v>4129</v>
      </c>
    </row>
    <row r="1268" spans="1:14">
      <c r="A1268">
        <v>4116</v>
      </c>
      <c r="B1268" t="s">
        <v>1097</v>
      </c>
      <c r="C1268">
        <v>40.049999999999997</v>
      </c>
      <c r="D1268">
        <v>39.700000000000003</v>
      </c>
      <c r="E1268" s="178">
        <v>-0.6</v>
      </c>
      <c r="F1268" s="176">
        <v>-1.49</v>
      </c>
      <c r="G1268" t="s">
        <v>5223</v>
      </c>
      <c r="H1268">
        <v>52</v>
      </c>
      <c r="I1268">
        <v>26</v>
      </c>
      <c r="J1268">
        <v>4.46</v>
      </c>
      <c r="K1268">
        <v>40.049999999999997</v>
      </c>
      <c r="L1268">
        <v>39.65</v>
      </c>
      <c r="M1268" s="175">
        <v>0.12</v>
      </c>
      <c r="N1268" t="s">
        <v>4130</v>
      </c>
    </row>
    <row r="1269" spans="1:14">
      <c r="A1269">
        <v>4119</v>
      </c>
      <c r="B1269" t="s">
        <v>1098</v>
      </c>
      <c r="C1269">
        <v>54.2</v>
      </c>
      <c r="D1269">
        <v>53.4</v>
      </c>
      <c r="E1269" s="178">
        <v>-1.6</v>
      </c>
      <c r="F1269" s="176">
        <v>-2.91</v>
      </c>
      <c r="G1269" t="s">
        <v>6484</v>
      </c>
      <c r="H1269">
        <v>121</v>
      </c>
      <c r="I1269">
        <v>114</v>
      </c>
      <c r="J1269">
        <v>11.95</v>
      </c>
      <c r="K1269">
        <v>55.3</v>
      </c>
      <c r="L1269">
        <v>53.4</v>
      </c>
      <c r="M1269" s="175">
        <v>0.1</v>
      </c>
      <c r="N1269" t="s">
        <v>4131</v>
      </c>
    </row>
    <row r="1270" spans="1:14">
      <c r="A1270">
        <v>4120</v>
      </c>
      <c r="B1270" t="s">
        <v>1099</v>
      </c>
      <c r="C1270">
        <v>45</v>
      </c>
      <c r="D1270">
        <v>45</v>
      </c>
      <c r="E1270" s="178">
        <v>-0.5</v>
      </c>
      <c r="F1270" s="176">
        <v>-1.1000000000000001</v>
      </c>
      <c r="G1270" t="s">
        <v>6485</v>
      </c>
      <c r="H1270">
        <v>1</v>
      </c>
      <c r="I1270">
        <v>19</v>
      </c>
      <c r="J1270">
        <v>8.67</v>
      </c>
      <c r="K1270">
        <v>45</v>
      </c>
      <c r="L1270">
        <v>45</v>
      </c>
      <c r="M1270" s="175">
        <v>0</v>
      </c>
      <c r="N1270" t="s">
        <v>4132</v>
      </c>
    </row>
    <row r="1271" spans="1:14">
      <c r="A1271">
        <v>4121</v>
      </c>
      <c r="B1271" t="s">
        <v>1100</v>
      </c>
      <c r="C1271">
        <v>13.15</v>
      </c>
      <c r="D1271">
        <v>12.9</v>
      </c>
      <c r="E1271" s="178">
        <v>-0.15</v>
      </c>
      <c r="F1271" s="176">
        <v>-1.1499999999999999</v>
      </c>
      <c r="G1271" t="s">
        <v>6486</v>
      </c>
      <c r="H1271">
        <v>70</v>
      </c>
      <c r="I1271">
        <v>134</v>
      </c>
      <c r="J1271">
        <v>8.31</v>
      </c>
      <c r="K1271">
        <v>13.15</v>
      </c>
      <c r="L1271">
        <v>12.9</v>
      </c>
      <c r="M1271" s="175">
        <v>0.08</v>
      </c>
      <c r="N1271" t="s">
        <v>4133</v>
      </c>
    </row>
    <row r="1272" spans="1:14">
      <c r="A1272">
        <v>4123</v>
      </c>
      <c r="B1272" t="s">
        <v>1101</v>
      </c>
      <c r="C1272">
        <v>30.85</v>
      </c>
      <c r="D1272">
        <v>30.95</v>
      </c>
      <c r="E1272" s="178">
        <v>-0.05</v>
      </c>
      <c r="F1272" s="176">
        <v>-0.16</v>
      </c>
      <c r="G1272" t="s">
        <v>6487</v>
      </c>
      <c r="H1272">
        <v>1440</v>
      </c>
      <c r="I1272">
        <v>1137</v>
      </c>
      <c r="J1272">
        <v>81.19</v>
      </c>
      <c r="K1272">
        <v>31.3</v>
      </c>
      <c r="L1272">
        <v>30.8</v>
      </c>
      <c r="M1272" s="175">
        <v>0.18</v>
      </c>
      <c r="N1272" t="s">
        <v>4134</v>
      </c>
    </row>
    <row r="1273" spans="1:14">
      <c r="A1273">
        <v>4126</v>
      </c>
      <c r="B1273" t="s">
        <v>1102</v>
      </c>
      <c r="C1273">
        <v>77.3</v>
      </c>
      <c r="D1273">
        <v>77.099999999999994</v>
      </c>
      <c r="E1273" s="178">
        <v>-0.3</v>
      </c>
      <c r="F1273" s="176">
        <v>-0.39</v>
      </c>
      <c r="G1273" t="s">
        <v>5473</v>
      </c>
      <c r="H1273">
        <v>37</v>
      </c>
      <c r="I1273">
        <v>35</v>
      </c>
      <c r="J1273">
        <v>7.26</v>
      </c>
      <c r="K1273">
        <v>77.3</v>
      </c>
      <c r="L1273">
        <v>77</v>
      </c>
      <c r="M1273" s="175">
        <v>0.05</v>
      </c>
      <c r="N1273" t="s">
        <v>4135</v>
      </c>
    </row>
    <row r="1274" spans="1:14">
      <c r="A1274">
        <v>4127</v>
      </c>
      <c r="B1274" t="s">
        <v>1103</v>
      </c>
      <c r="C1274">
        <v>40.85</v>
      </c>
      <c r="D1274">
        <v>39.6</v>
      </c>
      <c r="E1274" s="178">
        <v>-1.4</v>
      </c>
      <c r="F1274" s="176">
        <v>-3.41</v>
      </c>
      <c r="G1274" t="s">
        <v>6488</v>
      </c>
      <c r="H1274">
        <v>141</v>
      </c>
      <c r="I1274">
        <v>692</v>
      </c>
      <c r="J1274">
        <v>4.58</v>
      </c>
      <c r="K1274">
        <v>41.05</v>
      </c>
      <c r="L1274">
        <v>39.6</v>
      </c>
      <c r="M1274" s="175">
        <v>0.31</v>
      </c>
      <c r="N1274" t="s">
        <v>4136</v>
      </c>
    </row>
    <row r="1275" spans="1:14">
      <c r="A1275">
        <v>4128</v>
      </c>
      <c r="B1275" t="s">
        <v>1104</v>
      </c>
      <c r="C1275">
        <v>15.15</v>
      </c>
      <c r="D1275">
        <v>15.1</v>
      </c>
      <c r="E1275" s="178">
        <v>-0.25</v>
      </c>
      <c r="F1275" s="176">
        <v>-1.63</v>
      </c>
      <c r="G1275" t="s">
        <v>6489</v>
      </c>
      <c r="H1275">
        <v>828</v>
      </c>
      <c r="I1275">
        <v>1409</v>
      </c>
      <c r="J1275">
        <v>58.82</v>
      </c>
      <c r="K1275">
        <v>15.25</v>
      </c>
      <c r="L1275">
        <v>15</v>
      </c>
      <c r="M1275" s="175">
        <v>0.14000000000000001</v>
      </c>
      <c r="N1275" t="s">
        <v>4137</v>
      </c>
    </row>
    <row r="1276" spans="1:14">
      <c r="A1276">
        <v>4129</v>
      </c>
      <c r="B1276" t="s">
        <v>1105</v>
      </c>
      <c r="C1276">
        <v>78.3</v>
      </c>
      <c r="D1276">
        <v>77.099999999999994</v>
      </c>
      <c r="E1276" s="178">
        <v>-1.3</v>
      </c>
      <c r="F1276" s="176">
        <v>-1.66</v>
      </c>
      <c r="G1276" t="s">
        <v>6490</v>
      </c>
      <c r="H1276">
        <v>400</v>
      </c>
      <c r="I1276">
        <v>381</v>
      </c>
      <c r="J1276">
        <v>9.64</v>
      </c>
      <c r="K1276">
        <v>78.3</v>
      </c>
      <c r="L1276">
        <v>77.099999999999994</v>
      </c>
      <c r="M1276" s="175">
        <v>0.41</v>
      </c>
      <c r="N1276" t="s">
        <v>4138</v>
      </c>
    </row>
    <row r="1277" spans="1:14">
      <c r="A1277">
        <v>4131</v>
      </c>
      <c r="B1277" t="s">
        <v>2291</v>
      </c>
      <c r="C1277">
        <v>30.3</v>
      </c>
      <c r="D1277">
        <v>30.3</v>
      </c>
      <c r="E1277" s="178">
        <v>-0.5</v>
      </c>
      <c r="F1277" s="176">
        <v>-1.62</v>
      </c>
      <c r="G1277" t="s">
        <v>6491</v>
      </c>
      <c r="H1277">
        <v>1</v>
      </c>
      <c r="I1277">
        <v>15</v>
      </c>
      <c r="J1277">
        <v>3.99</v>
      </c>
      <c r="K1277">
        <v>30.3</v>
      </c>
      <c r="L1277">
        <v>30.3</v>
      </c>
      <c r="M1277" s="175">
        <v>0</v>
      </c>
      <c r="N1277" t="s">
        <v>4139</v>
      </c>
    </row>
    <row r="1278" spans="1:14">
      <c r="A1278">
        <v>4133</v>
      </c>
      <c r="B1278" t="s">
        <v>1106</v>
      </c>
      <c r="C1278">
        <v>21.55</v>
      </c>
      <c r="D1278">
        <v>21.1</v>
      </c>
      <c r="E1278" s="178">
        <v>-0.35</v>
      </c>
      <c r="F1278" s="176">
        <v>-1.63</v>
      </c>
      <c r="G1278" t="s">
        <v>6492</v>
      </c>
      <c r="H1278">
        <v>189</v>
      </c>
      <c r="I1278">
        <v>793</v>
      </c>
      <c r="J1278">
        <v>6.06</v>
      </c>
      <c r="K1278">
        <v>21.8</v>
      </c>
      <c r="L1278">
        <v>21.1</v>
      </c>
      <c r="M1278" s="175">
        <v>0.31</v>
      </c>
      <c r="N1278" t="s">
        <v>4140</v>
      </c>
    </row>
    <row r="1279" spans="1:14">
      <c r="A1279">
        <v>4137</v>
      </c>
      <c r="B1279" t="s">
        <v>1107</v>
      </c>
      <c r="C1279">
        <v>80.5</v>
      </c>
      <c r="D1279">
        <v>80.400000000000006</v>
      </c>
      <c r="E1279" s="178">
        <v>-0.1</v>
      </c>
      <c r="F1279" s="176">
        <v>-0.12</v>
      </c>
      <c r="G1279" t="s">
        <v>6493</v>
      </c>
      <c r="H1279">
        <v>210</v>
      </c>
      <c r="I1279">
        <v>221</v>
      </c>
      <c r="J1279">
        <v>8.25</v>
      </c>
      <c r="K1279">
        <v>81.400000000000006</v>
      </c>
      <c r="L1279">
        <v>80</v>
      </c>
      <c r="M1279" s="175">
        <v>0.25</v>
      </c>
      <c r="N1279" t="s">
        <v>4141</v>
      </c>
    </row>
    <row r="1280" spans="1:14">
      <c r="A1280">
        <v>4138</v>
      </c>
      <c r="B1280" t="s">
        <v>1108</v>
      </c>
      <c r="C1280">
        <v>54.3</v>
      </c>
      <c r="D1280">
        <v>53.9</v>
      </c>
      <c r="E1280" s="178">
        <v>-0.7</v>
      </c>
      <c r="F1280" s="176">
        <v>-1.28</v>
      </c>
      <c r="G1280" t="s">
        <v>5914</v>
      </c>
      <c r="H1280">
        <v>33</v>
      </c>
      <c r="I1280">
        <v>18</v>
      </c>
      <c r="J1280">
        <v>3.99</v>
      </c>
      <c r="K1280">
        <v>54.3</v>
      </c>
      <c r="L1280">
        <v>53.8</v>
      </c>
      <c r="M1280" s="175">
        <v>0.08</v>
      </c>
      <c r="N1280" t="s">
        <v>4142</v>
      </c>
    </row>
    <row r="1281" spans="1:14">
      <c r="A1281">
        <v>4139</v>
      </c>
      <c r="B1281" t="s">
        <v>1109</v>
      </c>
      <c r="C1281">
        <v>43.55</v>
      </c>
      <c r="D1281">
        <v>43.95</v>
      </c>
      <c r="E1281" s="178">
        <v>0.4</v>
      </c>
      <c r="F1281" s="176">
        <v>0.92</v>
      </c>
      <c r="G1281" t="s">
        <v>6494</v>
      </c>
      <c r="H1281">
        <v>16</v>
      </c>
      <c r="I1281">
        <v>46</v>
      </c>
      <c r="J1281">
        <v>4.5</v>
      </c>
      <c r="K1281">
        <v>43.95</v>
      </c>
      <c r="L1281">
        <v>43.3</v>
      </c>
      <c r="M1281" s="175">
        <v>0.04</v>
      </c>
      <c r="N1281" t="s">
        <v>4143</v>
      </c>
    </row>
    <row r="1282" spans="1:14">
      <c r="A1282">
        <v>4142</v>
      </c>
      <c r="B1282" t="s">
        <v>1110</v>
      </c>
      <c r="C1282">
        <v>18.5</v>
      </c>
      <c r="D1282">
        <v>18.399999999999999</v>
      </c>
      <c r="E1282" s="178">
        <v>-0.05</v>
      </c>
      <c r="F1282" s="176">
        <v>-0.27</v>
      </c>
      <c r="G1282" t="s">
        <v>6495</v>
      </c>
      <c r="H1282">
        <v>1621</v>
      </c>
      <c r="I1282">
        <v>2589</v>
      </c>
      <c r="J1282">
        <v>42.95</v>
      </c>
      <c r="K1282">
        <v>18.649999999999999</v>
      </c>
      <c r="L1282">
        <v>18.3</v>
      </c>
      <c r="M1282" s="175">
        <v>0.38</v>
      </c>
      <c r="N1282" t="s">
        <v>4144</v>
      </c>
    </row>
    <row r="1283" spans="1:14">
      <c r="A1283">
        <v>4147</v>
      </c>
      <c r="B1283" t="s">
        <v>1111</v>
      </c>
      <c r="C1283">
        <v>60.2</v>
      </c>
      <c r="D1283">
        <v>59.5</v>
      </c>
      <c r="E1283" s="178">
        <v>-0.9</v>
      </c>
      <c r="F1283" s="176">
        <v>-1.49</v>
      </c>
      <c r="G1283" t="s">
        <v>6496</v>
      </c>
      <c r="H1283">
        <v>1106</v>
      </c>
      <c r="I1283">
        <v>657</v>
      </c>
      <c r="J1283">
        <v>27.32</v>
      </c>
      <c r="K1283">
        <v>62.5</v>
      </c>
      <c r="L1283">
        <v>59.5</v>
      </c>
      <c r="M1283" s="175">
        <v>0.4</v>
      </c>
      <c r="N1283" t="s">
        <v>4145</v>
      </c>
    </row>
    <row r="1284" spans="1:14">
      <c r="A1284">
        <v>4148</v>
      </c>
      <c r="B1284" t="s">
        <v>325</v>
      </c>
      <c r="C1284">
        <v>31.8</v>
      </c>
      <c r="D1284">
        <v>31.8</v>
      </c>
      <c r="E1284" s="178">
        <v>0.15</v>
      </c>
      <c r="F1284" s="176">
        <v>0.47</v>
      </c>
      <c r="G1284" t="s">
        <v>5482</v>
      </c>
      <c r="H1284">
        <v>22</v>
      </c>
      <c r="I1284">
        <v>19</v>
      </c>
      <c r="J1284">
        <v>6.72</v>
      </c>
      <c r="K1284">
        <v>32</v>
      </c>
      <c r="L1284">
        <v>31.6</v>
      </c>
      <c r="M1284" s="175">
        <v>0.03</v>
      </c>
      <c r="N1284" t="s">
        <v>4146</v>
      </c>
    </row>
    <row r="1285" spans="1:14">
      <c r="A1285">
        <v>4153</v>
      </c>
      <c r="B1285" t="s">
        <v>88</v>
      </c>
      <c r="C1285">
        <v>30.85</v>
      </c>
      <c r="D1285">
        <v>30.55</v>
      </c>
      <c r="E1285" s="178">
        <v>-0.35</v>
      </c>
      <c r="F1285" s="176">
        <v>-1.1299999999999999</v>
      </c>
      <c r="G1285" t="s">
        <v>5642</v>
      </c>
      <c r="H1285">
        <v>14</v>
      </c>
      <c r="I1285">
        <v>30</v>
      </c>
      <c r="J1285">
        <v>5.87</v>
      </c>
      <c r="K1285">
        <v>30.85</v>
      </c>
      <c r="L1285">
        <v>30.55</v>
      </c>
      <c r="M1285" s="175">
        <v>0.02</v>
      </c>
      <c r="N1285" t="s">
        <v>4147</v>
      </c>
    </row>
    <row r="1286" spans="1:14">
      <c r="A1286">
        <v>4154</v>
      </c>
      <c r="B1286" t="s">
        <v>2603</v>
      </c>
      <c r="C1286" t="s">
        <v>1555</v>
      </c>
      <c r="D1286" t="s">
        <v>1555</v>
      </c>
      <c r="E1286" s="178" t="s">
        <v>1555</v>
      </c>
      <c r="F1286" s="176" t="s">
        <v>1555</v>
      </c>
      <c r="G1286" t="s">
        <v>1555</v>
      </c>
      <c r="H1286">
        <v>0</v>
      </c>
      <c r="I1286">
        <v>4</v>
      </c>
      <c r="J1286">
        <v>3.84</v>
      </c>
      <c r="K1286" t="s">
        <v>1555</v>
      </c>
      <c r="L1286" t="s">
        <v>1555</v>
      </c>
      <c r="M1286" s="175">
        <v>0</v>
      </c>
      <c r="N1286" t="s">
        <v>4148</v>
      </c>
    </row>
    <row r="1287" spans="1:14">
      <c r="A1287">
        <v>4157</v>
      </c>
      <c r="B1287" t="s">
        <v>1112</v>
      </c>
      <c r="C1287">
        <v>8.9600000000000009</v>
      </c>
      <c r="D1287">
        <v>8.8000000000000007</v>
      </c>
      <c r="E1287" s="178">
        <v>-0.12</v>
      </c>
      <c r="F1287" s="176">
        <v>-1.35</v>
      </c>
      <c r="G1287" t="s">
        <v>6497</v>
      </c>
      <c r="H1287">
        <v>1261</v>
      </c>
      <c r="I1287">
        <v>2713</v>
      </c>
      <c r="J1287">
        <v>0.01</v>
      </c>
      <c r="K1287">
        <v>9.01</v>
      </c>
      <c r="L1287">
        <v>8.76</v>
      </c>
      <c r="M1287" s="175">
        <v>0.18</v>
      </c>
      <c r="N1287" t="s">
        <v>4149</v>
      </c>
    </row>
    <row r="1288" spans="1:14">
      <c r="A1288">
        <v>4160</v>
      </c>
      <c r="B1288" t="s">
        <v>2292</v>
      </c>
      <c r="C1288">
        <v>38.5</v>
      </c>
      <c r="D1288">
        <v>38.299999999999997</v>
      </c>
      <c r="E1288" s="178">
        <v>-0.4</v>
      </c>
      <c r="F1288" s="176">
        <v>-1.03</v>
      </c>
      <c r="G1288" t="s">
        <v>5550</v>
      </c>
      <c r="H1288">
        <v>65</v>
      </c>
      <c r="I1288">
        <v>24</v>
      </c>
      <c r="J1288">
        <v>2.8</v>
      </c>
      <c r="K1288">
        <v>38.9</v>
      </c>
      <c r="L1288">
        <v>37.9</v>
      </c>
      <c r="M1288" s="175">
        <v>0.23</v>
      </c>
      <c r="N1288" t="s">
        <v>4150</v>
      </c>
    </row>
    <row r="1289" spans="1:14">
      <c r="A1289">
        <v>4161</v>
      </c>
      <c r="B1289" t="s">
        <v>1113</v>
      </c>
      <c r="C1289">
        <v>21.2</v>
      </c>
      <c r="D1289">
        <v>21.15</v>
      </c>
      <c r="E1289" s="178">
        <v>-0.15</v>
      </c>
      <c r="F1289" s="176">
        <v>-0.7</v>
      </c>
      <c r="G1289" t="s">
        <v>6498</v>
      </c>
      <c r="H1289">
        <v>38</v>
      </c>
      <c r="I1289">
        <v>21</v>
      </c>
      <c r="J1289">
        <v>5.98</v>
      </c>
      <c r="K1289">
        <v>21.55</v>
      </c>
      <c r="L1289">
        <v>21.15</v>
      </c>
      <c r="M1289" s="175">
        <v>0.06</v>
      </c>
      <c r="N1289" t="s">
        <v>4151</v>
      </c>
    </row>
    <row r="1290" spans="1:14">
      <c r="A1290">
        <v>4162</v>
      </c>
      <c r="B1290" t="s">
        <v>1114</v>
      </c>
      <c r="C1290">
        <v>56.7</v>
      </c>
      <c r="D1290">
        <v>56.6</v>
      </c>
      <c r="E1290" s="178">
        <v>-0.2</v>
      </c>
      <c r="F1290" s="176">
        <v>-0.35</v>
      </c>
      <c r="G1290" t="s">
        <v>6499</v>
      </c>
      <c r="H1290">
        <v>217</v>
      </c>
      <c r="I1290">
        <v>292</v>
      </c>
      <c r="J1290">
        <v>14.37</v>
      </c>
      <c r="K1290">
        <v>57.3</v>
      </c>
      <c r="L1290">
        <v>56</v>
      </c>
      <c r="M1290" s="175">
        <v>0.15</v>
      </c>
      <c r="N1290" t="s">
        <v>4152</v>
      </c>
    </row>
    <row r="1291" spans="1:14">
      <c r="A1291">
        <v>4163</v>
      </c>
      <c r="B1291" t="s">
        <v>1115</v>
      </c>
      <c r="C1291">
        <v>127.5</v>
      </c>
      <c r="D1291">
        <v>126</v>
      </c>
      <c r="E1291" s="178">
        <v>-1.5</v>
      </c>
      <c r="F1291" s="176">
        <v>-1.18</v>
      </c>
      <c r="G1291" t="s">
        <v>5399</v>
      </c>
      <c r="H1291">
        <v>31</v>
      </c>
      <c r="I1291">
        <v>50</v>
      </c>
      <c r="J1291">
        <v>5.07</v>
      </c>
      <c r="K1291">
        <v>127.5</v>
      </c>
      <c r="L1291">
        <v>124.5</v>
      </c>
      <c r="M1291" s="175">
        <v>0.06</v>
      </c>
      <c r="N1291" t="s">
        <v>4153</v>
      </c>
    </row>
    <row r="1292" spans="1:14">
      <c r="A1292">
        <v>4164</v>
      </c>
      <c r="B1292" t="s">
        <v>1116</v>
      </c>
      <c r="C1292">
        <v>28.15</v>
      </c>
      <c r="D1292">
        <v>27.9</v>
      </c>
      <c r="E1292" s="178">
        <v>-0.25</v>
      </c>
      <c r="F1292" s="176">
        <v>-0.89</v>
      </c>
      <c r="G1292" t="s">
        <v>6500</v>
      </c>
      <c r="H1292">
        <v>593</v>
      </c>
      <c r="I1292">
        <v>507</v>
      </c>
      <c r="J1292">
        <v>19.57</v>
      </c>
      <c r="K1292">
        <v>28.25</v>
      </c>
      <c r="L1292">
        <v>27.85</v>
      </c>
      <c r="M1292" s="175">
        <v>0.31</v>
      </c>
      <c r="N1292" t="s">
        <v>4154</v>
      </c>
    </row>
    <row r="1293" spans="1:14">
      <c r="A1293">
        <v>4166</v>
      </c>
      <c r="B1293" t="s">
        <v>2864</v>
      </c>
      <c r="C1293">
        <v>24.1</v>
      </c>
      <c r="D1293">
        <v>24.2</v>
      </c>
      <c r="E1293" s="178">
        <v>-0.15</v>
      </c>
      <c r="F1293" s="176">
        <v>-0.62</v>
      </c>
      <c r="G1293" t="s">
        <v>5643</v>
      </c>
      <c r="H1293">
        <v>73</v>
      </c>
      <c r="I1293">
        <v>75</v>
      </c>
      <c r="J1293">
        <v>24.3</v>
      </c>
      <c r="K1293">
        <v>24.55</v>
      </c>
      <c r="L1293">
        <v>24.1</v>
      </c>
      <c r="M1293" s="175">
        <v>0.03</v>
      </c>
      <c r="N1293" t="s">
        <v>4155</v>
      </c>
    </row>
    <row r="1294" spans="1:14">
      <c r="A1294">
        <v>4167</v>
      </c>
      <c r="B1294" t="s">
        <v>1117</v>
      </c>
      <c r="C1294">
        <v>21.85</v>
      </c>
      <c r="D1294">
        <v>21.75</v>
      </c>
      <c r="E1294" s="178">
        <v>-0.4</v>
      </c>
      <c r="F1294" s="176">
        <v>-1.81</v>
      </c>
      <c r="G1294" t="s">
        <v>6501</v>
      </c>
      <c r="H1294">
        <v>2778</v>
      </c>
      <c r="I1294">
        <v>7664</v>
      </c>
      <c r="J1294">
        <v>33.159999999999997</v>
      </c>
      <c r="K1294">
        <v>22.45</v>
      </c>
      <c r="L1294">
        <v>21.6</v>
      </c>
      <c r="M1294" s="175">
        <v>0.84</v>
      </c>
      <c r="N1294" t="s">
        <v>4156</v>
      </c>
    </row>
    <row r="1295" spans="1:14">
      <c r="A1295">
        <v>4168</v>
      </c>
      <c r="B1295" t="s">
        <v>1118</v>
      </c>
      <c r="C1295">
        <v>21.8</v>
      </c>
      <c r="D1295">
        <v>21.7</v>
      </c>
      <c r="E1295" s="178">
        <v>-0.25</v>
      </c>
      <c r="F1295" s="176">
        <v>-1.1399999999999999</v>
      </c>
      <c r="G1295" t="s">
        <v>5857</v>
      </c>
      <c r="H1295">
        <v>80</v>
      </c>
      <c r="I1295">
        <v>94</v>
      </c>
      <c r="J1295">
        <v>11.25</v>
      </c>
      <c r="K1295">
        <v>21.8</v>
      </c>
      <c r="L1295">
        <v>21.55</v>
      </c>
      <c r="M1295" s="175">
        <v>7.0000000000000007E-2</v>
      </c>
      <c r="N1295" t="s">
        <v>4157</v>
      </c>
    </row>
    <row r="1296" spans="1:14">
      <c r="A1296">
        <v>4169</v>
      </c>
      <c r="B1296" t="s">
        <v>3098</v>
      </c>
      <c r="C1296">
        <v>145</v>
      </c>
      <c r="D1296">
        <v>145.5</v>
      </c>
      <c r="E1296" s="178">
        <v>-0.5</v>
      </c>
      <c r="F1296" s="176">
        <v>-0.34</v>
      </c>
      <c r="G1296" t="s">
        <v>6502</v>
      </c>
      <c r="H1296">
        <v>78</v>
      </c>
      <c r="I1296">
        <v>71</v>
      </c>
      <c r="J1296">
        <v>6.64</v>
      </c>
      <c r="K1296">
        <v>147</v>
      </c>
      <c r="L1296">
        <v>143</v>
      </c>
      <c r="M1296" s="175">
        <v>0.12</v>
      </c>
      <c r="N1296" t="s">
        <v>4158</v>
      </c>
    </row>
    <row r="1297" spans="1:14">
      <c r="A1297">
        <v>4171</v>
      </c>
      <c r="B1297" t="s">
        <v>1119</v>
      </c>
      <c r="C1297">
        <v>17.149999999999999</v>
      </c>
      <c r="D1297">
        <v>17.100000000000001</v>
      </c>
      <c r="E1297" s="178">
        <v>-0.25</v>
      </c>
      <c r="F1297" s="176">
        <v>-1.44</v>
      </c>
      <c r="G1297" t="s">
        <v>5571</v>
      </c>
      <c r="H1297">
        <v>212</v>
      </c>
      <c r="I1297">
        <v>1162</v>
      </c>
      <c r="J1297">
        <v>5.81</v>
      </c>
      <c r="K1297">
        <v>18</v>
      </c>
      <c r="L1297">
        <v>17.100000000000001</v>
      </c>
      <c r="M1297" s="175">
        <v>0.37</v>
      </c>
      <c r="N1297" t="s">
        <v>4159</v>
      </c>
    </row>
    <row r="1298" spans="1:14">
      <c r="A1298">
        <v>4173</v>
      </c>
      <c r="B1298" t="s">
        <v>1120</v>
      </c>
      <c r="C1298">
        <v>17.75</v>
      </c>
      <c r="D1298">
        <v>17.649999999999999</v>
      </c>
      <c r="E1298" s="178">
        <v>-0.15</v>
      </c>
      <c r="F1298" s="176">
        <v>-0.84</v>
      </c>
      <c r="G1298" t="s">
        <v>5376</v>
      </c>
      <c r="H1298">
        <v>137</v>
      </c>
      <c r="I1298">
        <v>76</v>
      </c>
      <c r="J1298">
        <v>7.46</v>
      </c>
      <c r="K1298">
        <v>17.75</v>
      </c>
      <c r="L1298">
        <v>17.45</v>
      </c>
      <c r="M1298" s="175">
        <v>0.18</v>
      </c>
      <c r="N1298" t="s">
        <v>4160</v>
      </c>
    </row>
    <row r="1299" spans="1:14">
      <c r="A1299">
        <v>4174</v>
      </c>
      <c r="B1299" t="s">
        <v>3064</v>
      </c>
      <c r="C1299">
        <v>59.7</v>
      </c>
      <c r="D1299">
        <v>59.9</v>
      </c>
      <c r="E1299" s="178">
        <v>0.2</v>
      </c>
      <c r="F1299" s="176">
        <v>0.34</v>
      </c>
      <c r="G1299" t="s">
        <v>6503</v>
      </c>
      <c r="H1299">
        <v>866</v>
      </c>
      <c r="I1299">
        <v>1261</v>
      </c>
      <c r="J1299">
        <v>13.16</v>
      </c>
      <c r="K1299">
        <v>61</v>
      </c>
      <c r="L1299">
        <v>57.4</v>
      </c>
      <c r="M1299" s="175">
        <v>0.66</v>
      </c>
      <c r="N1299" t="s">
        <v>4161</v>
      </c>
    </row>
    <row r="1300" spans="1:14">
      <c r="A1300">
        <v>4175</v>
      </c>
      <c r="B1300" t="s">
        <v>1121</v>
      </c>
      <c r="C1300">
        <v>50.7</v>
      </c>
      <c r="D1300">
        <v>50.9</v>
      </c>
      <c r="E1300" s="178">
        <v>-0.1</v>
      </c>
      <c r="F1300" s="176">
        <v>-0.2</v>
      </c>
      <c r="G1300" t="s">
        <v>5563</v>
      </c>
      <c r="H1300">
        <v>3</v>
      </c>
      <c r="I1300">
        <v>10</v>
      </c>
      <c r="J1300">
        <v>4.2300000000000004</v>
      </c>
      <c r="K1300">
        <v>50.9</v>
      </c>
      <c r="L1300">
        <v>50.7</v>
      </c>
      <c r="M1300" s="175">
        <v>0.01</v>
      </c>
      <c r="N1300" t="s">
        <v>4162</v>
      </c>
    </row>
    <row r="1301" spans="1:14">
      <c r="A1301">
        <v>4178</v>
      </c>
      <c r="B1301" t="s">
        <v>3160</v>
      </c>
      <c r="C1301">
        <v>17.3</v>
      </c>
      <c r="D1301">
        <v>17.3</v>
      </c>
      <c r="E1301" s="178">
        <v>-0.35</v>
      </c>
      <c r="F1301" s="176">
        <v>-1.98</v>
      </c>
      <c r="G1301" t="s">
        <v>6504</v>
      </c>
      <c r="H1301">
        <v>260</v>
      </c>
      <c r="I1301">
        <v>565</v>
      </c>
      <c r="J1301">
        <v>21.59</v>
      </c>
      <c r="K1301">
        <v>17.95</v>
      </c>
      <c r="L1301">
        <v>17.100000000000001</v>
      </c>
      <c r="M1301" s="175">
        <v>0.12</v>
      </c>
      <c r="N1301" t="s">
        <v>4163</v>
      </c>
    </row>
    <row r="1302" spans="1:14">
      <c r="A1302">
        <v>4183</v>
      </c>
      <c r="B1302" t="s">
        <v>1122</v>
      </c>
      <c r="C1302">
        <v>14.2</v>
      </c>
      <c r="D1302">
        <v>14.2</v>
      </c>
      <c r="E1302" s="178">
        <v>0</v>
      </c>
      <c r="F1302" s="176">
        <v>0</v>
      </c>
      <c r="G1302" t="s">
        <v>6505</v>
      </c>
      <c r="H1302">
        <v>1</v>
      </c>
      <c r="I1302">
        <v>0</v>
      </c>
      <c r="J1302">
        <v>2.38</v>
      </c>
      <c r="K1302">
        <v>14.2</v>
      </c>
      <c r="L1302">
        <v>14.2</v>
      </c>
      <c r="M1302" s="175">
        <v>0</v>
      </c>
      <c r="N1302" t="s">
        <v>4164</v>
      </c>
    </row>
    <row r="1303" spans="1:14">
      <c r="A1303">
        <v>4188</v>
      </c>
      <c r="B1303" t="s">
        <v>1123</v>
      </c>
      <c r="C1303">
        <v>12.85</v>
      </c>
      <c r="D1303">
        <v>13.1</v>
      </c>
      <c r="E1303" s="178">
        <v>-0.1</v>
      </c>
      <c r="F1303" s="176">
        <v>-0.76</v>
      </c>
      <c r="G1303" t="s">
        <v>5237</v>
      </c>
      <c r="H1303">
        <v>99</v>
      </c>
      <c r="I1303">
        <v>111</v>
      </c>
      <c r="J1303">
        <v>6.33</v>
      </c>
      <c r="K1303">
        <v>13.1</v>
      </c>
      <c r="L1303">
        <v>12.8</v>
      </c>
      <c r="M1303" s="175">
        <v>0.16</v>
      </c>
      <c r="N1303" t="s">
        <v>4165</v>
      </c>
    </row>
    <row r="1304" spans="1:14">
      <c r="A1304">
        <v>4190</v>
      </c>
      <c r="B1304" t="s">
        <v>1124</v>
      </c>
      <c r="C1304">
        <v>24.4</v>
      </c>
      <c r="D1304">
        <v>24.2</v>
      </c>
      <c r="E1304" s="178">
        <v>-0.1</v>
      </c>
      <c r="F1304" s="176">
        <v>-0.41</v>
      </c>
      <c r="G1304" t="s">
        <v>6506</v>
      </c>
      <c r="H1304">
        <v>18</v>
      </c>
      <c r="I1304">
        <v>19</v>
      </c>
      <c r="J1304">
        <v>6.13</v>
      </c>
      <c r="K1304">
        <v>24.4</v>
      </c>
      <c r="L1304">
        <v>24.05</v>
      </c>
      <c r="M1304" s="175">
        <v>0.03</v>
      </c>
      <c r="N1304" t="s">
        <v>4166</v>
      </c>
    </row>
    <row r="1305" spans="1:14">
      <c r="A1305">
        <v>4192</v>
      </c>
      <c r="B1305" t="s">
        <v>1125</v>
      </c>
      <c r="C1305">
        <v>17.600000000000001</v>
      </c>
      <c r="D1305">
        <v>18.2</v>
      </c>
      <c r="E1305" s="178">
        <v>0</v>
      </c>
      <c r="F1305" s="176">
        <v>0</v>
      </c>
      <c r="G1305" t="s">
        <v>6507</v>
      </c>
      <c r="H1305">
        <v>5</v>
      </c>
      <c r="I1305">
        <v>20</v>
      </c>
      <c r="J1305">
        <v>3.52</v>
      </c>
      <c r="K1305">
        <v>18.2</v>
      </c>
      <c r="L1305">
        <v>17.600000000000001</v>
      </c>
      <c r="M1305" s="175">
        <v>0.01</v>
      </c>
      <c r="N1305" t="s">
        <v>4167</v>
      </c>
    </row>
    <row r="1306" spans="1:14">
      <c r="A1306">
        <v>4198</v>
      </c>
      <c r="B1306" t="s">
        <v>1645</v>
      </c>
      <c r="C1306">
        <v>46.15</v>
      </c>
      <c r="D1306">
        <v>47.2</v>
      </c>
      <c r="E1306" s="178">
        <v>-0.5</v>
      </c>
      <c r="F1306" s="176">
        <v>-1.05</v>
      </c>
      <c r="G1306" t="s">
        <v>6508</v>
      </c>
      <c r="H1306">
        <v>6</v>
      </c>
      <c r="I1306">
        <v>2</v>
      </c>
      <c r="J1306">
        <v>2.41</v>
      </c>
      <c r="K1306">
        <v>47.2</v>
      </c>
      <c r="L1306">
        <v>46.05</v>
      </c>
      <c r="M1306" s="175">
        <v>0.02</v>
      </c>
      <c r="N1306" t="s">
        <v>4168</v>
      </c>
    </row>
    <row r="1307" spans="1:14">
      <c r="A1307">
        <v>4205</v>
      </c>
      <c r="B1307" t="s">
        <v>1126</v>
      </c>
      <c r="C1307">
        <v>67</v>
      </c>
      <c r="D1307">
        <v>67</v>
      </c>
      <c r="E1307" s="178">
        <v>-0.2</v>
      </c>
      <c r="F1307" s="176">
        <v>-0.3</v>
      </c>
      <c r="G1307" t="s">
        <v>5381</v>
      </c>
      <c r="H1307">
        <v>42</v>
      </c>
      <c r="I1307">
        <v>37</v>
      </c>
      <c r="J1307">
        <v>9.76</v>
      </c>
      <c r="K1307">
        <v>67.099999999999994</v>
      </c>
      <c r="L1307">
        <v>66.7</v>
      </c>
      <c r="M1307" s="175">
        <v>0.04</v>
      </c>
      <c r="N1307" t="s">
        <v>4169</v>
      </c>
    </row>
    <row r="1308" spans="1:14">
      <c r="A1308">
        <v>4207</v>
      </c>
      <c r="B1308" t="s">
        <v>1127</v>
      </c>
      <c r="C1308">
        <v>19.2</v>
      </c>
      <c r="D1308">
        <v>19.3</v>
      </c>
      <c r="E1308" s="178">
        <v>0.05</v>
      </c>
      <c r="F1308" s="176">
        <v>0.26</v>
      </c>
      <c r="G1308" t="s">
        <v>5465</v>
      </c>
      <c r="H1308">
        <v>159</v>
      </c>
      <c r="I1308">
        <v>176</v>
      </c>
      <c r="J1308">
        <v>19.850000000000001</v>
      </c>
      <c r="K1308">
        <v>19.3</v>
      </c>
      <c r="L1308">
        <v>19.2</v>
      </c>
      <c r="M1308" s="175">
        <v>0.08</v>
      </c>
      <c r="N1308" t="s">
        <v>4170</v>
      </c>
    </row>
    <row r="1309" spans="1:14">
      <c r="A1309">
        <v>4303</v>
      </c>
      <c r="B1309" t="s">
        <v>1128</v>
      </c>
      <c r="C1309">
        <v>32</v>
      </c>
      <c r="D1309">
        <v>31.3</v>
      </c>
      <c r="E1309" s="178">
        <v>-1.1000000000000001</v>
      </c>
      <c r="F1309" s="176">
        <v>-3.4</v>
      </c>
      <c r="G1309" t="s">
        <v>6509</v>
      </c>
      <c r="H1309">
        <v>696</v>
      </c>
      <c r="I1309">
        <v>740</v>
      </c>
      <c r="J1309">
        <v>13.24</v>
      </c>
      <c r="K1309">
        <v>32.049999999999997</v>
      </c>
      <c r="L1309">
        <v>31.15</v>
      </c>
      <c r="M1309" s="175">
        <v>0.53</v>
      </c>
      <c r="N1309" t="s">
        <v>4171</v>
      </c>
    </row>
    <row r="1310" spans="1:14">
      <c r="A1310">
        <v>4304</v>
      </c>
      <c r="B1310" t="s">
        <v>1129</v>
      </c>
      <c r="C1310">
        <v>16.8</v>
      </c>
      <c r="D1310">
        <v>16.8</v>
      </c>
      <c r="E1310" s="178">
        <v>0</v>
      </c>
      <c r="F1310" s="176">
        <v>0</v>
      </c>
      <c r="G1310" t="s">
        <v>6506</v>
      </c>
      <c r="H1310">
        <v>26</v>
      </c>
      <c r="I1310">
        <v>23</v>
      </c>
      <c r="J1310">
        <v>6.1</v>
      </c>
      <c r="K1310">
        <v>17</v>
      </c>
      <c r="L1310">
        <v>16.399999999999999</v>
      </c>
      <c r="M1310" s="175">
        <v>0.04</v>
      </c>
      <c r="N1310" t="s">
        <v>4172</v>
      </c>
    </row>
    <row r="1311" spans="1:14">
      <c r="A1311">
        <v>4305</v>
      </c>
      <c r="B1311" t="s">
        <v>1130</v>
      </c>
      <c r="C1311">
        <v>40.799999999999997</v>
      </c>
      <c r="D1311">
        <v>40.85</v>
      </c>
      <c r="E1311" s="178">
        <v>0.1</v>
      </c>
      <c r="F1311" s="176">
        <v>0.25</v>
      </c>
      <c r="G1311" t="s">
        <v>6510</v>
      </c>
      <c r="H1311">
        <v>3</v>
      </c>
      <c r="I1311">
        <v>7</v>
      </c>
      <c r="J1311">
        <v>5.5</v>
      </c>
      <c r="K1311">
        <v>40.9</v>
      </c>
      <c r="L1311">
        <v>40.799999999999997</v>
      </c>
      <c r="M1311" s="175">
        <v>0.01</v>
      </c>
      <c r="N1311" t="s">
        <v>4173</v>
      </c>
    </row>
    <row r="1312" spans="1:14">
      <c r="A1312">
        <v>4306</v>
      </c>
      <c r="B1312" t="s">
        <v>1131</v>
      </c>
      <c r="C1312">
        <v>14.6</v>
      </c>
      <c r="D1312">
        <v>14.55</v>
      </c>
      <c r="E1312" s="178">
        <v>-0.05</v>
      </c>
      <c r="F1312" s="176">
        <v>-0.34</v>
      </c>
      <c r="G1312" t="s">
        <v>6511</v>
      </c>
      <c r="H1312">
        <v>957</v>
      </c>
      <c r="I1312">
        <v>562</v>
      </c>
      <c r="J1312">
        <v>67.680000000000007</v>
      </c>
      <c r="K1312">
        <v>14.65</v>
      </c>
      <c r="L1312">
        <v>14.45</v>
      </c>
      <c r="M1312" s="175">
        <v>0.14000000000000001</v>
      </c>
      <c r="N1312" t="s">
        <v>4174</v>
      </c>
    </row>
    <row r="1313" spans="1:14">
      <c r="A1313">
        <v>4401</v>
      </c>
      <c r="B1313" t="s">
        <v>1132</v>
      </c>
      <c r="C1313">
        <v>13.65</v>
      </c>
      <c r="D1313">
        <v>13.55</v>
      </c>
      <c r="E1313" s="178">
        <v>-0.2</v>
      </c>
      <c r="F1313" s="176">
        <v>-1.45</v>
      </c>
      <c r="G1313" t="s">
        <v>5368</v>
      </c>
      <c r="H1313">
        <v>78</v>
      </c>
      <c r="I1313">
        <v>55</v>
      </c>
      <c r="J1313">
        <v>12.27</v>
      </c>
      <c r="K1313">
        <v>13.75</v>
      </c>
      <c r="L1313">
        <v>13.5</v>
      </c>
      <c r="M1313" s="175">
        <v>0.06</v>
      </c>
      <c r="N1313" t="s">
        <v>4175</v>
      </c>
    </row>
    <row r="1314" spans="1:14">
      <c r="A1314">
        <v>4402</v>
      </c>
      <c r="B1314" t="s">
        <v>2623</v>
      </c>
      <c r="C1314">
        <v>12.8</v>
      </c>
      <c r="D1314">
        <v>12.65</v>
      </c>
      <c r="E1314" s="178">
        <v>-0.35</v>
      </c>
      <c r="F1314" s="176">
        <v>-2.69</v>
      </c>
      <c r="G1314" t="s">
        <v>5458</v>
      </c>
      <c r="H1314">
        <v>14</v>
      </c>
      <c r="I1314">
        <v>21</v>
      </c>
      <c r="J1314">
        <v>6.8</v>
      </c>
      <c r="K1314">
        <v>12.8</v>
      </c>
      <c r="L1314">
        <v>12.55</v>
      </c>
      <c r="M1314" s="175">
        <v>0.02</v>
      </c>
      <c r="N1314" t="s">
        <v>4176</v>
      </c>
    </row>
    <row r="1315" spans="1:14">
      <c r="A1315">
        <v>4406</v>
      </c>
      <c r="B1315" t="s">
        <v>1133</v>
      </c>
      <c r="C1315">
        <v>10.35</v>
      </c>
      <c r="D1315">
        <v>10.3</v>
      </c>
      <c r="E1315" s="178">
        <v>0</v>
      </c>
      <c r="F1315" s="176">
        <v>0</v>
      </c>
      <c r="G1315" t="s">
        <v>6512</v>
      </c>
      <c r="H1315">
        <v>54</v>
      </c>
      <c r="I1315">
        <v>158</v>
      </c>
      <c r="J1315">
        <v>5.19</v>
      </c>
      <c r="K1315">
        <v>10.4</v>
      </c>
      <c r="L1315">
        <v>10.3</v>
      </c>
      <c r="M1315" s="175">
        <v>0.1</v>
      </c>
      <c r="N1315" t="s">
        <v>4177</v>
      </c>
    </row>
    <row r="1316" spans="1:14">
      <c r="A1316">
        <v>4413</v>
      </c>
      <c r="B1316" t="s">
        <v>1134</v>
      </c>
      <c r="C1316">
        <v>19.7</v>
      </c>
      <c r="D1316">
        <v>19.55</v>
      </c>
      <c r="E1316" s="178">
        <v>0.05</v>
      </c>
      <c r="F1316" s="176">
        <v>0.26</v>
      </c>
      <c r="G1316" t="s">
        <v>6513</v>
      </c>
      <c r="H1316">
        <v>5</v>
      </c>
      <c r="I1316">
        <v>33</v>
      </c>
      <c r="J1316">
        <v>3.13</v>
      </c>
      <c r="K1316">
        <v>19.7</v>
      </c>
      <c r="L1316">
        <v>19.05</v>
      </c>
      <c r="M1316" s="175">
        <v>0.02</v>
      </c>
      <c r="N1316" t="s">
        <v>4178</v>
      </c>
    </row>
    <row r="1317" spans="1:14">
      <c r="A1317">
        <v>4414</v>
      </c>
      <c r="B1317" t="s">
        <v>2844</v>
      </c>
      <c r="C1317">
        <v>8.1</v>
      </c>
      <c r="D1317">
        <v>8.0500000000000007</v>
      </c>
      <c r="E1317" s="178">
        <v>-0.05</v>
      </c>
      <c r="F1317" s="176">
        <v>-0.62</v>
      </c>
      <c r="G1317" t="s">
        <v>5419</v>
      </c>
      <c r="H1317">
        <v>322</v>
      </c>
      <c r="I1317">
        <v>153</v>
      </c>
      <c r="J1317">
        <v>28.83</v>
      </c>
      <c r="K1317">
        <v>8.2799999999999994</v>
      </c>
      <c r="L1317">
        <v>8</v>
      </c>
      <c r="M1317" s="175">
        <v>0.12</v>
      </c>
      <c r="N1317" t="s">
        <v>4179</v>
      </c>
    </row>
    <row r="1318" spans="1:14">
      <c r="A1318">
        <v>4416</v>
      </c>
      <c r="B1318" t="s">
        <v>1135</v>
      </c>
      <c r="C1318">
        <v>12.55</v>
      </c>
      <c r="D1318">
        <v>12.2</v>
      </c>
      <c r="E1318" s="178">
        <v>-0.35</v>
      </c>
      <c r="F1318" s="176">
        <v>-2.79</v>
      </c>
      <c r="G1318" t="s">
        <v>6514</v>
      </c>
      <c r="H1318">
        <v>932</v>
      </c>
      <c r="I1318">
        <v>626</v>
      </c>
      <c r="J1318">
        <v>7.36</v>
      </c>
      <c r="K1318">
        <v>12.95</v>
      </c>
      <c r="L1318">
        <v>12.15</v>
      </c>
      <c r="M1318" s="175">
        <v>1.27</v>
      </c>
      <c r="N1318" t="s">
        <v>4180</v>
      </c>
    </row>
    <row r="1319" spans="1:14">
      <c r="A1319">
        <v>4417</v>
      </c>
      <c r="B1319" t="s">
        <v>1136</v>
      </c>
      <c r="C1319">
        <v>47.5</v>
      </c>
      <c r="D1319">
        <v>47.4</v>
      </c>
      <c r="E1319" s="178">
        <v>-0.4</v>
      </c>
      <c r="F1319" s="176">
        <v>-0.84</v>
      </c>
      <c r="G1319" t="s">
        <v>6051</v>
      </c>
      <c r="H1319">
        <v>54</v>
      </c>
      <c r="I1319">
        <v>161</v>
      </c>
      <c r="J1319">
        <v>8.4</v>
      </c>
      <c r="K1319">
        <v>47.75</v>
      </c>
      <c r="L1319">
        <v>47.4</v>
      </c>
      <c r="M1319" s="175">
        <v>0.06</v>
      </c>
      <c r="N1319" t="s">
        <v>4181</v>
      </c>
    </row>
    <row r="1320" spans="1:14">
      <c r="A1320">
        <v>4419</v>
      </c>
      <c r="B1320" t="s">
        <v>2562</v>
      </c>
      <c r="C1320">
        <v>46.8</v>
      </c>
      <c r="D1320">
        <v>46.8</v>
      </c>
      <c r="E1320" s="178">
        <v>0</v>
      </c>
      <c r="F1320" s="176">
        <v>0</v>
      </c>
      <c r="G1320" t="s">
        <v>5641</v>
      </c>
      <c r="H1320">
        <v>1</v>
      </c>
      <c r="I1320">
        <v>1</v>
      </c>
      <c r="J1320">
        <v>17.329999999999998</v>
      </c>
      <c r="K1320">
        <v>46.8</v>
      </c>
      <c r="L1320">
        <v>46.8</v>
      </c>
      <c r="M1320" s="175">
        <v>0</v>
      </c>
      <c r="N1320" t="s">
        <v>4182</v>
      </c>
    </row>
    <row r="1321" spans="1:14">
      <c r="A1321">
        <v>4420</v>
      </c>
      <c r="B1321" t="s">
        <v>1137</v>
      </c>
      <c r="C1321">
        <v>35.299999999999997</v>
      </c>
      <c r="D1321">
        <v>35.4</v>
      </c>
      <c r="E1321" s="178">
        <v>-0.15</v>
      </c>
      <c r="F1321" s="176">
        <v>-0.42</v>
      </c>
      <c r="G1321" t="s">
        <v>5724</v>
      </c>
      <c r="H1321">
        <v>20</v>
      </c>
      <c r="I1321">
        <v>24</v>
      </c>
      <c r="J1321">
        <v>4.05</v>
      </c>
      <c r="K1321">
        <v>35.6</v>
      </c>
      <c r="L1321">
        <v>35.25</v>
      </c>
      <c r="M1321" s="175">
        <v>0.05</v>
      </c>
      <c r="N1321" t="s">
        <v>4183</v>
      </c>
    </row>
    <row r="1322" spans="1:14">
      <c r="A1322">
        <v>4426</v>
      </c>
      <c r="B1322" t="s">
        <v>1138</v>
      </c>
      <c r="C1322">
        <v>8</v>
      </c>
      <c r="D1322">
        <v>8.6199999999999992</v>
      </c>
      <c r="E1322" s="178">
        <v>0.64</v>
      </c>
      <c r="F1322" s="176">
        <v>8.02</v>
      </c>
      <c r="G1322" t="s">
        <v>6515</v>
      </c>
      <c r="H1322">
        <v>1170</v>
      </c>
      <c r="I1322">
        <v>254</v>
      </c>
      <c r="J1322">
        <v>17.27</v>
      </c>
      <c r="K1322">
        <v>8.77</v>
      </c>
      <c r="L1322">
        <v>8</v>
      </c>
      <c r="M1322" s="175">
        <v>0.68</v>
      </c>
      <c r="N1322" t="s">
        <v>4184</v>
      </c>
    </row>
    <row r="1323" spans="1:14">
      <c r="A1323">
        <v>4430</v>
      </c>
      <c r="B1323" t="s">
        <v>1139</v>
      </c>
      <c r="C1323">
        <v>21.95</v>
      </c>
      <c r="D1323">
        <v>22</v>
      </c>
      <c r="E1323" s="178">
        <v>0.15</v>
      </c>
      <c r="F1323" s="176">
        <v>0.69</v>
      </c>
      <c r="G1323" t="s">
        <v>5686</v>
      </c>
      <c r="H1323">
        <v>168</v>
      </c>
      <c r="I1323">
        <v>495</v>
      </c>
      <c r="J1323">
        <v>5.63</v>
      </c>
      <c r="K1323">
        <v>22.7</v>
      </c>
      <c r="L1323">
        <v>21.6</v>
      </c>
      <c r="M1323" s="175">
        <v>0.3</v>
      </c>
      <c r="N1323" t="s">
        <v>4185</v>
      </c>
    </row>
    <row r="1324" spans="1:14">
      <c r="A1324">
        <v>4432</v>
      </c>
      <c r="B1324" t="s">
        <v>1140</v>
      </c>
      <c r="C1324">
        <v>15.4</v>
      </c>
      <c r="D1324">
        <v>15.35</v>
      </c>
      <c r="E1324" s="178">
        <v>0</v>
      </c>
      <c r="F1324" s="176">
        <v>0</v>
      </c>
      <c r="G1324" t="s">
        <v>6516</v>
      </c>
      <c r="H1324">
        <v>21</v>
      </c>
      <c r="I1324">
        <v>51</v>
      </c>
      <c r="J1324">
        <v>5.0599999999999996</v>
      </c>
      <c r="K1324">
        <v>15.45</v>
      </c>
      <c r="L1324">
        <v>15.2</v>
      </c>
      <c r="M1324" s="175">
        <v>0.04</v>
      </c>
      <c r="N1324" t="s">
        <v>4186</v>
      </c>
    </row>
    <row r="1325" spans="1:14">
      <c r="A1325">
        <v>4433</v>
      </c>
      <c r="B1325" t="s">
        <v>1141</v>
      </c>
      <c r="C1325">
        <v>17.8</v>
      </c>
      <c r="D1325">
        <v>17.7</v>
      </c>
      <c r="E1325" s="178">
        <v>-0.1</v>
      </c>
      <c r="F1325" s="176">
        <v>-0.56000000000000005</v>
      </c>
      <c r="G1325" t="s">
        <v>6517</v>
      </c>
      <c r="H1325">
        <v>23</v>
      </c>
      <c r="I1325">
        <v>68</v>
      </c>
      <c r="J1325">
        <v>6.13</v>
      </c>
      <c r="K1325">
        <v>17.8</v>
      </c>
      <c r="L1325">
        <v>17.600000000000001</v>
      </c>
      <c r="M1325" s="175">
        <v>0.04</v>
      </c>
      <c r="N1325" t="s">
        <v>4187</v>
      </c>
    </row>
    <row r="1326" spans="1:14">
      <c r="A1326">
        <v>4438</v>
      </c>
      <c r="B1326" t="s">
        <v>1142</v>
      </c>
      <c r="C1326">
        <v>57.3</v>
      </c>
      <c r="D1326">
        <v>57.6</v>
      </c>
      <c r="E1326" s="178">
        <v>0.6</v>
      </c>
      <c r="F1326" s="176">
        <v>1.05</v>
      </c>
      <c r="G1326" t="s">
        <v>6518</v>
      </c>
      <c r="H1326">
        <v>129</v>
      </c>
      <c r="I1326">
        <v>57</v>
      </c>
      <c r="J1326">
        <v>11.34</v>
      </c>
      <c r="K1326">
        <v>57.8</v>
      </c>
      <c r="L1326">
        <v>57.1</v>
      </c>
      <c r="M1326" s="175">
        <v>0.11</v>
      </c>
      <c r="N1326" t="s">
        <v>4188</v>
      </c>
    </row>
    <row r="1327" spans="1:14">
      <c r="A1327">
        <v>4439</v>
      </c>
      <c r="B1327" t="s">
        <v>1143</v>
      </c>
      <c r="C1327">
        <v>97.8</v>
      </c>
      <c r="D1327">
        <v>98.7</v>
      </c>
      <c r="E1327" s="178">
        <v>-0.4</v>
      </c>
      <c r="F1327" s="176">
        <v>-0.4</v>
      </c>
      <c r="G1327" t="s">
        <v>6492</v>
      </c>
      <c r="H1327">
        <v>41</v>
      </c>
      <c r="I1327">
        <v>27</v>
      </c>
      <c r="J1327">
        <v>3.82</v>
      </c>
      <c r="K1327">
        <v>99.3</v>
      </c>
      <c r="L1327">
        <v>97.8</v>
      </c>
      <c r="M1327" s="175">
        <v>0.11</v>
      </c>
      <c r="N1327" t="s">
        <v>4189</v>
      </c>
    </row>
    <row r="1328" spans="1:14">
      <c r="A1328">
        <v>4440</v>
      </c>
      <c r="B1328" t="s">
        <v>1583</v>
      </c>
      <c r="C1328">
        <v>17.5</v>
      </c>
      <c r="D1328">
        <v>17.5</v>
      </c>
      <c r="E1328" s="178">
        <v>0</v>
      </c>
      <c r="F1328" s="176">
        <v>0</v>
      </c>
      <c r="G1328" t="s">
        <v>6519</v>
      </c>
      <c r="H1328">
        <v>17</v>
      </c>
      <c r="I1328">
        <v>49</v>
      </c>
      <c r="J1328">
        <v>6.76</v>
      </c>
      <c r="K1328">
        <v>17.600000000000001</v>
      </c>
      <c r="L1328">
        <v>17.5</v>
      </c>
      <c r="M1328" s="175">
        <v>0.03</v>
      </c>
      <c r="N1328" t="s">
        <v>4190</v>
      </c>
    </row>
    <row r="1329" spans="1:14">
      <c r="A1329">
        <v>4441</v>
      </c>
      <c r="B1329" t="s">
        <v>2876</v>
      </c>
      <c r="C1329">
        <v>166.5</v>
      </c>
      <c r="D1329">
        <v>168</v>
      </c>
      <c r="E1329" s="178">
        <v>0</v>
      </c>
      <c r="F1329" s="176">
        <v>0</v>
      </c>
      <c r="G1329" t="s">
        <v>6520</v>
      </c>
      <c r="H1329">
        <v>150</v>
      </c>
      <c r="I1329">
        <v>111</v>
      </c>
      <c r="J1329">
        <v>6.82</v>
      </c>
      <c r="K1329">
        <v>168.5</v>
      </c>
      <c r="L1329">
        <v>165.5</v>
      </c>
      <c r="M1329" s="175">
        <v>0.22</v>
      </c>
      <c r="N1329" t="s">
        <v>4191</v>
      </c>
    </row>
    <row r="1330" spans="1:14">
      <c r="A1330">
        <v>4442</v>
      </c>
      <c r="B1330" t="s">
        <v>2314</v>
      </c>
      <c r="C1330">
        <v>54.7</v>
      </c>
      <c r="D1330">
        <v>54.9</v>
      </c>
      <c r="E1330" s="178">
        <v>0.2</v>
      </c>
      <c r="F1330" s="176">
        <v>0.37</v>
      </c>
      <c r="G1330" t="s">
        <v>5373</v>
      </c>
      <c r="H1330">
        <v>32</v>
      </c>
      <c r="I1330">
        <v>66</v>
      </c>
      <c r="J1330">
        <v>3.31</v>
      </c>
      <c r="K1330">
        <v>55.1</v>
      </c>
      <c r="L1330">
        <v>54.5</v>
      </c>
      <c r="M1330" s="175">
        <v>0.1</v>
      </c>
      <c r="N1330" t="s">
        <v>4192</v>
      </c>
    </row>
    <row r="1331" spans="1:14">
      <c r="A1331">
        <v>4502</v>
      </c>
      <c r="B1331" t="s">
        <v>1144</v>
      </c>
      <c r="C1331">
        <v>15.7</v>
      </c>
      <c r="D1331">
        <v>15.95</v>
      </c>
      <c r="E1331" s="178">
        <v>0</v>
      </c>
      <c r="F1331" s="176">
        <v>0</v>
      </c>
      <c r="G1331" t="s">
        <v>6521</v>
      </c>
      <c r="H1331">
        <v>29</v>
      </c>
      <c r="I1331">
        <v>17</v>
      </c>
      <c r="J1331">
        <v>5.67</v>
      </c>
      <c r="K1331">
        <v>15.95</v>
      </c>
      <c r="L1331">
        <v>15.6</v>
      </c>
      <c r="M1331" s="175">
        <v>0.05</v>
      </c>
      <c r="N1331" t="s">
        <v>4193</v>
      </c>
    </row>
    <row r="1332" spans="1:14">
      <c r="A1332">
        <v>4503</v>
      </c>
      <c r="B1332" t="s">
        <v>1145</v>
      </c>
      <c r="C1332">
        <v>24.75</v>
      </c>
      <c r="D1332">
        <v>24</v>
      </c>
      <c r="E1332" s="178">
        <v>-0.85</v>
      </c>
      <c r="F1332" s="176">
        <v>-3.42</v>
      </c>
      <c r="G1332" t="s">
        <v>5358</v>
      </c>
      <c r="H1332">
        <v>140</v>
      </c>
      <c r="I1332">
        <v>149</v>
      </c>
      <c r="J1332">
        <v>7.83</v>
      </c>
      <c r="K1332">
        <v>24.75</v>
      </c>
      <c r="L1332">
        <v>23.95</v>
      </c>
      <c r="M1332" s="175">
        <v>0.18</v>
      </c>
      <c r="N1332" t="s">
        <v>4194</v>
      </c>
    </row>
    <row r="1333" spans="1:14">
      <c r="A1333">
        <v>4506</v>
      </c>
      <c r="B1333" t="s">
        <v>1146</v>
      </c>
      <c r="C1333">
        <v>117.5</v>
      </c>
      <c r="D1333">
        <v>117</v>
      </c>
      <c r="E1333" s="178">
        <v>-1</v>
      </c>
      <c r="F1333" s="176">
        <v>-0.85</v>
      </c>
      <c r="G1333" t="s">
        <v>6522</v>
      </c>
      <c r="H1333">
        <v>64</v>
      </c>
      <c r="I1333">
        <v>71</v>
      </c>
      <c r="J1333">
        <v>17.7</v>
      </c>
      <c r="K1333">
        <v>117.5</v>
      </c>
      <c r="L1333">
        <v>116.5</v>
      </c>
      <c r="M1333" s="175">
        <v>0.04</v>
      </c>
      <c r="N1333" t="s">
        <v>4195</v>
      </c>
    </row>
    <row r="1334" spans="1:14">
      <c r="A1334">
        <v>4510</v>
      </c>
      <c r="B1334" t="s">
        <v>1147</v>
      </c>
      <c r="C1334">
        <v>41.8</v>
      </c>
      <c r="D1334">
        <v>40.85</v>
      </c>
      <c r="E1334" s="178">
        <v>-1.3</v>
      </c>
      <c r="F1334" s="176">
        <v>-3.08</v>
      </c>
      <c r="G1334" t="s">
        <v>6523</v>
      </c>
      <c r="H1334">
        <v>565</v>
      </c>
      <c r="I1334">
        <v>374</v>
      </c>
      <c r="J1334">
        <v>10.9</v>
      </c>
      <c r="K1334">
        <v>41.95</v>
      </c>
      <c r="L1334">
        <v>40.5</v>
      </c>
      <c r="M1334" s="175">
        <v>0.52</v>
      </c>
      <c r="N1334" t="s">
        <v>4196</v>
      </c>
    </row>
    <row r="1335" spans="1:14">
      <c r="A1335">
        <v>4513</v>
      </c>
      <c r="B1335" t="s">
        <v>1148</v>
      </c>
      <c r="C1335">
        <v>16.100000000000001</v>
      </c>
      <c r="D1335">
        <v>15.8</v>
      </c>
      <c r="E1335" s="178">
        <v>-0.45</v>
      </c>
      <c r="F1335" s="176">
        <v>-2.77</v>
      </c>
      <c r="G1335" t="s">
        <v>5523</v>
      </c>
      <c r="H1335">
        <v>470</v>
      </c>
      <c r="I1335">
        <v>151</v>
      </c>
      <c r="J1335">
        <v>14.38</v>
      </c>
      <c r="K1335">
        <v>16.100000000000001</v>
      </c>
      <c r="L1335">
        <v>15.75</v>
      </c>
      <c r="M1335" s="175">
        <v>0.33</v>
      </c>
      <c r="N1335" t="s">
        <v>4197</v>
      </c>
    </row>
    <row r="1336" spans="1:14">
      <c r="A1336">
        <v>4523</v>
      </c>
      <c r="B1336" t="s">
        <v>1149</v>
      </c>
      <c r="C1336">
        <v>24.1</v>
      </c>
      <c r="D1336">
        <v>24.35</v>
      </c>
      <c r="E1336" s="178">
        <v>-0.15</v>
      </c>
      <c r="F1336" s="176">
        <v>-0.61</v>
      </c>
      <c r="G1336" t="s">
        <v>5310</v>
      </c>
      <c r="H1336">
        <v>47</v>
      </c>
      <c r="I1336">
        <v>64</v>
      </c>
      <c r="J1336">
        <v>6.49</v>
      </c>
      <c r="K1336">
        <v>24.35</v>
      </c>
      <c r="L1336">
        <v>24</v>
      </c>
      <c r="M1336" s="175">
        <v>7.0000000000000007E-2</v>
      </c>
      <c r="N1336" t="s">
        <v>4198</v>
      </c>
    </row>
    <row r="1337" spans="1:14">
      <c r="A1337">
        <v>4526</v>
      </c>
      <c r="B1337" t="s">
        <v>1150</v>
      </c>
      <c r="C1337">
        <v>33.35</v>
      </c>
      <c r="D1337">
        <v>32.9</v>
      </c>
      <c r="E1337" s="178">
        <v>-1.1000000000000001</v>
      </c>
      <c r="F1337" s="176">
        <v>-3.24</v>
      </c>
      <c r="G1337" t="s">
        <v>6524</v>
      </c>
      <c r="H1337">
        <v>1699</v>
      </c>
      <c r="I1337">
        <v>1618</v>
      </c>
      <c r="J1337">
        <v>25.48</v>
      </c>
      <c r="K1337">
        <v>33.65</v>
      </c>
      <c r="L1337">
        <v>32.35</v>
      </c>
      <c r="M1337" s="175">
        <v>0.67</v>
      </c>
      <c r="N1337" t="s">
        <v>4199</v>
      </c>
    </row>
    <row r="1338" spans="1:14">
      <c r="A1338">
        <v>4527</v>
      </c>
      <c r="B1338" t="s">
        <v>5436</v>
      </c>
      <c r="C1338">
        <v>44.85</v>
      </c>
      <c r="D1338">
        <v>44.9</v>
      </c>
      <c r="E1338" s="178">
        <v>-0.1</v>
      </c>
      <c r="F1338" s="176">
        <v>-0.22</v>
      </c>
      <c r="G1338" t="s">
        <v>5261</v>
      </c>
      <c r="H1338">
        <v>24</v>
      </c>
      <c r="I1338">
        <v>42</v>
      </c>
      <c r="J1338">
        <v>6.85</v>
      </c>
      <c r="K1338">
        <v>44.9</v>
      </c>
      <c r="L1338">
        <v>44.55</v>
      </c>
      <c r="M1338" s="175">
        <v>0.04</v>
      </c>
      <c r="N1338" t="s">
        <v>5437</v>
      </c>
    </row>
    <row r="1339" spans="1:14">
      <c r="A1339">
        <v>4528</v>
      </c>
      <c r="B1339" t="s">
        <v>1151</v>
      </c>
      <c r="C1339">
        <v>15</v>
      </c>
      <c r="D1339">
        <v>14.8</v>
      </c>
      <c r="E1339" s="178">
        <v>0</v>
      </c>
      <c r="F1339" s="176">
        <v>0</v>
      </c>
      <c r="G1339" t="s">
        <v>5647</v>
      </c>
      <c r="H1339">
        <v>14</v>
      </c>
      <c r="I1339">
        <v>21</v>
      </c>
      <c r="J1339">
        <v>8.42</v>
      </c>
      <c r="K1339">
        <v>15</v>
      </c>
      <c r="L1339">
        <v>14.8</v>
      </c>
      <c r="M1339" s="175">
        <v>0.02</v>
      </c>
      <c r="N1339" t="s">
        <v>4200</v>
      </c>
    </row>
    <row r="1340" spans="1:14">
      <c r="A1340">
        <v>4529</v>
      </c>
      <c r="B1340" t="s">
        <v>1152</v>
      </c>
      <c r="C1340">
        <v>3.3</v>
      </c>
      <c r="D1340">
        <v>3.35</v>
      </c>
      <c r="E1340" s="178">
        <v>-0.23</v>
      </c>
      <c r="F1340" s="176">
        <v>-6.42</v>
      </c>
      <c r="G1340" t="s">
        <v>6525</v>
      </c>
      <c r="H1340">
        <v>62</v>
      </c>
      <c r="I1340">
        <v>32</v>
      </c>
      <c r="J1340">
        <v>8.4499999999999993</v>
      </c>
      <c r="K1340">
        <v>3.35</v>
      </c>
      <c r="L1340">
        <v>3.3</v>
      </c>
      <c r="M1340" s="175">
        <v>7.0000000000000007E-2</v>
      </c>
      <c r="N1340" t="s">
        <v>4201</v>
      </c>
    </row>
    <row r="1341" spans="1:14">
      <c r="A1341">
        <v>4530</v>
      </c>
      <c r="B1341" t="s">
        <v>3247</v>
      </c>
      <c r="C1341">
        <v>25.6</v>
      </c>
      <c r="D1341">
        <v>25.6</v>
      </c>
      <c r="E1341" s="178">
        <v>0.7</v>
      </c>
      <c r="F1341" s="176">
        <v>2.81</v>
      </c>
      <c r="G1341" t="s">
        <v>5624</v>
      </c>
      <c r="H1341">
        <v>1</v>
      </c>
      <c r="I1341">
        <v>5</v>
      </c>
      <c r="J1341">
        <v>3.58</v>
      </c>
      <c r="K1341">
        <v>25.6</v>
      </c>
      <c r="L1341">
        <v>25.6</v>
      </c>
      <c r="M1341" s="175">
        <v>0</v>
      </c>
      <c r="N1341" t="s">
        <v>4202</v>
      </c>
    </row>
    <row r="1342" spans="1:14">
      <c r="A1342">
        <v>4532</v>
      </c>
      <c r="B1342" t="s">
        <v>1153</v>
      </c>
      <c r="C1342">
        <v>24.1</v>
      </c>
      <c r="D1342">
        <v>24.1</v>
      </c>
      <c r="E1342" s="178">
        <v>0</v>
      </c>
      <c r="F1342" s="176">
        <v>0</v>
      </c>
      <c r="G1342" t="s">
        <v>6526</v>
      </c>
      <c r="H1342">
        <v>920</v>
      </c>
      <c r="I1342">
        <v>590</v>
      </c>
      <c r="J1342">
        <v>49.49</v>
      </c>
      <c r="K1342">
        <v>24.3</v>
      </c>
      <c r="L1342">
        <v>23.95</v>
      </c>
      <c r="M1342" s="175">
        <v>0.19</v>
      </c>
      <c r="N1342" t="s">
        <v>4203</v>
      </c>
    </row>
    <row r="1343" spans="1:14">
      <c r="A1343">
        <v>4533</v>
      </c>
      <c r="B1343" t="s">
        <v>1154</v>
      </c>
      <c r="C1343">
        <v>26.5</v>
      </c>
      <c r="D1343">
        <v>25.8</v>
      </c>
      <c r="E1343" s="178">
        <v>-0.7</v>
      </c>
      <c r="F1343" s="176">
        <v>-2.64</v>
      </c>
      <c r="G1343" t="s">
        <v>6527</v>
      </c>
      <c r="H1343">
        <v>806</v>
      </c>
      <c r="I1343">
        <v>889</v>
      </c>
      <c r="J1343">
        <v>17.84</v>
      </c>
      <c r="K1343">
        <v>26.65</v>
      </c>
      <c r="L1343">
        <v>25.8</v>
      </c>
      <c r="M1343" s="175">
        <v>0.45</v>
      </c>
      <c r="N1343" t="s">
        <v>4204</v>
      </c>
    </row>
    <row r="1344" spans="1:14">
      <c r="A1344">
        <v>4534</v>
      </c>
      <c r="B1344" t="s">
        <v>1155</v>
      </c>
      <c r="C1344">
        <v>29.2</v>
      </c>
      <c r="D1344">
        <v>28.5</v>
      </c>
      <c r="E1344" s="178">
        <v>-1</v>
      </c>
      <c r="F1344" s="176">
        <v>-3.39</v>
      </c>
      <c r="G1344" t="s">
        <v>6528</v>
      </c>
      <c r="H1344">
        <v>545</v>
      </c>
      <c r="I1344">
        <v>572</v>
      </c>
      <c r="J1344">
        <v>8.68</v>
      </c>
      <c r="K1344">
        <v>29.85</v>
      </c>
      <c r="L1344">
        <v>28.45</v>
      </c>
      <c r="M1344" s="175">
        <v>0.63</v>
      </c>
      <c r="N1344" t="s">
        <v>4205</v>
      </c>
    </row>
    <row r="1345" spans="1:14">
      <c r="A1345">
        <v>4535</v>
      </c>
      <c r="B1345" t="s">
        <v>1156</v>
      </c>
      <c r="C1345">
        <v>26.6</v>
      </c>
      <c r="D1345">
        <v>26.7</v>
      </c>
      <c r="E1345" s="178">
        <v>0.1</v>
      </c>
      <c r="F1345" s="176">
        <v>0.38</v>
      </c>
      <c r="G1345" t="s">
        <v>6529</v>
      </c>
      <c r="H1345">
        <v>2</v>
      </c>
      <c r="I1345">
        <v>4</v>
      </c>
      <c r="J1345">
        <v>7.57</v>
      </c>
      <c r="K1345">
        <v>26.7</v>
      </c>
      <c r="L1345">
        <v>26.6</v>
      </c>
      <c r="M1345" s="175">
        <v>0</v>
      </c>
      <c r="N1345" t="s">
        <v>4206</v>
      </c>
    </row>
    <row r="1346" spans="1:14">
      <c r="A1346">
        <v>4536</v>
      </c>
      <c r="B1346" t="s">
        <v>1157</v>
      </c>
      <c r="C1346">
        <v>156.5</v>
      </c>
      <c r="D1346">
        <v>156.5</v>
      </c>
      <c r="E1346" s="178">
        <v>0</v>
      </c>
      <c r="F1346" s="176">
        <v>0</v>
      </c>
      <c r="G1346" t="s">
        <v>6530</v>
      </c>
      <c r="H1346">
        <v>163</v>
      </c>
      <c r="I1346">
        <v>92</v>
      </c>
      <c r="J1346">
        <v>9.08</v>
      </c>
      <c r="K1346">
        <v>157.5</v>
      </c>
      <c r="L1346">
        <v>155.5</v>
      </c>
      <c r="M1346" s="175">
        <v>0.18</v>
      </c>
      <c r="N1346" t="s">
        <v>4207</v>
      </c>
    </row>
    <row r="1347" spans="1:14">
      <c r="A1347">
        <v>4538</v>
      </c>
      <c r="B1347" t="s">
        <v>343</v>
      </c>
      <c r="C1347">
        <v>17.45</v>
      </c>
      <c r="D1347">
        <v>17.5</v>
      </c>
      <c r="E1347" s="178">
        <v>0.05</v>
      </c>
      <c r="F1347" s="176">
        <v>0.28999999999999998</v>
      </c>
      <c r="G1347" t="s">
        <v>6531</v>
      </c>
      <c r="H1347">
        <v>18</v>
      </c>
      <c r="I1347">
        <v>16</v>
      </c>
      <c r="J1347">
        <v>5.95</v>
      </c>
      <c r="K1347">
        <v>17.5</v>
      </c>
      <c r="L1347">
        <v>17.2</v>
      </c>
      <c r="M1347" s="175">
        <v>0.03</v>
      </c>
      <c r="N1347" t="s">
        <v>4208</v>
      </c>
    </row>
    <row r="1348" spans="1:14">
      <c r="A1348">
        <v>4540</v>
      </c>
      <c r="B1348" t="s">
        <v>336</v>
      </c>
      <c r="C1348">
        <v>59.9</v>
      </c>
      <c r="D1348">
        <v>58</v>
      </c>
      <c r="E1348" s="178">
        <v>-3.1</v>
      </c>
      <c r="F1348" s="176">
        <v>-5.07</v>
      </c>
      <c r="G1348" t="s">
        <v>5324</v>
      </c>
      <c r="H1348">
        <v>2019</v>
      </c>
      <c r="I1348">
        <v>2451</v>
      </c>
      <c r="J1348">
        <v>11.52</v>
      </c>
      <c r="K1348">
        <v>60</v>
      </c>
      <c r="L1348">
        <v>57.5</v>
      </c>
      <c r="M1348" s="175">
        <v>1.75</v>
      </c>
      <c r="N1348" t="s">
        <v>4209</v>
      </c>
    </row>
    <row r="1349" spans="1:14">
      <c r="A1349">
        <v>4541</v>
      </c>
      <c r="B1349" t="s">
        <v>1158</v>
      </c>
      <c r="C1349">
        <v>58.2</v>
      </c>
      <c r="D1349">
        <v>57</v>
      </c>
      <c r="E1349" s="178">
        <v>-1.7</v>
      </c>
      <c r="F1349" s="176">
        <v>-2.9</v>
      </c>
      <c r="G1349" t="s">
        <v>6532</v>
      </c>
      <c r="H1349">
        <v>688</v>
      </c>
      <c r="I1349">
        <v>770</v>
      </c>
      <c r="J1349">
        <v>7.26</v>
      </c>
      <c r="K1349">
        <v>58.2</v>
      </c>
      <c r="L1349">
        <v>56.8</v>
      </c>
      <c r="M1349" s="175">
        <v>0.95</v>
      </c>
      <c r="N1349" t="s">
        <v>4210</v>
      </c>
    </row>
    <row r="1350" spans="1:14">
      <c r="A1350">
        <v>4542</v>
      </c>
      <c r="B1350" t="s">
        <v>1159</v>
      </c>
      <c r="C1350">
        <v>335</v>
      </c>
      <c r="D1350">
        <v>325.5</v>
      </c>
      <c r="E1350" s="178">
        <v>-31.5</v>
      </c>
      <c r="F1350" s="176">
        <v>-8.82</v>
      </c>
      <c r="G1350" t="s">
        <v>5600</v>
      </c>
      <c r="H1350">
        <v>1406</v>
      </c>
      <c r="I1350">
        <v>1851</v>
      </c>
      <c r="J1350">
        <v>3.58</v>
      </c>
      <c r="K1350">
        <v>361</v>
      </c>
      <c r="L1350">
        <v>325</v>
      </c>
      <c r="M1350" s="175">
        <v>3.93</v>
      </c>
      <c r="N1350" t="s">
        <v>4211</v>
      </c>
    </row>
    <row r="1351" spans="1:14">
      <c r="A1351">
        <v>4543</v>
      </c>
      <c r="B1351" t="s">
        <v>1160</v>
      </c>
      <c r="C1351">
        <v>30</v>
      </c>
      <c r="D1351">
        <v>29.65</v>
      </c>
      <c r="E1351" s="178">
        <v>-0.65</v>
      </c>
      <c r="F1351" s="176">
        <v>-2.15</v>
      </c>
      <c r="G1351" t="s">
        <v>5260</v>
      </c>
      <c r="H1351">
        <v>86</v>
      </c>
      <c r="I1351">
        <v>254</v>
      </c>
      <c r="J1351">
        <v>6.28</v>
      </c>
      <c r="K1351">
        <v>30.2</v>
      </c>
      <c r="L1351">
        <v>29.5</v>
      </c>
      <c r="M1351" s="175">
        <v>0.14000000000000001</v>
      </c>
      <c r="N1351" t="s">
        <v>4212</v>
      </c>
    </row>
    <row r="1352" spans="1:14">
      <c r="A1352">
        <v>4545</v>
      </c>
      <c r="B1352" t="s">
        <v>1161</v>
      </c>
      <c r="C1352">
        <v>37.5</v>
      </c>
      <c r="D1352">
        <v>37.049999999999997</v>
      </c>
      <c r="E1352" s="178">
        <v>-0.1</v>
      </c>
      <c r="F1352" s="176">
        <v>-0.27</v>
      </c>
      <c r="G1352" t="s">
        <v>5204</v>
      </c>
      <c r="H1352">
        <v>82</v>
      </c>
      <c r="I1352">
        <v>173</v>
      </c>
      <c r="J1352">
        <v>7.7</v>
      </c>
      <c r="K1352">
        <v>37.5</v>
      </c>
      <c r="L1352">
        <v>36.200000000000003</v>
      </c>
      <c r="M1352" s="175">
        <v>0.11</v>
      </c>
      <c r="N1352" t="s">
        <v>4213</v>
      </c>
    </row>
    <row r="1353" spans="1:14">
      <c r="A1353">
        <v>4549</v>
      </c>
      <c r="B1353" t="s">
        <v>1162</v>
      </c>
      <c r="C1353">
        <v>94</v>
      </c>
      <c r="D1353">
        <v>93</v>
      </c>
      <c r="E1353" s="178">
        <v>-3</v>
      </c>
      <c r="F1353" s="176">
        <v>-3.13</v>
      </c>
      <c r="G1353" t="s">
        <v>6484</v>
      </c>
      <c r="H1353">
        <v>70</v>
      </c>
      <c r="I1353">
        <v>36</v>
      </c>
      <c r="J1353">
        <v>5.81</v>
      </c>
      <c r="K1353">
        <v>94.1</v>
      </c>
      <c r="L1353">
        <v>92.5</v>
      </c>
      <c r="M1353" s="175">
        <v>0.12</v>
      </c>
      <c r="N1353" t="s">
        <v>4214</v>
      </c>
    </row>
    <row r="1354" spans="1:14">
      <c r="A1354">
        <v>4550</v>
      </c>
      <c r="B1354" t="s">
        <v>1163</v>
      </c>
      <c r="C1354">
        <v>24</v>
      </c>
      <c r="D1354">
        <v>24</v>
      </c>
      <c r="E1354" s="178">
        <v>-0.1</v>
      </c>
      <c r="F1354" s="176">
        <v>-0.41</v>
      </c>
      <c r="G1354" t="s">
        <v>6533</v>
      </c>
      <c r="H1354">
        <v>19</v>
      </c>
      <c r="I1354">
        <v>8</v>
      </c>
      <c r="J1354">
        <v>3.78</v>
      </c>
      <c r="K1354">
        <v>24.1</v>
      </c>
      <c r="L1354">
        <v>24</v>
      </c>
      <c r="M1354" s="175">
        <v>0.05</v>
      </c>
      <c r="N1354" t="s">
        <v>4215</v>
      </c>
    </row>
    <row r="1355" spans="1:14">
      <c r="A1355">
        <v>4551</v>
      </c>
      <c r="B1355" t="s">
        <v>1164</v>
      </c>
      <c r="C1355">
        <v>164</v>
      </c>
      <c r="D1355">
        <v>164</v>
      </c>
      <c r="E1355" s="178">
        <v>-7</v>
      </c>
      <c r="F1355" s="176">
        <v>-4.09</v>
      </c>
      <c r="G1355" t="s">
        <v>6534</v>
      </c>
      <c r="H1355">
        <v>1397</v>
      </c>
      <c r="I1355">
        <v>2235</v>
      </c>
      <c r="J1355">
        <v>11.52</v>
      </c>
      <c r="K1355">
        <v>172</v>
      </c>
      <c r="L1355">
        <v>163</v>
      </c>
      <c r="M1355" s="175">
        <v>1.21</v>
      </c>
      <c r="N1355" t="s">
        <v>4216</v>
      </c>
    </row>
    <row r="1356" spans="1:14">
      <c r="A1356">
        <v>4552</v>
      </c>
      <c r="B1356" t="s">
        <v>1165</v>
      </c>
      <c r="C1356">
        <v>15</v>
      </c>
      <c r="D1356">
        <v>14.9</v>
      </c>
      <c r="E1356" s="178">
        <v>-0.15</v>
      </c>
      <c r="F1356" s="176">
        <v>-1</v>
      </c>
      <c r="G1356" t="s">
        <v>5296</v>
      </c>
      <c r="H1356">
        <v>163</v>
      </c>
      <c r="I1356">
        <v>149</v>
      </c>
      <c r="J1356">
        <v>11.6</v>
      </c>
      <c r="K1356">
        <v>15.1</v>
      </c>
      <c r="L1356">
        <v>14.7</v>
      </c>
      <c r="M1356" s="175">
        <v>0.14000000000000001</v>
      </c>
      <c r="N1356" t="s">
        <v>4217</v>
      </c>
    </row>
    <row r="1357" spans="1:14">
      <c r="A1357">
        <v>4554</v>
      </c>
      <c r="B1357" t="s">
        <v>1166</v>
      </c>
      <c r="C1357">
        <v>27.4</v>
      </c>
      <c r="D1357">
        <v>27.1</v>
      </c>
      <c r="E1357" s="178">
        <v>-0.35</v>
      </c>
      <c r="F1357" s="176">
        <v>-1.28</v>
      </c>
      <c r="G1357" t="s">
        <v>6535</v>
      </c>
      <c r="H1357">
        <v>30</v>
      </c>
      <c r="I1357">
        <v>23</v>
      </c>
      <c r="J1357">
        <v>3.03</v>
      </c>
      <c r="K1357">
        <v>27.4</v>
      </c>
      <c r="L1357">
        <v>26.9</v>
      </c>
      <c r="M1357" s="175">
        <v>0.1</v>
      </c>
      <c r="N1357" t="s">
        <v>4218</v>
      </c>
    </row>
    <row r="1358" spans="1:14">
      <c r="A1358">
        <v>4555</v>
      </c>
      <c r="B1358" t="s">
        <v>1167</v>
      </c>
      <c r="C1358">
        <v>42.65</v>
      </c>
      <c r="D1358">
        <v>42.2</v>
      </c>
      <c r="E1358" s="178">
        <v>-0.75</v>
      </c>
      <c r="F1358" s="176">
        <v>-1.75</v>
      </c>
      <c r="G1358" t="s">
        <v>6536</v>
      </c>
      <c r="H1358">
        <v>117</v>
      </c>
      <c r="I1358">
        <v>144</v>
      </c>
      <c r="J1358">
        <v>7</v>
      </c>
      <c r="K1358">
        <v>42.75</v>
      </c>
      <c r="L1358">
        <v>41.95</v>
      </c>
      <c r="M1358" s="175">
        <v>0.17</v>
      </c>
      <c r="N1358" t="s">
        <v>4219</v>
      </c>
    </row>
    <row r="1359" spans="1:14">
      <c r="A1359">
        <v>4556</v>
      </c>
      <c r="B1359" t="s">
        <v>2896</v>
      </c>
      <c r="C1359">
        <v>123</v>
      </c>
      <c r="D1359">
        <v>123</v>
      </c>
      <c r="E1359" s="178">
        <v>-10</v>
      </c>
      <c r="F1359" s="176">
        <v>-7.52</v>
      </c>
      <c r="G1359" t="s">
        <v>6537</v>
      </c>
      <c r="H1359">
        <v>1824</v>
      </c>
      <c r="I1359">
        <v>617</v>
      </c>
      <c r="J1359">
        <v>4.2300000000000004</v>
      </c>
      <c r="K1359">
        <v>144</v>
      </c>
      <c r="L1359">
        <v>120</v>
      </c>
      <c r="M1359" s="175">
        <v>4.3099999999999996</v>
      </c>
      <c r="N1359" t="s">
        <v>4220</v>
      </c>
    </row>
    <row r="1360" spans="1:14">
      <c r="A1360">
        <v>4557</v>
      </c>
      <c r="B1360" t="s">
        <v>1168</v>
      </c>
      <c r="C1360">
        <v>51.7</v>
      </c>
      <c r="D1360">
        <v>52.9</v>
      </c>
      <c r="E1360" s="178">
        <v>1.3</v>
      </c>
      <c r="F1360" s="176">
        <v>2.52</v>
      </c>
      <c r="G1360" t="s">
        <v>6538</v>
      </c>
      <c r="H1360">
        <v>100</v>
      </c>
      <c r="I1360">
        <v>61</v>
      </c>
      <c r="J1360">
        <v>4.8</v>
      </c>
      <c r="K1360">
        <v>53</v>
      </c>
      <c r="L1360">
        <v>51.4</v>
      </c>
      <c r="M1360" s="175">
        <v>0.21</v>
      </c>
      <c r="N1360" t="s">
        <v>4221</v>
      </c>
    </row>
    <row r="1361" spans="1:14">
      <c r="A1361">
        <v>4558</v>
      </c>
      <c r="B1361" t="s">
        <v>1628</v>
      </c>
      <c r="C1361">
        <v>17.5</v>
      </c>
      <c r="D1361">
        <v>17.600000000000001</v>
      </c>
      <c r="E1361" s="178">
        <v>0.1</v>
      </c>
      <c r="F1361" s="176">
        <v>0.56999999999999995</v>
      </c>
      <c r="G1361" t="s">
        <v>5323</v>
      </c>
      <c r="H1361">
        <v>114</v>
      </c>
      <c r="I1361">
        <v>28</v>
      </c>
      <c r="J1361">
        <v>5</v>
      </c>
      <c r="K1361">
        <v>18.45</v>
      </c>
      <c r="L1361">
        <v>17.5</v>
      </c>
      <c r="M1361" s="175">
        <v>0.23</v>
      </c>
      <c r="N1361" t="s">
        <v>4222</v>
      </c>
    </row>
    <row r="1362" spans="1:14">
      <c r="A1362">
        <v>4560</v>
      </c>
      <c r="B1362" t="s">
        <v>1169</v>
      </c>
      <c r="C1362">
        <v>29.4</v>
      </c>
      <c r="D1362">
        <v>29.6</v>
      </c>
      <c r="E1362" s="178">
        <v>0.15</v>
      </c>
      <c r="F1362" s="176">
        <v>0.51</v>
      </c>
      <c r="G1362" t="s">
        <v>5435</v>
      </c>
      <c r="H1362">
        <v>226</v>
      </c>
      <c r="I1362">
        <v>209</v>
      </c>
      <c r="J1362">
        <v>6.81</v>
      </c>
      <c r="K1362">
        <v>29.6</v>
      </c>
      <c r="L1362">
        <v>29.25</v>
      </c>
      <c r="M1362" s="175">
        <v>0.33</v>
      </c>
      <c r="N1362" t="s">
        <v>4223</v>
      </c>
    </row>
    <row r="1363" spans="1:14">
      <c r="A1363">
        <v>4561</v>
      </c>
      <c r="B1363" t="s">
        <v>333</v>
      </c>
      <c r="C1363">
        <v>42</v>
      </c>
      <c r="D1363">
        <v>41</v>
      </c>
      <c r="E1363" s="178">
        <v>-1.7</v>
      </c>
      <c r="F1363" s="176">
        <v>-3.98</v>
      </c>
      <c r="G1363" t="s">
        <v>6539</v>
      </c>
      <c r="H1363">
        <v>128</v>
      </c>
      <c r="I1363">
        <v>144</v>
      </c>
      <c r="J1363">
        <v>5.85</v>
      </c>
      <c r="K1363">
        <v>42.15</v>
      </c>
      <c r="L1363">
        <v>41</v>
      </c>
      <c r="M1363" s="175">
        <v>0.22</v>
      </c>
      <c r="N1363" t="s">
        <v>4224</v>
      </c>
    </row>
    <row r="1364" spans="1:14">
      <c r="A1364">
        <v>4562</v>
      </c>
      <c r="B1364" t="s">
        <v>369</v>
      </c>
      <c r="C1364">
        <v>30.5</v>
      </c>
      <c r="D1364">
        <v>29.7</v>
      </c>
      <c r="E1364" s="178">
        <v>-0.7</v>
      </c>
      <c r="F1364" s="176">
        <v>-2.2999999999999998</v>
      </c>
      <c r="G1364" t="s">
        <v>5393</v>
      </c>
      <c r="H1364">
        <v>123</v>
      </c>
      <c r="I1364">
        <v>105</v>
      </c>
      <c r="J1364">
        <v>8.75</v>
      </c>
      <c r="K1364">
        <v>30.5</v>
      </c>
      <c r="L1364">
        <v>29.55</v>
      </c>
      <c r="M1364" s="175">
        <v>0.14000000000000001</v>
      </c>
      <c r="N1364" t="s">
        <v>4225</v>
      </c>
    </row>
    <row r="1365" spans="1:14">
      <c r="A1365">
        <v>4563</v>
      </c>
      <c r="B1365" t="s">
        <v>1170</v>
      </c>
      <c r="C1365">
        <v>52.1</v>
      </c>
      <c r="D1365">
        <v>51.8</v>
      </c>
      <c r="E1365" s="178">
        <v>-1</v>
      </c>
      <c r="F1365" s="176">
        <v>-1.89</v>
      </c>
      <c r="G1365" t="s">
        <v>5523</v>
      </c>
      <c r="H1365">
        <v>145</v>
      </c>
      <c r="I1365">
        <v>256</v>
      </c>
      <c r="J1365">
        <v>5.5</v>
      </c>
      <c r="K1365">
        <v>52.5</v>
      </c>
      <c r="L1365">
        <v>50.6</v>
      </c>
      <c r="M1365" s="175">
        <v>0.26</v>
      </c>
      <c r="N1365" t="s">
        <v>4226</v>
      </c>
    </row>
    <row r="1366" spans="1:14">
      <c r="A1366">
        <v>4564</v>
      </c>
      <c r="B1366" t="s">
        <v>358</v>
      </c>
      <c r="C1366">
        <v>15.8</v>
      </c>
      <c r="D1366">
        <v>15.7</v>
      </c>
      <c r="E1366" s="178">
        <v>-0.4</v>
      </c>
      <c r="F1366" s="176">
        <v>-2.48</v>
      </c>
      <c r="G1366" t="s">
        <v>6254</v>
      </c>
      <c r="H1366">
        <v>482</v>
      </c>
      <c r="I1366">
        <v>623</v>
      </c>
      <c r="J1366">
        <v>23.28</v>
      </c>
      <c r="K1366">
        <v>16</v>
      </c>
      <c r="L1366">
        <v>15.7</v>
      </c>
      <c r="M1366" s="175">
        <v>0.21</v>
      </c>
      <c r="N1366" t="s">
        <v>4227</v>
      </c>
    </row>
    <row r="1367" spans="1:14">
      <c r="A1367">
        <v>4566</v>
      </c>
      <c r="B1367" t="s">
        <v>335</v>
      </c>
      <c r="C1367">
        <v>74.099999999999994</v>
      </c>
      <c r="D1367">
        <v>74.400000000000006</v>
      </c>
      <c r="E1367" s="178">
        <v>-1.9</v>
      </c>
      <c r="F1367" s="176">
        <v>-2.4900000000000002</v>
      </c>
      <c r="G1367" t="s">
        <v>6540</v>
      </c>
      <c r="H1367">
        <v>1344</v>
      </c>
      <c r="I1367">
        <v>2508</v>
      </c>
      <c r="J1367">
        <v>11.07</v>
      </c>
      <c r="K1367">
        <v>76</v>
      </c>
      <c r="L1367">
        <v>73.599999999999994</v>
      </c>
      <c r="M1367" s="175">
        <v>1.22</v>
      </c>
      <c r="N1367" t="s">
        <v>4228</v>
      </c>
    </row>
    <row r="1368" spans="1:14">
      <c r="A1368">
        <v>4568</v>
      </c>
      <c r="B1368" t="s">
        <v>354</v>
      </c>
      <c r="C1368">
        <v>40.799999999999997</v>
      </c>
      <c r="D1368">
        <v>41.9</v>
      </c>
      <c r="E1368" s="178">
        <v>2.1</v>
      </c>
      <c r="F1368" s="176">
        <v>5.28</v>
      </c>
      <c r="G1368" t="s">
        <v>6541</v>
      </c>
      <c r="H1368">
        <v>128</v>
      </c>
      <c r="I1368">
        <v>5</v>
      </c>
      <c r="J1368">
        <v>3.2</v>
      </c>
      <c r="K1368">
        <v>43.65</v>
      </c>
      <c r="L1368">
        <v>40</v>
      </c>
      <c r="M1368" s="175">
        <v>0.4</v>
      </c>
      <c r="N1368" t="s">
        <v>4229</v>
      </c>
    </row>
    <row r="1369" spans="1:14">
      <c r="A1369">
        <v>4569</v>
      </c>
      <c r="B1369" t="s">
        <v>2265</v>
      </c>
      <c r="C1369">
        <v>152</v>
      </c>
      <c r="D1369">
        <v>153.5</v>
      </c>
      <c r="E1369" s="178">
        <v>-1</v>
      </c>
      <c r="F1369" s="176">
        <v>-0.65</v>
      </c>
      <c r="G1369" t="s">
        <v>6542</v>
      </c>
      <c r="H1369">
        <v>75</v>
      </c>
      <c r="I1369">
        <v>48</v>
      </c>
      <c r="J1369">
        <v>3.06</v>
      </c>
      <c r="K1369">
        <v>156.5</v>
      </c>
      <c r="L1369">
        <v>152</v>
      </c>
      <c r="M1369" s="175">
        <v>0.25</v>
      </c>
      <c r="N1369" t="s">
        <v>4230</v>
      </c>
    </row>
    <row r="1370" spans="1:14">
      <c r="A1370">
        <v>4571</v>
      </c>
      <c r="B1370" t="s">
        <v>1171</v>
      </c>
      <c r="C1370">
        <v>155.5</v>
      </c>
      <c r="D1370">
        <v>161</v>
      </c>
      <c r="E1370" s="178">
        <v>3.5</v>
      </c>
      <c r="F1370" s="176">
        <v>2.2200000000000002</v>
      </c>
      <c r="G1370" t="s">
        <v>6543</v>
      </c>
      <c r="H1370">
        <v>349</v>
      </c>
      <c r="I1370">
        <v>106</v>
      </c>
      <c r="J1370">
        <v>5.3</v>
      </c>
      <c r="K1370">
        <v>162</v>
      </c>
      <c r="L1370">
        <v>154</v>
      </c>
      <c r="M1370" s="175">
        <v>0.66</v>
      </c>
      <c r="N1370" t="s">
        <v>4231</v>
      </c>
    </row>
    <row r="1371" spans="1:14">
      <c r="A1371">
        <v>4572</v>
      </c>
      <c r="B1371" t="s">
        <v>388</v>
      </c>
      <c r="C1371">
        <v>135</v>
      </c>
      <c r="D1371">
        <v>133</v>
      </c>
      <c r="E1371" s="178">
        <v>-2.5</v>
      </c>
      <c r="F1371" s="176">
        <v>-1.85</v>
      </c>
      <c r="G1371" t="s">
        <v>6402</v>
      </c>
      <c r="H1371">
        <v>52</v>
      </c>
      <c r="I1371">
        <v>27</v>
      </c>
      <c r="J1371">
        <v>4</v>
      </c>
      <c r="K1371">
        <v>135</v>
      </c>
      <c r="L1371">
        <v>132.5</v>
      </c>
      <c r="M1371" s="175">
        <v>0.13</v>
      </c>
      <c r="N1371" t="s">
        <v>4232</v>
      </c>
    </row>
    <row r="1372" spans="1:14">
      <c r="A1372">
        <v>4576</v>
      </c>
      <c r="B1372" t="s">
        <v>380</v>
      </c>
      <c r="C1372">
        <v>217</v>
      </c>
      <c r="D1372">
        <v>205.5</v>
      </c>
      <c r="E1372" s="178">
        <v>-18.5</v>
      </c>
      <c r="F1372" s="176">
        <v>-8.26</v>
      </c>
      <c r="G1372" t="s">
        <v>5559</v>
      </c>
      <c r="H1372">
        <v>1952</v>
      </c>
      <c r="I1372">
        <v>1452</v>
      </c>
      <c r="J1372">
        <v>11.98</v>
      </c>
      <c r="K1372">
        <v>218</v>
      </c>
      <c r="L1372">
        <v>205</v>
      </c>
      <c r="M1372" s="175">
        <v>1.63</v>
      </c>
      <c r="N1372" t="s">
        <v>4233</v>
      </c>
    </row>
    <row r="1373" spans="1:14">
      <c r="A1373">
        <v>4577</v>
      </c>
      <c r="B1373" t="s">
        <v>1641</v>
      </c>
      <c r="C1373">
        <v>90.4</v>
      </c>
      <c r="D1373">
        <v>88</v>
      </c>
      <c r="E1373" s="178">
        <v>-4.3</v>
      </c>
      <c r="F1373" s="176">
        <v>-4.66</v>
      </c>
      <c r="G1373" t="s">
        <v>6544</v>
      </c>
      <c r="H1373">
        <v>301</v>
      </c>
      <c r="I1373">
        <v>355</v>
      </c>
      <c r="J1373">
        <v>4.91</v>
      </c>
      <c r="K1373">
        <v>91.8</v>
      </c>
      <c r="L1373">
        <v>88</v>
      </c>
      <c r="M1373" s="175">
        <v>0.61</v>
      </c>
      <c r="N1373" t="s">
        <v>4234</v>
      </c>
    </row>
    <row r="1374" spans="1:14">
      <c r="A1374">
        <v>4580</v>
      </c>
      <c r="B1374" t="s">
        <v>152</v>
      </c>
      <c r="C1374">
        <v>81.5</v>
      </c>
      <c r="D1374">
        <v>81.599999999999994</v>
      </c>
      <c r="E1374" s="178">
        <v>-0.2</v>
      </c>
      <c r="F1374" s="176">
        <v>-0.24</v>
      </c>
      <c r="G1374" t="s">
        <v>5450</v>
      </c>
      <c r="H1374">
        <v>67</v>
      </c>
      <c r="I1374">
        <v>29</v>
      </c>
      <c r="J1374">
        <v>4.68</v>
      </c>
      <c r="K1374">
        <v>83.8</v>
      </c>
      <c r="L1374">
        <v>81</v>
      </c>
      <c r="M1374" s="175">
        <v>0.14000000000000001</v>
      </c>
      <c r="N1374" t="s">
        <v>4235</v>
      </c>
    </row>
    <row r="1375" spans="1:14">
      <c r="A1375">
        <v>4581</v>
      </c>
      <c r="B1375" t="s">
        <v>1172</v>
      </c>
      <c r="C1375">
        <v>48</v>
      </c>
      <c r="D1375">
        <v>48.4</v>
      </c>
      <c r="E1375" s="178">
        <v>0.4</v>
      </c>
      <c r="F1375" s="176">
        <v>0.83</v>
      </c>
      <c r="G1375" t="s">
        <v>6545</v>
      </c>
      <c r="H1375">
        <v>10</v>
      </c>
      <c r="I1375">
        <v>14</v>
      </c>
      <c r="J1375">
        <v>3.39</v>
      </c>
      <c r="K1375">
        <v>48.5</v>
      </c>
      <c r="L1375">
        <v>48</v>
      </c>
      <c r="M1375" s="175">
        <v>0.03</v>
      </c>
      <c r="N1375" t="s">
        <v>4236</v>
      </c>
    </row>
    <row r="1376" spans="1:14">
      <c r="A1376">
        <v>4583</v>
      </c>
      <c r="B1376" t="s">
        <v>1634</v>
      </c>
      <c r="C1376">
        <v>408</v>
      </c>
      <c r="D1376">
        <v>395</v>
      </c>
      <c r="E1376" s="178">
        <v>-25.5</v>
      </c>
      <c r="F1376" s="176">
        <v>-6.06</v>
      </c>
      <c r="G1376" t="s">
        <v>6546</v>
      </c>
      <c r="H1376">
        <v>151</v>
      </c>
      <c r="I1376">
        <v>146</v>
      </c>
      <c r="J1376">
        <v>8.02</v>
      </c>
      <c r="K1376">
        <v>408</v>
      </c>
      <c r="L1376">
        <v>392</v>
      </c>
      <c r="M1376" s="175">
        <v>0.19</v>
      </c>
      <c r="N1376" t="s">
        <v>4237</v>
      </c>
    </row>
    <row r="1377" spans="1:14">
      <c r="A1377">
        <v>4584</v>
      </c>
      <c r="B1377" t="s">
        <v>1668</v>
      </c>
      <c r="C1377">
        <v>37</v>
      </c>
      <c r="D1377">
        <v>37</v>
      </c>
      <c r="E1377" s="178">
        <v>-1.6</v>
      </c>
      <c r="F1377" s="176">
        <v>-4.1500000000000004</v>
      </c>
      <c r="G1377" t="s">
        <v>6054</v>
      </c>
      <c r="H1377">
        <v>1</v>
      </c>
      <c r="I1377">
        <v>5</v>
      </c>
      <c r="J1377">
        <v>3</v>
      </c>
      <c r="K1377">
        <v>37</v>
      </c>
      <c r="L1377">
        <v>37</v>
      </c>
      <c r="M1377" s="175">
        <v>0</v>
      </c>
      <c r="N1377" t="s">
        <v>4238</v>
      </c>
    </row>
    <row r="1378" spans="1:14">
      <c r="A1378">
        <v>4585</v>
      </c>
      <c r="B1378" t="s">
        <v>2903</v>
      </c>
      <c r="C1378">
        <v>288</v>
      </c>
      <c r="D1378">
        <v>281</v>
      </c>
      <c r="E1378" s="178">
        <v>-7</v>
      </c>
      <c r="F1378" s="176">
        <v>-2.4300000000000002</v>
      </c>
      <c r="G1378" t="s">
        <v>6547</v>
      </c>
      <c r="H1378">
        <v>200</v>
      </c>
      <c r="I1378">
        <v>91</v>
      </c>
      <c r="J1378">
        <v>10.58</v>
      </c>
      <c r="K1378">
        <v>288</v>
      </c>
      <c r="L1378">
        <v>280</v>
      </c>
      <c r="M1378" s="175">
        <v>0.19</v>
      </c>
      <c r="N1378" t="s">
        <v>4239</v>
      </c>
    </row>
    <row r="1379" spans="1:14">
      <c r="A1379">
        <v>4588</v>
      </c>
      <c r="B1379" t="s">
        <v>2329</v>
      </c>
      <c r="C1379">
        <v>55.9</v>
      </c>
      <c r="D1379">
        <v>56.5</v>
      </c>
      <c r="E1379" s="178">
        <v>-0.2</v>
      </c>
      <c r="F1379" s="176">
        <v>-0.35</v>
      </c>
      <c r="G1379" t="s">
        <v>5859</v>
      </c>
      <c r="H1379">
        <v>72</v>
      </c>
      <c r="I1379">
        <v>70</v>
      </c>
      <c r="J1379">
        <v>4.3</v>
      </c>
      <c r="K1379">
        <v>56.5</v>
      </c>
      <c r="L1379">
        <v>55.8</v>
      </c>
      <c r="M1379" s="175">
        <v>0.17</v>
      </c>
      <c r="N1379" t="s">
        <v>4240</v>
      </c>
    </row>
    <row r="1380" spans="1:14">
      <c r="A1380">
        <v>4609</v>
      </c>
      <c r="B1380" t="s">
        <v>1173</v>
      </c>
      <c r="C1380">
        <v>4.7</v>
      </c>
      <c r="D1380">
        <v>4.93</v>
      </c>
      <c r="E1380" s="178">
        <v>0.23</v>
      </c>
      <c r="F1380" s="176">
        <v>4.8899999999999997</v>
      </c>
      <c r="G1380" t="s">
        <v>6548</v>
      </c>
      <c r="H1380">
        <v>3</v>
      </c>
      <c r="I1380">
        <v>5</v>
      </c>
      <c r="J1380">
        <v>4.79</v>
      </c>
      <c r="K1380">
        <v>5.05</v>
      </c>
      <c r="L1380">
        <v>4.7</v>
      </c>
      <c r="M1380" s="175">
        <v>0.01</v>
      </c>
      <c r="N1380" t="s">
        <v>4241</v>
      </c>
    </row>
    <row r="1381" spans="1:14">
      <c r="A1381">
        <v>4702</v>
      </c>
      <c r="B1381" t="s">
        <v>1174</v>
      </c>
      <c r="C1381">
        <v>9.41</v>
      </c>
      <c r="D1381">
        <v>9.34</v>
      </c>
      <c r="E1381" s="178">
        <v>-0.05</v>
      </c>
      <c r="F1381" s="176">
        <v>-0.53</v>
      </c>
      <c r="G1381" t="s">
        <v>6549</v>
      </c>
      <c r="H1381">
        <v>67</v>
      </c>
      <c r="I1381">
        <v>64</v>
      </c>
      <c r="J1381">
        <v>7.23</v>
      </c>
      <c r="K1381">
        <v>9.41</v>
      </c>
      <c r="L1381">
        <v>9.2799999999999994</v>
      </c>
      <c r="M1381" s="175">
        <v>0.09</v>
      </c>
      <c r="N1381" t="s">
        <v>5149</v>
      </c>
    </row>
    <row r="1382" spans="1:14">
      <c r="A1382">
        <v>4706</v>
      </c>
      <c r="B1382" t="s">
        <v>1175</v>
      </c>
      <c r="C1382">
        <v>38.200000000000003</v>
      </c>
      <c r="D1382">
        <v>39.25</v>
      </c>
      <c r="E1382" s="178">
        <v>0.95</v>
      </c>
      <c r="F1382" s="176">
        <v>2.48</v>
      </c>
      <c r="G1382" t="s">
        <v>6550</v>
      </c>
      <c r="H1382">
        <v>60</v>
      </c>
      <c r="I1382">
        <v>288</v>
      </c>
      <c r="J1382">
        <v>7.9</v>
      </c>
      <c r="K1382">
        <v>41.7</v>
      </c>
      <c r="L1382">
        <v>38.200000000000003</v>
      </c>
      <c r="M1382" s="175">
        <v>0.08</v>
      </c>
      <c r="N1382" t="s">
        <v>4242</v>
      </c>
    </row>
    <row r="1383" spans="1:14">
      <c r="A1383">
        <v>4707</v>
      </c>
      <c r="B1383" t="s">
        <v>2897</v>
      </c>
      <c r="C1383">
        <v>31.3</v>
      </c>
      <c r="D1383">
        <v>29.65</v>
      </c>
      <c r="E1383" s="178">
        <v>-2.4</v>
      </c>
      <c r="F1383" s="176">
        <v>-7.49</v>
      </c>
      <c r="G1383" t="s">
        <v>6551</v>
      </c>
      <c r="H1383">
        <v>3108</v>
      </c>
      <c r="I1383">
        <v>5016</v>
      </c>
      <c r="J1383">
        <v>41.38</v>
      </c>
      <c r="K1383">
        <v>31.45</v>
      </c>
      <c r="L1383">
        <v>29.35</v>
      </c>
      <c r="M1383" s="175">
        <v>0.75</v>
      </c>
      <c r="N1383" t="s">
        <v>4243</v>
      </c>
    </row>
    <row r="1384" spans="1:14">
      <c r="A1384">
        <v>4711</v>
      </c>
      <c r="B1384" t="s">
        <v>1176</v>
      </c>
      <c r="C1384">
        <v>17.149999999999999</v>
      </c>
      <c r="D1384">
        <v>16.75</v>
      </c>
      <c r="E1384" s="178">
        <v>-0.4</v>
      </c>
      <c r="F1384" s="176">
        <v>-2.33</v>
      </c>
      <c r="G1384" t="s">
        <v>5293</v>
      </c>
      <c r="H1384">
        <v>124</v>
      </c>
      <c r="I1384">
        <v>677</v>
      </c>
      <c r="J1384">
        <v>6.11</v>
      </c>
      <c r="K1384">
        <v>17.149999999999999</v>
      </c>
      <c r="L1384">
        <v>16.75</v>
      </c>
      <c r="M1384" s="175">
        <v>0.2</v>
      </c>
      <c r="N1384" t="s">
        <v>4244</v>
      </c>
    </row>
    <row r="1385" spans="1:14">
      <c r="A1385">
        <v>4714</v>
      </c>
      <c r="B1385" t="s">
        <v>1177</v>
      </c>
      <c r="C1385">
        <v>12.4</v>
      </c>
      <c r="D1385">
        <v>12.15</v>
      </c>
      <c r="E1385" s="178">
        <v>-0.4</v>
      </c>
      <c r="F1385" s="176">
        <v>-3.19</v>
      </c>
      <c r="G1385" t="s">
        <v>6552</v>
      </c>
      <c r="H1385">
        <v>1288</v>
      </c>
      <c r="I1385">
        <v>2588</v>
      </c>
      <c r="J1385">
        <v>22.18</v>
      </c>
      <c r="K1385">
        <v>12.45</v>
      </c>
      <c r="L1385">
        <v>12.05</v>
      </c>
      <c r="M1385" s="175">
        <v>0.57999999999999996</v>
      </c>
      <c r="N1385" t="s">
        <v>4245</v>
      </c>
    </row>
    <row r="1386" spans="1:14">
      <c r="A1386">
        <v>4716</v>
      </c>
      <c r="B1386" t="s">
        <v>1178</v>
      </c>
      <c r="C1386">
        <v>19.149999999999999</v>
      </c>
      <c r="D1386">
        <v>18.8</v>
      </c>
      <c r="E1386" s="178">
        <v>-0.65</v>
      </c>
      <c r="F1386" s="176">
        <v>-3.34</v>
      </c>
      <c r="G1386" t="s">
        <v>6553</v>
      </c>
      <c r="H1386">
        <v>2446</v>
      </c>
      <c r="I1386">
        <v>4864</v>
      </c>
      <c r="J1386">
        <v>9.44</v>
      </c>
      <c r="K1386">
        <v>19.8</v>
      </c>
      <c r="L1386">
        <v>18.5</v>
      </c>
      <c r="M1386" s="175">
        <v>2.59</v>
      </c>
      <c r="N1386" t="s">
        <v>4246</v>
      </c>
    </row>
    <row r="1387" spans="1:14">
      <c r="A1387">
        <v>4720</v>
      </c>
      <c r="B1387" t="s">
        <v>1179</v>
      </c>
      <c r="C1387">
        <v>25.4</v>
      </c>
      <c r="D1387">
        <v>25.5</v>
      </c>
      <c r="E1387" s="178">
        <v>-0.35</v>
      </c>
      <c r="F1387" s="176">
        <v>-1.35</v>
      </c>
      <c r="G1387" t="s">
        <v>5613</v>
      </c>
      <c r="H1387">
        <v>10412</v>
      </c>
      <c r="I1387">
        <v>10515</v>
      </c>
      <c r="J1387">
        <v>11.45</v>
      </c>
      <c r="K1387">
        <v>27</v>
      </c>
      <c r="L1387">
        <v>25</v>
      </c>
      <c r="M1387" s="175">
        <v>9.09</v>
      </c>
      <c r="N1387" t="s">
        <v>4247</v>
      </c>
    </row>
    <row r="1388" spans="1:14">
      <c r="A1388">
        <v>4721</v>
      </c>
      <c r="B1388" t="s">
        <v>1180</v>
      </c>
      <c r="C1388">
        <v>78.3</v>
      </c>
      <c r="D1388">
        <v>76.900000000000006</v>
      </c>
      <c r="E1388" s="178">
        <v>-3.3</v>
      </c>
      <c r="F1388" s="176">
        <v>-4.1100000000000003</v>
      </c>
      <c r="G1388" t="s">
        <v>6554</v>
      </c>
      <c r="H1388">
        <v>554</v>
      </c>
      <c r="I1388">
        <v>472</v>
      </c>
      <c r="J1388">
        <v>7.5</v>
      </c>
      <c r="K1388">
        <v>78.900000000000006</v>
      </c>
      <c r="L1388">
        <v>76.8</v>
      </c>
      <c r="M1388" s="175">
        <v>0.74</v>
      </c>
      <c r="N1388" t="s">
        <v>4248</v>
      </c>
    </row>
    <row r="1389" spans="1:14">
      <c r="A1389">
        <v>4722</v>
      </c>
      <c r="B1389" t="s">
        <v>1181</v>
      </c>
      <c r="C1389">
        <v>206.5</v>
      </c>
      <c r="D1389">
        <v>202.5</v>
      </c>
      <c r="E1389" s="178">
        <v>-12</v>
      </c>
      <c r="F1389" s="176">
        <v>-5.59</v>
      </c>
      <c r="G1389" t="s">
        <v>6555</v>
      </c>
      <c r="H1389">
        <v>1223</v>
      </c>
      <c r="I1389">
        <v>1665</v>
      </c>
      <c r="J1389">
        <v>10.42</v>
      </c>
      <c r="K1389">
        <v>208.5</v>
      </c>
      <c r="L1389">
        <v>201</v>
      </c>
      <c r="M1389" s="175">
        <v>1.18</v>
      </c>
      <c r="N1389" t="s">
        <v>4249</v>
      </c>
    </row>
    <row r="1390" spans="1:14">
      <c r="A1390">
        <v>4726</v>
      </c>
      <c r="B1390" t="s">
        <v>1182</v>
      </c>
      <c r="C1390">
        <v>23.3</v>
      </c>
      <c r="D1390">
        <v>23.2</v>
      </c>
      <c r="E1390" s="178">
        <v>-0.1</v>
      </c>
      <c r="F1390" s="176">
        <v>-0.43</v>
      </c>
      <c r="G1390" t="s">
        <v>6326</v>
      </c>
      <c r="H1390">
        <v>112</v>
      </c>
      <c r="I1390">
        <v>112</v>
      </c>
      <c r="J1390">
        <v>20.7</v>
      </c>
      <c r="K1390">
        <v>23.5</v>
      </c>
      <c r="L1390">
        <v>22.9</v>
      </c>
      <c r="M1390" s="175">
        <v>0.05</v>
      </c>
      <c r="N1390" t="s">
        <v>4250</v>
      </c>
    </row>
    <row r="1391" spans="1:14">
      <c r="A1391">
        <v>4728</v>
      </c>
      <c r="B1391" t="s">
        <v>1183</v>
      </c>
      <c r="C1391">
        <v>391.5</v>
      </c>
      <c r="D1391">
        <v>393</v>
      </c>
      <c r="E1391" s="178">
        <v>-6.5</v>
      </c>
      <c r="F1391" s="176">
        <v>-1.63</v>
      </c>
      <c r="G1391" t="s">
        <v>5181</v>
      </c>
      <c r="H1391">
        <v>4</v>
      </c>
      <c r="I1391">
        <v>15</v>
      </c>
      <c r="J1391">
        <v>5.45</v>
      </c>
      <c r="K1391">
        <v>393</v>
      </c>
      <c r="L1391">
        <v>391</v>
      </c>
      <c r="M1391" s="175">
        <v>0.01</v>
      </c>
      <c r="N1391" t="s">
        <v>4251</v>
      </c>
    </row>
    <row r="1392" spans="1:14">
      <c r="A1392">
        <v>4729</v>
      </c>
      <c r="B1392" t="s">
        <v>1662</v>
      </c>
      <c r="C1392">
        <v>19.5</v>
      </c>
      <c r="D1392">
        <v>19.2</v>
      </c>
      <c r="E1392" s="178">
        <v>-0.45</v>
      </c>
      <c r="F1392" s="176">
        <v>-2.29</v>
      </c>
      <c r="G1392" t="s">
        <v>5301</v>
      </c>
      <c r="H1392">
        <v>77</v>
      </c>
      <c r="I1392">
        <v>82</v>
      </c>
      <c r="J1392">
        <v>7.92</v>
      </c>
      <c r="K1392">
        <v>19.5</v>
      </c>
      <c r="L1392">
        <v>19.100000000000001</v>
      </c>
      <c r="M1392" s="175">
        <v>0.1</v>
      </c>
      <c r="N1392" t="s">
        <v>4252</v>
      </c>
    </row>
    <row r="1393" spans="1:14">
      <c r="A1393">
        <v>4735</v>
      </c>
      <c r="B1393" t="s">
        <v>1184</v>
      </c>
      <c r="C1393">
        <v>36.9</v>
      </c>
      <c r="D1393">
        <v>36.4</v>
      </c>
      <c r="E1393" s="178">
        <v>-0.6</v>
      </c>
      <c r="F1393" s="176">
        <v>-1.62</v>
      </c>
      <c r="G1393" t="s">
        <v>6556</v>
      </c>
      <c r="H1393">
        <v>46</v>
      </c>
      <c r="I1393">
        <v>78</v>
      </c>
      <c r="J1393">
        <v>4.16</v>
      </c>
      <c r="K1393">
        <v>37.049999999999997</v>
      </c>
      <c r="L1393">
        <v>36.299999999999997</v>
      </c>
      <c r="M1393" s="175">
        <v>0.11</v>
      </c>
      <c r="N1393" t="s">
        <v>4253</v>
      </c>
    </row>
    <row r="1394" spans="1:14">
      <c r="A1394">
        <v>4736</v>
      </c>
      <c r="B1394" t="s">
        <v>1185</v>
      </c>
      <c r="C1394">
        <v>135</v>
      </c>
      <c r="D1394">
        <v>133.5</v>
      </c>
      <c r="E1394" s="178">
        <v>-1</v>
      </c>
      <c r="F1394" s="176">
        <v>-0.74</v>
      </c>
      <c r="G1394" t="s">
        <v>6557</v>
      </c>
      <c r="H1394">
        <v>224</v>
      </c>
      <c r="I1394">
        <v>271</v>
      </c>
      <c r="J1394">
        <v>10.36</v>
      </c>
      <c r="K1394">
        <v>135</v>
      </c>
      <c r="L1394">
        <v>133</v>
      </c>
      <c r="M1394" s="175">
        <v>0.21</v>
      </c>
      <c r="N1394" t="s">
        <v>4254</v>
      </c>
    </row>
    <row r="1395" spans="1:14">
      <c r="A1395">
        <v>4737</v>
      </c>
      <c r="B1395" t="s">
        <v>1186</v>
      </c>
      <c r="C1395">
        <v>55.3</v>
      </c>
      <c r="D1395">
        <v>55.4</v>
      </c>
      <c r="E1395" s="178">
        <v>0.1</v>
      </c>
      <c r="F1395" s="176">
        <v>0.18</v>
      </c>
      <c r="G1395" t="s">
        <v>5354</v>
      </c>
      <c r="H1395">
        <v>55</v>
      </c>
      <c r="I1395">
        <v>32</v>
      </c>
      <c r="J1395">
        <v>7.74</v>
      </c>
      <c r="K1395">
        <v>55.6</v>
      </c>
      <c r="L1395">
        <v>54.4</v>
      </c>
      <c r="M1395" s="175">
        <v>7.0000000000000007E-2</v>
      </c>
      <c r="N1395" t="s">
        <v>4255</v>
      </c>
    </row>
    <row r="1396" spans="1:14">
      <c r="A1396">
        <v>4739</v>
      </c>
      <c r="B1396" t="s">
        <v>231</v>
      </c>
      <c r="C1396">
        <v>86.6</v>
      </c>
      <c r="D1396">
        <v>84.5</v>
      </c>
      <c r="E1396" s="178">
        <v>-3.7</v>
      </c>
      <c r="F1396" s="176">
        <v>-4.2</v>
      </c>
      <c r="G1396" t="s">
        <v>5343</v>
      </c>
      <c r="H1396">
        <v>1729</v>
      </c>
      <c r="I1396">
        <v>1517</v>
      </c>
      <c r="J1396">
        <v>12.47</v>
      </c>
      <c r="K1396">
        <v>87.3</v>
      </c>
      <c r="L1396">
        <v>84.2</v>
      </c>
      <c r="M1396" s="175">
        <v>1.39</v>
      </c>
      <c r="N1396" t="s">
        <v>4256</v>
      </c>
    </row>
    <row r="1397" spans="1:14">
      <c r="A1397">
        <v>4741</v>
      </c>
      <c r="B1397" t="s">
        <v>376</v>
      </c>
      <c r="C1397">
        <v>38.799999999999997</v>
      </c>
      <c r="D1397">
        <v>38.5</v>
      </c>
      <c r="E1397" s="178">
        <v>-0.95</v>
      </c>
      <c r="F1397" s="176">
        <v>-2.41</v>
      </c>
      <c r="G1397" t="s">
        <v>6558</v>
      </c>
      <c r="H1397">
        <v>97</v>
      </c>
      <c r="I1397">
        <v>59</v>
      </c>
      <c r="J1397">
        <v>3.48</v>
      </c>
      <c r="K1397">
        <v>39.450000000000003</v>
      </c>
      <c r="L1397">
        <v>38.299999999999997</v>
      </c>
      <c r="M1397" s="175">
        <v>0.28000000000000003</v>
      </c>
      <c r="N1397" t="s">
        <v>4257</v>
      </c>
    </row>
    <row r="1398" spans="1:14">
      <c r="A1398">
        <v>4743</v>
      </c>
      <c r="B1398" t="s">
        <v>1187</v>
      </c>
      <c r="C1398">
        <v>47.65</v>
      </c>
      <c r="D1398">
        <v>48.1</v>
      </c>
      <c r="E1398" s="178">
        <v>0</v>
      </c>
      <c r="F1398" s="176">
        <v>0</v>
      </c>
      <c r="G1398" t="s">
        <v>6559</v>
      </c>
      <c r="H1398">
        <v>1128</v>
      </c>
      <c r="I1398">
        <v>1645</v>
      </c>
      <c r="J1398">
        <v>48.05</v>
      </c>
      <c r="K1398">
        <v>48.4</v>
      </c>
      <c r="L1398">
        <v>47.2</v>
      </c>
      <c r="M1398" s="175">
        <v>0.23</v>
      </c>
      <c r="N1398" t="s">
        <v>4258</v>
      </c>
    </row>
    <row r="1399" spans="1:14">
      <c r="A1399">
        <v>4744</v>
      </c>
      <c r="B1399" t="s">
        <v>345</v>
      </c>
      <c r="C1399">
        <v>27</v>
      </c>
      <c r="D1399">
        <v>26.65</v>
      </c>
      <c r="E1399" s="178">
        <v>-0.3</v>
      </c>
      <c r="F1399" s="176">
        <v>-1.1100000000000001</v>
      </c>
      <c r="G1399" t="s">
        <v>3231</v>
      </c>
      <c r="H1399">
        <v>41</v>
      </c>
      <c r="I1399">
        <v>60</v>
      </c>
      <c r="J1399">
        <v>5.69</v>
      </c>
      <c r="K1399">
        <v>27</v>
      </c>
      <c r="L1399">
        <v>26.6</v>
      </c>
      <c r="M1399" s="175">
        <v>7.0000000000000007E-2</v>
      </c>
      <c r="N1399" t="s">
        <v>5171</v>
      </c>
    </row>
    <row r="1400" spans="1:14">
      <c r="A1400">
        <v>4745</v>
      </c>
      <c r="B1400" t="s">
        <v>1188</v>
      </c>
      <c r="C1400">
        <v>11.8</v>
      </c>
      <c r="D1400">
        <v>11.95</v>
      </c>
      <c r="E1400" s="178">
        <v>-0.1</v>
      </c>
      <c r="F1400" s="176">
        <v>-0.83</v>
      </c>
      <c r="G1400" t="s">
        <v>6044</v>
      </c>
      <c r="H1400">
        <v>24</v>
      </c>
      <c r="I1400">
        <v>21</v>
      </c>
      <c r="J1400">
        <v>6.62</v>
      </c>
      <c r="K1400">
        <v>12</v>
      </c>
      <c r="L1400">
        <v>11.8</v>
      </c>
      <c r="M1400" s="175">
        <v>0.04</v>
      </c>
      <c r="N1400" t="s">
        <v>4259</v>
      </c>
    </row>
    <row r="1401" spans="1:14">
      <c r="A1401">
        <v>4746</v>
      </c>
      <c r="B1401" t="s">
        <v>1189</v>
      </c>
      <c r="C1401">
        <v>47.6</v>
      </c>
      <c r="D1401">
        <v>47.8</v>
      </c>
      <c r="E1401" s="178">
        <v>0.2</v>
      </c>
      <c r="F1401" s="176">
        <v>0.42</v>
      </c>
      <c r="G1401" t="s">
        <v>6560</v>
      </c>
      <c r="H1401">
        <v>605</v>
      </c>
      <c r="I1401">
        <v>635</v>
      </c>
      <c r="J1401">
        <v>12.03</v>
      </c>
      <c r="K1401">
        <v>48.45</v>
      </c>
      <c r="L1401">
        <v>47.25</v>
      </c>
      <c r="M1401" s="175">
        <v>0.5</v>
      </c>
      <c r="N1401" t="s">
        <v>4260</v>
      </c>
    </row>
    <row r="1402" spans="1:14">
      <c r="A1402">
        <v>4747</v>
      </c>
      <c r="B1402" t="s">
        <v>3248</v>
      </c>
      <c r="C1402">
        <v>22.7</v>
      </c>
      <c r="D1402">
        <v>23.2</v>
      </c>
      <c r="E1402" s="178">
        <v>0.2</v>
      </c>
      <c r="F1402" s="176">
        <v>0.87</v>
      </c>
      <c r="G1402" t="s">
        <v>5432</v>
      </c>
      <c r="H1402">
        <v>23</v>
      </c>
      <c r="I1402">
        <v>15</v>
      </c>
      <c r="J1402">
        <v>4.55</v>
      </c>
      <c r="K1402">
        <v>23.2</v>
      </c>
      <c r="L1402">
        <v>22.55</v>
      </c>
      <c r="M1402" s="175">
        <v>0.03</v>
      </c>
      <c r="N1402" t="s">
        <v>4261</v>
      </c>
    </row>
    <row r="1403" spans="1:14">
      <c r="A1403">
        <v>4749</v>
      </c>
      <c r="B1403" t="s">
        <v>2716</v>
      </c>
      <c r="C1403">
        <v>726</v>
      </c>
      <c r="D1403">
        <v>724</v>
      </c>
      <c r="E1403" s="178">
        <v>-21</v>
      </c>
      <c r="F1403" s="176">
        <v>-2.82</v>
      </c>
      <c r="G1403" t="s">
        <v>6561</v>
      </c>
      <c r="H1403">
        <v>784</v>
      </c>
      <c r="I1403">
        <v>808</v>
      </c>
      <c r="J1403">
        <v>9.4700000000000006</v>
      </c>
      <c r="K1403">
        <v>727</v>
      </c>
      <c r="L1403">
        <v>712</v>
      </c>
      <c r="M1403" s="175">
        <v>0.83</v>
      </c>
      <c r="N1403" t="s">
        <v>4262</v>
      </c>
    </row>
    <row r="1404" spans="1:14">
      <c r="A1404">
        <v>4754</v>
      </c>
      <c r="B1404" t="s">
        <v>1190</v>
      </c>
      <c r="C1404">
        <v>37.1</v>
      </c>
      <c r="D1404">
        <v>37.299999999999997</v>
      </c>
      <c r="E1404" s="178">
        <v>0.1</v>
      </c>
      <c r="F1404" s="176">
        <v>0.27</v>
      </c>
      <c r="G1404" t="s">
        <v>5724</v>
      </c>
      <c r="H1404">
        <v>19</v>
      </c>
      <c r="I1404">
        <v>34</v>
      </c>
      <c r="J1404">
        <v>3.03</v>
      </c>
      <c r="K1404">
        <v>37.299999999999997</v>
      </c>
      <c r="L1404">
        <v>37.049999999999997</v>
      </c>
      <c r="M1404" s="175">
        <v>0.06</v>
      </c>
      <c r="N1404" t="s">
        <v>4263</v>
      </c>
    </row>
    <row r="1405" spans="1:14">
      <c r="A1405">
        <v>4755</v>
      </c>
      <c r="B1405" t="s">
        <v>1191</v>
      </c>
      <c r="C1405">
        <v>128</v>
      </c>
      <c r="D1405">
        <v>123</v>
      </c>
      <c r="E1405" s="178">
        <v>-6.5</v>
      </c>
      <c r="F1405" s="176">
        <v>-5.0199999999999996</v>
      </c>
      <c r="G1405" t="s">
        <v>6562</v>
      </c>
      <c r="H1405">
        <v>520</v>
      </c>
      <c r="I1405">
        <v>773</v>
      </c>
      <c r="J1405">
        <v>10.07</v>
      </c>
      <c r="K1405">
        <v>128.5</v>
      </c>
      <c r="L1405">
        <v>122.5</v>
      </c>
      <c r="M1405" s="175">
        <v>0.52</v>
      </c>
      <c r="N1405" t="s">
        <v>4264</v>
      </c>
    </row>
    <row r="1406" spans="1:14">
      <c r="A1406">
        <v>4760</v>
      </c>
      <c r="B1406" t="s">
        <v>385</v>
      </c>
      <c r="C1406">
        <v>381.5</v>
      </c>
      <c r="D1406">
        <v>368.5</v>
      </c>
      <c r="E1406" s="178">
        <v>-30.5</v>
      </c>
      <c r="F1406" s="176">
        <v>-7.64</v>
      </c>
      <c r="G1406" t="s">
        <v>6563</v>
      </c>
      <c r="H1406">
        <v>946</v>
      </c>
      <c r="I1406">
        <v>1183</v>
      </c>
      <c r="J1406">
        <v>3.28</v>
      </c>
      <c r="K1406">
        <v>394.5</v>
      </c>
      <c r="L1406">
        <v>364.5</v>
      </c>
      <c r="M1406" s="175">
        <v>2.89</v>
      </c>
      <c r="N1406" t="s">
        <v>4265</v>
      </c>
    </row>
    <row r="1407" spans="1:14">
      <c r="A1407">
        <v>4763</v>
      </c>
      <c r="B1407" t="s">
        <v>2840</v>
      </c>
      <c r="C1407">
        <v>46.8</v>
      </c>
      <c r="D1407">
        <v>46.5</v>
      </c>
      <c r="E1407" s="178">
        <v>-0.8</v>
      </c>
      <c r="F1407" s="176">
        <v>-1.69</v>
      </c>
      <c r="G1407" t="s">
        <v>6182</v>
      </c>
      <c r="H1407">
        <v>4381</v>
      </c>
      <c r="I1407">
        <v>4056</v>
      </c>
      <c r="J1407">
        <v>9.89</v>
      </c>
      <c r="K1407">
        <v>47.4</v>
      </c>
      <c r="L1407">
        <v>46.3</v>
      </c>
      <c r="M1407" s="175">
        <v>0.44</v>
      </c>
      <c r="N1407" t="s">
        <v>4266</v>
      </c>
    </row>
    <row r="1408" spans="1:14">
      <c r="A1408">
        <v>4764</v>
      </c>
      <c r="B1408" t="s">
        <v>372</v>
      </c>
      <c r="C1408">
        <v>190</v>
      </c>
      <c r="D1408">
        <v>183</v>
      </c>
      <c r="E1408" s="178">
        <v>-13</v>
      </c>
      <c r="F1408" s="176">
        <v>-6.63</v>
      </c>
      <c r="G1408" t="s">
        <v>5325</v>
      </c>
      <c r="H1408">
        <v>928</v>
      </c>
      <c r="I1408">
        <v>2031</v>
      </c>
      <c r="J1408">
        <v>9.15</v>
      </c>
      <c r="K1408">
        <v>191</v>
      </c>
      <c r="L1408">
        <v>182</v>
      </c>
      <c r="M1408" s="175">
        <v>1.01</v>
      </c>
      <c r="N1408" t="s">
        <v>4267</v>
      </c>
    </row>
    <row r="1409" spans="1:14">
      <c r="A1409">
        <v>4766</v>
      </c>
      <c r="B1409" t="s">
        <v>331</v>
      </c>
      <c r="C1409">
        <v>364</v>
      </c>
      <c r="D1409">
        <v>361</v>
      </c>
      <c r="E1409" s="178">
        <v>-3.5</v>
      </c>
      <c r="F1409" s="176">
        <v>-0.96</v>
      </c>
      <c r="G1409" t="s">
        <v>6564</v>
      </c>
      <c r="H1409">
        <v>275</v>
      </c>
      <c r="I1409">
        <v>279</v>
      </c>
      <c r="J1409">
        <v>12.06</v>
      </c>
      <c r="K1409">
        <v>364</v>
      </c>
      <c r="L1409">
        <v>358</v>
      </c>
      <c r="M1409" s="175">
        <v>0.23</v>
      </c>
      <c r="N1409" t="s">
        <v>4268</v>
      </c>
    </row>
    <row r="1410" spans="1:14">
      <c r="A1410">
        <v>4767</v>
      </c>
      <c r="B1410" t="s">
        <v>356</v>
      </c>
      <c r="C1410">
        <v>28.15</v>
      </c>
      <c r="D1410">
        <v>27.9</v>
      </c>
      <c r="E1410" s="178">
        <v>-0.35</v>
      </c>
      <c r="F1410" s="176">
        <v>-1.24</v>
      </c>
      <c r="G1410" t="s">
        <v>6565</v>
      </c>
      <c r="H1410">
        <v>27</v>
      </c>
      <c r="I1410">
        <v>10</v>
      </c>
      <c r="J1410">
        <v>3.14</v>
      </c>
      <c r="K1410">
        <v>28.15</v>
      </c>
      <c r="L1410">
        <v>27.6</v>
      </c>
      <c r="M1410" s="175">
        <v>0.09</v>
      </c>
      <c r="N1410" t="s">
        <v>4269</v>
      </c>
    </row>
    <row r="1411" spans="1:14">
      <c r="A1411">
        <v>4768</v>
      </c>
      <c r="B1411" t="s">
        <v>1631</v>
      </c>
      <c r="C1411">
        <v>357</v>
      </c>
      <c r="D1411">
        <v>345</v>
      </c>
      <c r="E1411" s="178">
        <v>-19.5</v>
      </c>
      <c r="F1411" s="176">
        <v>-5.35</v>
      </c>
      <c r="G1411" t="s">
        <v>5409</v>
      </c>
      <c r="H1411">
        <v>508</v>
      </c>
      <c r="I1411">
        <v>627</v>
      </c>
      <c r="J1411">
        <v>4.82</v>
      </c>
      <c r="K1411">
        <v>363</v>
      </c>
      <c r="L1411">
        <v>341.5</v>
      </c>
      <c r="M1411" s="175">
        <v>1.05</v>
      </c>
      <c r="N1411" t="s">
        <v>4270</v>
      </c>
    </row>
    <row r="1412" spans="1:14">
      <c r="A1412">
        <v>4770</v>
      </c>
      <c r="B1412" t="s">
        <v>1614</v>
      </c>
      <c r="C1412">
        <v>275.5</v>
      </c>
      <c r="D1412">
        <v>273</v>
      </c>
      <c r="E1412" s="178">
        <v>-7</v>
      </c>
      <c r="F1412" s="176">
        <v>-2.5</v>
      </c>
      <c r="G1412" t="s">
        <v>6126</v>
      </c>
      <c r="H1412">
        <v>1039</v>
      </c>
      <c r="I1412">
        <v>942</v>
      </c>
      <c r="J1412">
        <v>8</v>
      </c>
      <c r="K1412">
        <v>285</v>
      </c>
      <c r="L1412">
        <v>273</v>
      </c>
      <c r="M1412" s="175">
        <v>1.3</v>
      </c>
      <c r="N1412" t="s">
        <v>4271</v>
      </c>
    </row>
    <row r="1413" spans="1:14">
      <c r="A1413">
        <v>4771</v>
      </c>
      <c r="B1413" t="s">
        <v>2339</v>
      </c>
      <c r="C1413">
        <v>201</v>
      </c>
      <c r="D1413">
        <v>204.5</v>
      </c>
      <c r="E1413" s="178">
        <v>-1</v>
      </c>
      <c r="F1413" s="176">
        <v>-0.49</v>
      </c>
      <c r="G1413" t="s">
        <v>6566</v>
      </c>
      <c r="H1413">
        <v>244</v>
      </c>
      <c r="I1413">
        <v>136</v>
      </c>
      <c r="J1413">
        <v>5.88</v>
      </c>
      <c r="K1413">
        <v>207.5</v>
      </c>
      <c r="L1413">
        <v>201</v>
      </c>
      <c r="M1413" s="175">
        <v>0.42</v>
      </c>
      <c r="N1413" t="s">
        <v>4272</v>
      </c>
    </row>
    <row r="1414" spans="1:14">
      <c r="A1414">
        <v>4772</v>
      </c>
      <c r="B1414" t="s">
        <v>2624</v>
      </c>
      <c r="C1414">
        <v>263</v>
      </c>
      <c r="D1414">
        <v>260.5</v>
      </c>
      <c r="E1414" s="178">
        <v>-8.5</v>
      </c>
      <c r="F1414" s="176">
        <v>-3.16</v>
      </c>
      <c r="G1414" t="s">
        <v>5403</v>
      </c>
      <c r="H1414">
        <v>585</v>
      </c>
      <c r="I1414">
        <v>652</v>
      </c>
      <c r="J1414">
        <v>14.77</v>
      </c>
      <c r="K1414">
        <v>268.5</v>
      </c>
      <c r="L1414">
        <v>258.5</v>
      </c>
      <c r="M1414" s="175">
        <v>0.4</v>
      </c>
      <c r="N1414" t="s">
        <v>4273</v>
      </c>
    </row>
    <row r="1415" spans="1:14">
      <c r="A1415">
        <v>4806</v>
      </c>
      <c r="B1415" t="s">
        <v>5271</v>
      </c>
      <c r="C1415">
        <v>11</v>
      </c>
      <c r="D1415">
        <v>10.8</v>
      </c>
      <c r="E1415" s="178">
        <v>-0.2</v>
      </c>
      <c r="F1415" s="176">
        <v>-1.82</v>
      </c>
      <c r="G1415" t="s">
        <v>5563</v>
      </c>
      <c r="H1415">
        <v>14</v>
      </c>
      <c r="I1415">
        <v>31</v>
      </c>
      <c r="J1415">
        <v>6.99</v>
      </c>
      <c r="K1415">
        <v>11</v>
      </c>
      <c r="L1415">
        <v>10.8</v>
      </c>
      <c r="M1415" s="175">
        <v>0.02</v>
      </c>
      <c r="N1415" t="s">
        <v>5272</v>
      </c>
    </row>
    <row r="1416" spans="1:14">
      <c r="A1416">
        <v>4807</v>
      </c>
      <c r="B1416" t="s">
        <v>1192</v>
      </c>
      <c r="C1416">
        <v>31.95</v>
      </c>
      <c r="D1416">
        <v>32.1</v>
      </c>
      <c r="E1416" s="178">
        <v>0</v>
      </c>
      <c r="F1416" s="176">
        <v>0</v>
      </c>
      <c r="G1416" t="s">
        <v>6567</v>
      </c>
      <c r="H1416">
        <v>148</v>
      </c>
      <c r="I1416">
        <v>321</v>
      </c>
      <c r="J1416">
        <v>4.9000000000000004</v>
      </c>
      <c r="K1416">
        <v>33.450000000000003</v>
      </c>
      <c r="L1416">
        <v>31.4</v>
      </c>
      <c r="M1416" s="175">
        <v>0.3</v>
      </c>
      <c r="N1416" t="s">
        <v>4274</v>
      </c>
    </row>
    <row r="1417" spans="1:14">
      <c r="A1417">
        <v>4903</v>
      </c>
      <c r="B1417" t="s">
        <v>1193</v>
      </c>
      <c r="C1417">
        <v>52.6</v>
      </c>
      <c r="D1417">
        <v>52.8</v>
      </c>
      <c r="E1417" s="178">
        <v>-1.1000000000000001</v>
      </c>
      <c r="F1417" s="176">
        <v>-2.04</v>
      </c>
      <c r="G1417" t="s">
        <v>6568</v>
      </c>
      <c r="H1417">
        <v>15452</v>
      </c>
      <c r="I1417">
        <v>18818</v>
      </c>
      <c r="J1417">
        <v>10.53</v>
      </c>
      <c r="K1417">
        <v>56.3</v>
      </c>
      <c r="L1417">
        <v>52.5</v>
      </c>
      <c r="M1417" s="175">
        <v>14.67</v>
      </c>
      <c r="N1417" t="s">
        <v>5273</v>
      </c>
    </row>
    <row r="1418" spans="1:14">
      <c r="A1418">
        <v>4904</v>
      </c>
      <c r="B1418" t="s">
        <v>1194</v>
      </c>
      <c r="C1418">
        <v>109</v>
      </c>
      <c r="D1418">
        <v>113</v>
      </c>
      <c r="E1418" s="178">
        <v>5</v>
      </c>
      <c r="F1418" s="176">
        <v>4.63</v>
      </c>
      <c r="G1418" t="s">
        <v>6569</v>
      </c>
      <c r="H1418">
        <v>14731</v>
      </c>
      <c r="I1418">
        <v>5421</v>
      </c>
      <c r="J1418">
        <v>360.77</v>
      </c>
      <c r="K1418">
        <v>113</v>
      </c>
      <c r="L1418">
        <v>108</v>
      </c>
      <c r="M1418" s="175">
        <v>0.42</v>
      </c>
      <c r="N1418" t="s">
        <v>3863</v>
      </c>
    </row>
    <row r="1419" spans="1:14">
      <c r="A1419">
        <v>4905</v>
      </c>
      <c r="B1419" t="s">
        <v>1608</v>
      </c>
      <c r="C1419">
        <v>86.6</v>
      </c>
      <c r="D1419">
        <v>84.9</v>
      </c>
      <c r="E1419" s="178">
        <v>-0.4</v>
      </c>
      <c r="F1419" s="176">
        <v>-0.47</v>
      </c>
      <c r="G1419" t="s">
        <v>5322</v>
      </c>
      <c r="H1419">
        <v>38</v>
      </c>
      <c r="I1419">
        <v>63</v>
      </c>
      <c r="J1419">
        <v>2.93</v>
      </c>
      <c r="K1419">
        <v>86.6</v>
      </c>
      <c r="L1419">
        <v>82.6</v>
      </c>
      <c r="M1419" s="175">
        <v>0.13</v>
      </c>
      <c r="N1419" t="s">
        <v>4275</v>
      </c>
    </row>
    <row r="1420" spans="1:14">
      <c r="A1420">
        <v>4906</v>
      </c>
      <c r="B1420" t="s">
        <v>1195</v>
      </c>
      <c r="C1420">
        <v>41.85</v>
      </c>
      <c r="D1420">
        <v>40.799999999999997</v>
      </c>
      <c r="E1420" s="178">
        <v>-2.15</v>
      </c>
      <c r="F1420" s="176">
        <v>-5.01</v>
      </c>
      <c r="G1420" t="s">
        <v>6570</v>
      </c>
      <c r="H1420">
        <v>7938</v>
      </c>
      <c r="I1420">
        <v>8991</v>
      </c>
      <c r="J1420">
        <v>45.17</v>
      </c>
      <c r="K1420">
        <v>41.95</v>
      </c>
      <c r="L1420">
        <v>40.5</v>
      </c>
      <c r="M1420" s="175">
        <v>1.76</v>
      </c>
      <c r="N1420" t="s">
        <v>4276</v>
      </c>
    </row>
    <row r="1421" spans="1:14">
      <c r="A1421">
        <v>4907</v>
      </c>
      <c r="B1421" t="s">
        <v>1196</v>
      </c>
      <c r="C1421">
        <v>41.8</v>
      </c>
      <c r="D1421">
        <v>41.85</v>
      </c>
      <c r="E1421" s="178">
        <v>-0.45</v>
      </c>
      <c r="F1421" s="176">
        <v>-1.06</v>
      </c>
      <c r="G1421" t="s">
        <v>6556</v>
      </c>
      <c r="H1421">
        <v>40</v>
      </c>
      <c r="I1421">
        <v>46</v>
      </c>
      <c r="J1421">
        <v>11.81</v>
      </c>
      <c r="K1421">
        <v>42.45</v>
      </c>
      <c r="L1421">
        <v>41.6</v>
      </c>
      <c r="M1421" s="175">
        <v>0.03</v>
      </c>
      <c r="N1421" t="s">
        <v>4277</v>
      </c>
    </row>
    <row r="1422" spans="1:14">
      <c r="A1422">
        <v>4908</v>
      </c>
      <c r="B1422" t="s">
        <v>1197</v>
      </c>
      <c r="C1422">
        <v>215</v>
      </c>
      <c r="D1422">
        <v>217</v>
      </c>
      <c r="E1422" s="178">
        <v>-6</v>
      </c>
      <c r="F1422" s="176">
        <v>-2.69</v>
      </c>
      <c r="G1422" t="s">
        <v>6019</v>
      </c>
      <c r="H1422">
        <v>3150</v>
      </c>
      <c r="I1422">
        <v>6355</v>
      </c>
      <c r="J1422">
        <v>7.82</v>
      </c>
      <c r="K1422">
        <v>226</v>
      </c>
      <c r="L1422">
        <v>210.5</v>
      </c>
      <c r="M1422" s="175">
        <v>4.03</v>
      </c>
      <c r="N1422" t="s">
        <v>4278</v>
      </c>
    </row>
    <row r="1423" spans="1:14">
      <c r="A1423">
        <v>4909</v>
      </c>
      <c r="B1423" t="s">
        <v>1198</v>
      </c>
      <c r="C1423">
        <v>36.25</v>
      </c>
      <c r="D1423">
        <v>35.4</v>
      </c>
      <c r="E1423" s="178">
        <v>-1.35</v>
      </c>
      <c r="F1423" s="176">
        <v>-3.67</v>
      </c>
      <c r="G1423" t="s">
        <v>6571</v>
      </c>
      <c r="H1423">
        <v>274</v>
      </c>
      <c r="I1423">
        <v>262</v>
      </c>
      <c r="J1423">
        <v>9.34</v>
      </c>
      <c r="K1423">
        <v>36.299999999999997</v>
      </c>
      <c r="L1423">
        <v>35.4</v>
      </c>
      <c r="M1423" s="175">
        <v>0.28999999999999998</v>
      </c>
      <c r="N1423" t="s">
        <v>4279</v>
      </c>
    </row>
    <row r="1424" spans="1:14">
      <c r="A1424">
        <v>4911</v>
      </c>
      <c r="B1424" t="s">
        <v>1199</v>
      </c>
      <c r="C1424">
        <v>26.8</v>
      </c>
      <c r="D1424">
        <v>27.2</v>
      </c>
      <c r="E1424" s="178">
        <v>-0.15</v>
      </c>
      <c r="F1424" s="176">
        <v>-0.55000000000000004</v>
      </c>
      <c r="G1424" t="s">
        <v>6572</v>
      </c>
      <c r="H1424">
        <v>34</v>
      </c>
      <c r="I1424">
        <v>12</v>
      </c>
      <c r="J1424">
        <v>6.88</v>
      </c>
      <c r="K1424">
        <v>27.2</v>
      </c>
      <c r="L1424">
        <v>26.8</v>
      </c>
      <c r="M1424" s="175">
        <v>0.05</v>
      </c>
      <c r="N1424" t="s">
        <v>4280</v>
      </c>
    </row>
    <row r="1425" spans="1:14">
      <c r="A1425">
        <v>4912</v>
      </c>
      <c r="B1425" t="s">
        <v>1200</v>
      </c>
      <c r="C1425">
        <v>104</v>
      </c>
      <c r="D1425">
        <v>101.5</v>
      </c>
      <c r="E1425" s="178">
        <v>-4.5</v>
      </c>
      <c r="F1425" s="176">
        <v>-4.25</v>
      </c>
      <c r="G1425" t="s">
        <v>6573</v>
      </c>
      <c r="H1425">
        <v>354</v>
      </c>
      <c r="I1425">
        <v>551</v>
      </c>
      <c r="J1425">
        <v>6.7</v>
      </c>
      <c r="K1425">
        <v>104.5</v>
      </c>
      <c r="L1425">
        <v>101</v>
      </c>
      <c r="M1425" s="175">
        <v>0.53</v>
      </c>
      <c r="N1425" t="s">
        <v>4281</v>
      </c>
    </row>
    <row r="1426" spans="1:14">
      <c r="A1426">
        <v>4915</v>
      </c>
      <c r="B1426" t="s">
        <v>1201</v>
      </c>
      <c r="C1426">
        <v>64</v>
      </c>
      <c r="D1426">
        <v>63.4</v>
      </c>
      <c r="E1426" s="178">
        <v>-0.8</v>
      </c>
      <c r="F1426" s="176">
        <v>-1.25</v>
      </c>
      <c r="G1426" t="s">
        <v>5662</v>
      </c>
      <c r="H1426">
        <v>2140</v>
      </c>
      <c r="I1426">
        <v>2211</v>
      </c>
      <c r="J1426">
        <v>47.19</v>
      </c>
      <c r="K1426">
        <v>64.3</v>
      </c>
      <c r="L1426">
        <v>63.3</v>
      </c>
      <c r="M1426" s="175">
        <v>0.45</v>
      </c>
      <c r="N1426" t="s">
        <v>4282</v>
      </c>
    </row>
    <row r="1427" spans="1:14">
      <c r="A1427">
        <v>4916</v>
      </c>
      <c r="B1427" t="s">
        <v>1202</v>
      </c>
      <c r="C1427">
        <v>99</v>
      </c>
      <c r="D1427">
        <v>97.6</v>
      </c>
      <c r="E1427" s="178">
        <v>-3.9</v>
      </c>
      <c r="F1427" s="176">
        <v>-3.84</v>
      </c>
      <c r="G1427" t="s">
        <v>5377</v>
      </c>
      <c r="H1427">
        <v>2386</v>
      </c>
      <c r="I1427">
        <v>3805</v>
      </c>
      <c r="J1427">
        <v>12.41</v>
      </c>
      <c r="K1427">
        <v>99.9</v>
      </c>
      <c r="L1427">
        <v>97</v>
      </c>
      <c r="M1427" s="175">
        <v>1.92</v>
      </c>
      <c r="N1427" t="s">
        <v>4283</v>
      </c>
    </row>
    <row r="1428" spans="1:14">
      <c r="A1428">
        <v>4919</v>
      </c>
      <c r="B1428" t="s">
        <v>116</v>
      </c>
      <c r="C1428">
        <v>143</v>
      </c>
      <c r="D1428">
        <v>138.5</v>
      </c>
      <c r="E1428" s="178">
        <v>-11.5</v>
      </c>
      <c r="F1428" s="176">
        <v>-7.67</v>
      </c>
      <c r="G1428" t="s">
        <v>5669</v>
      </c>
      <c r="H1428">
        <v>9702</v>
      </c>
      <c r="I1428">
        <v>17842</v>
      </c>
      <c r="J1428">
        <v>45.24</v>
      </c>
      <c r="K1428">
        <v>144.5</v>
      </c>
      <c r="L1428">
        <v>138</v>
      </c>
      <c r="M1428" s="175">
        <v>2.31</v>
      </c>
      <c r="N1428" t="s">
        <v>4284</v>
      </c>
    </row>
    <row r="1429" spans="1:14">
      <c r="A1429">
        <v>4923</v>
      </c>
      <c r="B1429" t="s">
        <v>1627</v>
      </c>
      <c r="C1429">
        <v>52.1</v>
      </c>
      <c r="D1429">
        <v>49.6</v>
      </c>
      <c r="E1429" s="178">
        <v>-4.3</v>
      </c>
      <c r="F1429" s="176">
        <v>-7.98</v>
      </c>
      <c r="G1429" t="s">
        <v>6574</v>
      </c>
      <c r="H1429">
        <v>506</v>
      </c>
      <c r="I1429">
        <v>658</v>
      </c>
      <c r="J1429">
        <v>3.81</v>
      </c>
      <c r="K1429">
        <v>52.9</v>
      </c>
      <c r="L1429">
        <v>49.4</v>
      </c>
      <c r="M1429" s="175">
        <v>1.35</v>
      </c>
      <c r="N1429" t="s">
        <v>4285</v>
      </c>
    </row>
    <row r="1430" spans="1:14">
      <c r="A1430">
        <v>4924</v>
      </c>
      <c r="B1430" t="s">
        <v>1203</v>
      </c>
      <c r="C1430">
        <v>18.3</v>
      </c>
      <c r="D1430">
        <v>20.149999999999999</v>
      </c>
      <c r="E1430" s="178">
        <v>1.8</v>
      </c>
      <c r="F1430" s="176">
        <v>9.81</v>
      </c>
      <c r="G1430" t="s">
        <v>6575</v>
      </c>
      <c r="H1430">
        <v>1156</v>
      </c>
      <c r="I1430">
        <v>613</v>
      </c>
      <c r="J1430">
        <v>3.72</v>
      </c>
      <c r="K1430">
        <v>20.149999999999999</v>
      </c>
      <c r="L1430">
        <v>18</v>
      </c>
      <c r="M1430" s="175">
        <v>3.11</v>
      </c>
      <c r="N1430" t="s">
        <v>4286</v>
      </c>
    </row>
    <row r="1431" spans="1:14">
      <c r="A1431">
        <v>4927</v>
      </c>
      <c r="B1431" t="s">
        <v>1204</v>
      </c>
      <c r="C1431">
        <v>57.8</v>
      </c>
      <c r="D1431">
        <v>56</v>
      </c>
      <c r="E1431" s="178">
        <v>-3.6</v>
      </c>
      <c r="F1431" s="176">
        <v>-6.04</v>
      </c>
      <c r="G1431" t="s">
        <v>6576</v>
      </c>
      <c r="H1431">
        <v>13232</v>
      </c>
      <c r="I1431">
        <v>18878</v>
      </c>
      <c r="J1431">
        <v>26.49</v>
      </c>
      <c r="K1431">
        <v>59.3</v>
      </c>
      <c r="L1431">
        <v>55</v>
      </c>
      <c r="M1431" s="175">
        <v>4.99</v>
      </c>
      <c r="N1431" t="s">
        <v>4287</v>
      </c>
    </row>
    <row r="1432" spans="1:14">
      <c r="A1432">
        <v>4930</v>
      </c>
      <c r="B1432" t="s">
        <v>1630</v>
      </c>
      <c r="C1432">
        <v>15.55</v>
      </c>
      <c r="D1432">
        <v>15.5</v>
      </c>
      <c r="E1432" s="178">
        <v>0</v>
      </c>
      <c r="F1432" s="176">
        <v>0</v>
      </c>
      <c r="G1432" t="s">
        <v>5289</v>
      </c>
      <c r="H1432">
        <v>32</v>
      </c>
      <c r="I1432">
        <v>63</v>
      </c>
      <c r="J1432">
        <v>8</v>
      </c>
      <c r="K1432">
        <v>15.65</v>
      </c>
      <c r="L1432">
        <v>15.45</v>
      </c>
      <c r="M1432" s="175">
        <v>0.04</v>
      </c>
      <c r="N1432" t="s">
        <v>4288</v>
      </c>
    </row>
    <row r="1433" spans="1:14">
      <c r="A1433">
        <v>4931</v>
      </c>
      <c r="B1433" t="s">
        <v>1205</v>
      </c>
      <c r="C1433">
        <v>225</v>
      </c>
      <c r="D1433">
        <v>213</v>
      </c>
      <c r="E1433" s="178">
        <v>-19</v>
      </c>
      <c r="F1433" s="176">
        <v>-8.19</v>
      </c>
      <c r="G1433" t="s">
        <v>6577</v>
      </c>
      <c r="H1433">
        <v>3144</v>
      </c>
      <c r="I1433">
        <v>3499</v>
      </c>
      <c r="J1433">
        <v>6.57</v>
      </c>
      <c r="K1433">
        <v>225</v>
      </c>
      <c r="L1433">
        <v>210.5</v>
      </c>
      <c r="M1433" s="175">
        <v>4.8</v>
      </c>
      <c r="N1433" t="s">
        <v>4289</v>
      </c>
    </row>
    <row r="1434" spans="1:14">
      <c r="A1434">
        <v>4933</v>
      </c>
      <c r="B1434" t="s">
        <v>1206</v>
      </c>
      <c r="C1434">
        <v>51.2</v>
      </c>
      <c r="D1434">
        <v>51.2</v>
      </c>
      <c r="E1434" s="178">
        <v>-1</v>
      </c>
      <c r="F1434" s="176">
        <v>-1.92</v>
      </c>
      <c r="G1434" t="s">
        <v>6578</v>
      </c>
      <c r="H1434">
        <v>159</v>
      </c>
      <c r="I1434">
        <v>64</v>
      </c>
      <c r="J1434">
        <v>8.27</v>
      </c>
      <c r="K1434">
        <v>51.5</v>
      </c>
      <c r="L1434">
        <v>50.6</v>
      </c>
      <c r="M1434" s="175">
        <v>0.19</v>
      </c>
      <c r="N1434" t="s">
        <v>4290</v>
      </c>
    </row>
    <row r="1435" spans="1:14">
      <c r="A1435">
        <v>4934</v>
      </c>
      <c r="B1435" t="s">
        <v>1207</v>
      </c>
      <c r="C1435">
        <v>17</v>
      </c>
      <c r="D1435">
        <v>16.25</v>
      </c>
      <c r="E1435" s="178">
        <v>-0.75</v>
      </c>
      <c r="F1435" s="176">
        <v>-4.41</v>
      </c>
      <c r="G1435" t="s">
        <v>6579</v>
      </c>
      <c r="H1435">
        <v>1312</v>
      </c>
      <c r="I1435">
        <v>2607</v>
      </c>
      <c r="J1435">
        <v>22.5</v>
      </c>
      <c r="K1435">
        <v>17</v>
      </c>
      <c r="L1435">
        <v>16.05</v>
      </c>
      <c r="M1435" s="175">
        <v>0.57999999999999996</v>
      </c>
      <c r="N1435" t="s">
        <v>4291</v>
      </c>
    </row>
    <row r="1436" spans="1:14">
      <c r="A1436">
        <v>4935</v>
      </c>
      <c r="B1436" t="s">
        <v>1208</v>
      </c>
      <c r="C1436">
        <v>33.799999999999997</v>
      </c>
      <c r="D1436">
        <v>33.6</v>
      </c>
      <c r="E1436" s="178">
        <v>-0.8</v>
      </c>
      <c r="F1436" s="176">
        <v>-2.33</v>
      </c>
      <c r="G1436" t="s">
        <v>5964</v>
      </c>
      <c r="H1436">
        <v>78</v>
      </c>
      <c r="I1436">
        <v>136</v>
      </c>
      <c r="J1436">
        <v>12.89</v>
      </c>
      <c r="K1436">
        <v>34.15</v>
      </c>
      <c r="L1436">
        <v>33.450000000000003</v>
      </c>
      <c r="M1436" s="175">
        <v>0.06</v>
      </c>
      <c r="N1436" t="s">
        <v>4292</v>
      </c>
    </row>
    <row r="1437" spans="1:14">
      <c r="A1437">
        <v>4938</v>
      </c>
      <c r="B1437" t="s">
        <v>1569</v>
      </c>
      <c r="C1437">
        <v>97.5</v>
      </c>
      <c r="D1437">
        <v>98.1</v>
      </c>
      <c r="E1437" s="178">
        <v>-1.9</v>
      </c>
      <c r="F1437" s="176">
        <v>-1.9</v>
      </c>
      <c r="G1437" t="s">
        <v>5901</v>
      </c>
      <c r="H1437">
        <v>25382</v>
      </c>
      <c r="I1437">
        <v>32100</v>
      </c>
      <c r="J1437">
        <v>267.57</v>
      </c>
      <c r="K1437">
        <v>99.4</v>
      </c>
      <c r="L1437">
        <v>96</v>
      </c>
      <c r="M1437" s="175">
        <v>0.95</v>
      </c>
      <c r="N1437" t="s">
        <v>4293</v>
      </c>
    </row>
    <row r="1438" spans="1:14">
      <c r="A1438">
        <v>4939</v>
      </c>
      <c r="B1438" t="s">
        <v>1209</v>
      </c>
      <c r="C1438">
        <v>77.599999999999994</v>
      </c>
      <c r="D1438">
        <v>75.8</v>
      </c>
      <c r="E1438" s="178">
        <v>-2.7</v>
      </c>
      <c r="F1438" s="176">
        <v>-3.44</v>
      </c>
      <c r="G1438" t="s">
        <v>6580</v>
      </c>
      <c r="H1438">
        <v>51761</v>
      </c>
      <c r="I1438">
        <v>5100</v>
      </c>
      <c r="J1438">
        <v>9.82</v>
      </c>
      <c r="K1438">
        <v>83</v>
      </c>
      <c r="L1438">
        <v>75.400000000000006</v>
      </c>
      <c r="M1438" s="175">
        <v>52.71</v>
      </c>
      <c r="N1438" t="s">
        <v>4294</v>
      </c>
    </row>
    <row r="1439" spans="1:14">
      <c r="A1439">
        <v>4942</v>
      </c>
      <c r="B1439" t="s">
        <v>1210</v>
      </c>
      <c r="C1439">
        <v>31.8</v>
      </c>
      <c r="D1439">
        <v>31.7</v>
      </c>
      <c r="E1439" s="178">
        <v>0</v>
      </c>
      <c r="F1439" s="176">
        <v>0</v>
      </c>
      <c r="G1439" t="s">
        <v>5148</v>
      </c>
      <c r="H1439">
        <v>77</v>
      </c>
      <c r="I1439">
        <v>65</v>
      </c>
      <c r="J1439">
        <v>14.24</v>
      </c>
      <c r="K1439">
        <v>31.8</v>
      </c>
      <c r="L1439">
        <v>31.5</v>
      </c>
      <c r="M1439" s="175">
        <v>0.05</v>
      </c>
      <c r="N1439" t="s">
        <v>4295</v>
      </c>
    </row>
    <row r="1440" spans="1:14">
      <c r="A1440">
        <v>4943</v>
      </c>
      <c r="B1440" t="s">
        <v>1211</v>
      </c>
      <c r="C1440">
        <v>6.82</v>
      </c>
      <c r="D1440">
        <v>6.65</v>
      </c>
      <c r="E1440" s="178">
        <v>-0.17</v>
      </c>
      <c r="F1440" s="176">
        <v>-2.4900000000000002</v>
      </c>
      <c r="G1440" t="s">
        <v>5729</v>
      </c>
      <c r="H1440">
        <v>36</v>
      </c>
      <c r="I1440">
        <v>18</v>
      </c>
      <c r="J1440">
        <v>12.67</v>
      </c>
      <c r="K1440">
        <v>6.82</v>
      </c>
      <c r="L1440">
        <v>6.56</v>
      </c>
      <c r="M1440" s="175">
        <v>0.04</v>
      </c>
      <c r="N1440" t="s">
        <v>4296</v>
      </c>
    </row>
    <row r="1441" spans="1:14">
      <c r="A1441">
        <v>4946</v>
      </c>
      <c r="B1441" t="s">
        <v>2636</v>
      </c>
      <c r="C1441">
        <v>99.1</v>
      </c>
      <c r="D1441">
        <v>97.1</v>
      </c>
      <c r="E1441" s="178">
        <v>-4.9000000000000004</v>
      </c>
      <c r="F1441" s="176">
        <v>-4.8</v>
      </c>
      <c r="G1441" t="s">
        <v>6581</v>
      </c>
      <c r="H1441">
        <v>147</v>
      </c>
      <c r="I1441">
        <v>224</v>
      </c>
      <c r="J1441">
        <v>0.89</v>
      </c>
      <c r="K1441">
        <v>102</v>
      </c>
      <c r="L1441">
        <v>94.5</v>
      </c>
      <c r="M1441" s="175">
        <v>1.66</v>
      </c>
      <c r="N1441" t="s">
        <v>4297</v>
      </c>
    </row>
    <row r="1442" spans="1:14">
      <c r="A1442">
        <v>4949</v>
      </c>
      <c r="B1442" t="s">
        <v>2402</v>
      </c>
      <c r="C1442">
        <v>80</v>
      </c>
      <c r="D1442">
        <v>78.3</v>
      </c>
      <c r="E1442" s="178">
        <v>-3.4</v>
      </c>
      <c r="F1442" s="176">
        <v>-4.16</v>
      </c>
      <c r="G1442" t="s">
        <v>6582</v>
      </c>
      <c r="H1442">
        <v>705</v>
      </c>
      <c r="I1442">
        <v>1593</v>
      </c>
      <c r="J1442">
        <v>6.79</v>
      </c>
      <c r="K1442">
        <v>80.8</v>
      </c>
      <c r="L1442">
        <v>77.599999999999994</v>
      </c>
      <c r="M1442" s="175">
        <v>1.04</v>
      </c>
      <c r="N1442" t="s">
        <v>4298</v>
      </c>
    </row>
    <row r="1443" spans="1:14">
      <c r="A1443">
        <v>4950</v>
      </c>
      <c r="B1443" t="s">
        <v>2939</v>
      </c>
      <c r="C1443">
        <v>15.55</v>
      </c>
      <c r="D1443">
        <v>15.5</v>
      </c>
      <c r="E1443" s="178">
        <v>-0.05</v>
      </c>
      <c r="F1443" s="176">
        <v>-0.32</v>
      </c>
      <c r="G1443" t="s">
        <v>6583</v>
      </c>
      <c r="H1443">
        <v>4</v>
      </c>
      <c r="I1443">
        <v>11</v>
      </c>
      <c r="J1443">
        <v>5.77</v>
      </c>
      <c r="K1443">
        <v>15.55</v>
      </c>
      <c r="L1443">
        <v>15.5</v>
      </c>
      <c r="M1443" s="175">
        <v>0.01</v>
      </c>
      <c r="N1443" t="s">
        <v>4299</v>
      </c>
    </row>
    <row r="1444" spans="1:14">
      <c r="A1444">
        <v>4951</v>
      </c>
      <c r="B1444" t="s">
        <v>1669</v>
      </c>
      <c r="C1444">
        <v>89.4</v>
      </c>
      <c r="D1444">
        <v>87.5</v>
      </c>
      <c r="E1444" s="178">
        <v>-2.2999999999999998</v>
      </c>
      <c r="F1444" s="176">
        <v>-2.56</v>
      </c>
      <c r="G1444" t="s">
        <v>6244</v>
      </c>
      <c r="H1444">
        <v>197</v>
      </c>
      <c r="I1444">
        <v>210</v>
      </c>
      <c r="J1444">
        <v>3.41</v>
      </c>
      <c r="K1444">
        <v>89.4</v>
      </c>
      <c r="L1444">
        <v>87.5</v>
      </c>
      <c r="M1444" s="175">
        <v>0.57999999999999996</v>
      </c>
      <c r="N1444" t="s">
        <v>4300</v>
      </c>
    </row>
    <row r="1445" spans="1:14">
      <c r="A1445">
        <v>4952</v>
      </c>
      <c r="B1445" t="s">
        <v>1212</v>
      </c>
      <c r="C1445">
        <v>47.1</v>
      </c>
      <c r="D1445">
        <v>47.4</v>
      </c>
      <c r="E1445" s="178">
        <v>-0.75</v>
      </c>
      <c r="F1445" s="176">
        <v>-1.56</v>
      </c>
      <c r="G1445" t="s">
        <v>6584</v>
      </c>
      <c r="H1445">
        <v>211</v>
      </c>
      <c r="I1445">
        <v>193</v>
      </c>
      <c r="J1445">
        <v>10.88</v>
      </c>
      <c r="K1445">
        <v>47.9</v>
      </c>
      <c r="L1445">
        <v>47.1</v>
      </c>
      <c r="M1445" s="175">
        <v>0.19</v>
      </c>
      <c r="N1445" t="s">
        <v>4301</v>
      </c>
    </row>
    <row r="1446" spans="1:14">
      <c r="A1446">
        <v>4953</v>
      </c>
      <c r="B1446" t="s">
        <v>3232</v>
      </c>
      <c r="C1446">
        <v>115.5</v>
      </c>
      <c r="D1446">
        <v>115.5</v>
      </c>
      <c r="E1446" s="178">
        <v>-1.5</v>
      </c>
      <c r="F1446" s="176">
        <v>-1.28</v>
      </c>
      <c r="G1446" t="s">
        <v>6585</v>
      </c>
      <c r="H1446">
        <v>303</v>
      </c>
      <c r="I1446">
        <v>177</v>
      </c>
      <c r="J1446">
        <v>7.43</v>
      </c>
      <c r="K1446">
        <v>116</v>
      </c>
      <c r="L1446">
        <v>114.5</v>
      </c>
      <c r="M1446" s="175">
        <v>0.41</v>
      </c>
      <c r="N1446" t="s">
        <v>4302</v>
      </c>
    </row>
    <row r="1447" spans="1:14">
      <c r="A1447">
        <v>4956</v>
      </c>
      <c r="B1447" t="s">
        <v>1214</v>
      </c>
      <c r="C1447">
        <v>39.5</v>
      </c>
      <c r="D1447">
        <v>38</v>
      </c>
      <c r="E1447" s="178">
        <v>-2.8</v>
      </c>
      <c r="F1447" s="176">
        <v>-6.86</v>
      </c>
      <c r="G1447" t="s">
        <v>6586</v>
      </c>
      <c r="H1447">
        <v>1953</v>
      </c>
      <c r="I1447">
        <v>2976</v>
      </c>
      <c r="J1447">
        <v>10.039999999999999</v>
      </c>
      <c r="K1447">
        <v>40</v>
      </c>
      <c r="L1447">
        <v>38</v>
      </c>
      <c r="M1447" s="175">
        <v>1.95</v>
      </c>
      <c r="N1447" t="s">
        <v>4303</v>
      </c>
    </row>
    <row r="1448" spans="1:14">
      <c r="A1448">
        <v>4958</v>
      </c>
      <c r="B1448" t="s">
        <v>1215</v>
      </c>
      <c r="C1448">
        <v>532</v>
      </c>
      <c r="D1448">
        <v>519</v>
      </c>
      <c r="E1448" s="178">
        <v>-48</v>
      </c>
      <c r="F1448" s="176">
        <v>-8.4700000000000006</v>
      </c>
      <c r="G1448" t="s">
        <v>6587</v>
      </c>
      <c r="H1448">
        <v>23401</v>
      </c>
      <c r="I1448">
        <v>28646</v>
      </c>
      <c r="J1448">
        <v>113.34</v>
      </c>
      <c r="K1448">
        <v>537</v>
      </c>
      <c r="L1448">
        <v>518</v>
      </c>
      <c r="M1448" s="175">
        <v>2.11</v>
      </c>
      <c r="N1448" t="s">
        <v>4304</v>
      </c>
    </row>
    <row r="1449" spans="1:14">
      <c r="A1449">
        <v>4960</v>
      </c>
      <c r="B1449" t="s">
        <v>1216</v>
      </c>
      <c r="C1449">
        <v>23.8</v>
      </c>
      <c r="D1449">
        <v>23.7</v>
      </c>
      <c r="E1449" s="178">
        <v>-0.6</v>
      </c>
      <c r="F1449" s="176">
        <v>-2.4700000000000002</v>
      </c>
      <c r="G1449" t="s">
        <v>6588</v>
      </c>
      <c r="H1449">
        <v>3322</v>
      </c>
      <c r="I1449">
        <v>3144</v>
      </c>
      <c r="J1449">
        <v>57.17</v>
      </c>
      <c r="K1449">
        <v>24</v>
      </c>
      <c r="L1449">
        <v>23.3</v>
      </c>
      <c r="M1449" s="175">
        <v>0.57999999999999996</v>
      </c>
      <c r="N1449" t="s">
        <v>4305</v>
      </c>
    </row>
    <row r="1450" spans="1:14">
      <c r="A1450">
        <v>4961</v>
      </c>
      <c r="B1450" t="s">
        <v>323</v>
      </c>
      <c r="C1450">
        <v>180.5</v>
      </c>
      <c r="D1450">
        <v>186.5</v>
      </c>
      <c r="E1450" s="178">
        <v>3.5</v>
      </c>
      <c r="F1450" s="176">
        <v>1.91</v>
      </c>
      <c r="G1450" t="s">
        <v>6589</v>
      </c>
      <c r="H1450">
        <v>1739</v>
      </c>
      <c r="I1450">
        <v>931</v>
      </c>
      <c r="J1450">
        <v>12.13</v>
      </c>
      <c r="K1450">
        <v>187</v>
      </c>
      <c r="L1450">
        <v>180</v>
      </c>
      <c r="M1450" s="175">
        <v>1.43</v>
      </c>
      <c r="N1450" t="s">
        <v>4306</v>
      </c>
    </row>
    <row r="1451" spans="1:14">
      <c r="A1451">
        <v>4966</v>
      </c>
      <c r="B1451" t="s">
        <v>1217</v>
      </c>
      <c r="C1451">
        <v>550</v>
      </c>
      <c r="D1451">
        <v>538</v>
      </c>
      <c r="E1451" s="178">
        <v>-23</v>
      </c>
      <c r="F1451" s="176">
        <v>-4.0999999999999996</v>
      </c>
      <c r="G1451" t="s">
        <v>6590</v>
      </c>
      <c r="H1451">
        <v>877</v>
      </c>
      <c r="I1451">
        <v>769</v>
      </c>
      <c r="J1451">
        <v>7.9</v>
      </c>
      <c r="K1451">
        <v>550</v>
      </c>
      <c r="L1451">
        <v>533</v>
      </c>
      <c r="M1451" s="175">
        <v>1.1100000000000001</v>
      </c>
      <c r="N1451" t="s">
        <v>4307</v>
      </c>
    </row>
    <row r="1452" spans="1:14">
      <c r="A1452">
        <v>4967</v>
      </c>
      <c r="B1452" t="s">
        <v>1670</v>
      </c>
      <c r="C1452">
        <v>260</v>
      </c>
      <c r="D1452">
        <v>254.5</v>
      </c>
      <c r="E1452" s="178">
        <v>-10.5</v>
      </c>
      <c r="F1452" s="176">
        <v>-3.96</v>
      </c>
      <c r="G1452" t="s">
        <v>6591</v>
      </c>
      <c r="H1452">
        <v>2003</v>
      </c>
      <c r="I1452">
        <v>1472</v>
      </c>
      <c r="J1452">
        <v>9.86</v>
      </c>
      <c r="K1452">
        <v>260</v>
      </c>
      <c r="L1452">
        <v>252.5</v>
      </c>
      <c r="M1452" s="175">
        <v>2.0699999999999998</v>
      </c>
      <c r="N1452" t="s">
        <v>4308</v>
      </c>
    </row>
    <row r="1453" spans="1:14">
      <c r="A1453">
        <v>4968</v>
      </c>
      <c r="B1453" t="s">
        <v>1218</v>
      </c>
      <c r="C1453">
        <v>92.3</v>
      </c>
      <c r="D1453">
        <v>91.8</v>
      </c>
      <c r="E1453" s="178">
        <v>-1.4</v>
      </c>
      <c r="F1453" s="176">
        <v>-1.5</v>
      </c>
      <c r="G1453" t="s">
        <v>5585</v>
      </c>
      <c r="H1453">
        <v>336</v>
      </c>
      <c r="I1453">
        <v>285</v>
      </c>
      <c r="J1453">
        <v>9.2200000000000006</v>
      </c>
      <c r="K1453">
        <v>92.7</v>
      </c>
      <c r="L1453">
        <v>91</v>
      </c>
      <c r="M1453" s="175">
        <v>0.36</v>
      </c>
      <c r="N1453" t="s">
        <v>4309</v>
      </c>
    </row>
    <row r="1454" spans="1:14">
      <c r="A1454">
        <v>4971</v>
      </c>
      <c r="B1454" t="s">
        <v>1219</v>
      </c>
      <c r="C1454">
        <v>511</v>
      </c>
      <c r="D1454">
        <v>507</v>
      </c>
      <c r="E1454" s="178">
        <v>-50</v>
      </c>
      <c r="F1454" s="176">
        <v>-8.98</v>
      </c>
      <c r="G1454" t="s">
        <v>5452</v>
      </c>
      <c r="H1454">
        <v>970</v>
      </c>
      <c r="I1454">
        <v>1732</v>
      </c>
      <c r="J1454">
        <v>4.72</v>
      </c>
      <c r="K1454">
        <v>528</v>
      </c>
      <c r="L1454">
        <v>502</v>
      </c>
      <c r="M1454" s="175">
        <v>2.06</v>
      </c>
      <c r="N1454" t="s">
        <v>4310</v>
      </c>
    </row>
    <row r="1455" spans="1:14">
      <c r="A1455">
        <v>4972</v>
      </c>
      <c r="B1455" t="s">
        <v>1220</v>
      </c>
      <c r="C1455">
        <v>16.100000000000001</v>
      </c>
      <c r="D1455">
        <v>16.05</v>
      </c>
      <c r="E1455" s="178">
        <v>-0.05</v>
      </c>
      <c r="F1455" s="176">
        <v>-0.31</v>
      </c>
      <c r="G1455" t="s">
        <v>5874</v>
      </c>
      <c r="H1455">
        <v>10</v>
      </c>
      <c r="I1455">
        <v>24</v>
      </c>
      <c r="J1455">
        <v>5.69</v>
      </c>
      <c r="K1455">
        <v>16.149999999999999</v>
      </c>
      <c r="L1455">
        <v>16.05</v>
      </c>
      <c r="M1455" s="175">
        <v>0.02</v>
      </c>
      <c r="N1455" t="s">
        <v>4311</v>
      </c>
    </row>
    <row r="1456" spans="1:14">
      <c r="A1456">
        <v>4973</v>
      </c>
      <c r="B1456" t="s">
        <v>1221</v>
      </c>
      <c r="C1456">
        <v>146.5</v>
      </c>
      <c r="D1456">
        <v>140.5</v>
      </c>
      <c r="E1456" s="178">
        <v>-9.5</v>
      </c>
      <c r="F1456" s="176">
        <v>-6.33</v>
      </c>
      <c r="G1456" t="s">
        <v>5336</v>
      </c>
      <c r="H1456">
        <v>1269</v>
      </c>
      <c r="I1456">
        <v>2648</v>
      </c>
      <c r="J1456">
        <v>6.53</v>
      </c>
      <c r="K1456">
        <v>146.5</v>
      </c>
      <c r="L1456">
        <v>140</v>
      </c>
      <c r="M1456" s="175">
        <v>1.94</v>
      </c>
      <c r="N1456" t="s">
        <v>4312</v>
      </c>
    </row>
    <row r="1457" spans="1:14">
      <c r="A1457">
        <v>4974</v>
      </c>
      <c r="B1457" t="s">
        <v>93</v>
      </c>
      <c r="C1457">
        <v>69</v>
      </c>
      <c r="D1457">
        <v>68.5</v>
      </c>
      <c r="E1457" s="178">
        <v>-1.1000000000000001</v>
      </c>
      <c r="F1457" s="176">
        <v>-1.58</v>
      </c>
      <c r="G1457" t="s">
        <v>6592</v>
      </c>
      <c r="H1457">
        <v>79</v>
      </c>
      <c r="I1457">
        <v>75</v>
      </c>
      <c r="J1457">
        <v>7.25</v>
      </c>
      <c r="K1457">
        <v>69</v>
      </c>
      <c r="L1457">
        <v>68.5</v>
      </c>
      <c r="M1457" s="175">
        <v>0.11</v>
      </c>
      <c r="N1457" t="s">
        <v>4313</v>
      </c>
    </row>
    <row r="1458" spans="1:14">
      <c r="A1458">
        <v>4976</v>
      </c>
      <c r="B1458" t="s">
        <v>1222</v>
      </c>
      <c r="C1458">
        <v>39.049999999999997</v>
      </c>
      <c r="D1458">
        <v>39.450000000000003</v>
      </c>
      <c r="E1458" s="178">
        <v>-1.05</v>
      </c>
      <c r="F1458" s="176">
        <v>-2.59</v>
      </c>
      <c r="G1458" t="s">
        <v>5441</v>
      </c>
      <c r="H1458">
        <v>4103</v>
      </c>
      <c r="I1458">
        <v>8360</v>
      </c>
      <c r="J1458">
        <v>14.12</v>
      </c>
      <c r="K1458">
        <v>41.2</v>
      </c>
      <c r="L1458">
        <v>38.799999999999997</v>
      </c>
      <c r="M1458" s="175">
        <v>2.91</v>
      </c>
      <c r="N1458" t="s">
        <v>4314</v>
      </c>
    </row>
    <row r="1459" spans="1:14">
      <c r="A1459">
        <v>4977</v>
      </c>
      <c r="B1459" t="s">
        <v>1223</v>
      </c>
      <c r="C1459">
        <v>182</v>
      </c>
      <c r="D1459">
        <v>188</v>
      </c>
      <c r="E1459" s="178">
        <v>-3</v>
      </c>
      <c r="F1459" s="176">
        <v>-1.57</v>
      </c>
      <c r="G1459" t="s">
        <v>6593</v>
      </c>
      <c r="H1459">
        <v>15938</v>
      </c>
      <c r="I1459">
        <v>5782</v>
      </c>
      <c r="J1459">
        <v>9.1</v>
      </c>
      <c r="K1459">
        <v>195.5</v>
      </c>
      <c r="L1459">
        <v>182</v>
      </c>
      <c r="M1459" s="175">
        <v>17.52</v>
      </c>
      <c r="N1459" t="s">
        <v>4315</v>
      </c>
    </row>
    <row r="1460" spans="1:14">
      <c r="A1460">
        <v>4979</v>
      </c>
      <c r="B1460" t="s">
        <v>123</v>
      </c>
      <c r="C1460">
        <v>560</v>
      </c>
      <c r="D1460">
        <v>542</v>
      </c>
      <c r="E1460" s="178">
        <v>-46</v>
      </c>
      <c r="F1460" s="176">
        <v>-7.82</v>
      </c>
      <c r="G1460" t="s">
        <v>5427</v>
      </c>
      <c r="H1460">
        <v>8949</v>
      </c>
      <c r="I1460">
        <v>7557</v>
      </c>
      <c r="J1460">
        <v>14.29</v>
      </c>
      <c r="K1460">
        <v>574</v>
      </c>
      <c r="L1460">
        <v>539</v>
      </c>
      <c r="M1460" s="175">
        <v>6.26</v>
      </c>
      <c r="N1460" t="s">
        <v>4316</v>
      </c>
    </row>
    <row r="1461" spans="1:14">
      <c r="A1461">
        <v>4989</v>
      </c>
      <c r="B1461" t="s">
        <v>1589</v>
      </c>
      <c r="C1461">
        <v>66.8</v>
      </c>
      <c r="D1461">
        <v>65.2</v>
      </c>
      <c r="E1461" s="178">
        <v>-4.5</v>
      </c>
      <c r="F1461" s="176">
        <v>-6.46</v>
      </c>
      <c r="G1461" t="s">
        <v>5405</v>
      </c>
      <c r="H1461">
        <v>3995</v>
      </c>
      <c r="I1461">
        <v>14510</v>
      </c>
      <c r="J1461">
        <v>17.28</v>
      </c>
      <c r="K1461">
        <v>67.900000000000006</v>
      </c>
      <c r="L1461">
        <v>65.2</v>
      </c>
      <c r="M1461" s="175">
        <v>2.31</v>
      </c>
      <c r="N1461" t="s">
        <v>4317</v>
      </c>
    </row>
    <row r="1462" spans="1:14">
      <c r="A1462">
        <v>4991</v>
      </c>
      <c r="B1462" t="s">
        <v>1224</v>
      </c>
      <c r="C1462">
        <v>453</v>
      </c>
      <c r="D1462">
        <v>441.5</v>
      </c>
      <c r="E1462" s="178">
        <v>-46</v>
      </c>
      <c r="F1462" s="176">
        <v>-9.44</v>
      </c>
      <c r="G1462" t="s">
        <v>6594</v>
      </c>
      <c r="H1462">
        <v>3056</v>
      </c>
      <c r="I1462">
        <v>5146</v>
      </c>
      <c r="J1462">
        <v>12.14</v>
      </c>
      <c r="K1462">
        <v>465</v>
      </c>
      <c r="L1462">
        <v>439</v>
      </c>
      <c r="M1462" s="175">
        <v>2.52</v>
      </c>
      <c r="N1462" t="s">
        <v>4318</v>
      </c>
    </row>
    <row r="1463" spans="1:14">
      <c r="A1463">
        <v>4994</v>
      </c>
      <c r="B1463" t="s">
        <v>1225</v>
      </c>
      <c r="C1463">
        <v>84</v>
      </c>
      <c r="D1463">
        <v>84</v>
      </c>
      <c r="E1463" s="178">
        <v>-0.1</v>
      </c>
      <c r="F1463" s="176">
        <v>-0.12</v>
      </c>
      <c r="G1463" t="s">
        <v>6595</v>
      </c>
      <c r="H1463">
        <v>5</v>
      </c>
      <c r="I1463">
        <v>11</v>
      </c>
      <c r="J1463">
        <v>6.64</v>
      </c>
      <c r="K1463">
        <v>84.5</v>
      </c>
      <c r="L1463">
        <v>83.1</v>
      </c>
      <c r="M1463" s="175">
        <v>0.01</v>
      </c>
      <c r="N1463" t="s">
        <v>4319</v>
      </c>
    </row>
    <row r="1464" spans="1:14">
      <c r="A1464">
        <v>4995</v>
      </c>
      <c r="B1464" t="s">
        <v>1226</v>
      </c>
      <c r="C1464">
        <v>46</v>
      </c>
      <c r="D1464">
        <v>45.45</v>
      </c>
      <c r="E1464" s="178">
        <v>-1.1499999999999999</v>
      </c>
      <c r="F1464" s="176">
        <v>-2.4700000000000002</v>
      </c>
      <c r="G1464" t="s">
        <v>5278</v>
      </c>
      <c r="H1464">
        <v>34</v>
      </c>
      <c r="I1464">
        <v>43</v>
      </c>
      <c r="J1464">
        <v>4.26</v>
      </c>
      <c r="K1464">
        <v>46</v>
      </c>
      <c r="L1464">
        <v>45.4</v>
      </c>
      <c r="M1464" s="175">
        <v>0.08</v>
      </c>
      <c r="N1464" t="s">
        <v>4320</v>
      </c>
    </row>
    <row r="1465" spans="1:14">
      <c r="A1465">
        <v>4999</v>
      </c>
      <c r="B1465" t="s">
        <v>1227</v>
      </c>
      <c r="C1465">
        <v>17.5</v>
      </c>
      <c r="D1465">
        <v>17.600000000000001</v>
      </c>
      <c r="E1465" s="178">
        <v>-0.15</v>
      </c>
      <c r="F1465" s="176">
        <v>-0.85</v>
      </c>
      <c r="G1465" t="s">
        <v>5965</v>
      </c>
      <c r="H1465">
        <v>55</v>
      </c>
      <c r="I1465">
        <v>42</v>
      </c>
      <c r="J1465">
        <v>7.44</v>
      </c>
      <c r="K1465">
        <v>17.7</v>
      </c>
      <c r="L1465">
        <v>17.45</v>
      </c>
      <c r="M1465" s="175">
        <v>7.0000000000000007E-2</v>
      </c>
      <c r="N1465" t="s">
        <v>4321</v>
      </c>
    </row>
    <row r="1466" spans="1:14">
      <c r="A1466">
        <v>5007</v>
      </c>
      <c r="B1466" t="s">
        <v>1228</v>
      </c>
      <c r="C1466">
        <v>56.2</v>
      </c>
      <c r="D1466">
        <v>55.7</v>
      </c>
      <c r="E1466" s="178">
        <v>0</v>
      </c>
      <c r="F1466" s="176">
        <v>0</v>
      </c>
      <c r="G1466" t="s">
        <v>5246</v>
      </c>
      <c r="H1466">
        <v>53</v>
      </c>
      <c r="I1466">
        <v>10</v>
      </c>
      <c r="J1466">
        <v>29.49</v>
      </c>
      <c r="K1466">
        <v>56.3</v>
      </c>
      <c r="L1466">
        <v>55.6</v>
      </c>
      <c r="M1466" s="175">
        <v>0.02</v>
      </c>
      <c r="N1466" t="s">
        <v>4322</v>
      </c>
    </row>
    <row r="1467" spans="1:14">
      <c r="A1467">
        <v>5009</v>
      </c>
      <c r="B1467" t="s">
        <v>1229</v>
      </c>
      <c r="C1467">
        <v>33.950000000000003</v>
      </c>
      <c r="D1467">
        <v>33.65</v>
      </c>
      <c r="E1467" s="178">
        <v>-0.55000000000000004</v>
      </c>
      <c r="F1467" s="176">
        <v>-1.61</v>
      </c>
      <c r="G1467" t="s">
        <v>6596</v>
      </c>
      <c r="H1467">
        <v>1939</v>
      </c>
      <c r="I1467">
        <v>2200</v>
      </c>
      <c r="J1467">
        <v>60.25</v>
      </c>
      <c r="K1467">
        <v>34</v>
      </c>
      <c r="L1467">
        <v>33.65</v>
      </c>
      <c r="M1467" s="175">
        <v>0.32</v>
      </c>
      <c r="N1467" t="s">
        <v>4323</v>
      </c>
    </row>
    <row r="1468" spans="1:14">
      <c r="A1468">
        <v>5011</v>
      </c>
      <c r="B1468" t="s">
        <v>1230</v>
      </c>
      <c r="C1468">
        <v>21.5</v>
      </c>
      <c r="D1468">
        <v>21.3</v>
      </c>
      <c r="E1468" s="178">
        <v>-0.3</v>
      </c>
      <c r="F1468" s="176">
        <v>-1.39</v>
      </c>
      <c r="G1468" t="s">
        <v>6597</v>
      </c>
      <c r="H1468">
        <v>369</v>
      </c>
      <c r="I1468">
        <v>1477</v>
      </c>
      <c r="J1468">
        <v>10.07</v>
      </c>
      <c r="K1468">
        <v>21.5</v>
      </c>
      <c r="L1468">
        <v>21.05</v>
      </c>
      <c r="M1468" s="175">
        <v>0.37</v>
      </c>
      <c r="N1468" t="s">
        <v>4324</v>
      </c>
    </row>
    <row r="1469" spans="1:14">
      <c r="A1469">
        <v>5013</v>
      </c>
      <c r="B1469" t="s">
        <v>1231</v>
      </c>
      <c r="C1469">
        <v>41.3</v>
      </c>
      <c r="D1469">
        <v>39.799999999999997</v>
      </c>
      <c r="E1469" s="178">
        <v>-3.2</v>
      </c>
      <c r="F1469" s="176">
        <v>-7.44</v>
      </c>
      <c r="G1469" t="s">
        <v>6598</v>
      </c>
      <c r="H1469">
        <v>657</v>
      </c>
      <c r="I1469">
        <v>819</v>
      </c>
      <c r="J1469">
        <v>13.34</v>
      </c>
      <c r="K1469">
        <v>42.6</v>
      </c>
      <c r="L1469">
        <v>39.6</v>
      </c>
      <c r="M1469" s="175">
        <v>0.49</v>
      </c>
      <c r="N1469" t="s">
        <v>4325</v>
      </c>
    </row>
    <row r="1470" spans="1:14">
      <c r="A1470">
        <v>5014</v>
      </c>
      <c r="B1470" t="s">
        <v>1232</v>
      </c>
      <c r="C1470">
        <v>10.050000000000001</v>
      </c>
      <c r="D1470">
        <v>9.99</v>
      </c>
      <c r="E1470" s="178">
        <v>-0.06</v>
      </c>
      <c r="F1470" s="176">
        <v>-0.6</v>
      </c>
      <c r="G1470" t="s">
        <v>6100</v>
      </c>
      <c r="H1470">
        <v>187</v>
      </c>
      <c r="I1470">
        <v>121</v>
      </c>
      <c r="J1470">
        <v>18.329999999999998</v>
      </c>
      <c r="K1470">
        <v>10.050000000000001</v>
      </c>
      <c r="L1470">
        <v>9.9499999999999993</v>
      </c>
      <c r="M1470" s="175">
        <v>0.1</v>
      </c>
      <c r="N1470" t="s">
        <v>4326</v>
      </c>
    </row>
    <row r="1471" spans="1:14">
      <c r="A1471">
        <v>5015</v>
      </c>
      <c r="B1471" t="s">
        <v>1233</v>
      </c>
      <c r="C1471">
        <v>22.15</v>
      </c>
      <c r="D1471">
        <v>22.2</v>
      </c>
      <c r="E1471" s="178">
        <v>-0.2</v>
      </c>
      <c r="F1471" s="176">
        <v>-0.89</v>
      </c>
      <c r="G1471" t="s">
        <v>6599</v>
      </c>
      <c r="H1471">
        <v>36</v>
      </c>
      <c r="I1471">
        <v>30</v>
      </c>
      <c r="J1471">
        <v>6.06</v>
      </c>
      <c r="K1471">
        <v>22.2</v>
      </c>
      <c r="L1471">
        <v>22</v>
      </c>
      <c r="M1471" s="175">
        <v>0.06</v>
      </c>
      <c r="N1471" t="s">
        <v>4327</v>
      </c>
    </row>
    <row r="1472" spans="1:14">
      <c r="A1472">
        <v>5016</v>
      </c>
      <c r="B1472" t="s">
        <v>1234</v>
      </c>
      <c r="C1472">
        <v>25.55</v>
      </c>
      <c r="D1472">
        <v>25.4</v>
      </c>
      <c r="E1472" s="178">
        <v>-0.5</v>
      </c>
      <c r="F1472" s="176">
        <v>-1.93</v>
      </c>
      <c r="G1472" t="s">
        <v>5231</v>
      </c>
      <c r="H1472">
        <v>64</v>
      </c>
      <c r="I1472">
        <v>66</v>
      </c>
      <c r="J1472">
        <v>4.96</v>
      </c>
      <c r="K1472">
        <v>25.95</v>
      </c>
      <c r="L1472">
        <v>25.4</v>
      </c>
      <c r="M1472" s="175">
        <v>0.13</v>
      </c>
      <c r="N1472" t="s">
        <v>4328</v>
      </c>
    </row>
    <row r="1473" spans="1:14">
      <c r="A1473">
        <v>5201</v>
      </c>
      <c r="B1473" t="s">
        <v>1235</v>
      </c>
      <c r="C1473">
        <v>28.1</v>
      </c>
      <c r="D1473">
        <v>27.25</v>
      </c>
      <c r="E1473" s="178">
        <v>-0.8</v>
      </c>
      <c r="F1473" s="176">
        <v>-2.85</v>
      </c>
      <c r="G1473" t="s">
        <v>5290</v>
      </c>
      <c r="H1473">
        <v>37</v>
      </c>
      <c r="I1473">
        <v>54</v>
      </c>
      <c r="J1473">
        <v>3.87</v>
      </c>
      <c r="K1473">
        <v>28.1</v>
      </c>
      <c r="L1473">
        <v>27.25</v>
      </c>
      <c r="M1473" s="175">
        <v>0.1</v>
      </c>
      <c r="N1473" t="s">
        <v>4329</v>
      </c>
    </row>
    <row r="1474" spans="1:14">
      <c r="A1474">
        <v>5202</v>
      </c>
      <c r="B1474" t="s">
        <v>1236</v>
      </c>
      <c r="C1474">
        <v>14.1</v>
      </c>
      <c r="D1474">
        <v>14.05</v>
      </c>
      <c r="E1474" s="178">
        <v>-0.3</v>
      </c>
      <c r="F1474" s="176">
        <v>-2.09</v>
      </c>
      <c r="G1474" t="s">
        <v>6600</v>
      </c>
      <c r="H1474">
        <v>1985</v>
      </c>
      <c r="I1474">
        <v>1175</v>
      </c>
      <c r="J1474">
        <v>8.91</v>
      </c>
      <c r="K1474">
        <v>15.3</v>
      </c>
      <c r="L1474">
        <v>14.05</v>
      </c>
      <c r="M1474" s="175">
        <v>2.23</v>
      </c>
      <c r="N1474" t="s">
        <v>4330</v>
      </c>
    </row>
    <row r="1475" spans="1:14">
      <c r="A1475">
        <v>5203</v>
      </c>
      <c r="B1475" t="s">
        <v>1237</v>
      </c>
      <c r="C1475">
        <v>58.9</v>
      </c>
      <c r="D1475">
        <v>59.6</v>
      </c>
      <c r="E1475" s="178">
        <v>-0.7</v>
      </c>
      <c r="F1475" s="176">
        <v>-1.1599999999999999</v>
      </c>
      <c r="G1475" t="s">
        <v>5447</v>
      </c>
      <c r="H1475">
        <v>125</v>
      </c>
      <c r="I1475">
        <v>176</v>
      </c>
      <c r="J1475">
        <v>7.74</v>
      </c>
      <c r="K1475">
        <v>60.2</v>
      </c>
      <c r="L1475">
        <v>58.9</v>
      </c>
      <c r="M1475" s="175">
        <v>0.16</v>
      </c>
      <c r="N1475" t="s">
        <v>4331</v>
      </c>
    </row>
    <row r="1476" spans="1:14">
      <c r="A1476">
        <v>5205</v>
      </c>
      <c r="B1476" t="s">
        <v>1238</v>
      </c>
      <c r="C1476">
        <v>31.3</v>
      </c>
      <c r="D1476">
        <v>31.25</v>
      </c>
      <c r="E1476" s="178">
        <v>-3.45</v>
      </c>
      <c r="F1476" s="176">
        <v>-9.94</v>
      </c>
      <c r="G1476" t="s">
        <v>6601</v>
      </c>
      <c r="H1476">
        <v>3</v>
      </c>
      <c r="I1476">
        <v>83</v>
      </c>
      <c r="J1476">
        <v>1.42</v>
      </c>
      <c r="K1476">
        <v>31.3</v>
      </c>
      <c r="L1476">
        <v>31.25</v>
      </c>
      <c r="M1476" s="175">
        <v>0.02</v>
      </c>
      <c r="N1476" t="s">
        <v>4332</v>
      </c>
    </row>
    <row r="1477" spans="1:14">
      <c r="A1477">
        <v>5206</v>
      </c>
      <c r="B1477" t="s">
        <v>1239</v>
      </c>
      <c r="C1477">
        <v>23</v>
      </c>
      <c r="D1477">
        <v>22.9</v>
      </c>
      <c r="E1477" s="178">
        <v>-0.15</v>
      </c>
      <c r="F1477" s="176">
        <v>-0.65</v>
      </c>
      <c r="G1477" t="s">
        <v>6602</v>
      </c>
      <c r="H1477">
        <v>286</v>
      </c>
      <c r="I1477">
        <v>182</v>
      </c>
      <c r="J1477">
        <v>20.11</v>
      </c>
      <c r="K1477">
        <v>23.05</v>
      </c>
      <c r="L1477">
        <v>22.8</v>
      </c>
      <c r="M1477" s="175">
        <v>0.14000000000000001</v>
      </c>
      <c r="N1477" t="s">
        <v>4333</v>
      </c>
    </row>
    <row r="1478" spans="1:14">
      <c r="A1478">
        <v>5209</v>
      </c>
      <c r="B1478" t="s">
        <v>1240</v>
      </c>
      <c r="C1478">
        <v>186</v>
      </c>
      <c r="D1478">
        <v>185</v>
      </c>
      <c r="E1478" s="178">
        <v>-0.5</v>
      </c>
      <c r="F1478" s="176">
        <v>-0.27</v>
      </c>
      <c r="G1478" t="s">
        <v>6603</v>
      </c>
      <c r="H1478">
        <v>232</v>
      </c>
      <c r="I1478">
        <v>201</v>
      </c>
      <c r="J1478">
        <v>3.05</v>
      </c>
      <c r="K1478">
        <v>190</v>
      </c>
      <c r="L1478">
        <v>184.5</v>
      </c>
      <c r="M1478" s="175">
        <v>0.79</v>
      </c>
      <c r="N1478" t="s">
        <v>4334</v>
      </c>
    </row>
    <row r="1479" spans="1:14">
      <c r="A1479">
        <v>5210</v>
      </c>
      <c r="B1479" t="s">
        <v>1241</v>
      </c>
      <c r="C1479">
        <v>33.5</v>
      </c>
      <c r="D1479">
        <v>32.65</v>
      </c>
      <c r="E1479" s="178">
        <v>-0.85</v>
      </c>
      <c r="F1479" s="176">
        <v>-2.54</v>
      </c>
      <c r="G1479" t="s">
        <v>6604</v>
      </c>
      <c r="H1479">
        <v>1662</v>
      </c>
      <c r="I1479">
        <v>547</v>
      </c>
      <c r="J1479">
        <v>8.2200000000000006</v>
      </c>
      <c r="K1479">
        <v>35.450000000000003</v>
      </c>
      <c r="L1479">
        <v>32.5</v>
      </c>
      <c r="M1479" s="175">
        <v>2.02</v>
      </c>
      <c r="N1479" t="s">
        <v>4335</v>
      </c>
    </row>
    <row r="1480" spans="1:14">
      <c r="A1480">
        <v>5211</v>
      </c>
      <c r="B1480" t="s">
        <v>1242</v>
      </c>
      <c r="C1480">
        <v>20.2</v>
      </c>
      <c r="D1480">
        <v>20.149999999999999</v>
      </c>
      <c r="E1480" s="178">
        <v>-0.3</v>
      </c>
      <c r="F1480" s="176">
        <v>-1.47</v>
      </c>
      <c r="G1480" t="s">
        <v>6320</v>
      </c>
      <c r="H1480">
        <v>14</v>
      </c>
      <c r="I1480">
        <v>17</v>
      </c>
      <c r="J1480">
        <v>3.2</v>
      </c>
      <c r="K1480">
        <v>20.7</v>
      </c>
      <c r="L1480">
        <v>20.05</v>
      </c>
      <c r="M1480" s="175">
        <v>0.04</v>
      </c>
      <c r="N1480" t="s">
        <v>4336</v>
      </c>
    </row>
    <row r="1481" spans="1:14">
      <c r="A1481">
        <v>5212</v>
      </c>
      <c r="B1481" t="s">
        <v>1243</v>
      </c>
      <c r="C1481">
        <v>48.75</v>
      </c>
      <c r="D1481">
        <v>48.5</v>
      </c>
      <c r="E1481" s="178">
        <v>-0.25</v>
      </c>
      <c r="F1481" s="176">
        <v>-0.51</v>
      </c>
      <c r="G1481" t="s">
        <v>5366</v>
      </c>
      <c r="H1481">
        <v>7</v>
      </c>
      <c r="I1481">
        <v>30</v>
      </c>
      <c r="J1481">
        <v>3.46</v>
      </c>
      <c r="K1481">
        <v>48.75</v>
      </c>
      <c r="L1481">
        <v>48.25</v>
      </c>
      <c r="M1481" s="175">
        <v>0.02</v>
      </c>
      <c r="N1481" t="s">
        <v>4337</v>
      </c>
    </row>
    <row r="1482" spans="1:14">
      <c r="A1482">
        <v>5213</v>
      </c>
      <c r="B1482" t="s">
        <v>263</v>
      </c>
      <c r="C1482">
        <v>20.100000000000001</v>
      </c>
      <c r="D1482">
        <v>19.95</v>
      </c>
      <c r="E1482" s="178">
        <v>-0.15</v>
      </c>
      <c r="F1482" s="176">
        <v>-0.75</v>
      </c>
      <c r="G1482" t="s">
        <v>5209</v>
      </c>
      <c r="H1482">
        <v>277</v>
      </c>
      <c r="I1482">
        <v>145</v>
      </c>
      <c r="J1482">
        <v>76.209999999999994</v>
      </c>
      <c r="K1482">
        <v>20.2</v>
      </c>
      <c r="L1482">
        <v>19.95</v>
      </c>
      <c r="M1482" s="175">
        <v>0.04</v>
      </c>
      <c r="N1482" t="s">
        <v>3707</v>
      </c>
    </row>
    <row r="1483" spans="1:14">
      <c r="A1483">
        <v>5215</v>
      </c>
      <c r="B1483" t="s">
        <v>1244</v>
      </c>
      <c r="C1483">
        <v>36.65</v>
      </c>
      <c r="D1483">
        <v>36.35</v>
      </c>
      <c r="E1483" s="178">
        <v>-0.45</v>
      </c>
      <c r="F1483" s="176">
        <v>-1.22</v>
      </c>
      <c r="G1483" t="s">
        <v>3251</v>
      </c>
      <c r="H1483">
        <v>46</v>
      </c>
      <c r="I1483">
        <v>38</v>
      </c>
      <c r="J1483">
        <v>6.43</v>
      </c>
      <c r="K1483">
        <v>36.65</v>
      </c>
      <c r="L1483">
        <v>36</v>
      </c>
      <c r="M1483" s="175">
        <v>7.0000000000000007E-2</v>
      </c>
      <c r="N1483" t="s">
        <v>4338</v>
      </c>
    </row>
    <row r="1484" spans="1:14">
      <c r="A1484">
        <v>5220</v>
      </c>
      <c r="B1484" t="s">
        <v>316</v>
      </c>
      <c r="C1484">
        <v>22.2</v>
      </c>
      <c r="D1484">
        <v>21.7</v>
      </c>
      <c r="E1484" s="178">
        <v>-0.5</v>
      </c>
      <c r="F1484" s="176">
        <v>-2.25</v>
      </c>
      <c r="G1484" t="s">
        <v>5481</v>
      </c>
      <c r="H1484">
        <v>56</v>
      </c>
      <c r="I1484">
        <v>66</v>
      </c>
      <c r="J1484">
        <v>3.97</v>
      </c>
      <c r="K1484">
        <v>22.2</v>
      </c>
      <c r="L1484">
        <v>21.7</v>
      </c>
      <c r="M1484" s="175">
        <v>0.14000000000000001</v>
      </c>
      <c r="N1484" t="s">
        <v>4339</v>
      </c>
    </row>
    <row r="1485" spans="1:14">
      <c r="A1485">
        <v>5222</v>
      </c>
      <c r="B1485" t="s">
        <v>1584</v>
      </c>
      <c r="C1485">
        <v>99.3</v>
      </c>
      <c r="D1485">
        <v>97.8</v>
      </c>
      <c r="E1485" s="178">
        <v>-1.9</v>
      </c>
      <c r="F1485" s="176">
        <v>-1.91</v>
      </c>
      <c r="G1485" t="s">
        <v>6605</v>
      </c>
      <c r="H1485">
        <v>399</v>
      </c>
      <c r="I1485">
        <v>241</v>
      </c>
      <c r="J1485">
        <v>10.01</v>
      </c>
      <c r="K1485">
        <v>99.3</v>
      </c>
      <c r="L1485">
        <v>97</v>
      </c>
      <c r="M1485" s="175">
        <v>0.4</v>
      </c>
      <c r="N1485" t="s">
        <v>4340</v>
      </c>
    </row>
    <row r="1486" spans="1:14">
      <c r="A1486">
        <v>5223</v>
      </c>
      <c r="B1486" t="s">
        <v>342</v>
      </c>
      <c r="C1486">
        <v>23.1</v>
      </c>
      <c r="D1486">
        <v>22.8</v>
      </c>
      <c r="E1486" s="178">
        <v>-0.15</v>
      </c>
      <c r="F1486" s="176">
        <v>-0.65</v>
      </c>
      <c r="G1486" t="s">
        <v>6606</v>
      </c>
      <c r="H1486">
        <v>17</v>
      </c>
      <c r="I1486">
        <v>19</v>
      </c>
      <c r="J1486">
        <v>4.45</v>
      </c>
      <c r="K1486">
        <v>23.3</v>
      </c>
      <c r="L1486">
        <v>22.35</v>
      </c>
      <c r="M1486" s="175">
        <v>0.04</v>
      </c>
      <c r="N1486" t="s">
        <v>4341</v>
      </c>
    </row>
    <row r="1487" spans="1:14">
      <c r="A1487">
        <v>5225</v>
      </c>
      <c r="B1487" t="s">
        <v>1245</v>
      </c>
      <c r="C1487">
        <v>54.7</v>
      </c>
      <c r="D1487">
        <v>55</v>
      </c>
      <c r="E1487" s="178">
        <v>0.1</v>
      </c>
      <c r="F1487" s="176">
        <v>0.18</v>
      </c>
      <c r="G1487" t="s">
        <v>6607</v>
      </c>
      <c r="H1487">
        <v>224</v>
      </c>
      <c r="I1487">
        <v>310</v>
      </c>
      <c r="J1487">
        <v>7.91</v>
      </c>
      <c r="K1487">
        <v>55.4</v>
      </c>
      <c r="L1487">
        <v>54</v>
      </c>
      <c r="M1487" s="175">
        <v>0.28000000000000003</v>
      </c>
      <c r="N1487" t="s">
        <v>4342</v>
      </c>
    </row>
    <row r="1488" spans="1:14">
      <c r="A1488">
        <v>5227</v>
      </c>
      <c r="B1488" t="s">
        <v>124</v>
      </c>
      <c r="C1488">
        <v>27.05</v>
      </c>
      <c r="D1488">
        <v>26.75</v>
      </c>
      <c r="E1488" s="178">
        <v>-0.65</v>
      </c>
      <c r="F1488" s="176">
        <v>-2.37</v>
      </c>
      <c r="G1488" t="s">
        <v>6608</v>
      </c>
      <c r="H1488">
        <v>355</v>
      </c>
      <c r="I1488">
        <v>262</v>
      </c>
      <c r="J1488">
        <v>9.6</v>
      </c>
      <c r="K1488">
        <v>27.1</v>
      </c>
      <c r="L1488">
        <v>26.5</v>
      </c>
      <c r="M1488" s="175">
        <v>0.37</v>
      </c>
      <c r="N1488" t="s">
        <v>4343</v>
      </c>
    </row>
    <row r="1489" spans="1:14">
      <c r="A1489">
        <v>5228</v>
      </c>
      <c r="B1489" t="s">
        <v>1635</v>
      </c>
      <c r="C1489">
        <v>59.1</v>
      </c>
      <c r="D1489">
        <v>56.1</v>
      </c>
      <c r="E1489" s="178">
        <v>-5.8</v>
      </c>
      <c r="F1489" s="176">
        <v>-9.3699999999999992</v>
      </c>
      <c r="G1489" t="s">
        <v>6609</v>
      </c>
      <c r="H1489">
        <v>858</v>
      </c>
      <c r="I1489">
        <v>2980</v>
      </c>
      <c r="J1489">
        <v>3.81</v>
      </c>
      <c r="K1489">
        <v>60.8</v>
      </c>
      <c r="L1489">
        <v>55.8</v>
      </c>
      <c r="M1489" s="175">
        <v>2.25</v>
      </c>
      <c r="N1489" t="s">
        <v>4344</v>
      </c>
    </row>
    <row r="1490" spans="1:14">
      <c r="A1490">
        <v>5230</v>
      </c>
      <c r="B1490" t="s">
        <v>1246</v>
      </c>
      <c r="C1490">
        <v>30</v>
      </c>
      <c r="D1490">
        <v>27.3</v>
      </c>
      <c r="E1490" s="178">
        <v>-3</v>
      </c>
      <c r="F1490" s="176">
        <v>-9.9</v>
      </c>
      <c r="G1490" t="s">
        <v>6610</v>
      </c>
      <c r="H1490">
        <v>6736</v>
      </c>
      <c r="I1490">
        <v>3060</v>
      </c>
      <c r="J1490">
        <v>5.63</v>
      </c>
      <c r="K1490">
        <v>30.15</v>
      </c>
      <c r="L1490">
        <v>27.3</v>
      </c>
      <c r="M1490" s="175">
        <v>11.96</v>
      </c>
      <c r="N1490" t="s">
        <v>4345</v>
      </c>
    </row>
    <row r="1491" spans="1:14">
      <c r="A1491">
        <v>5234</v>
      </c>
      <c r="B1491" t="s">
        <v>1247</v>
      </c>
      <c r="C1491">
        <v>287</v>
      </c>
      <c r="D1491">
        <v>289</v>
      </c>
      <c r="E1491" s="178">
        <v>-13</v>
      </c>
      <c r="F1491" s="176">
        <v>-4.3</v>
      </c>
      <c r="G1491" t="s">
        <v>5506</v>
      </c>
      <c r="H1491">
        <v>531</v>
      </c>
      <c r="I1491">
        <v>923</v>
      </c>
      <c r="J1491">
        <v>10.27</v>
      </c>
      <c r="K1491">
        <v>297</v>
      </c>
      <c r="L1491">
        <v>287</v>
      </c>
      <c r="M1491" s="175">
        <v>0.52</v>
      </c>
      <c r="N1491" t="s">
        <v>4346</v>
      </c>
    </row>
    <row r="1492" spans="1:14">
      <c r="A1492">
        <v>5236</v>
      </c>
      <c r="B1492" t="s">
        <v>1570</v>
      </c>
      <c r="C1492">
        <v>123</v>
      </c>
      <c r="D1492">
        <v>123</v>
      </c>
      <c r="E1492" s="178">
        <v>-1.5</v>
      </c>
      <c r="F1492" s="176">
        <v>-1.2</v>
      </c>
      <c r="G1492" t="s">
        <v>6611</v>
      </c>
      <c r="H1492">
        <v>103</v>
      </c>
      <c r="I1492">
        <v>99</v>
      </c>
      <c r="J1492">
        <v>6</v>
      </c>
      <c r="K1492">
        <v>124.5</v>
      </c>
      <c r="L1492">
        <v>123</v>
      </c>
      <c r="M1492" s="175">
        <v>0.17</v>
      </c>
      <c r="N1492" t="s">
        <v>4347</v>
      </c>
    </row>
    <row r="1493" spans="1:14">
      <c r="A1493">
        <v>5243</v>
      </c>
      <c r="B1493" t="s">
        <v>1248</v>
      </c>
      <c r="C1493">
        <v>94.2</v>
      </c>
      <c r="D1493">
        <v>92.3</v>
      </c>
      <c r="E1493" s="178">
        <v>-5.5</v>
      </c>
      <c r="F1493" s="176">
        <v>-5.62</v>
      </c>
      <c r="G1493" t="s">
        <v>6612</v>
      </c>
      <c r="H1493">
        <v>3171</v>
      </c>
      <c r="I1493">
        <v>4165</v>
      </c>
      <c r="J1493">
        <v>16.850000000000001</v>
      </c>
      <c r="K1493">
        <v>95</v>
      </c>
      <c r="L1493">
        <v>92.2</v>
      </c>
      <c r="M1493" s="175">
        <v>1.88</v>
      </c>
      <c r="N1493" t="s">
        <v>4348</v>
      </c>
    </row>
    <row r="1494" spans="1:14">
      <c r="A1494">
        <v>5244</v>
      </c>
      <c r="B1494" t="s">
        <v>1624</v>
      </c>
      <c r="C1494">
        <v>37.200000000000003</v>
      </c>
      <c r="D1494">
        <v>36.65</v>
      </c>
      <c r="E1494" s="178">
        <v>-1.2</v>
      </c>
      <c r="F1494" s="176">
        <v>-3.17</v>
      </c>
      <c r="G1494" t="s">
        <v>5836</v>
      </c>
      <c r="H1494">
        <v>188</v>
      </c>
      <c r="I1494">
        <v>1319</v>
      </c>
      <c r="J1494">
        <v>6.82</v>
      </c>
      <c r="K1494">
        <v>37.200000000000003</v>
      </c>
      <c r="L1494">
        <v>36.35</v>
      </c>
      <c r="M1494" s="175">
        <v>0.28000000000000003</v>
      </c>
      <c r="N1494" t="s">
        <v>4349</v>
      </c>
    </row>
    <row r="1495" spans="1:14">
      <c r="A1495">
        <v>5245</v>
      </c>
      <c r="B1495" t="s">
        <v>1249</v>
      </c>
      <c r="C1495">
        <v>19.600000000000001</v>
      </c>
      <c r="D1495">
        <v>19.2</v>
      </c>
      <c r="E1495" s="178">
        <v>-0.45</v>
      </c>
      <c r="F1495" s="176">
        <v>-2.29</v>
      </c>
      <c r="G1495" t="s">
        <v>6613</v>
      </c>
      <c r="H1495">
        <v>71</v>
      </c>
      <c r="I1495">
        <v>110</v>
      </c>
      <c r="J1495">
        <v>4.43</v>
      </c>
      <c r="K1495">
        <v>19.600000000000001</v>
      </c>
      <c r="L1495">
        <v>19.149999999999999</v>
      </c>
      <c r="M1495" s="175">
        <v>0.16</v>
      </c>
      <c r="N1495" t="s">
        <v>4350</v>
      </c>
    </row>
    <row r="1496" spans="1:14">
      <c r="A1496">
        <v>5251</v>
      </c>
      <c r="B1496" t="s">
        <v>1250</v>
      </c>
      <c r="C1496">
        <v>28.7</v>
      </c>
      <c r="D1496">
        <v>27.6</v>
      </c>
      <c r="E1496" s="178">
        <v>-1.1000000000000001</v>
      </c>
      <c r="F1496" s="176">
        <v>-3.83</v>
      </c>
      <c r="G1496" t="s">
        <v>6614</v>
      </c>
      <c r="H1496">
        <v>221</v>
      </c>
      <c r="I1496">
        <v>243</v>
      </c>
      <c r="J1496">
        <v>3.37</v>
      </c>
      <c r="K1496">
        <v>28.85</v>
      </c>
      <c r="L1496">
        <v>27.45</v>
      </c>
      <c r="M1496" s="175">
        <v>0.66</v>
      </c>
      <c r="N1496" t="s">
        <v>4351</v>
      </c>
    </row>
    <row r="1497" spans="1:14">
      <c r="A1497">
        <v>5258</v>
      </c>
      <c r="B1497" t="s">
        <v>1251</v>
      </c>
      <c r="C1497">
        <v>45.5</v>
      </c>
      <c r="D1497">
        <v>45.3</v>
      </c>
      <c r="E1497" s="178">
        <v>-0.2</v>
      </c>
      <c r="F1497" s="176">
        <v>-0.44</v>
      </c>
      <c r="G1497" t="s">
        <v>6615</v>
      </c>
      <c r="H1497">
        <v>412</v>
      </c>
      <c r="I1497">
        <v>680</v>
      </c>
      <c r="J1497">
        <v>11.04</v>
      </c>
      <c r="K1497">
        <v>46.4</v>
      </c>
      <c r="L1497">
        <v>45.05</v>
      </c>
      <c r="M1497" s="175">
        <v>0.37</v>
      </c>
      <c r="N1497" t="s">
        <v>4352</v>
      </c>
    </row>
    <row r="1498" spans="1:14">
      <c r="A1498">
        <v>5263</v>
      </c>
      <c r="B1498" t="s">
        <v>1252</v>
      </c>
      <c r="C1498">
        <v>90.2</v>
      </c>
      <c r="D1498">
        <v>89.6</v>
      </c>
      <c r="E1498" s="178">
        <v>-0.7</v>
      </c>
      <c r="F1498" s="176">
        <v>-0.78</v>
      </c>
      <c r="G1498" t="s">
        <v>5621</v>
      </c>
      <c r="H1498">
        <v>118</v>
      </c>
      <c r="I1498">
        <v>377</v>
      </c>
      <c r="J1498">
        <v>7.89</v>
      </c>
      <c r="K1498">
        <v>90.3</v>
      </c>
      <c r="L1498">
        <v>88.7</v>
      </c>
      <c r="M1498" s="175">
        <v>0.15</v>
      </c>
      <c r="N1498" t="s">
        <v>4353</v>
      </c>
    </row>
    <row r="1499" spans="1:14">
      <c r="A1499">
        <v>5269</v>
      </c>
      <c r="B1499" t="s">
        <v>1253</v>
      </c>
      <c r="C1499">
        <v>1510</v>
      </c>
      <c r="D1499">
        <v>1495</v>
      </c>
      <c r="E1499" s="178">
        <v>-50</v>
      </c>
      <c r="F1499" s="176">
        <v>-3.24</v>
      </c>
      <c r="G1499" t="s">
        <v>5596</v>
      </c>
      <c r="H1499">
        <v>745</v>
      </c>
      <c r="I1499">
        <v>753</v>
      </c>
      <c r="J1499">
        <v>7.42</v>
      </c>
      <c r="K1499">
        <v>1515</v>
      </c>
      <c r="L1499">
        <v>1475</v>
      </c>
      <c r="M1499" s="175">
        <v>1</v>
      </c>
      <c r="N1499" t="s">
        <v>4354</v>
      </c>
    </row>
    <row r="1500" spans="1:14">
      <c r="A1500">
        <v>5272</v>
      </c>
      <c r="B1500" t="s">
        <v>1254</v>
      </c>
      <c r="C1500">
        <v>17.399999999999999</v>
      </c>
      <c r="D1500">
        <v>17.05</v>
      </c>
      <c r="E1500" s="178">
        <v>-0.5</v>
      </c>
      <c r="F1500" s="176">
        <v>-2.85</v>
      </c>
      <c r="G1500" t="s">
        <v>6565</v>
      </c>
      <c r="H1500">
        <v>44</v>
      </c>
      <c r="I1500">
        <v>44</v>
      </c>
      <c r="J1500">
        <v>5.53</v>
      </c>
      <c r="K1500">
        <v>17.399999999999999</v>
      </c>
      <c r="L1500">
        <v>17.05</v>
      </c>
      <c r="M1500" s="175">
        <v>0.08</v>
      </c>
      <c r="N1500" t="s">
        <v>4355</v>
      </c>
    </row>
    <row r="1501" spans="1:14">
      <c r="A1501">
        <v>5274</v>
      </c>
      <c r="B1501" t="s">
        <v>1255</v>
      </c>
      <c r="C1501">
        <v>16280</v>
      </c>
      <c r="D1501">
        <v>15945</v>
      </c>
      <c r="E1501" s="178">
        <v>-1555</v>
      </c>
      <c r="F1501" s="176">
        <v>-8.89</v>
      </c>
      <c r="G1501" t="s">
        <v>5773</v>
      </c>
      <c r="H1501">
        <v>591</v>
      </c>
      <c r="I1501">
        <v>508</v>
      </c>
      <c r="J1501">
        <v>4.16</v>
      </c>
      <c r="K1501">
        <v>16500</v>
      </c>
      <c r="L1501">
        <v>15750</v>
      </c>
      <c r="M1501" s="175">
        <v>1.42</v>
      </c>
      <c r="N1501" t="s">
        <v>4356</v>
      </c>
    </row>
    <row r="1502" spans="1:14">
      <c r="A1502">
        <v>5276</v>
      </c>
      <c r="B1502" t="s">
        <v>1256</v>
      </c>
      <c r="C1502">
        <v>17.350000000000001</v>
      </c>
      <c r="D1502">
        <v>17.350000000000001</v>
      </c>
      <c r="E1502" s="178">
        <v>-0.55000000000000004</v>
      </c>
      <c r="F1502" s="176">
        <v>-3.07</v>
      </c>
      <c r="G1502" t="s">
        <v>5851</v>
      </c>
      <c r="H1502">
        <v>6</v>
      </c>
      <c r="I1502">
        <v>2</v>
      </c>
      <c r="J1502">
        <v>3.95</v>
      </c>
      <c r="K1502">
        <v>17.350000000000001</v>
      </c>
      <c r="L1502">
        <v>17.3</v>
      </c>
      <c r="M1502" s="175">
        <v>0.02</v>
      </c>
      <c r="N1502" t="s">
        <v>4357</v>
      </c>
    </row>
    <row r="1503" spans="1:14">
      <c r="A1503">
        <v>5278</v>
      </c>
      <c r="B1503" t="s">
        <v>2688</v>
      </c>
      <c r="C1503">
        <v>23.8</v>
      </c>
      <c r="D1503">
        <v>23.55</v>
      </c>
      <c r="E1503" s="178">
        <v>-0.25</v>
      </c>
      <c r="F1503" s="176">
        <v>-1.05</v>
      </c>
      <c r="G1503" t="s">
        <v>5410</v>
      </c>
      <c r="H1503">
        <v>307</v>
      </c>
      <c r="I1503">
        <v>124</v>
      </c>
      <c r="J1503">
        <v>3</v>
      </c>
      <c r="K1503">
        <v>23.95</v>
      </c>
      <c r="L1503">
        <v>23.45</v>
      </c>
      <c r="M1503" s="175">
        <v>0.1</v>
      </c>
      <c r="N1503" t="s">
        <v>4358</v>
      </c>
    </row>
    <row r="1504" spans="1:14">
      <c r="A1504">
        <v>5283</v>
      </c>
      <c r="B1504" t="s">
        <v>1257</v>
      </c>
      <c r="C1504">
        <v>51.9</v>
      </c>
      <c r="D1504">
        <v>51.7</v>
      </c>
      <c r="E1504" s="178">
        <v>-0.3</v>
      </c>
      <c r="F1504" s="176">
        <v>-0.57999999999999996</v>
      </c>
      <c r="G1504" t="s">
        <v>6482</v>
      </c>
      <c r="H1504">
        <v>92</v>
      </c>
      <c r="I1504">
        <v>69</v>
      </c>
      <c r="J1504">
        <v>10.16</v>
      </c>
      <c r="K1504">
        <v>52</v>
      </c>
      <c r="L1504">
        <v>51.4</v>
      </c>
      <c r="M1504" s="175">
        <v>0.09</v>
      </c>
      <c r="N1504" t="s">
        <v>4359</v>
      </c>
    </row>
    <row r="1505" spans="1:14">
      <c r="A1505">
        <v>5284</v>
      </c>
      <c r="B1505" t="s">
        <v>1258</v>
      </c>
      <c r="C1505">
        <v>271</v>
      </c>
      <c r="D1505">
        <v>269</v>
      </c>
      <c r="E1505" s="178">
        <v>-10.5</v>
      </c>
      <c r="F1505" s="176">
        <v>-3.76</v>
      </c>
      <c r="G1505" t="s">
        <v>6616</v>
      </c>
      <c r="H1505">
        <v>328</v>
      </c>
      <c r="I1505">
        <v>325</v>
      </c>
      <c r="J1505">
        <v>5.51</v>
      </c>
      <c r="K1505">
        <v>274.5</v>
      </c>
      <c r="L1505">
        <v>268</v>
      </c>
      <c r="M1505" s="175">
        <v>0.59</v>
      </c>
      <c r="N1505" t="s">
        <v>4360</v>
      </c>
    </row>
    <row r="1506" spans="1:14">
      <c r="A1506">
        <v>5285</v>
      </c>
      <c r="B1506" t="s">
        <v>1259</v>
      </c>
      <c r="C1506">
        <v>90.8</v>
      </c>
      <c r="D1506">
        <v>88.9</v>
      </c>
      <c r="E1506" s="178">
        <v>-3.8</v>
      </c>
      <c r="F1506" s="176">
        <v>-4.0999999999999996</v>
      </c>
      <c r="G1506" t="s">
        <v>5583</v>
      </c>
      <c r="H1506">
        <v>1724</v>
      </c>
      <c r="I1506">
        <v>3929</v>
      </c>
      <c r="J1506">
        <v>10.199999999999999</v>
      </c>
      <c r="K1506">
        <v>92</v>
      </c>
      <c r="L1506">
        <v>88.8</v>
      </c>
      <c r="M1506" s="175">
        <v>1.69</v>
      </c>
      <c r="N1506" t="s">
        <v>4361</v>
      </c>
    </row>
    <row r="1507" spans="1:14">
      <c r="A1507">
        <v>5287</v>
      </c>
      <c r="B1507" t="s">
        <v>1260</v>
      </c>
      <c r="C1507">
        <v>135</v>
      </c>
      <c r="D1507">
        <v>134</v>
      </c>
      <c r="E1507" s="178">
        <v>-1</v>
      </c>
      <c r="F1507" s="176">
        <v>-0.74</v>
      </c>
      <c r="G1507" t="s">
        <v>6617</v>
      </c>
      <c r="H1507">
        <v>134</v>
      </c>
      <c r="I1507">
        <v>67</v>
      </c>
      <c r="J1507">
        <v>6.57</v>
      </c>
      <c r="K1507">
        <v>135</v>
      </c>
      <c r="L1507">
        <v>133.5</v>
      </c>
      <c r="M1507" s="175">
        <v>0.2</v>
      </c>
      <c r="N1507" t="s">
        <v>4362</v>
      </c>
    </row>
    <row r="1508" spans="1:14">
      <c r="A1508">
        <v>5288</v>
      </c>
      <c r="B1508" t="s">
        <v>1261</v>
      </c>
      <c r="C1508">
        <v>180</v>
      </c>
      <c r="D1508">
        <v>184.5</v>
      </c>
      <c r="E1508" s="178">
        <v>1</v>
      </c>
      <c r="F1508" s="176">
        <v>0.54</v>
      </c>
      <c r="G1508" t="s">
        <v>6618</v>
      </c>
      <c r="H1508">
        <v>156</v>
      </c>
      <c r="I1508">
        <v>170</v>
      </c>
      <c r="J1508">
        <v>6.99</v>
      </c>
      <c r="K1508">
        <v>184.5</v>
      </c>
      <c r="L1508">
        <v>180</v>
      </c>
      <c r="M1508" s="175">
        <v>0.22</v>
      </c>
      <c r="N1508" t="s">
        <v>4363</v>
      </c>
    </row>
    <row r="1509" spans="1:14">
      <c r="A1509">
        <v>5289</v>
      </c>
      <c r="B1509" t="s">
        <v>1262</v>
      </c>
      <c r="C1509">
        <v>1115</v>
      </c>
      <c r="D1509">
        <v>1115</v>
      </c>
      <c r="E1509" s="178">
        <v>-55</v>
      </c>
      <c r="F1509" s="176">
        <v>-4.7</v>
      </c>
      <c r="G1509" t="s">
        <v>6619</v>
      </c>
      <c r="H1509">
        <v>1485</v>
      </c>
      <c r="I1509">
        <v>1380</v>
      </c>
      <c r="J1509">
        <v>9.83</v>
      </c>
      <c r="K1509">
        <v>1135</v>
      </c>
      <c r="L1509">
        <v>1095</v>
      </c>
      <c r="M1509" s="175">
        <v>1.51</v>
      </c>
      <c r="N1509" t="s">
        <v>4364</v>
      </c>
    </row>
    <row r="1510" spans="1:14">
      <c r="A1510">
        <v>5291</v>
      </c>
      <c r="B1510" t="s">
        <v>1263</v>
      </c>
      <c r="C1510">
        <v>60.3</v>
      </c>
      <c r="D1510">
        <v>57.5</v>
      </c>
      <c r="E1510" s="178">
        <v>-3.3</v>
      </c>
      <c r="F1510" s="176">
        <v>-5.43</v>
      </c>
      <c r="G1510" t="s">
        <v>6620</v>
      </c>
      <c r="H1510">
        <v>519</v>
      </c>
      <c r="I1510">
        <v>355</v>
      </c>
      <c r="J1510">
        <v>4.1900000000000004</v>
      </c>
      <c r="K1510">
        <v>60.3</v>
      </c>
      <c r="L1510">
        <v>57.2</v>
      </c>
      <c r="M1510" s="175">
        <v>1.24</v>
      </c>
      <c r="N1510" t="s">
        <v>4365</v>
      </c>
    </row>
    <row r="1511" spans="1:14">
      <c r="A1511">
        <v>5292</v>
      </c>
      <c r="B1511" t="s">
        <v>2310</v>
      </c>
      <c r="C1511">
        <v>245</v>
      </c>
      <c r="D1511">
        <v>244</v>
      </c>
      <c r="E1511" s="178">
        <v>-1.5</v>
      </c>
      <c r="F1511" s="176">
        <v>-0.61</v>
      </c>
      <c r="G1511" t="s">
        <v>6621</v>
      </c>
      <c r="H1511">
        <v>127</v>
      </c>
      <c r="I1511">
        <v>291</v>
      </c>
      <c r="J1511">
        <v>4.63</v>
      </c>
      <c r="K1511">
        <v>247.5</v>
      </c>
      <c r="L1511">
        <v>237.5</v>
      </c>
      <c r="M1511" s="175">
        <v>0.27</v>
      </c>
      <c r="N1511" t="s">
        <v>4366</v>
      </c>
    </row>
    <row r="1512" spans="1:14">
      <c r="A1512">
        <v>5299</v>
      </c>
      <c r="B1512" t="s">
        <v>315</v>
      </c>
      <c r="C1512">
        <v>94.5</v>
      </c>
      <c r="D1512">
        <v>93.5</v>
      </c>
      <c r="E1512" s="178">
        <v>-2.2999999999999998</v>
      </c>
      <c r="F1512" s="176">
        <v>-2.4</v>
      </c>
      <c r="G1512" t="s">
        <v>6324</v>
      </c>
      <c r="H1512">
        <v>144</v>
      </c>
      <c r="I1512">
        <v>206</v>
      </c>
      <c r="J1512">
        <v>5.12</v>
      </c>
      <c r="K1512">
        <v>94.8</v>
      </c>
      <c r="L1512">
        <v>93</v>
      </c>
      <c r="M1512" s="175">
        <v>0.28000000000000003</v>
      </c>
      <c r="N1512" t="s">
        <v>4367</v>
      </c>
    </row>
    <row r="1513" spans="1:14">
      <c r="A1513">
        <v>5301</v>
      </c>
      <c r="B1513" t="s">
        <v>5445</v>
      </c>
      <c r="C1513">
        <v>6</v>
      </c>
      <c r="D1513">
        <v>6</v>
      </c>
      <c r="E1513" s="178">
        <v>-0.01</v>
      </c>
      <c r="F1513" s="176">
        <v>-0.17</v>
      </c>
      <c r="G1513" t="s">
        <v>6622</v>
      </c>
      <c r="H1513">
        <v>2</v>
      </c>
      <c r="I1513">
        <v>37</v>
      </c>
      <c r="J1513">
        <v>5.39</v>
      </c>
      <c r="K1513">
        <v>6</v>
      </c>
      <c r="L1513">
        <v>6</v>
      </c>
      <c r="M1513" s="175">
        <v>0</v>
      </c>
      <c r="N1513" t="s">
        <v>5446</v>
      </c>
    </row>
    <row r="1514" spans="1:14">
      <c r="A1514">
        <v>5302</v>
      </c>
      <c r="B1514" t="s">
        <v>1264</v>
      </c>
      <c r="C1514">
        <v>9.65</v>
      </c>
      <c r="D1514">
        <v>9.48</v>
      </c>
      <c r="E1514" s="178">
        <v>-0.19</v>
      </c>
      <c r="F1514" s="176">
        <v>-1.96</v>
      </c>
      <c r="G1514" t="s">
        <v>5723</v>
      </c>
      <c r="H1514">
        <v>245</v>
      </c>
      <c r="I1514">
        <v>183</v>
      </c>
      <c r="J1514">
        <v>15.99</v>
      </c>
      <c r="K1514">
        <v>9.65</v>
      </c>
      <c r="L1514">
        <v>9.4600000000000009</v>
      </c>
      <c r="M1514" s="175">
        <v>0.15</v>
      </c>
      <c r="N1514" t="s">
        <v>4368</v>
      </c>
    </row>
    <row r="1515" spans="1:14">
      <c r="A1515">
        <v>5306</v>
      </c>
      <c r="B1515" t="s">
        <v>1265</v>
      </c>
      <c r="C1515">
        <v>90</v>
      </c>
      <c r="D1515">
        <v>90.3</v>
      </c>
      <c r="E1515" s="178">
        <v>1.2</v>
      </c>
      <c r="F1515" s="176">
        <v>1.35</v>
      </c>
      <c r="G1515" t="s">
        <v>6623</v>
      </c>
      <c r="H1515">
        <v>183</v>
      </c>
      <c r="I1515">
        <v>85</v>
      </c>
      <c r="J1515">
        <v>12.6</v>
      </c>
      <c r="K1515">
        <v>91.1</v>
      </c>
      <c r="L1515">
        <v>90</v>
      </c>
      <c r="M1515" s="175">
        <v>0.15</v>
      </c>
      <c r="N1515" t="s">
        <v>4369</v>
      </c>
    </row>
    <row r="1516" spans="1:14">
      <c r="A1516">
        <v>5309</v>
      </c>
      <c r="B1516" t="s">
        <v>1266</v>
      </c>
      <c r="C1516">
        <v>69.599999999999994</v>
      </c>
      <c r="D1516">
        <v>67.7</v>
      </c>
      <c r="E1516" s="178">
        <v>-3.3</v>
      </c>
      <c r="F1516" s="176">
        <v>-4.6500000000000004</v>
      </c>
      <c r="G1516" t="s">
        <v>6624</v>
      </c>
      <c r="H1516">
        <v>7793</v>
      </c>
      <c r="I1516">
        <v>21322</v>
      </c>
      <c r="J1516">
        <v>23.19</v>
      </c>
      <c r="K1516">
        <v>71</v>
      </c>
      <c r="L1516">
        <v>67.7</v>
      </c>
      <c r="M1516" s="175">
        <v>3.36</v>
      </c>
      <c r="N1516" t="s">
        <v>4370</v>
      </c>
    </row>
    <row r="1517" spans="1:14">
      <c r="A1517">
        <v>5310</v>
      </c>
      <c r="B1517" t="s">
        <v>1618</v>
      </c>
      <c r="C1517">
        <v>27.6</v>
      </c>
      <c r="D1517">
        <v>26.65</v>
      </c>
      <c r="E1517" s="178">
        <v>-1.6</v>
      </c>
      <c r="F1517" s="176">
        <v>-5.66</v>
      </c>
      <c r="G1517" t="s">
        <v>5463</v>
      </c>
      <c r="H1517">
        <v>84</v>
      </c>
      <c r="I1517">
        <v>56</v>
      </c>
      <c r="J1517">
        <v>2.89</v>
      </c>
      <c r="K1517">
        <v>27.6</v>
      </c>
      <c r="L1517">
        <v>26.65</v>
      </c>
      <c r="M1517" s="175">
        <v>0.28999999999999998</v>
      </c>
      <c r="N1517" t="s">
        <v>4371</v>
      </c>
    </row>
    <row r="1518" spans="1:14">
      <c r="A1518">
        <v>5312</v>
      </c>
      <c r="B1518" t="s">
        <v>1267</v>
      </c>
      <c r="C1518">
        <v>89.5</v>
      </c>
      <c r="D1518">
        <v>90</v>
      </c>
      <c r="E1518" s="178">
        <v>0.1</v>
      </c>
      <c r="F1518" s="176">
        <v>0.11</v>
      </c>
      <c r="G1518" t="s">
        <v>5401</v>
      </c>
      <c r="H1518">
        <v>23</v>
      </c>
      <c r="I1518">
        <v>16</v>
      </c>
      <c r="J1518">
        <v>6.01</v>
      </c>
      <c r="K1518">
        <v>90</v>
      </c>
      <c r="L1518">
        <v>89.1</v>
      </c>
      <c r="M1518" s="175">
        <v>0.04</v>
      </c>
      <c r="N1518" t="s">
        <v>4372</v>
      </c>
    </row>
    <row r="1519" spans="1:14">
      <c r="A1519">
        <v>5314</v>
      </c>
      <c r="B1519" t="s">
        <v>2803</v>
      </c>
      <c r="C1519">
        <v>26</v>
      </c>
      <c r="D1519">
        <v>24.8</v>
      </c>
      <c r="E1519" s="178">
        <v>-1.6</v>
      </c>
      <c r="F1519" s="176">
        <v>-6.06</v>
      </c>
      <c r="G1519" t="s">
        <v>6625</v>
      </c>
      <c r="H1519">
        <v>24901</v>
      </c>
      <c r="I1519">
        <v>20447</v>
      </c>
      <c r="J1519">
        <v>6.02</v>
      </c>
      <c r="K1519">
        <v>26.35</v>
      </c>
      <c r="L1519">
        <v>24.65</v>
      </c>
      <c r="M1519" s="175">
        <v>2.06</v>
      </c>
      <c r="N1519" t="s">
        <v>4373</v>
      </c>
    </row>
    <row r="1520" spans="1:14">
      <c r="A1520">
        <v>5315</v>
      </c>
      <c r="B1520" t="s">
        <v>1268</v>
      </c>
      <c r="C1520">
        <v>18.95</v>
      </c>
      <c r="D1520">
        <v>18.95</v>
      </c>
      <c r="E1520" s="178">
        <v>0</v>
      </c>
      <c r="F1520" s="176">
        <v>0</v>
      </c>
      <c r="G1520" t="s">
        <v>6626</v>
      </c>
      <c r="H1520">
        <v>217</v>
      </c>
      <c r="I1520">
        <v>115</v>
      </c>
      <c r="J1520">
        <v>10.64</v>
      </c>
      <c r="K1520">
        <v>19.05</v>
      </c>
      <c r="L1520">
        <v>18.899999999999999</v>
      </c>
      <c r="M1520" s="175">
        <v>0.2</v>
      </c>
      <c r="N1520" t="s">
        <v>4374</v>
      </c>
    </row>
    <row r="1521" spans="1:14">
      <c r="A1521">
        <v>5321</v>
      </c>
      <c r="B1521" t="s">
        <v>1571</v>
      </c>
      <c r="C1521">
        <v>64.3</v>
      </c>
      <c r="D1521">
        <v>62.4</v>
      </c>
      <c r="E1521" s="178">
        <v>-3</v>
      </c>
      <c r="F1521" s="176">
        <v>-4.59</v>
      </c>
      <c r="G1521" t="s">
        <v>6627</v>
      </c>
      <c r="H1521">
        <v>559</v>
      </c>
      <c r="I1521">
        <v>499</v>
      </c>
      <c r="J1521">
        <v>5.95</v>
      </c>
      <c r="K1521">
        <v>65.2</v>
      </c>
      <c r="L1521">
        <v>59.9</v>
      </c>
      <c r="M1521" s="175">
        <v>0.94</v>
      </c>
      <c r="N1521" t="s">
        <v>4375</v>
      </c>
    </row>
    <row r="1522" spans="1:14">
      <c r="A1522">
        <v>5324</v>
      </c>
      <c r="B1522" t="s">
        <v>1269</v>
      </c>
      <c r="C1522">
        <v>12.45</v>
      </c>
      <c r="D1522">
        <v>12.5</v>
      </c>
      <c r="E1522" s="178">
        <v>0</v>
      </c>
      <c r="F1522" s="176">
        <v>0</v>
      </c>
      <c r="G1522" t="s">
        <v>5745</v>
      </c>
      <c r="H1522">
        <v>253</v>
      </c>
      <c r="I1522">
        <v>122</v>
      </c>
      <c r="J1522">
        <v>22.64</v>
      </c>
      <c r="K1522">
        <v>12.5</v>
      </c>
      <c r="L1522">
        <v>12.4</v>
      </c>
      <c r="M1522" s="175">
        <v>0.11</v>
      </c>
      <c r="N1522" t="s">
        <v>4376</v>
      </c>
    </row>
    <row r="1523" spans="1:14">
      <c r="A1523">
        <v>5328</v>
      </c>
      <c r="B1523" t="s">
        <v>1270</v>
      </c>
      <c r="C1523">
        <v>56.9</v>
      </c>
      <c r="D1523">
        <v>55</v>
      </c>
      <c r="E1523" s="178">
        <v>-3.1</v>
      </c>
      <c r="F1523" s="176">
        <v>-5.34</v>
      </c>
      <c r="G1523" t="s">
        <v>6628</v>
      </c>
      <c r="H1523">
        <v>2832</v>
      </c>
      <c r="I1523">
        <v>4600</v>
      </c>
      <c r="J1523">
        <v>17.27</v>
      </c>
      <c r="K1523">
        <v>58.1</v>
      </c>
      <c r="L1523">
        <v>55</v>
      </c>
      <c r="M1523" s="175">
        <v>1.64</v>
      </c>
      <c r="N1523" t="s">
        <v>4377</v>
      </c>
    </row>
    <row r="1524" spans="1:14">
      <c r="A1524">
        <v>5340</v>
      </c>
      <c r="B1524" t="s">
        <v>71</v>
      </c>
      <c r="C1524">
        <v>92.1</v>
      </c>
      <c r="D1524">
        <v>90.7</v>
      </c>
      <c r="E1524" s="178">
        <v>-5.3</v>
      </c>
      <c r="F1524" s="176">
        <v>-5.52</v>
      </c>
      <c r="G1524" t="s">
        <v>5572</v>
      </c>
      <c r="H1524">
        <v>3513</v>
      </c>
      <c r="I1524">
        <v>11739</v>
      </c>
      <c r="J1524">
        <v>19.489999999999998</v>
      </c>
      <c r="K1524">
        <v>93.8</v>
      </c>
      <c r="L1524">
        <v>89.2</v>
      </c>
      <c r="M1524" s="175">
        <v>1.8</v>
      </c>
      <c r="N1524" t="s">
        <v>4378</v>
      </c>
    </row>
    <row r="1525" spans="1:14">
      <c r="A1525">
        <v>5344</v>
      </c>
      <c r="B1525" t="s">
        <v>1271</v>
      </c>
      <c r="C1525">
        <v>13.7</v>
      </c>
      <c r="D1525">
        <v>13.65</v>
      </c>
      <c r="E1525" s="178">
        <v>-0.25</v>
      </c>
      <c r="F1525" s="176">
        <v>-1.8</v>
      </c>
      <c r="G1525" t="s">
        <v>6629</v>
      </c>
      <c r="H1525">
        <v>44</v>
      </c>
      <c r="I1525">
        <v>91</v>
      </c>
      <c r="J1525">
        <v>7.94</v>
      </c>
      <c r="K1525">
        <v>13.7</v>
      </c>
      <c r="L1525">
        <v>13.55</v>
      </c>
      <c r="M1525" s="175">
        <v>0.06</v>
      </c>
      <c r="N1525" t="s">
        <v>4379</v>
      </c>
    </row>
    <row r="1526" spans="1:14">
      <c r="A1526">
        <v>5345</v>
      </c>
      <c r="B1526" t="s">
        <v>2859</v>
      </c>
      <c r="C1526">
        <v>20.100000000000001</v>
      </c>
      <c r="D1526">
        <v>20.149999999999999</v>
      </c>
      <c r="E1526" s="178">
        <v>-1</v>
      </c>
      <c r="F1526" s="176">
        <v>-4.7300000000000004</v>
      </c>
      <c r="G1526" t="s">
        <v>6630</v>
      </c>
      <c r="H1526">
        <v>3</v>
      </c>
      <c r="I1526">
        <v>12</v>
      </c>
      <c r="J1526">
        <v>3.78</v>
      </c>
      <c r="K1526">
        <v>20.149999999999999</v>
      </c>
      <c r="L1526">
        <v>20.05</v>
      </c>
      <c r="M1526" s="175">
        <v>0.01</v>
      </c>
      <c r="N1526" t="s">
        <v>4380</v>
      </c>
    </row>
    <row r="1527" spans="1:14">
      <c r="A1527">
        <v>5347</v>
      </c>
      <c r="B1527" t="s">
        <v>264</v>
      </c>
      <c r="C1527">
        <v>169</v>
      </c>
      <c r="D1527">
        <v>161.5</v>
      </c>
      <c r="E1527" s="178">
        <v>-14.5</v>
      </c>
      <c r="F1527" s="176">
        <v>-8.24</v>
      </c>
      <c r="G1527" t="s">
        <v>6631</v>
      </c>
      <c r="H1527">
        <v>19076</v>
      </c>
      <c r="I1527">
        <v>14373</v>
      </c>
      <c r="J1527">
        <v>187.85</v>
      </c>
      <c r="K1527">
        <v>169.5</v>
      </c>
      <c r="L1527">
        <v>160.5</v>
      </c>
      <c r="M1527" s="175">
        <v>1.02</v>
      </c>
      <c r="N1527" t="s">
        <v>4381</v>
      </c>
    </row>
    <row r="1528" spans="1:14">
      <c r="A1528">
        <v>5348</v>
      </c>
      <c r="B1528" t="s">
        <v>2637</v>
      </c>
      <c r="C1528">
        <v>17.600000000000001</v>
      </c>
      <c r="D1528">
        <v>17.399999999999999</v>
      </c>
      <c r="E1528" s="178">
        <v>0.25</v>
      </c>
      <c r="F1528" s="176">
        <v>1.46</v>
      </c>
      <c r="G1528" t="s">
        <v>6632</v>
      </c>
      <c r="H1528">
        <v>4</v>
      </c>
      <c r="I1528">
        <v>17</v>
      </c>
      <c r="J1528">
        <v>1.48</v>
      </c>
      <c r="K1528">
        <v>17.7</v>
      </c>
      <c r="L1528">
        <v>17.350000000000001</v>
      </c>
      <c r="M1528" s="175">
        <v>0.03</v>
      </c>
      <c r="N1528" t="s">
        <v>4382</v>
      </c>
    </row>
    <row r="1529" spans="1:14">
      <c r="A1529">
        <v>5351</v>
      </c>
      <c r="B1529" t="s">
        <v>1272</v>
      </c>
      <c r="C1529">
        <v>105.5</v>
      </c>
      <c r="D1529">
        <v>102</v>
      </c>
      <c r="E1529" s="178">
        <v>-8</v>
      </c>
      <c r="F1529" s="176">
        <v>-7.27</v>
      </c>
      <c r="G1529" t="s">
        <v>5448</v>
      </c>
      <c r="H1529">
        <v>10647</v>
      </c>
      <c r="I1529">
        <v>9441</v>
      </c>
      <c r="J1529">
        <v>32.9</v>
      </c>
      <c r="K1529">
        <v>105.5</v>
      </c>
      <c r="L1529">
        <v>101</v>
      </c>
      <c r="M1529" s="175">
        <v>3.24</v>
      </c>
      <c r="N1529" t="s">
        <v>3829</v>
      </c>
    </row>
    <row r="1530" spans="1:14">
      <c r="A1530">
        <v>5353</v>
      </c>
      <c r="B1530" t="s">
        <v>1273</v>
      </c>
      <c r="C1530">
        <v>28.4</v>
      </c>
      <c r="D1530">
        <v>27.4</v>
      </c>
      <c r="E1530" s="178">
        <v>-1.3</v>
      </c>
      <c r="F1530" s="176">
        <v>-4.53</v>
      </c>
      <c r="G1530" t="s">
        <v>6633</v>
      </c>
      <c r="H1530">
        <v>417</v>
      </c>
      <c r="I1530">
        <v>40</v>
      </c>
      <c r="J1530">
        <v>7.65</v>
      </c>
      <c r="K1530">
        <v>28.4</v>
      </c>
      <c r="L1530">
        <v>27.1</v>
      </c>
      <c r="M1530" s="175">
        <v>0.55000000000000004</v>
      </c>
      <c r="N1530" t="s">
        <v>4383</v>
      </c>
    </row>
    <row r="1531" spans="1:14">
      <c r="A1531">
        <v>5355</v>
      </c>
      <c r="B1531" t="s">
        <v>1274</v>
      </c>
      <c r="C1531">
        <v>7.22</v>
      </c>
      <c r="D1531">
        <v>6.76</v>
      </c>
      <c r="E1531" s="178">
        <v>-0.69</v>
      </c>
      <c r="F1531" s="176">
        <v>-9.26</v>
      </c>
      <c r="G1531" t="s">
        <v>6634</v>
      </c>
      <c r="H1531">
        <v>138</v>
      </c>
      <c r="I1531">
        <v>124</v>
      </c>
      <c r="J1531">
        <v>16.61</v>
      </c>
      <c r="K1531">
        <v>7.4</v>
      </c>
      <c r="L1531">
        <v>6.73</v>
      </c>
      <c r="M1531" s="175">
        <v>0.08</v>
      </c>
      <c r="N1531" t="s">
        <v>4384</v>
      </c>
    </row>
    <row r="1532" spans="1:14">
      <c r="A1532">
        <v>5356</v>
      </c>
      <c r="B1532" t="s">
        <v>1275</v>
      </c>
      <c r="C1532">
        <v>25.85</v>
      </c>
      <c r="D1532">
        <v>25.55</v>
      </c>
      <c r="E1532" s="178">
        <v>-0.3</v>
      </c>
      <c r="F1532" s="176">
        <v>-1.1599999999999999</v>
      </c>
      <c r="G1532" t="s">
        <v>5395</v>
      </c>
      <c r="H1532">
        <v>57</v>
      </c>
      <c r="I1532">
        <v>97</v>
      </c>
      <c r="J1532">
        <v>10.3</v>
      </c>
      <c r="K1532">
        <v>25.85</v>
      </c>
      <c r="L1532">
        <v>25.55</v>
      </c>
      <c r="M1532" s="175">
        <v>0.06</v>
      </c>
      <c r="N1532" t="s">
        <v>4385</v>
      </c>
    </row>
    <row r="1533" spans="1:14">
      <c r="A1533">
        <v>5364</v>
      </c>
      <c r="B1533" t="s">
        <v>1276</v>
      </c>
      <c r="C1533">
        <v>8.35</v>
      </c>
      <c r="D1533">
        <v>8.32</v>
      </c>
      <c r="E1533" s="178">
        <v>-0.02</v>
      </c>
      <c r="F1533" s="176">
        <v>-0.24</v>
      </c>
      <c r="G1533" t="s">
        <v>6635</v>
      </c>
      <c r="H1533">
        <v>5</v>
      </c>
      <c r="I1533">
        <v>27</v>
      </c>
      <c r="J1533">
        <v>6.38</v>
      </c>
      <c r="K1533">
        <v>8.35</v>
      </c>
      <c r="L1533">
        <v>8.32</v>
      </c>
      <c r="M1533" s="175">
        <v>0.01</v>
      </c>
      <c r="N1533" t="s">
        <v>4386</v>
      </c>
    </row>
    <row r="1534" spans="1:14">
      <c r="A1534">
        <v>5381</v>
      </c>
      <c r="B1534" t="s">
        <v>3103</v>
      </c>
      <c r="C1534">
        <v>21.85</v>
      </c>
      <c r="D1534">
        <v>21</v>
      </c>
      <c r="E1534" s="178">
        <v>-0.95</v>
      </c>
      <c r="F1534" s="176">
        <v>-4.33</v>
      </c>
      <c r="G1534" t="s">
        <v>6636</v>
      </c>
      <c r="H1534">
        <v>506</v>
      </c>
      <c r="I1534">
        <v>721</v>
      </c>
      <c r="J1534">
        <v>20.77</v>
      </c>
      <c r="K1534">
        <v>21.85</v>
      </c>
      <c r="L1534">
        <v>21</v>
      </c>
      <c r="M1534" s="175">
        <v>0.24</v>
      </c>
      <c r="N1534" t="s">
        <v>4387</v>
      </c>
    </row>
    <row r="1535" spans="1:14">
      <c r="A1535">
        <v>5386</v>
      </c>
      <c r="B1535" t="s">
        <v>1277</v>
      </c>
      <c r="C1535">
        <v>255.5</v>
      </c>
      <c r="D1535">
        <v>248</v>
      </c>
      <c r="E1535" s="178">
        <v>-17</v>
      </c>
      <c r="F1535" s="176">
        <v>-6.42</v>
      </c>
      <c r="G1535" t="s">
        <v>5582</v>
      </c>
      <c r="H1535">
        <v>753</v>
      </c>
      <c r="I1535">
        <v>748</v>
      </c>
      <c r="J1535">
        <v>5.41</v>
      </c>
      <c r="K1535">
        <v>256</v>
      </c>
      <c r="L1535">
        <v>244</v>
      </c>
      <c r="M1535" s="175">
        <v>1.39</v>
      </c>
      <c r="N1535" t="s">
        <v>4388</v>
      </c>
    </row>
    <row r="1536" spans="1:14">
      <c r="A1536">
        <v>5388</v>
      </c>
      <c r="B1536" t="s">
        <v>1278</v>
      </c>
      <c r="C1536">
        <v>74.400000000000006</v>
      </c>
      <c r="D1536">
        <v>74.8</v>
      </c>
      <c r="E1536" s="178">
        <v>-0.4</v>
      </c>
      <c r="F1536" s="176">
        <v>-0.53</v>
      </c>
      <c r="G1536" t="s">
        <v>5506</v>
      </c>
      <c r="H1536">
        <v>2063</v>
      </c>
      <c r="I1536">
        <v>2538</v>
      </c>
      <c r="J1536">
        <v>30.43</v>
      </c>
      <c r="K1536">
        <v>75.2</v>
      </c>
      <c r="L1536">
        <v>74</v>
      </c>
      <c r="M1536" s="175">
        <v>0.68</v>
      </c>
      <c r="N1536" t="s">
        <v>4389</v>
      </c>
    </row>
    <row r="1537" spans="1:14">
      <c r="A1537">
        <v>5392</v>
      </c>
      <c r="B1537" t="s">
        <v>1572</v>
      </c>
      <c r="C1537">
        <v>38.5</v>
      </c>
      <c r="D1537">
        <v>37</v>
      </c>
      <c r="E1537" s="178">
        <v>-1.3</v>
      </c>
      <c r="F1537" s="176">
        <v>-3.39</v>
      </c>
      <c r="G1537" t="s">
        <v>6637</v>
      </c>
      <c r="H1537">
        <v>1269</v>
      </c>
      <c r="I1537">
        <v>759</v>
      </c>
      <c r="J1537">
        <v>18.010000000000002</v>
      </c>
      <c r="K1537">
        <v>38.65</v>
      </c>
      <c r="L1537">
        <v>36.9</v>
      </c>
      <c r="M1537" s="175">
        <v>0.7</v>
      </c>
      <c r="N1537" t="s">
        <v>4390</v>
      </c>
    </row>
    <row r="1538" spans="1:14">
      <c r="A1538">
        <v>5398</v>
      </c>
      <c r="B1538" t="s">
        <v>1279</v>
      </c>
      <c r="C1538">
        <v>15.95</v>
      </c>
      <c r="D1538">
        <v>15.25</v>
      </c>
      <c r="E1538" s="178">
        <v>-0.25</v>
      </c>
      <c r="F1538" s="176">
        <v>-1.61</v>
      </c>
      <c r="G1538" t="s">
        <v>5168</v>
      </c>
      <c r="H1538">
        <v>70</v>
      </c>
      <c r="I1538">
        <v>362</v>
      </c>
      <c r="J1538">
        <v>4.95</v>
      </c>
      <c r="K1538">
        <v>15.95</v>
      </c>
      <c r="L1538">
        <v>15.2</v>
      </c>
      <c r="M1538" s="175">
        <v>0.14000000000000001</v>
      </c>
      <c r="N1538" t="s">
        <v>4391</v>
      </c>
    </row>
    <row r="1539" spans="1:14">
      <c r="A1539">
        <v>5403</v>
      </c>
      <c r="B1539" t="s">
        <v>1280</v>
      </c>
      <c r="C1539">
        <v>91.8</v>
      </c>
      <c r="D1539">
        <v>91.3</v>
      </c>
      <c r="E1539" s="178">
        <v>-0.6</v>
      </c>
      <c r="F1539" s="176">
        <v>-0.65</v>
      </c>
      <c r="G1539" t="s">
        <v>6638</v>
      </c>
      <c r="H1539">
        <v>53</v>
      </c>
      <c r="I1539">
        <v>35</v>
      </c>
      <c r="J1539">
        <v>7.81</v>
      </c>
      <c r="K1539">
        <v>92</v>
      </c>
      <c r="L1539">
        <v>91.3</v>
      </c>
      <c r="M1539" s="175">
        <v>7.0000000000000007E-2</v>
      </c>
      <c r="N1539" t="s">
        <v>4392</v>
      </c>
    </row>
    <row r="1540" spans="1:14">
      <c r="A1540">
        <v>5410</v>
      </c>
      <c r="B1540" t="s">
        <v>1281</v>
      </c>
      <c r="C1540">
        <v>32.9</v>
      </c>
      <c r="D1540">
        <v>32.65</v>
      </c>
      <c r="E1540" s="178">
        <v>-0.4</v>
      </c>
      <c r="F1540" s="176">
        <v>-1.21</v>
      </c>
      <c r="G1540" t="s">
        <v>6639</v>
      </c>
      <c r="H1540">
        <v>692</v>
      </c>
      <c r="I1540">
        <v>129</v>
      </c>
      <c r="J1540">
        <v>9.44</v>
      </c>
      <c r="K1540">
        <v>32.950000000000003</v>
      </c>
      <c r="L1540">
        <v>32.450000000000003</v>
      </c>
      <c r="M1540" s="175">
        <v>0.74</v>
      </c>
      <c r="N1540" t="s">
        <v>4393</v>
      </c>
    </row>
    <row r="1541" spans="1:14">
      <c r="A1541">
        <v>5425</v>
      </c>
      <c r="B1541" t="s">
        <v>1282</v>
      </c>
      <c r="C1541">
        <v>93.8</v>
      </c>
      <c r="D1541">
        <v>92.5</v>
      </c>
      <c r="E1541" s="178">
        <v>-4.7</v>
      </c>
      <c r="F1541" s="176">
        <v>-4.84</v>
      </c>
      <c r="G1541" t="s">
        <v>6318</v>
      </c>
      <c r="H1541">
        <v>6064</v>
      </c>
      <c r="I1541">
        <v>9001</v>
      </c>
      <c r="J1541">
        <v>26.35</v>
      </c>
      <c r="K1541">
        <v>96</v>
      </c>
      <c r="L1541">
        <v>92.5</v>
      </c>
      <c r="M1541" s="175">
        <v>2.2999999999999998</v>
      </c>
      <c r="N1541" t="s">
        <v>4394</v>
      </c>
    </row>
    <row r="1542" spans="1:14">
      <c r="A1542">
        <v>5426</v>
      </c>
      <c r="B1542" t="s">
        <v>1283</v>
      </c>
      <c r="C1542">
        <v>27.8</v>
      </c>
      <c r="D1542">
        <v>27.35</v>
      </c>
      <c r="E1542" s="178">
        <v>-1.25</v>
      </c>
      <c r="F1542" s="176">
        <v>-4.37</v>
      </c>
      <c r="G1542" t="s">
        <v>6012</v>
      </c>
      <c r="H1542">
        <v>441</v>
      </c>
      <c r="I1542">
        <v>901</v>
      </c>
      <c r="J1542">
        <v>14.38</v>
      </c>
      <c r="K1542">
        <v>28.25</v>
      </c>
      <c r="L1542">
        <v>27.35</v>
      </c>
      <c r="M1542" s="175">
        <v>0.31</v>
      </c>
      <c r="N1542" t="s">
        <v>4395</v>
      </c>
    </row>
    <row r="1543" spans="1:14">
      <c r="A1543">
        <v>5432</v>
      </c>
      <c r="B1543" t="s">
        <v>1573</v>
      </c>
      <c r="C1543">
        <v>195</v>
      </c>
      <c r="D1543">
        <v>196</v>
      </c>
      <c r="E1543" s="178">
        <v>-3.5</v>
      </c>
      <c r="F1543" s="176">
        <v>-1.75</v>
      </c>
      <c r="G1543" t="s">
        <v>6640</v>
      </c>
      <c r="H1543">
        <v>361</v>
      </c>
      <c r="I1543">
        <v>741</v>
      </c>
      <c r="J1543">
        <v>2.0699999999999998</v>
      </c>
      <c r="K1543">
        <v>202.5</v>
      </c>
      <c r="L1543">
        <v>191.5</v>
      </c>
      <c r="M1543" s="175">
        <v>1.74</v>
      </c>
      <c r="N1543" t="s">
        <v>4396</v>
      </c>
    </row>
    <row r="1544" spans="1:14">
      <c r="A1544">
        <v>5434</v>
      </c>
      <c r="B1544" t="s">
        <v>1284</v>
      </c>
      <c r="C1544">
        <v>583</v>
      </c>
      <c r="D1544">
        <v>576</v>
      </c>
      <c r="E1544" s="178">
        <v>-20</v>
      </c>
      <c r="F1544" s="176">
        <v>-3.36</v>
      </c>
      <c r="G1544" t="s">
        <v>6641</v>
      </c>
      <c r="H1544">
        <v>707</v>
      </c>
      <c r="I1544">
        <v>543</v>
      </c>
      <c r="J1544">
        <v>19.399999999999999</v>
      </c>
      <c r="K1544">
        <v>588</v>
      </c>
      <c r="L1544">
        <v>571</v>
      </c>
      <c r="M1544" s="175">
        <v>0.36</v>
      </c>
      <c r="N1544" t="s">
        <v>4397</v>
      </c>
    </row>
    <row r="1545" spans="1:14">
      <c r="A1545">
        <v>5438</v>
      </c>
      <c r="B1545" t="s">
        <v>1285</v>
      </c>
      <c r="C1545">
        <v>17</v>
      </c>
      <c r="D1545">
        <v>16.7</v>
      </c>
      <c r="E1545" s="178">
        <v>-0.5</v>
      </c>
      <c r="F1545" s="176">
        <v>-2.91</v>
      </c>
      <c r="G1545" t="s">
        <v>5245</v>
      </c>
      <c r="H1545">
        <v>95</v>
      </c>
      <c r="I1545">
        <v>56</v>
      </c>
      <c r="J1545">
        <v>11.25</v>
      </c>
      <c r="K1545">
        <v>17.05</v>
      </c>
      <c r="L1545">
        <v>16.7</v>
      </c>
      <c r="M1545" s="175">
        <v>0.08</v>
      </c>
      <c r="N1545" t="s">
        <v>4398</v>
      </c>
    </row>
    <row r="1546" spans="1:14">
      <c r="A1546">
        <v>5439</v>
      </c>
      <c r="B1546" t="s">
        <v>1286</v>
      </c>
      <c r="C1546">
        <v>237.5</v>
      </c>
      <c r="D1546">
        <v>232.5</v>
      </c>
      <c r="E1546" s="178">
        <v>-12</v>
      </c>
      <c r="F1546" s="176">
        <v>-4.91</v>
      </c>
      <c r="G1546" t="s">
        <v>5347</v>
      </c>
      <c r="H1546">
        <v>1261</v>
      </c>
      <c r="I1546">
        <v>1993</v>
      </c>
      <c r="J1546">
        <v>9.3000000000000007</v>
      </c>
      <c r="K1546">
        <v>237.5</v>
      </c>
      <c r="L1546">
        <v>231</v>
      </c>
      <c r="M1546" s="175">
        <v>1.36</v>
      </c>
      <c r="N1546" t="s">
        <v>4399</v>
      </c>
    </row>
    <row r="1547" spans="1:14">
      <c r="A1547">
        <v>5443</v>
      </c>
      <c r="B1547" t="s">
        <v>1287</v>
      </c>
      <c r="C1547">
        <v>107.5</v>
      </c>
      <c r="D1547">
        <v>104.5</v>
      </c>
      <c r="E1547" s="178">
        <v>-7</v>
      </c>
      <c r="F1547" s="176">
        <v>-6.28</v>
      </c>
      <c r="G1547" t="s">
        <v>6332</v>
      </c>
      <c r="H1547">
        <v>1834</v>
      </c>
      <c r="I1547">
        <v>1707</v>
      </c>
      <c r="J1547">
        <v>16.47</v>
      </c>
      <c r="K1547">
        <v>108</v>
      </c>
      <c r="L1547">
        <v>104</v>
      </c>
      <c r="M1547" s="175">
        <v>1.1100000000000001</v>
      </c>
      <c r="N1547" t="s">
        <v>4400</v>
      </c>
    </row>
    <row r="1548" spans="1:14">
      <c r="A1548">
        <v>5450</v>
      </c>
      <c r="B1548" t="s">
        <v>1288</v>
      </c>
      <c r="C1548">
        <v>14.9</v>
      </c>
      <c r="D1548">
        <v>14.95</v>
      </c>
      <c r="E1548" s="178">
        <v>-0.05</v>
      </c>
      <c r="F1548" s="176">
        <v>-0.33</v>
      </c>
      <c r="G1548" t="s">
        <v>5480</v>
      </c>
      <c r="H1548">
        <v>122</v>
      </c>
      <c r="I1548">
        <v>216</v>
      </c>
      <c r="J1548">
        <v>12.24</v>
      </c>
      <c r="K1548">
        <v>14.95</v>
      </c>
      <c r="L1548">
        <v>14.65</v>
      </c>
      <c r="M1548" s="175">
        <v>0.1</v>
      </c>
      <c r="N1548" t="s">
        <v>4401</v>
      </c>
    </row>
    <row r="1549" spans="1:14">
      <c r="A1549">
        <v>5452</v>
      </c>
      <c r="B1549" t="s">
        <v>1289</v>
      </c>
      <c r="C1549">
        <v>29</v>
      </c>
      <c r="D1549">
        <v>28.15</v>
      </c>
      <c r="E1549" s="178">
        <v>-1.3</v>
      </c>
      <c r="F1549" s="176">
        <v>-4.41</v>
      </c>
      <c r="G1549" t="s">
        <v>6642</v>
      </c>
      <c r="H1549">
        <v>617</v>
      </c>
      <c r="I1549">
        <v>1416</v>
      </c>
      <c r="J1549">
        <v>14.88</v>
      </c>
      <c r="K1549">
        <v>29</v>
      </c>
      <c r="L1549">
        <v>28</v>
      </c>
      <c r="M1549" s="175">
        <v>0.41</v>
      </c>
      <c r="N1549" t="s">
        <v>4402</v>
      </c>
    </row>
    <row r="1550" spans="1:14">
      <c r="A1550">
        <v>5455</v>
      </c>
      <c r="B1550" t="s">
        <v>1290</v>
      </c>
      <c r="C1550">
        <v>31.5</v>
      </c>
      <c r="D1550">
        <v>30</v>
      </c>
      <c r="E1550" s="178">
        <v>-1.25</v>
      </c>
      <c r="F1550" s="176">
        <v>-4</v>
      </c>
      <c r="G1550" t="s">
        <v>5387</v>
      </c>
      <c r="H1550">
        <v>191</v>
      </c>
      <c r="I1550">
        <v>29</v>
      </c>
      <c r="J1550">
        <v>6.55</v>
      </c>
      <c r="K1550">
        <v>32.25</v>
      </c>
      <c r="L1550">
        <v>30</v>
      </c>
      <c r="M1550" s="175">
        <v>0.28999999999999998</v>
      </c>
      <c r="N1550" t="s">
        <v>4403</v>
      </c>
    </row>
    <row r="1551" spans="1:14">
      <c r="A1551">
        <v>5457</v>
      </c>
      <c r="B1551" t="s">
        <v>1291</v>
      </c>
      <c r="C1551">
        <v>23.2</v>
      </c>
      <c r="D1551">
        <v>22.85</v>
      </c>
      <c r="E1551" s="178">
        <v>-0.65</v>
      </c>
      <c r="F1551" s="176">
        <v>-2.77</v>
      </c>
      <c r="G1551" t="s">
        <v>6643</v>
      </c>
      <c r="H1551">
        <v>544</v>
      </c>
      <c r="I1551">
        <v>827</v>
      </c>
      <c r="J1551">
        <v>19.63</v>
      </c>
      <c r="K1551">
        <v>23.45</v>
      </c>
      <c r="L1551">
        <v>22.7</v>
      </c>
      <c r="M1551" s="175">
        <v>0.28000000000000003</v>
      </c>
      <c r="N1551" t="s">
        <v>4404</v>
      </c>
    </row>
    <row r="1552" spans="1:14">
      <c r="A1552">
        <v>5460</v>
      </c>
      <c r="B1552" t="s">
        <v>1292</v>
      </c>
      <c r="C1552">
        <v>22</v>
      </c>
      <c r="D1552">
        <v>20.6</v>
      </c>
      <c r="E1552" s="178">
        <v>-2.0499999999999998</v>
      </c>
      <c r="F1552" s="176">
        <v>-9.0500000000000007</v>
      </c>
      <c r="G1552" t="s">
        <v>6644</v>
      </c>
      <c r="H1552">
        <v>1378</v>
      </c>
      <c r="I1552">
        <v>2591</v>
      </c>
      <c r="J1552">
        <v>5.88</v>
      </c>
      <c r="K1552">
        <v>22.45</v>
      </c>
      <c r="L1552">
        <v>20.6</v>
      </c>
      <c r="M1552" s="175">
        <v>2.34</v>
      </c>
      <c r="N1552" t="s">
        <v>4405</v>
      </c>
    </row>
    <row r="1553" spans="1:14">
      <c r="A1553">
        <v>5464</v>
      </c>
      <c r="B1553" t="s">
        <v>1293</v>
      </c>
      <c r="C1553">
        <v>75.3</v>
      </c>
      <c r="D1553">
        <v>73.8</v>
      </c>
      <c r="E1553" s="178">
        <v>-5.8</v>
      </c>
      <c r="F1553" s="176">
        <v>-7.29</v>
      </c>
      <c r="G1553" t="s">
        <v>6645</v>
      </c>
      <c r="H1553">
        <v>499</v>
      </c>
      <c r="I1553">
        <v>648</v>
      </c>
      <c r="J1553">
        <v>7.72</v>
      </c>
      <c r="K1553">
        <v>77.8</v>
      </c>
      <c r="L1553">
        <v>73.599999999999994</v>
      </c>
      <c r="M1553" s="175">
        <v>0.66</v>
      </c>
      <c r="N1553" t="s">
        <v>4406</v>
      </c>
    </row>
    <row r="1554" spans="1:14">
      <c r="A1554">
        <v>5465</v>
      </c>
      <c r="B1554" t="s">
        <v>1612</v>
      </c>
      <c r="C1554">
        <v>36.950000000000003</v>
      </c>
      <c r="D1554">
        <v>35.65</v>
      </c>
      <c r="E1554" s="178">
        <v>-1.3</v>
      </c>
      <c r="F1554" s="176">
        <v>-3.52</v>
      </c>
      <c r="G1554" t="s">
        <v>6646</v>
      </c>
      <c r="H1554">
        <v>1020</v>
      </c>
      <c r="I1554">
        <v>1437</v>
      </c>
      <c r="J1554">
        <v>14.77</v>
      </c>
      <c r="K1554">
        <v>36.950000000000003</v>
      </c>
      <c r="L1554">
        <v>35.549999999999997</v>
      </c>
      <c r="M1554" s="175">
        <v>0.69</v>
      </c>
      <c r="N1554" t="s">
        <v>4407</v>
      </c>
    </row>
    <row r="1555" spans="1:14">
      <c r="A1555">
        <v>5468</v>
      </c>
      <c r="B1555" t="s">
        <v>1294</v>
      </c>
      <c r="C1555">
        <v>22.35</v>
      </c>
      <c r="D1555">
        <v>21.8</v>
      </c>
      <c r="E1555" s="178">
        <v>-0.55000000000000004</v>
      </c>
      <c r="F1555" s="176">
        <v>-2.46</v>
      </c>
      <c r="G1555" t="s">
        <v>5696</v>
      </c>
      <c r="H1555">
        <v>123</v>
      </c>
      <c r="I1555">
        <v>122</v>
      </c>
      <c r="J1555">
        <v>5.89</v>
      </c>
      <c r="K1555">
        <v>22.35</v>
      </c>
      <c r="L1555">
        <v>21.35</v>
      </c>
      <c r="M1555" s="175">
        <v>0.21</v>
      </c>
      <c r="N1555" t="s">
        <v>4408</v>
      </c>
    </row>
    <row r="1556" spans="1:14">
      <c r="A1556">
        <v>5469</v>
      </c>
      <c r="B1556" t="s">
        <v>2644</v>
      </c>
      <c r="C1556">
        <v>81</v>
      </c>
      <c r="D1556">
        <v>81.7</v>
      </c>
      <c r="E1556" s="178">
        <v>-1.2</v>
      </c>
      <c r="F1556" s="176">
        <v>-1.45</v>
      </c>
      <c r="G1556" t="s">
        <v>5288</v>
      </c>
      <c r="H1556">
        <v>1725</v>
      </c>
      <c r="I1556">
        <v>2806</v>
      </c>
      <c r="J1556">
        <v>48.62</v>
      </c>
      <c r="K1556">
        <v>82.4</v>
      </c>
      <c r="L1556">
        <v>80.5</v>
      </c>
      <c r="M1556" s="175">
        <v>0.35</v>
      </c>
      <c r="N1556" t="s">
        <v>4409</v>
      </c>
    </row>
    <row r="1557" spans="1:14">
      <c r="A1557">
        <v>5471</v>
      </c>
      <c r="B1557" t="s">
        <v>1295</v>
      </c>
      <c r="C1557">
        <v>49.5</v>
      </c>
      <c r="D1557">
        <v>49</v>
      </c>
      <c r="E1557" s="178">
        <v>-1.5</v>
      </c>
      <c r="F1557" s="176">
        <v>-2.97</v>
      </c>
      <c r="G1557" t="s">
        <v>6647</v>
      </c>
      <c r="H1557">
        <v>1004</v>
      </c>
      <c r="I1557">
        <v>657</v>
      </c>
      <c r="J1557">
        <v>16.79</v>
      </c>
      <c r="K1557">
        <v>49.75</v>
      </c>
      <c r="L1557">
        <v>48.75</v>
      </c>
      <c r="M1557" s="175">
        <v>0.6</v>
      </c>
      <c r="N1557" t="s">
        <v>4410</v>
      </c>
    </row>
    <row r="1558" spans="1:14">
      <c r="A1558">
        <v>5474</v>
      </c>
      <c r="B1558" t="s">
        <v>1296</v>
      </c>
      <c r="C1558">
        <v>152.5</v>
      </c>
      <c r="D1558">
        <v>149</v>
      </c>
      <c r="E1558" s="178">
        <v>-6.5</v>
      </c>
      <c r="F1558" s="176">
        <v>-4.18</v>
      </c>
      <c r="G1558" t="s">
        <v>6648</v>
      </c>
      <c r="H1558">
        <v>162</v>
      </c>
      <c r="I1558">
        <v>101</v>
      </c>
      <c r="J1558">
        <v>3.98</v>
      </c>
      <c r="K1558">
        <v>153.5</v>
      </c>
      <c r="L1558">
        <v>148</v>
      </c>
      <c r="M1558" s="175">
        <v>0.41</v>
      </c>
      <c r="N1558" t="s">
        <v>4411</v>
      </c>
    </row>
    <row r="1559" spans="1:14">
      <c r="A1559">
        <v>5475</v>
      </c>
      <c r="B1559" t="s">
        <v>1297</v>
      </c>
      <c r="C1559">
        <v>195</v>
      </c>
      <c r="D1559">
        <v>193</v>
      </c>
      <c r="E1559" s="178">
        <v>-17</v>
      </c>
      <c r="F1559" s="176">
        <v>-8.1</v>
      </c>
      <c r="G1559" t="s">
        <v>5580</v>
      </c>
      <c r="H1559">
        <v>2324</v>
      </c>
      <c r="I1559">
        <v>7588</v>
      </c>
      <c r="J1559">
        <v>12.71</v>
      </c>
      <c r="K1559">
        <v>202</v>
      </c>
      <c r="L1559">
        <v>189</v>
      </c>
      <c r="M1559" s="175">
        <v>1.83</v>
      </c>
      <c r="N1559" t="s">
        <v>4412</v>
      </c>
    </row>
    <row r="1560" spans="1:14">
      <c r="A1560">
        <v>5478</v>
      </c>
      <c r="B1560" t="s">
        <v>1298</v>
      </c>
      <c r="C1560">
        <v>98.3</v>
      </c>
      <c r="D1560">
        <v>98</v>
      </c>
      <c r="E1560" s="178">
        <v>-0.3</v>
      </c>
      <c r="F1560" s="176">
        <v>-0.31</v>
      </c>
      <c r="G1560" t="s">
        <v>5588</v>
      </c>
      <c r="H1560">
        <v>99</v>
      </c>
      <c r="I1560">
        <v>56</v>
      </c>
      <c r="J1560">
        <v>15.61</v>
      </c>
      <c r="K1560">
        <v>99.1</v>
      </c>
      <c r="L1560">
        <v>97.8</v>
      </c>
      <c r="M1560" s="175">
        <v>0.06</v>
      </c>
      <c r="N1560" t="s">
        <v>4413</v>
      </c>
    </row>
    <row r="1561" spans="1:14">
      <c r="A1561">
        <v>5481</v>
      </c>
      <c r="B1561" t="s">
        <v>2900</v>
      </c>
      <c r="C1561">
        <v>20.25</v>
      </c>
      <c r="D1561">
        <v>20.65</v>
      </c>
      <c r="E1561" s="178">
        <v>-0.15</v>
      </c>
      <c r="F1561" s="176">
        <v>-0.72</v>
      </c>
      <c r="G1561" t="s">
        <v>5162</v>
      </c>
      <c r="H1561">
        <v>83</v>
      </c>
      <c r="I1561">
        <v>228</v>
      </c>
      <c r="J1561">
        <v>7.14</v>
      </c>
      <c r="K1561">
        <v>20.8</v>
      </c>
      <c r="L1561">
        <v>20.25</v>
      </c>
      <c r="M1561" s="175">
        <v>0.12</v>
      </c>
      <c r="N1561" t="s">
        <v>4414</v>
      </c>
    </row>
    <row r="1562" spans="1:14">
      <c r="A1562">
        <v>5483</v>
      </c>
      <c r="B1562" t="s">
        <v>1574</v>
      </c>
      <c r="C1562">
        <v>199.5</v>
      </c>
      <c r="D1562">
        <v>195.5</v>
      </c>
      <c r="E1562" s="178">
        <v>-13</v>
      </c>
      <c r="F1562" s="176">
        <v>-6.24</v>
      </c>
      <c r="G1562" t="s">
        <v>6649</v>
      </c>
      <c r="H1562">
        <v>10506</v>
      </c>
      <c r="I1562">
        <v>16780</v>
      </c>
      <c r="J1562">
        <v>64.12</v>
      </c>
      <c r="K1562">
        <v>201.5</v>
      </c>
      <c r="L1562">
        <v>195</v>
      </c>
      <c r="M1562" s="175">
        <v>1.64</v>
      </c>
      <c r="N1562" t="s">
        <v>4415</v>
      </c>
    </row>
    <row r="1563" spans="1:14">
      <c r="A1563">
        <v>5484</v>
      </c>
      <c r="B1563" t="s">
        <v>1299</v>
      </c>
      <c r="C1563">
        <v>37.4</v>
      </c>
      <c r="D1563">
        <v>36.799999999999997</v>
      </c>
      <c r="E1563" s="178">
        <v>-0.6</v>
      </c>
      <c r="F1563" s="176">
        <v>-1.6</v>
      </c>
      <c r="G1563" t="s">
        <v>6650</v>
      </c>
      <c r="H1563">
        <v>175</v>
      </c>
      <c r="I1563">
        <v>165</v>
      </c>
      <c r="J1563">
        <v>6.68</v>
      </c>
      <c r="K1563">
        <v>37.4</v>
      </c>
      <c r="L1563">
        <v>36.549999999999997</v>
      </c>
      <c r="M1563" s="175">
        <v>0.26</v>
      </c>
      <c r="N1563" t="s">
        <v>4416</v>
      </c>
    </row>
    <row r="1564" spans="1:14">
      <c r="A1564">
        <v>5487</v>
      </c>
      <c r="B1564" t="s">
        <v>1300</v>
      </c>
      <c r="C1564">
        <v>29.25</v>
      </c>
      <c r="D1564">
        <v>29.85</v>
      </c>
      <c r="E1564" s="178">
        <v>0.6</v>
      </c>
      <c r="F1564" s="176">
        <v>2.0499999999999998</v>
      </c>
      <c r="G1564" t="s">
        <v>6651</v>
      </c>
      <c r="H1564">
        <v>188</v>
      </c>
      <c r="I1564">
        <v>101</v>
      </c>
      <c r="J1564">
        <v>2.42</v>
      </c>
      <c r="K1564">
        <v>29.85</v>
      </c>
      <c r="L1564">
        <v>28.7</v>
      </c>
      <c r="M1564" s="175">
        <v>0.78</v>
      </c>
      <c r="N1564" t="s">
        <v>4417</v>
      </c>
    </row>
    <row r="1565" spans="1:14">
      <c r="A1565">
        <v>5488</v>
      </c>
      <c r="B1565" t="s">
        <v>1301</v>
      </c>
      <c r="C1565">
        <v>11.55</v>
      </c>
      <c r="D1565">
        <v>11.6</v>
      </c>
      <c r="E1565" s="178">
        <v>-0.3</v>
      </c>
      <c r="F1565" s="176">
        <v>-2.52</v>
      </c>
      <c r="G1565" t="s">
        <v>6567</v>
      </c>
      <c r="H1565">
        <v>413</v>
      </c>
      <c r="I1565">
        <v>270</v>
      </c>
      <c r="J1565">
        <v>9.16</v>
      </c>
      <c r="K1565">
        <v>11.8</v>
      </c>
      <c r="L1565">
        <v>11.5</v>
      </c>
      <c r="M1565" s="175">
        <v>0.45</v>
      </c>
      <c r="N1565" t="s">
        <v>4418</v>
      </c>
    </row>
    <row r="1566" spans="1:14">
      <c r="A1566">
        <v>5489</v>
      </c>
      <c r="B1566" t="s">
        <v>1302</v>
      </c>
      <c r="C1566">
        <v>40.6</v>
      </c>
      <c r="D1566">
        <v>40.299999999999997</v>
      </c>
      <c r="E1566" s="178">
        <v>-1.05</v>
      </c>
      <c r="F1566" s="176">
        <v>-2.54</v>
      </c>
      <c r="G1566" t="s">
        <v>5241</v>
      </c>
      <c r="H1566">
        <v>32</v>
      </c>
      <c r="I1566">
        <v>25</v>
      </c>
      <c r="J1566">
        <v>10.27</v>
      </c>
      <c r="K1566">
        <v>41</v>
      </c>
      <c r="L1566">
        <v>40.299999999999997</v>
      </c>
      <c r="M1566" s="175">
        <v>0.03</v>
      </c>
      <c r="N1566" t="s">
        <v>4419</v>
      </c>
    </row>
    <row r="1567" spans="1:14">
      <c r="A1567">
        <v>5490</v>
      </c>
      <c r="B1567" t="s">
        <v>2898</v>
      </c>
      <c r="C1567">
        <v>25.05</v>
      </c>
      <c r="D1567">
        <v>25</v>
      </c>
      <c r="E1567" s="178">
        <v>-0.2</v>
      </c>
      <c r="F1567" s="176">
        <v>-0.79</v>
      </c>
      <c r="G1567" t="s">
        <v>6652</v>
      </c>
      <c r="H1567">
        <v>277</v>
      </c>
      <c r="I1567">
        <v>151</v>
      </c>
      <c r="J1567">
        <v>9.6199999999999992</v>
      </c>
      <c r="K1567">
        <v>25.1</v>
      </c>
      <c r="L1567">
        <v>24.9</v>
      </c>
      <c r="M1567" s="175">
        <v>0.28999999999999998</v>
      </c>
      <c r="N1567" t="s">
        <v>4420</v>
      </c>
    </row>
    <row r="1568" spans="1:14">
      <c r="A1568">
        <v>5493</v>
      </c>
      <c r="B1568" t="s">
        <v>1303</v>
      </c>
      <c r="C1568">
        <v>88</v>
      </c>
      <c r="D1568">
        <v>88</v>
      </c>
      <c r="E1568" s="178">
        <v>-2.5</v>
      </c>
      <c r="F1568" s="176">
        <v>-2.76</v>
      </c>
      <c r="G1568" t="s">
        <v>5707</v>
      </c>
      <c r="H1568">
        <v>101</v>
      </c>
      <c r="I1568">
        <v>73</v>
      </c>
      <c r="J1568">
        <v>4.37</v>
      </c>
      <c r="K1568">
        <v>89.1</v>
      </c>
      <c r="L1568">
        <v>87.3</v>
      </c>
      <c r="M1568" s="175">
        <v>0.23</v>
      </c>
      <c r="N1568" t="s">
        <v>4421</v>
      </c>
    </row>
    <row r="1569" spans="1:14">
      <c r="A1569">
        <v>5498</v>
      </c>
      <c r="B1569" t="s">
        <v>1304</v>
      </c>
      <c r="C1569">
        <v>53</v>
      </c>
      <c r="D1569">
        <v>54.4</v>
      </c>
      <c r="E1569" s="178">
        <v>-0.7</v>
      </c>
      <c r="F1569" s="176">
        <v>-1.27</v>
      </c>
      <c r="G1569" t="s">
        <v>6328</v>
      </c>
      <c r="H1569">
        <v>3830</v>
      </c>
      <c r="I1569">
        <v>2034</v>
      </c>
      <c r="J1569">
        <v>19.350000000000001</v>
      </c>
      <c r="K1569">
        <v>55.3</v>
      </c>
      <c r="L1569">
        <v>51.5</v>
      </c>
      <c r="M1569" s="175">
        <v>1.98</v>
      </c>
      <c r="N1569" t="s">
        <v>4422</v>
      </c>
    </row>
    <row r="1570" spans="1:14">
      <c r="A1570">
        <v>5508</v>
      </c>
      <c r="B1570" t="s">
        <v>1305</v>
      </c>
      <c r="C1570">
        <v>53.5</v>
      </c>
      <c r="D1570">
        <v>53.1</v>
      </c>
      <c r="E1570" s="178">
        <v>-0.5</v>
      </c>
      <c r="F1570" s="176">
        <v>-0.93</v>
      </c>
      <c r="G1570" t="s">
        <v>6653</v>
      </c>
      <c r="H1570">
        <v>299</v>
      </c>
      <c r="I1570">
        <v>166</v>
      </c>
      <c r="J1570">
        <v>21.74</v>
      </c>
      <c r="K1570">
        <v>53.8</v>
      </c>
      <c r="L1570">
        <v>53</v>
      </c>
      <c r="M1570" s="175">
        <v>0.14000000000000001</v>
      </c>
      <c r="N1570" t="s">
        <v>4423</v>
      </c>
    </row>
    <row r="1571" spans="1:14">
      <c r="A1571">
        <v>5511</v>
      </c>
      <c r="B1571" t="s">
        <v>1306</v>
      </c>
      <c r="C1571">
        <v>69.7</v>
      </c>
      <c r="D1571">
        <v>69.7</v>
      </c>
      <c r="E1571" s="178">
        <v>-0.5</v>
      </c>
      <c r="F1571" s="176">
        <v>-0.71</v>
      </c>
      <c r="G1571" t="s">
        <v>6654</v>
      </c>
      <c r="H1571">
        <v>161</v>
      </c>
      <c r="I1571">
        <v>117</v>
      </c>
      <c r="J1571">
        <v>13.6</v>
      </c>
      <c r="K1571">
        <v>70</v>
      </c>
      <c r="L1571">
        <v>69.599999999999994</v>
      </c>
      <c r="M1571" s="175">
        <v>0.12</v>
      </c>
      <c r="N1571" t="s">
        <v>4424</v>
      </c>
    </row>
    <row r="1572" spans="1:14">
      <c r="A1572">
        <v>5512</v>
      </c>
      <c r="B1572" t="s">
        <v>1307</v>
      </c>
      <c r="C1572">
        <v>7.6</v>
      </c>
      <c r="D1572">
        <v>7.58</v>
      </c>
      <c r="E1572" s="178">
        <v>0</v>
      </c>
      <c r="F1572" s="176">
        <v>0</v>
      </c>
      <c r="G1572" t="s">
        <v>5248</v>
      </c>
      <c r="H1572">
        <v>702</v>
      </c>
      <c r="I1572">
        <v>414</v>
      </c>
      <c r="J1572">
        <v>76.63</v>
      </c>
      <c r="K1572">
        <v>7.62</v>
      </c>
      <c r="L1572">
        <v>7.57</v>
      </c>
      <c r="M1572" s="175">
        <v>0.09</v>
      </c>
      <c r="N1572" t="s">
        <v>4425</v>
      </c>
    </row>
    <row r="1573" spans="1:14">
      <c r="A1573">
        <v>5514</v>
      </c>
      <c r="B1573" t="s">
        <v>1308</v>
      </c>
      <c r="C1573">
        <v>14.55</v>
      </c>
      <c r="D1573">
        <v>14.85</v>
      </c>
      <c r="E1573" s="178">
        <v>0.05</v>
      </c>
      <c r="F1573" s="176">
        <v>0.34</v>
      </c>
      <c r="G1573" t="s">
        <v>5538</v>
      </c>
      <c r="H1573">
        <v>13</v>
      </c>
      <c r="I1573">
        <v>23</v>
      </c>
      <c r="J1573">
        <v>23.61</v>
      </c>
      <c r="K1573">
        <v>14.85</v>
      </c>
      <c r="L1573">
        <v>14.55</v>
      </c>
      <c r="M1573" s="175">
        <v>0.01</v>
      </c>
      <c r="N1573" t="s">
        <v>4426</v>
      </c>
    </row>
    <row r="1574" spans="1:14">
      <c r="A1574">
        <v>5515</v>
      </c>
      <c r="B1574" t="s">
        <v>2668</v>
      </c>
      <c r="C1574">
        <v>52.2</v>
      </c>
      <c r="D1574">
        <v>51.9</v>
      </c>
      <c r="E1574" s="178">
        <v>-0.2</v>
      </c>
      <c r="F1574" s="176">
        <v>-0.38</v>
      </c>
      <c r="G1574" t="s">
        <v>6655</v>
      </c>
      <c r="H1574">
        <v>894</v>
      </c>
      <c r="I1574">
        <v>329</v>
      </c>
      <c r="J1574">
        <v>20.16</v>
      </c>
      <c r="K1574">
        <v>52.7</v>
      </c>
      <c r="L1574">
        <v>51.4</v>
      </c>
      <c r="M1574" s="175">
        <v>0.44</v>
      </c>
      <c r="N1574" t="s">
        <v>4427</v>
      </c>
    </row>
    <row r="1575" spans="1:14">
      <c r="A1575">
        <v>5516</v>
      </c>
      <c r="B1575" t="s">
        <v>1309</v>
      </c>
      <c r="C1575">
        <v>12.45</v>
      </c>
      <c r="D1575">
        <v>12.7</v>
      </c>
      <c r="E1575" s="178">
        <v>0</v>
      </c>
      <c r="F1575" s="176">
        <v>0</v>
      </c>
      <c r="G1575" t="s">
        <v>6015</v>
      </c>
      <c r="H1575">
        <v>31</v>
      </c>
      <c r="I1575">
        <v>26</v>
      </c>
      <c r="J1575">
        <v>5.15</v>
      </c>
      <c r="K1575">
        <v>12.7</v>
      </c>
      <c r="L1575">
        <v>12.4</v>
      </c>
      <c r="M1575" s="175">
        <v>0.06</v>
      </c>
      <c r="N1575" t="s">
        <v>4428</v>
      </c>
    </row>
    <row r="1576" spans="1:14">
      <c r="A1576">
        <v>5519</v>
      </c>
      <c r="B1576" t="s">
        <v>1310</v>
      </c>
      <c r="C1576">
        <v>24.5</v>
      </c>
      <c r="D1576">
        <v>24.35</v>
      </c>
      <c r="E1576" s="178">
        <v>-0.25</v>
      </c>
      <c r="F1576" s="176">
        <v>-1.02</v>
      </c>
      <c r="G1576" t="s">
        <v>5365</v>
      </c>
      <c r="H1576">
        <v>305</v>
      </c>
      <c r="I1576">
        <v>191</v>
      </c>
      <c r="J1576">
        <v>23.02</v>
      </c>
      <c r="K1576">
        <v>24.55</v>
      </c>
      <c r="L1576">
        <v>24.3</v>
      </c>
      <c r="M1576" s="175">
        <v>0.13</v>
      </c>
      <c r="N1576" t="s">
        <v>4429</v>
      </c>
    </row>
    <row r="1577" spans="1:14">
      <c r="A1577">
        <v>5520</v>
      </c>
      <c r="B1577" t="s">
        <v>1311</v>
      </c>
      <c r="C1577" t="s">
        <v>1555</v>
      </c>
      <c r="D1577" t="s">
        <v>1555</v>
      </c>
      <c r="E1577" s="178" t="s">
        <v>1555</v>
      </c>
      <c r="F1577" s="176" t="s">
        <v>1555</v>
      </c>
      <c r="G1577" t="s">
        <v>1555</v>
      </c>
      <c r="H1577">
        <v>0</v>
      </c>
      <c r="I1577">
        <v>1</v>
      </c>
      <c r="J1577">
        <v>6</v>
      </c>
      <c r="K1577" t="s">
        <v>1555</v>
      </c>
      <c r="L1577" t="s">
        <v>1555</v>
      </c>
      <c r="M1577" s="175">
        <v>0</v>
      </c>
      <c r="N1577" t="s">
        <v>4430</v>
      </c>
    </row>
    <row r="1578" spans="1:14">
      <c r="A1578">
        <v>5521</v>
      </c>
      <c r="B1578" t="s">
        <v>1312</v>
      </c>
      <c r="C1578">
        <v>11.3</v>
      </c>
      <c r="D1578">
        <v>11.5</v>
      </c>
      <c r="E1578" s="178">
        <v>0.15</v>
      </c>
      <c r="F1578" s="176">
        <v>1.32</v>
      </c>
      <c r="G1578" t="s">
        <v>6656</v>
      </c>
      <c r="H1578">
        <v>3206</v>
      </c>
      <c r="I1578">
        <v>2290</v>
      </c>
      <c r="J1578">
        <v>49.23</v>
      </c>
      <c r="K1578">
        <v>11.5</v>
      </c>
      <c r="L1578">
        <v>11.25</v>
      </c>
      <c r="M1578" s="175">
        <v>0.65</v>
      </c>
      <c r="N1578" t="s">
        <v>4431</v>
      </c>
    </row>
    <row r="1579" spans="1:14">
      <c r="A1579">
        <v>5522</v>
      </c>
      <c r="B1579" t="s">
        <v>1313</v>
      </c>
      <c r="C1579">
        <v>62</v>
      </c>
      <c r="D1579">
        <v>61.5</v>
      </c>
      <c r="E1579" s="178">
        <v>-0.1</v>
      </c>
      <c r="F1579" s="176">
        <v>-0.16</v>
      </c>
      <c r="G1579" t="s">
        <v>6657</v>
      </c>
      <c r="H1579">
        <v>642</v>
      </c>
      <c r="I1579">
        <v>510</v>
      </c>
      <c r="J1579">
        <v>78.16</v>
      </c>
      <c r="K1579">
        <v>62.2</v>
      </c>
      <c r="L1579">
        <v>61.5</v>
      </c>
      <c r="M1579" s="175">
        <v>0.08</v>
      </c>
      <c r="N1579" t="s">
        <v>4432</v>
      </c>
    </row>
    <row r="1580" spans="1:14">
      <c r="A1580">
        <v>5523</v>
      </c>
      <c r="B1580" t="s">
        <v>1314</v>
      </c>
      <c r="C1580" t="s">
        <v>1555</v>
      </c>
      <c r="D1580" t="s">
        <v>1555</v>
      </c>
      <c r="E1580" s="178" t="s">
        <v>1555</v>
      </c>
      <c r="F1580" s="176" t="s">
        <v>1555</v>
      </c>
      <c r="G1580" t="s">
        <v>1555</v>
      </c>
      <c r="H1580">
        <v>0</v>
      </c>
      <c r="I1580">
        <v>7</v>
      </c>
      <c r="J1580">
        <v>15.5</v>
      </c>
      <c r="K1580" t="s">
        <v>1555</v>
      </c>
      <c r="L1580" t="s">
        <v>1555</v>
      </c>
      <c r="M1580" s="175">
        <v>0</v>
      </c>
      <c r="N1580" t="s">
        <v>4433</v>
      </c>
    </row>
    <row r="1581" spans="1:14">
      <c r="A1581">
        <v>5525</v>
      </c>
      <c r="B1581" t="s">
        <v>1315</v>
      </c>
      <c r="C1581">
        <v>21.9</v>
      </c>
      <c r="D1581">
        <v>21.85</v>
      </c>
      <c r="E1581" s="178">
        <v>-0.1</v>
      </c>
      <c r="F1581" s="176">
        <v>-0.46</v>
      </c>
      <c r="G1581" t="s">
        <v>5241</v>
      </c>
      <c r="H1581">
        <v>59</v>
      </c>
      <c r="I1581">
        <v>48</v>
      </c>
      <c r="J1581">
        <v>31.81</v>
      </c>
      <c r="K1581">
        <v>22</v>
      </c>
      <c r="L1581">
        <v>21.7</v>
      </c>
      <c r="M1581" s="175">
        <v>0.02</v>
      </c>
      <c r="N1581" t="s">
        <v>4434</v>
      </c>
    </row>
    <row r="1582" spans="1:14">
      <c r="A1582">
        <v>5529</v>
      </c>
      <c r="B1582" t="s">
        <v>1575</v>
      </c>
      <c r="C1582">
        <v>24.3</v>
      </c>
      <c r="D1582">
        <v>23.7</v>
      </c>
      <c r="E1582" s="178">
        <v>-0.9</v>
      </c>
      <c r="F1582" s="176">
        <v>-3.66</v>
      </c>
      <c r="G1582" t="s">
        <v>5428</v>
      </c>
      <c r="H1582">
        <v>121</v>
      </c>
      <c r="I1582">
        <v>337</v>
      </c>
      <c r="J1582">
        <v>10.58</v>
      </c>
      <c r="K1582">
        <v>24.35</v>
      </c>
      <c r="L1582">
        <v>23.7</v>
      </c>
      <c r="M1582" s="175">
        <v>0.11</v>
      </c>
      <c r="N1582" t="s">
        <v>4435</v>
      </c>
    </row>
    <row r="1583" spans="1:14">
      <c r="A1583">
        <v>5530</v>
      </c>
      <c r="B1583" t="s">
        <v>1316</v>
      </c>
      <c r="C1583">
        <v>48.05</v>
      </c>
      <c r="D1583">
        <v>48</v>
      </c>
      <c r="E1583" s="178">
        <v>-0.5</v>
      </c>
      <c r="F1583" s="176">
        <v>-1.03</v>
      </c>
      <c r="G1583" t="s">
        <v>6658</v>
      </c>
      <c r="H1583">
        <v>235</v>
      </c>
      <c r="I1583">
        <v>194</v>
      </c>
      <c r="J1583">
        <v>42.01</v>
      </c>
      <c r="K1583">
        <v>48.25</v>
      </c>
      <c r="L1583">
        <v>47.85</v>
      </c>
      <c r="M1583" s="175">
        <v>0.06</v>
      </c>
      <c r="N1583" t="s">
        <v>4436</v>
      </c>
    </row>
    <row r="1584" spans="1:14">
      <c r="A1584">
        <v>5531</v>
      </c>
      <c r="B1584" t="s">
        <v>1317</v>
      </c>
      <c r="C1584">
        <v>6.7</v>
      </c>
      <c r="D1584">
        <v>6.74</v>
      </c>
      <c r="E1584" s="178">
        <v>-0.02</v>
      </c>
      <c r="F1584" s="176">
        <v>-0.3</v>
      </c>
      <c r="G1584" t="s">
        <v>6659</v>
      </c>
      <c r="H1584">
        <v>566</v>
      </c>
      <c r="I1584">
        <v>585</v>
      </c>
      <c r="J1584">
        <v>97.76</v>
      </c>
      <c r="K1584">
        <v>6.74</v>
      </c>
      <c r="L1584">
        <v>6.68</v>
      </c>
      <c r="M1584" s="175">
        <v>0.06</v>
      </c>
      <c r="N1584" t="s">
        <v>4437</v>
      </c>
    </row>
    <row r="1585" spans="1:14">
      <c r="A1585">
        <v>5533</v>
      </c>
      <c r="B1585" t="s">
        <v>1318</v>
      </c>
      <c r="C1585">
        <v>13.95</v>
      </c>
      <c r="D1585">
        <v>13.85</v>
      </c>
      <c r="E1585" s="178">
        <v>-0.1</v>
      </c>
      <c r="F1585" s="176">
        <v>-0.72</v>
      </c>
      <c r="G1585" t="s">
        <v>6660</v>
      </c>
      <c r="H1585">
        <v>306</v>
      </c>
      <c r="I1585">
        <v>70</v>
      </c>
      <c r="J1585">
        <v>28.52</v>
      </c>
      <c r="K1585">
        <v>13.95</v>
      </c>
      <c r="L1585">
        <v>13.8</v>
      </c>
      <c r="M1585" s="175">
        <v>0.11</v>
      </c>
      <c r="N1585" t="s">
        <v>4438</v>
      </c>
    </row>
    <row r="1586" spans="1:14">
      <c r="A1586">
        <v>5534</v>
      </c>
      <c r="B1586" t="s">
        <v>1319</v>
      </c>
      <c r="C1586">
        <v>70.099999999999994</v>
      </c>
      <c r="D1586">
        <v>70.8</v>
      </c>
      <c r="E1586" s="178">
        <v>0.5</v>
      </c>
      <c r="F1586" s="176">
        <v>0.71</v>
      </c>
      <c r="G1586" t="s">
        <v>6661</v>
      </c>
      <c r="H1586">
        <v>718</v>
      </c>
      <c r="I1586">
        <v>758</v>
      </c>
      <c r="J1586">
        <v>31.53</v>
      </c>
      <c r="K1586">
        <v>70.900000000000006</v>
      </c>
      <c r="L1586">
        <v>70</v>
      </c>
      <c r="M1586" s="175">
        <v>0.23</v>
      </c>
      <c r="N1586" t="s">
        <v>4439</v>
      </c>
    </row>
    <row r="1587" spans="1:14">
      <c r="A1587">
        <v>5536</v>
      </c>
      <c r="B1587" t="s">
        <v>1658</v>
      </c>
      <c r="C1587">
        <v>876</v>
      </c>
      <c r="D1587">
        <v>870</v>
      </c>
      <c r="E1587" s="178">
        <v>-38</v>
      </c>
      <c r="F1587" s="176">
        <v>-4.1900000000000004</v>
      </c>
      <c r="G1587" t="s">
        <v>5702</v>
      </c>
      <c r="H1587">
        <v>579</v>
      </c>
      <c r="I1587">
        <v>2175</v>
      </c>
      <c r="J1587">
        <v>6.2</v>
      </c>
      <c r="K1587">
        <v>887</v>
      </c>
      <c r="L1587">
        <v>860</v>
      </c>
      <c r="M1587" s="175">
        <v>0.47</v>
      </c>
      <c r="N1587" t="s">
        <v>4440</v>
      </c>
    </row>
    <row r="1588" spans="1:14">
      <c r="A1588">
        <v>5538</v>
      </c>
      <c r="B1588" t="s">
        <v>1320</v>
      </c>
      <c r="C1588">
        <v>36.15</v>
      </c>
      <c r="D1588">
        <v>36.4</v>
      </c>
      <c r="E1588" s="178">
        <v>-0.05</v>
      </c>
      <c r="F1588" s="176">
        <v>-0.14000000000000001</v>
      </c>
      <c r="G1588" t="s">
        <v>6149</v>
      </c>
      <c r="H1588">
        <v>73</v>
      </c>
      <c r="I1588">
        <v>105</v>
      </c>
      <c r="J1588">
        <v>20.12</v>
      </c>
      <c r="K1588">
        <v>37.299999999999997</v>
      </c>
      <c r="L1588">
        <v>36</v>
      </c>
      <c r="M1588" s="175">
        <v>0.04</v>
      </c>
      <c r="N1588" t="s">
        <v>4441</v>
      </c>
    </row>
    <row r="1589" spans="1:14">
      <c r="A1589">
        <v>5543</v>
      </c>
      <c r="B1589" t="s">
        <v>1321</v>
      </c>
      <c r="C1589">
        <v>26.25</v>
      </c>
      <c r="D1589">
        <v>26.5</v>
      </c>
      <c r="E1589" s="178">
        <v>0.25</v>
      </c>
      <c r="F1589" s="176">
        <v>0.95</v>
      </c>
      <c r="G1589" t="s">
        <v>5533</v>
      </c>
      <c r="H1589">
        <v>9</v>
      </c>
      <c r="I1589">
        <v>10</v>
      </c>
      <c r="J1589">
        <v>4.67</v>
      </c>
      <c r="K1589">
        <v>26.5</v>
      </c>
      <c r="L1589">
        <v>25.65</v>
      </c>
      <c r="M1589" s="175">
        <v>0.02</v>
      </c>
      <c r="N1589" t="s">
        <v>4442</v>
      </c>
    </row>
    <row r="1590" spans="1:14">
      <c r="A1590">
        <v>5546</v>
      </c>
      <c r="B1590" t="s">
        <v>1322</v>
      </c>
      <c r="C1590">
        <v>13.5</v>
      </c>
      <c r="D1590">
        <v>13.3</v>
      </c>
      <c r="E1590" s="178">
        <v>-0.2</v>
      </c>
      <c r="F1590" s="176">
        <v>-1.48</v>
      </c>
      <c r="G1590" t="s">
        <v>6662</v>
      </c>
      <c r="H1590">
        <v>50</v>
      </c>
      <c r="I1590">
        <v>38</v>
      </c>
      <c r="J1590">
        <v>8.24</v>
      </c>
      <c r="K1590">
        <v>13.5</v>
      </c>
      <c r="L1590">
        <v>12.8</v>
      </c>
      <c r="M1590" s="175">
        <v>0.06</v>
      </c>
      <c r="N1590" t="s">
        <v>4443</v>
      </c>
    </row>
    <row r="1591" spans="1:14">
      <c r="A1591">
        <v>5547</v>
      </c>
      <c r="B1591" t="s">
        <v>3065</v>
      </c>
      <c r="C1591">
        <v>20.25</v>
      </c>
      <c r="D1591">
        <v>20.149999999999999</v>
      </c>
      <c r="E1591" s="178">
        <v>-0.15</v>
      </c>
      <c r="F1591" s="176">
        <v>-0.74</v>
      </c>
      <c r="G1591" t="s">
        <v>6663</v>
      </c>
      <c r="H1591">
        <v>303</v>
      </c>
      <c r="I1591">
        <v>48</v>
      </c>
      <c r="J1591">
        <v>5.0999999999999996</v>
      </c>
      <c r="K1591">
        <v>20.25</v>
      </c>
      <c r="L1591">
        <v>20.100000000000001</v>
      </c>
      <c r="M1591" s="175">
        <v>0.59</v>
      </c>
      <c r="N1591" t="s">
        <v>4444</v>
      </c>
    </row>
    <row r="1592" spans="1:14">
      <c r="A1592">
        <v>5548</v>
      </c>
      <c r="B1592" t="s">
        <v>2340</v>
      </c>
      <c r="C1592">
        <v>20</v>
      </c>
      <c r="D1592">
        <v>19.95</v>
      </c>
      <c r="E1592" s="178">
        <v>-0.15</v>
      </c>
      <c r="F1592" s="176">
        <v>-0.75</v>
      </c>
      <c r="G1592" t="s">
        <v>6664</v>
      </c>
      <c r="H1592">
        <v>36</v>
      </c>
      <c r="I1592">
        <v>11</v>
      </c>
      <c r="J1592">
        <v>6.23</v>
      </c>
      <c r="K1592">
        <v>20</v>
      </c>
      <c r="L1592">
        <v>19.899999999999999</v>
      </c>
      <c r="M1592" s="175">
        <v>0.06</v>
      </c>
      <c r="N1592" t="s">
        <v>4445</v>
      </c>
    </row>
    <row r="1593" spans="1:14">
      <c r="A1593">
        <v>5601</v>
      </c>
      <c r="B1593" t="s">
        <v>1323</v>
      </c>
      <c r="C1593">
        <v>32.299999999999997</v>
      </c>
      <c r="D1593">
        <v>32.9</v>
      </c>
      <c r="E1593" s="178">
        <v>0.8</v>
      </c>
      <c r="F1593" s="176">
        <v>2.4900000000000002</v>
      </c>
      <c r="G1593" t="s">
        <v>5357</v>
      </c>
      <c r="H1593">
        <v>6</v>
      </c>
      <c r="I1593">
        <v>8</v>
      </c>
      <c r="J1593">
        <v>6.48</v>
      </c>
      <c r="K1593">
        <v>32.9</v>
      </c>
      <c r="L1593">
        <v>32.299999999999997</v>
      </c>
      <c r="M1593" s="175">
        <v>0.01</v>
      </c>
      <c r="N1593" t="s">
        <v>4446</v>
      </c>
    </row>
    <row r="1594" spans="1:14">
      <c r="A1594">
        <v>5603</v>
      </c>
      <c r="B1594" t="s">
        <v>1324</v>
      </c>
      <c r="C1594">
        <v>14</v>
      </c>
      <c r="D1594">
        <v>14.2</v>
      </c>
      <c r="E1594" s="178">
        <v>0.15</v>
      </c>
      <c r="F1594" s="176">
        <v>1.07</v>
      </c>
      <c r="G1594" t="s">
        <v>6665</v>
      </c>
      <c r="H1594">
        <v>66</v>
      </c>
      <c r="I1594">
        <v>104</v>
      </c>
      <c r="J1594">
        <v>10.49</v>
      </c>
      <c r="K1594">
        <v>14.25</v>
      </c>
      <c r="L1594">
        <v>13.95</v>
      </c>
      <c r="M1594" s="175">
        <v>0.06</v>
      </c>
      <c r="N1594" t="s">
        <v>4447</v>
      </c>
    </row>
    <row r="1595" spans="1:14">
      <c r="A1595">
        <v>5604</v>
      </c>
      <c r="B1595" t="s">
        <v>1613</v>
      </c>
      <c r="C1595">
        <v>31.55</v>
      </c>
      <c r="D1595">
        <v>31.45</v>
      </c>
      <c r="E1595" s="178">
        <v>0</v>
      </c>
      <c r="F1595" s="176">
        <v>0</v>
      </c>
      <c r="G1595" t="s">
        <v>6666</v>
      </c>
      <c r="H1595">
        <v>18</v>
      </c>
      <c r="I1595">
        <v>13</v>
      </c>
      <c r="J1595">
        <v>10.88</v>
      </c>
      <c r="K1595">
        <v>31.55</v>
      </c>
      <c r="L1595">
        <v>31.4</v>
      </c>
      <c r="M1595" s="175">
        <v>0.02</v>
      </c>
      <c r="N1595" t="s">
        <v>4448</v>
      </c>
    </row>
    <row r="1596" spans="1:14">
      <c r="A1596">
        <v>5607</v>
      </c>
      <c r="B1596" t="s">
        <v>117</v>
      </c>
      <c r="C1596">
        <v>52.6</v>
      </c>
      <c r="D1596">
        <v>53</v>
      </c>
      <c r="E1596" s="178">
        <v>-0.4</v>
      </c>
      <c r="F1596" s="176">
        <v>-0.75</v>
      </c>
      <c r="G1596" t="s">
        <v>5731</v>
      </c>
      <c r="H1596">
        <v>459</v>
      </c>
      <c r="I1596">
        <v>387</v>
      </c>
      <c r="J1596">
        <v>37.06</v>
      </c>
      <c r="K1596">
        <v>53.8</v>
      </c>
      <c r="L1596">
        <v>52.5</v>
      </c>
      <c r="M1596" s="175">
        <v>0.12</v>
      </c>
      <c r="N1596" t="s">
        <v>4449</v>
      </c>
    </row>
    <row r="1597" spans="1:14">
      <c r="A1597">
        <v>5608</v>
      </c>
      <c r="B1597" t="s">
        <v>1325</v>
      </c>
      <c r="C1597">
        <v>16.899999999999999</v>
      </c>
      <c r="D1597">
        <v>16.649999999999999</v>
      </c>
      <c r="E1597" s="178">
        <v>-0.35</v>
      </c>
      <c r="F1597" s="176">
        <v>-2.06</v>
      </c>
      <c r="G1597" t="s">
        <v>6667</v>
      </c>
      <c r="H1597">
        <v>2150</v>
      </c>
      <c r="I1597">
        <v>2423</v>
      </c>
      <c r="J1597">
        <v>38.93</v>
      </c>
      <c r="K1597">
        <v>17</v>
      </c>
      <c r="L1597">
        <v>16.649999999999999</v>
      </c>
      <c r="M1597" s="175">
        <v>0.55000000000000004</v>
      </c>
      <c r="N1597" t="s">
        <v>4450</v>
      </c>
    </row>
    <row r="1598" spans="1:14">
      <c r="A1598">
        <v>5609</v>
      </c>
      <c r="B1598" t="s">
        <v>1326</v>
      </c>
      <c r="C1598">
        <v>79.099999999999994</v>
      </c>
      <c r="D1598">
        <v>79</v>
      </c>
      <c r="E1598" s="178">
        <v>-0.5</v>
      </c>
      <c r="F1598" s="176">
        <v>-0.63</v>
      </c>
      <c r="G1598" t="s">
        <v>6668</v>
      </c>
      <c r="H1598">
        <v>168</v>
      </c>
      <c r="I1598">
        <v>188</v>
      </c>
      <c r="J1598">
        <v>14.29</v>
      </c>
      <c r="K1598">
        <v>79.3</v>
      </c>
      <c r="L1598">
        <v>78.900000000000006</v>
      </c>
      <c r="M1598" s="175">
        <v>0.12</v>
      </c>
      <c r="N1598" t="s">
        <v>4451</v>
      </c>
    </row>
    <row r="1599" spans="1:14">
      <c r="A1599">
        <v>5701</v>
      </c>
      <c r="B1599" t="s">
        <v>1327</v>
      </c>
      <c r="C1599">
        <v>4</v>
      </c>
      <c r="D1599">
        <v>4</v>
      </c>
      <c r="E1599" s="178">
        <v>-0.06</v>
      </c>
      <c r="F1599" s="176">
        <v>-1.48</v>
      </c>
      <c r="G1599" t="s">
        <v>6669</v>
      </c>
      <c r="H1599">
        <v>31</v>
      </c>
      <c r="I1599">
        <v>109</v>
      </c>
      <c r="J1599">
        <v>14.3</v>
      </c>
      <c r="K1599">
        <v>4</v>
      </c>
      <c r="L1599">
        <v>4</v>
      </c>
      <c r="M1599" s="175">
        <v>0.02</v>
      </c>
      <c r="N1599" t="s">
        <v>4452</v>
      </c>
    </row>
    <row r="1600" spans="1:14">
      <c r="A1600">
        <v>5703</v>
      </c>
      <c r="B1600" t="s">
        <v>1328</v>
      </c>
      <c r="C1600" t="s">
        <v>1555</v>
      </c>
      <c r="D1600" t="s">
        <v>1555</v>
      </c>
      <c r="E1600" s="178" t="s">
        <v>1555</v>
      </c>
      <c r="F1600" s="176" t="s">
        <v>1555</v>
      </c>
      <c r="G1600" t="s">
        <v>1555</v>
      </c>
      <c r="H1600">
        <v>0</v>
      </c>
      <c r="I1600">
        <v>0</v>
      </c>
      <c r="J1600">
        <v>7.02</v>
      </c>
      <c r="K1600" t="s">
        <v>1555</v>
      </c>
      <c r="L1600" t="s">
        <v>1555</v>
      </c>
      <c r="M1600" s="175">
        <v>0</v>
      </c>
      <c r="N1600" t="s">
        <v>4453</v>
      </c>
    </row>
    <row r="1601" spans="1:14">
      <c r="A1601">
        <v>5704</v>
      </c>
      <c r="B1601" t="s">
        <v>1329</v>
      </c>
      <c r="C1601">
        <v>22.3</v>
      </c>
      <c r="D1601">
        <v>22.15</v>
      </c>
      <c r="E1601" s="178">
        <v>-0.25</v>
      </c>
      <c r="F1601" s="176">
        <v>-1.1200000000000001</v>
      </c>
      <c r="G1601" t="s">
        <v>5743</v>
      </c>
      <c r="H1601">
        <v>16</v>
      </c>
      <c r="I1601">
        <v>53</v>
      </c>
      <c r="J1601">
        <v>5.89</v>
      </c>
      <c r="K1601">
        <v>22.6</v>
      </c>
      <c r="L1601">
        <v>22.15</v>
      </c>
      <c r="M1601" s="175">
        <v>0.03</v>
      </c>
      <c r="N1601" t="s">
        <v>4454</v>
      </c>
    </row>
    <row r="1602" spans="1:14">
      <c r="A1602">
        <v>5706</v>
      </c>
      <c r="B1602" t="s">
        <v>1330</v>
      </c>
      <c r="C1602">
        <v>44</v>
      </c>
      <c r="D1602">
        <v>43.8</v>
      </c>
      <c r="E1602" s="178">
        <v>-0.45</v>
      </c>
      <c r="F1602" s="176">
        <v>-1.02</v>
      </c>
      <c r="G1602" t="s">
        <v>6670</v>
      </c>
      <c r="H1602">
        <v>152</v>
      </c>
      <c r="I1602">
        <v>79</v>
      </c>
      <c r="J1602">
        <v>8.3800000000000008</v>
      </c>
      <c r="K1602">
        <v>44.3</v>
      </c>
      <c r="L1602">
        <v>43.7</v>
      </c>
      <c r="M1602" s="175">
        <v>0.18</v>
      </c>
      <c r="N1602" t="s">
        <v>4455</v>
      </c>
    </row>
    <row r="1603" spans="1:14">
      <c r="A1603">
        <v>5864</v>
      </c>
      <c r="B1603" t="s">
        <v>1331</v>
      </c>
      <c r="C1603">
        <v>39.5</v>
      </c>
      <c r="D1603">
        <v>38.799999999999997</v>
      </c>
      <c r="E1603" s="178">
        <v>-1.75</v>
      </c>
      <c r="F1603" s="176">
        <v>-4.32</v>
      </c>
      <c r="G1603" t="s">
        <v>5267</v>
      </c>
      <c r="H1603">
        <v>4658</v>
      </c>
      <c r="I1603">
        <v>2926</v>
      </c>
      <c r="J1603">
        <v>50.45</v>
      </c>
      <c r="K1603">
        <v>39.700000000000003</v>
      </c>
      <c r="L1603">
        <v>38.799999999999997</v>
      </c>
      <c r="M1603" s="175">
        <v>0.92</v>
      </c>
      <c r="N1603" t="s">
        <v>4456</v>
      </c>
    </row>
    <row r="1604" spans="1:14">
      <c r="A1604">
        <v>5871</v>
      </c>
      <c r="B1604" t="s">
        <v>1332</v>
      </c>
      <c r="C1604">
        <v>108</v>
      </c>
      <c r="D1604">
        <v>108.5</v>
      </c>
      <c r="E1604" s="178">
        <v>0</v>
      </c>
      <c r="F1604" s="176">
        <v>0</v>
      </c>
      <c r="G1604" t="s">
        <v>6043</v>
      </c>
      <c r="H1604">
        <v>15961</v>
      </c>
      <c r="I1604">
        <v>5292</v>
      </c>
      <c r="J1604">
        <v>174.56</v>
      </c>
      <c r="K1604">
        <v>110.5</v>
      </c>
      <c r="L1604">
        <v>107</v>
      </c>
      <c r="M1604" s="175">
        <v>0.91</v>
      </c>
      <c r="N1604" t="s">
        <v>4457</v>
      </c>
    </row>
    <row r="1605" spans="1:14">
      <c r="A1605">
        <v>5876</v>
      </c>
      <c r="B1605" t="s">
        <v>128</v>
      </c>
      <c r="C1605">
        <v>51.9</v>
      </c>
      <c r="D1605">
        <v>53.4</v>
      </c>
      <c r="E1605" s="178">
        <v>1.7</v>
      </c>
      <c r="F1605" s="176">
        <v>3.29</v>
      </c>
      <c r="G1605" t="s">
        <v>6671</v>
      </c>
      <c r="H1605">
        <v>13197</v>
      </c>
      <c r="I1605">
        <v>6497</v>
      </c>
      <c r="J1605">
        <v>491.02</v>
      </c>
      <c r="K1605">
        <v>53.5</v>
      </c>
      <c r="L1605">
        <v>51.5</v>
      </c>
      <c r="M1605" s="175">
        <v>0.27</v>
      </c>
      <c r="N1605" t="s">
        <v>4458</v>
      </c>
    </row>
    <row r="1606" spans="1:14">
      <c r="A1606">
        <v>5878</v>
      </c>
      <c r="B1606" t="s">
        <v>1333</v>
      </c>
      <c r="C1606">
        <v>37.1</v>
      </c>
      <c r="D1606">
        <v>37</v>
      </c>
      <c r="E1606" s="178">
        <v>-0.1</v>
      </c>
      <c r="F1606" s="176">
        <v>-0.27</v>
      </c>
      <c r="G1606" t="s">
        <v>6672</v>
      </c>
      <c r="H1606">
        <v>22</v>
      </c>
      <c r="I1606">
        <v>6</v>
      </c>
      <c r="J1606">
        <v>2.5</v>
      </c>
      <c r="K1606">
        <v>37.1</v>
      </c>
      <c r="L1606">
        <v>37</v>
      </c>
      <c r="M1606" s="175">
        <v>0.09</v>
      </c>
      <c r="N1606" t="s">
        <v>4459</v>
      </c>
    </row>
    <row r="1607" spans="1:14">
      <c r="A1607">
        <v>5880</v>
      </c>
      <c r="B1607" t="s">
        <v>1334</v>
      </c>
      <c r="C1607">
        <v>27.2</v>
      </c>
      <c r="D1607">
        <v>27.5</v>
      </c>
      <c r="E1607" s="178">
        <v>0.35</v>
      </c>
      <c r="F1607" s="176">
        <v>1.29</v>
      </c>
      <c r="G1607" t="s">
        <v>5263</v>
      </c>
      <c r="H1607">
        <v>39219</v>
      </c>
      <c r="I1607">
        <v>17427</v>
      </c>
      <c r="J1607">
        <v>1607.3</v>
      </c>
      <c r="K1607">
        <v>27.5</v>
      </c>
      <c r="L1607">
        <v>27</v>
      </c>
      <c r="M1607" s="175">
        <v>0.24</v>
      </c>
      <c r="N1607" t="s">
        <v>4460</v>
      </c>
    </row>
    <row r="1608" spans="1:14">
      <c r="A1608">
        <v>5902</v>
      </c>
      <c r="B1608" t="s">
        <v>1335</v>
      </c>
      <c r="C1608">
        <v>34.1</v>
      </c>
      <c r="D1608">
        <v>34.15</v>
      </c>
      <c r="E1608" s="178">
        <v>-0.25</v>
      </c>
      <c r="F1608" s="176">
        <v>-0.73</v>
      </c>
      <c r="G1608" t="s">
        <v>5429</v>
      </c>
      <c r="H1608">
        <v>55</v>
      </c>
      <c r="I1608">
        <v>80</v>
      </c>
      <c r="J1608">
        <v>9.4499999999999993</v>
      </c>
      <c r="K1608">
        <v>34.15</v>
      </c>
      <c r="L1608">
        <v>34.1</v>
      </c>
      <c r="M1608" s="175">
        <v>0.06</v>
      </c>
      <c r="N1608" t="s">
        <v>4461</v>
      </c>
    </row>
    <row r="1609" spans="1:14">
      <c r="A1609">
        <v>5903</v>
      </c>
      <c r="B1609" t="s">
        <v>1336</v>
      </c>
      <c r="C1609">
        <v>186</v>
      </c>
      <c r="D1609">
        <v>186</v>
      </c>
      <c r="E1609" s="178">
        <v>0</v>
      </c>
      <c r="F1609" s="176">
        <v>0</v>
      </c>
      <c r="G1609" t="s">
        <v>6673</v>
      </c>
      <c r="H1609">
        <v>27</v>
      </c>
      <c r="I1609">
        <v>13</v>
      </c>
      <c r="J1609">
        <v>22.32</v>
      </c>
      <c r="K1609">
        <v>186.5</v>
      </c>
      <c r="L1609">
        <v>185.5</v>
      </c>
      <c r="M1609" s="175">
        <v>0.01</v>
      </c>
      <c r="N1609" t="s">
        <v>4462</v>
      </c>
    </row>
    <row r="1610" spans="1:14">
      <c r="A1610">
        <v>5904</v>
      </c>
      <c r="B1610" t="s">
        <v>3249</v>
      </c>
      <c r="C1610">
        <v>71.3</v>
      </c>
      <c r="D1610">
        <v>73.099999999999994</v>
      </c>
      <c r="E1610" s="178">
        <v>1.5</v>
      </c>
      <c r="F1610" s="176">
        <v>2.09</v>
      </c>
      <c r="G1610" t="s">
        <v>6674</v>
      </c>
      <c r="H1610">
        <v>8681</v>
      </c>
      <c r="I1610">
        <v>4087</v>
      </c>
      <c r="J1610">
        <v>10.64</v>
      </c>
      <c r="K1610">
        <v>73.599999999999994</v>
      </c>
      <c r="L1610">
        <v>70.8</v>
      </c>
      <c r="M1610" s="175">
        <v>0.82</v>
      </c>
      <c r="N1610" t="s">
        <v>4463</v>
      </c>
    </row>
    <row r="1611" spans="1:14">
      <c r="A1611">
        <v>5905</v>
      </c>
      <c r="B1611" t="s">
        <v>1337</v>
      </c>
      <c r="C1611">
        <v>7.28</v>
      </c>
      <c r="D1611">
        <v>7.22</v>
      </c>
      <c r="E1611" s="178">
        <v>-0.08</v>
      </c>
      <c r="F1611" s="176">
        <v>-1.1000000000000001</v>
      </c>
      <c r="G1611" t="s">
        <v>6675</v>
      </c>
      <c r="H1611">
        <v>653</v>
      </c>
      <c r="I1611">
        <v>213</v>
      </c>
      <c r="J1611">
        <v>28.16</v>
      </c>
      <c r="K1611">
        <v>7.3</v>
      </c>
      <c r="L1611">
        <v>7.2</v>
      </c>
      <c r="M1611" s="175">
        <v>0.23</v>
      </c>
      <c r="N1611" t="s">
        <v>4464</v>
      </c>
    </row>
    <row r="1612" spans="1:14">
      <c r="A1612">
        <v>5906</v>
      </c>
      <c r="B1612" t="s">
        <v>1338</v>
      </c>
      <c r="C1612" t="s">
        <v>1555</v>
      </c>
      <c r="D1612" t="s">
        <v>1555</v>
      </c>
      <c r="E1612" s="178" t="s">
        <v>1555</v>
      </c>
      <c r="F1612" s="176" t="s">
        <v>1555</v>
      </c>
      <c r="G1612" t="s">
        <v>1555</v>
      </c>
      <c r="H1612">
        <v>0</v>
      </c>
      <c r="I1612">
        <v>1</v>
      </c>
      <c r="J1612">
        <v>3.75</v>
      </c>
      <c r="K1612" t="s">
        <v>1555</v>
      </c>
      <c r="L1612" t="s">
        <v>1555</v>
      </c>
      <c r="M1612" s="175">
        <v>0</v>
      </c>
      <c r="N1612" t="s">
        <v>4465</v>
      </c>
    </row>
    <row r="1613" spans="1:14">
      <c r="A1613">
        <v>5907</v>
      </c>
      <c r="B1613" t="s">
        <v>258</v>
      </c>
      <c r="C1613">
        <v>4.5</v>
      </c>
      <c r="D1613">
        <v>4.59</v>
      </c>
      <c r="E1613" s="178">
        <v>0</v>
      </c>
      <c r="F1613" s="176">
        <v>0</v>
      </c>
      <c r="G1613" t="s">
        <v>6676</v>
      </c>
      <c r="H1613">
        <v>211</v>
      </c>
      <c r="I1613">
        <v>219</v>
      </c>
      <c r="J1613">
        <v>19.55</v>
      </c>
      <c r="K1613">
        <v>4.6399999999999997</v>
      </c>
      <c r="L1613">
        <v>4.5</v>
      </c>
      <c r="M1613" s="175">
        <v>0.11</v>
      </c>
      <c r="N1613" t="s">
        <v>4466</v>
      </c>
    </row>
    <row r="1614" spans="1:14">
      <c r="A1614">
        <v>6005</v>
      </c>
      <c r="B1614" t="s">
        <v>1339</v>
      </c>
      <c r="C1614">
        <v>32.5</v>
      </c>
      <c r="D1614">
        <v>32.25</v>
      </c>
      <c r="E1614" s="178">
        <v>-0.7</v>
      </c>
      <c r="F1614" s="176">
        <v>-2.12</v>
      </c>
      <c r="G1614" t="s">
        <v>5582</v>
      </c>
      <c r="H1614">
        <v>5841</v>
      </c>
      <c r="I1614">
        <v>5709</v>
      </c>
      <c r="J1614">
        <v>245.53</v>
      </c>
      <c r="K1614">
        <v>32.5</v>
      </c>
      <c r="L1614">
        <v>32.15</v>
      </c>
      <c r="M1614" s="175">
        <v>0.24</v>
      </c>
      <c r="N1614" t="s">
        <v>4467</v>
      </c>
    </row>
    <row r="1615" spans="1:14">
      <c r="A1615">
        <v>6015</v>
      </c>
      <c r="B1615" t="s">
        <v>1340</v>
      </c>
      <c r="C1615">
        <v>18.2</v>
      </c>
      <c r="D1615">
        <v>17.899999999999999</v>
      </c>
      <c r="E1615" s="178">
        <v>-0.6</v>
      </c>
      <c r="F1615" s="176">
        <v>-3.24</v>
      </c>
      <c r="G1615" t="s">
        <v>6677</v>
      </c>
      <c r="H1615">
        <v>2951</v>
      </c>
      <c r="I1615">
        <v>2777</v>
      </c>
      <c r="J1615">
        <v>41.69</v>
      </c>
      <c r="K1615">
        <v>18.2</v>
      </c>
      <c r="L1615">
        <v>17.899999999999999</v>
      </c>
      <c r="M1615" s="175">
        <v>0.71</v>
      </c>
      <c r="N1615" t="s">
        <v>4468</v>
      </c>
    </row>
    <row r="1616" spans="1:14">
      <c r="A1616">
        <v>6016</v>
      </c>
      <c r="B1616" t="s">
        <v>1341</v>
      </c>
      <c r="C1616">
        <v>23.55</v>
      </c>
      <c r="D1616">
        <v>23.3</v>
      </c>
      <c r="E1616" s="178">
        <v>-0.6</v>
      </c>
      <c r="F1616" s="176">
        <v>-2.5099999999999998</v>
      </c>
      <c r="G1616" t="s">
        <v>6678</v>
      </c>
      <c r="H1616">
        <v>3728</v>
      </c>
      <c r="I1616">
        <v>4441</v>
      </c>
      <c r="J1616">
        <v>77.239999999999995</v>
      </c>
      <c r="K1616">
        <v>23.6</v>
      </c>
      <c r="L1616">
        <v>23.25</v>
      </c>
      <c r="M1616" s="175">
        <v>0.48</v>
      </c>
      <c r="N1616" t="s">
        <v>4469</v>
      </c>
    </row>
    <row r="1617" spans="1:14">
      <c r="A1617">
        <v>6020</v>
      </c>
      <c r="B1617" t="s">
        <v>1342</v>
      </c>
      <c r="C1617">
        <v>20.8</v>
      </c>
      <c r="D1617">
        <v>20.6</v>
      </c>
      <c r="E1617" s="178">
        <v>-0.25</v>
      </c>
      <c r="F1617" s="176">
        <v>-1.2</v>
      </c>
      <c r="G1617" t="s">
        <v>5439</v>
      </c>
      <c r="H1617">
        <v>13</v>
      </c>
      <c r="I1617">
        <v>14</v>
      </c>
      <c r="J1617">
        <v>25.24</v>
      </c>
      <c r="K1617">
        <v>20.8</v>
      </c>
      <c r="L1617">
        <v>20.45</v>
      </c>
      <c r="M1617" s="175">
        <v>0.01</v>
      </c>
      <c r="N1617" t="s">
        <v>4470</v>
      </c>
    </row>
    <row r="1618" spans="1:14">
      <c r="A1618">
        <v>6021</v>
      </c>
      <c r="B1618" t="s">
        <v>1625</v>
      </c>
      <c r="C1618">
        <v>57.2</v>
      </c>
      <c r="D1618">
        <v>56.1</v>
      </c>
      <c r="E1618" s="178">
        <v>-1.4</v>
      </c>
      <c r="F1618" s="176">
        <v>-2.4300000000000002</v>
      </c>
      <c r="G1618" t="s">
        <v>5524</v>
      </c>
      <c r="H1618">
        <v>1941</v>
      </c>
      <c r="I1618">
        <v>1663</v>
      </c>
      <c r="J1618">
        <v>31.2</v>
      </c>
      <c r="K1618">
        <v>58.5</v>
      </c>
      <c r="L1618">
        <v>54.3</v>
      </c>
      <c r="M1618" s="175">
        <v>0.62</v>
      </c>
      <c r="N1618" t="s">
        <v>4471</v>
      </c>
    </row>
    <row r="1619" spans="1:14">
      <c r="A1619">
        <v>6023</v>
      </c>
      <c r="B1619" t="s">
        <v>1343</v>
      </c>
      <c r="C1619">
        <v>83.4</v>
      </c>
      <c r="D1619">
        <v>82.7</v>
      </c>
      <c r="E1619" s="178">
        <v>-0.6</v>
      </c>
      <c r="F1619" s="176">
        <v>-0.72</v>
      </c>
      <c r="G1619" t="s">
        <v>6679</v>
      </c>
      <c r="H1619">
        <v>743</v>
      </c>
      <c r="I1619">
        <v>338</v>
      </c>
      <c r="J1619">
        <v>44.8</v>
      </c>
      <c r="K1619">
        <v>83.5</v>
      </c>
      <c r="L1619">
        <v>82.7</v>
      </c>
      <c r="M1619" s="175">
        <v>0.17</v>
      </c>
      <c r="N1619" t="s">
        <v>4472</v>
      </c>
    </row>
    <row r="1620" spans="1:14">
      <c r="A1620">
        <v>6024</v>
      </c>
      <c r="B1620" t="s">
        <v>1344</v>
      </c>
      <c r="C1620">
        <v>58.8</v>
      </c>
      <c r="D1620">
        <v>58.5</v>
      </c>
      <c r="E1620" s="178">
        <v>-0.4</v>
      </c>
      <c r="F1620" s="176">
        <v>-0.68</v>
      </c>
      <c r="G1620" t="s">
        <v>5556</v>
      </c>
      <c r="H1620">
        <v>247</v>
      </c>
      <c r="I1620">
        <v>259</v>
      </c>
      <c r="J1620">
        <v>26.67</v>
      </c>
      <c r="K1620">
        <v>58.9</v>
      </c>
      <c r="L1620">
        <v>58.4</v>
      </c>
      <c r="M1620" s="175">
        <v>0.09</v>
      </c>
      <c r="N1620" t="s">
        <v>4473</v>
      </c>
    </row>
    <row r="1621" spans="1:14">
      <c r="A1621">
        <v>6026</v>
      </c>
      <c r="B1621" t="s">
        <v>1345</v>
      </c>
      <c r="C1621">
        <v>15.75</v>
      </c>
      <c r="D1621">
        <v>15.6</v>
      </c>
      <c r="E1621" s="178">
        <v>-0.25</v>
      </c>
      <c r="F1621" s="176">
        <v>-1.58</v>
      </c>
      <c r="G1621" t="s">
        <v>6680</v>
      </c>
      <c r="H1621">
        <v>1419</v>
      </c>
      <c r="I1621">
        <v>500</v>
      </c>
      <c r="J1621">
        <v>39.619999999999997</v>
      </c>
      <c r="K1621">
        <v>15.75</v>
      </c>
      <c r="L1621">
        <v>15.3</v>
      </c>
      <c r="M1621" s="175">
        <v>0.36</v>
      </c>
      <c r="N1621" t="s">
        <v>4474</v>
      </c>
    </row>
    <row r="1622" spans="1:14">
      <c r="A1622">
        <v>6028</v>
      </c>
      <c r="B1622" t="s">
        <v>3096</v>
      </c>
      <c r="C1622">
        <v>115</v>
      </c>
      <c r="D1622">
        <v>112.5</v>
      </c>
      <c r="E1622" s="178">
        <v>-2.5</v>
      </c>
      <c r="F1622" s="176">
        <v>-2.17</v>
      </c>
      <c r="G1622" t="s">
        <v>5372</v>
      </c>
      <c r="H1622">
        <v>45</v>
      </c>
      <c r="I1622">
        <v>86</v>
      </c>
      <c r="J1622">
        <v>2.5</v>
      </c>
      <c r="K1622">
        <v>115</v>
      </c>
      <c r="L1622">
        <v>111</v>
      </c>
      <c r="M1622" s="175">
        <v>0.18</v>
      </c>
      <c r="N1622" t="s">
        <v>4475</v>
      </c>
    </row>
    <row r="1623" spans="1:14">
      <c r="A1623">
        <v>6101</v>
      </c>
      <c r="B1623" t="s">
        <v>1346</v>
      </c>
      <c r="C1623">
        <v>37.049999999999997</v>
      </c>
      <c r="D1623">
        <v>37</v>
      </c>
      <c r="E1623" s="178">
        <v>-0.15</v>
      </c>
      <c r="F1623" s="176">
        <v>-0.4</v>
      </c>
      <c r="G1623" t="s">
        <v>6681</v>
      </c>
      <c r="H1623">
        <v>172</v>
      </c>
      <c r="I1623">
        <v>210</v>
      </c>
      <c r="J1623">
        <v>11.68</v>
      </c>
      <c r="K1623">
        <v>37.6</v>
      </c>
      <c r="L1623">
        <v>36.5</v>
      </c>
      <c r="M1623" s="175">
        <v>0.15</v>
      </c>
      <c r="N1623" t="s">
        <v>4476</v>
      </c>
    </row>
    <row r="1624" spans="1:14">
      <c r="A1624">
        <v>6103</v>
      </c>
      <c r="B1624" t="s">
        <v>1347</v>
      </c>
      <c r="C1624">
        <v>38.700000000000003</v>
      </c>
      <c r="D1624">
        <v>36.65</v>
      </c>
      <c r="E1624" s="178">
        <v>-1.5</v>
      </c>
      <c r="F1624" s="176">
        <v>-3.93</v>
      </c>
      <c r="G1624" t="s">
        <v>5196</v>
      </c>
      <c r="H1624">
        <v>30</v>
      </c>
      <c r="I1624">
        <v>41</v>
      </c>
      <c r="J1624">
        <v>1.36</v>
      </c>
      <c r="K1624">
        <v>38.700000000000003</v>
      </c>
      <c r="L1624">
        <v>36.200000000000003</v>
      </c>
      <c r="M1624" s="175">
        <v>0.22</v>
      </c>
      <c r="N1624" t="s">
        <v>4477</v>
      </c>
    </row>
    <row r="1625" spans="1:14">
      <c r="A1625">
        <v>6104</v>
      </c>
      <c r="B1625" t="s">
        <v>1348</v>
      </c>
      <c r="C1625">
        <v>86.8</v>
      </c>
      <c r="D1625">
        <v>85.9</v>
      </c>
      <c r="E1625" s="178">
        <v>-2.1</v>
      </c>
      <c r="F1625" s="176">
        <v>-2.39</v>
      </c>
      <c r="G1625" t="s">
        <v>6682</v>
      </c>
      <c r="H1625">
        <v>611</v>
      </c>
      <c r="I1625">
        <v>409</v>
      </c>
      <c r="J1625">
        <v>9.11</v>
      </c>
      <c r="K1625">
        <v>88.5</v>
      </c>
      <c r="L1625">
        <v>85.7</v>
      </c>
      <c r="M1625" s="175">
        <v>0.67</v>
      </c>
      <c r="N1625" t="s">
        <v>4478</v>
      </c>
    </row>
    <row r="1626" spans="1:14">
      <c r="A1626">
        <v>6108</v>
      </c>
      <c r="B1626" t="s">
        <v>65</v>
      </c>
      <c r="C1626">
        <v>29.35</v>
      </c>
      <c r="D1626">
        <v>29.2</v>
      </c>
      <c r="E1626" s="178">
        <v>0.35</v>
      </c>
      <c r="F1626" s="176">
        <v>1.21</v>
      </c>
      <c r="G1626" t="s">
        <v>5616</v>
      </c>
      <c r="H1626">
        <v>14636</v>
      </c>
      <c r="I1626">
        <v>3660</v>
      </c>
      <c r="J1626">
        <v>15.45</v>
      </c>
      <c r="K1626">
        <v>31.6</v>
      </c>
      <c r="L1626">
        <v>28.35</v>
      </c>
      <c r="M1626" s="175">
        <v>9.4700000000000006</v>
      </c>
      <c r="N1626" t="s">
        <v>4479</v>
      </c>
    </row>
    <row r="1627" spans="1:14">
      <c r="A1627">
        <v>6109</v>
      </c>
      <c r="B1627" t="s">
        <v>265</v>
      </c>
      <c r="C1627">
        <v>10.050000000000001</v>
      </c>
      <c r="D1627">
        <v>10.1</v>
      </c>
      <c r="E1627" s="178">
        <v>-0.15</v>
      </c>
      <c r="F1627" s="176">
        <v>-1.46</v>
      </c>
      <c r="G1627" t="s">
        <v>5545</v>
      </c>
      <c r="H1627">
        <v>84</v>
      </c>
      <c r="I1627">
        <v>92</v>
      </c>
      <c r="J1627">
        <v>8.7799999999999994</v>
      </c>
      <c r="K1627">
        <v>10.15</v>
      </c>
      <c r="L1627">
        <v>10.050000000000001</v>
      </c>
      <c r="M1627" s="175">
        <v>0.1</v>
      </c>
      <c r="N1627" t="s">
        <v>4480</v>
      </c>
    </row>
    <row r="1628" spans="1:14">
      <c r="A1628">
        <v>6111</v>
      </c>
      <c r="B1628" t="s">
        <v>3076</v>
      </c>
      <c r="C1628">
        <v>36</v>
      </c>
      <c r="D1628">
        <v>35.5</v>
      </c>
      <c r="E1628" s="178">
        <v>0.2</v>
      </c>
      <c r="F1628" s="176">
        <v>0.56999999999999995</v>
      </c>
      <c r="G1628" t="s">
        <v>5665</v>
      </c>
      <c r="H1628">
        <v>152</v>
      </c>
      <c r="I1628">
        <v>102</v>
      </c>
      <c r="J1628">
        <v>10.85</v>
      </c>
      <c r="K1628">
        <v>36</v>
      </c>
      <c r="L1628">
        <v>33.85</v>
      </c>
      <c r="M1628" s="175">
        <v>0.14000000000000001</v>
      </c>
      <c r="N1628" t="s">
        <v>4481</v>
      </c>
    </row>
    <row r="1629" spans="1:14">
      <c r="A1629">
        <v>6112</v>
      </c>
      <c r="B1629" t="s">
        <v>1646</v>
      </c>
      <c r="C1629">
        <v>45.95</v>
      </c>
      <c r="D1629">
        <v>45.5</v>
      </c>
      <c r="E1629" s="178">
        <v>-1</v>
      </c>
      <c r="F1629" s="176">
        <v>-2.15</v>
      </c>
      <c r="G1629" t="s">
        <v>6683</v>
      </c>
      <c r="H1629">
        <v>992</v>
      </c>
      <c r="I1629">
        <v>653</v>
      </c>
      <c r="J1629">
        <v>18.84</v>
      </c>
      <c r="K1629">
        <v>47</v>
      </c>
      <c r="L1629">
        <v>45.5</v>
      </c>
      <c r="M1629" s="175">
        <v>0.81</v>
      </c>
      <c r="N1629" t="s">
        <v>4482</v>
      </c>
    </row>
    <row r="1630" spans="1:14">
      <c r="A1630">
        <v>6113</v>
      </c>
      <c r="B1630" t="s">
        <v>1349</v>
      </c>
      <c r="C1630">
        <v>23.25</v>
      </c>
      <c r="D1630">
        <v>22.8</v>
      </c>
      <c r="E1630" s="178">
        <v>-0.5</v>
      </c>
      <c r="F1630" s="176">
        <v>-2.15</v>
      </c>
      <c r="G1630" t="s">
        <v>5652</v>
      </c>
      <c r="H1630">
        <v>131</v>
      </c>
      <c r="I1630">
        <v>173</v>
      </c>
      <c r="J1630">
        <v>5.25</v>
      </c>
      <c r="K1630">
        <v>23.25</v>
      </c>
      <c r="L1630">
        <v>22.7</v>
      </c>
      <c r="M1630" s="175">
        <v>0.25</v>
      </c>
      <c r="N1630" t="s">
        <v>4483</v>
      </c>
    </row>
    <row r="1631" spans="1:14">
      <c r="A1631">
        <v>6114</v>
      </c>
      <c r="B1631" t="s">
        <v>1350</v>
      </c>
      <c r="C1631">
        <v>26.3</v>
      </c>
      <c r="D1631">
        <v>25.45</v>
      </c>
      <c r="E1631" s="178">
        <v>-1</v>
      </c>
      <c r="F1631" s="176">
        <v>-3.78</v>
      </c>
      <c r="G1631" t="s">
        <v>5240</v>
      </c>
      <c r="H1631">
        <v>136</v>
      </c>
      <c r="I1631">
        <v>284</v>
      </c>
      <c r="J1631">
        <v>4.3899999999999997</v>
      </c>
      <c r="K1631">
        <v>26.4</v>
      </c>
      <c r="L1631">
        <v>25.2</v>
      </c>
      <c r="M1631" s="175">
        <v>0.31</v>
      </c>
      <c r="N1631" t="s">
        <v>4484</v>
      </c>
    </row>
    <row r="1632" spans="1:14">
      <c r="A1632">
        <v>6115</v>
      </c>
      <c r="B1632" t="s">
        <v>1351</v>
      </c>
      <c r="C1632">
        <v>44.05</v>
      </c>
      <c r="D1632">
        <v>43.9</v>
      </c>
      <c r="E1632" s="178">
        <v>-0.15</v>
      </c>
      <c r="F1632" s="176">
        <v>-0.34</v>
      </c>
      <c r="G1632" t="s">
        <v>6684</v>
      </c>
      <c r="H1632">
        <v>161</v>
      </c>
      <c r="I1632">
        <v>77</v>
      </c>
      <c r="J1632">
        <v>18.77</v>
      </c>
      <c r="K1632">
        <v>44.05</v>
      </c>
      <c r="L1632">
        <v>43.85</v>
      </c>
      <c r="M1632" s="175">
        <v>0.09</v>
      </c>
      <c r="N1632" t="s">
        <v>4485</v>
      </c>
    </row>
    <row r="1633" spans="1:14">
      <c r="A1633">
        <v>6116</v>
      </c>
      <c r="B1633" t="s">
        <v>1352</v>
      </c>
      <c r="C1633">
        <v>15</v>
      </c>
      <c r="D1633">
        <v>14.6</v>
      </c>
      <c r="E1633" s="178">
        <v>-0.75</v>
      </c>
      <c r="F1633" s="176">
        <v>-4.8899999999999997</v>
      </c>
      <c r="G1633" t="s">
        <v>6685</v>
      </c>
      <c r="H1633">
        <v>35076</v>
      </c>
      <c r="I1633">
        <v>23321</v>
      </c>
      <c r="J1633">
        <v>285.87</v>
      </c>
      <c r="K1633">
        <v>15.05</v>
      </c>
      <c r="L1633">
        <v>14.5</v>
      </c>
      <c r="M1633" s="175">
        <v>1.23</v>
      </c>
      <c r="N1633" t="s">
        <v>4486</v>
      </c>
    </row>
    <row r="1634" spans="1:14">
      <c r="A1634">
        <v>6117</v>
      </c>
      <c r="B1634" t="s">
        <v>1353</v>
      </c>
      <c r="C1634">
        <v>73</v>
      </c>
      <c r="D1634">
        <v>69.599999999999994</v>
      </c>
      <c r="E1634" s="178">
        <v>-4.4000000000000004</v>
      </c>
      <c r="F1634" s="176">
        <v>-5.95</v>
      </c>
      <c r="G1634" t="s">
        <v>6686</v>
      </c>
      <c r="H1634">
        <v>1049</v>
      </c>
      <c r="I1634">
        <v>2108</v>
      </c>
      <c r="J1634">
        <v>9.34</v>
      </c>
      <c r="K1634">
        <v>73.8</v>
      </c>
      <c r="L1634">
        <v>69</v>
      </c>
      <c r="M1634" s="175">
        <v>1.1299999999999999</v>
      </c>
      <c r="N1634" t="s">
        <v>4487</v>
      </c>
    </row>
    <row r="1635" spans="1:14">
      <c r="A1635">
        <v>6118</v>
      </c>
      <c r="B1635" t="s">
        <v>1354</v>
      </c>
      <c r="C1635">
        <v>15.9</v>
      </c>
      <c r="D1635">
        <v>15.7</v>
      </c>
      <c r="E1635" s="178">
        <v>-0.25</v>
      </c>
      <c r="F1635" s="176">
        <v>-1.57</v>
      </c>
      <c r="G1635" t="s">
        <v>3251</v>
      </c>
      <c r="H1635">
        <v>106</v>
      </c>
      <c r="I1635">
        <v>128</v>
      </c>
      <c r="J1635">
        <v>9.09</v>
      </c>
      <c r="K1635">
        <v>15.9</v>
      </c>
      <c r="L1635">
        <v>15.6</v>
      </c>
      <c r="M1635" s="175">
        <v>0.12</v>
      </c>
      <c r="N1635" t="s">
        <v>4488</v>
      </c>
    </row>
    <row r="1636" spans="1:14">
      <c r="A1636">
        <v>6120</v>
      </c>
      <c r="B1636" t="s">
        <v>2905</v>
      </c>
      <c r="C1636">
        <v>13.25</v>
      </c>
      <c r="D1636">
        <v>13.25</v>
      </c>
      <c r="E1636" s="178">
        <v>-0.3</v>
      </c>
      <c r="F1636" s="176">
        <v>-2.21</v>
      </c>
      <c r="G1636" t="s">
        <v>6687</v>
      </c>
      <c r="H1636">
        <v>2261</v>
      </c>
      <c r="I1636">
        <v>2776</v>
      </c>
      <c r="J1636">
        <v>59.9</v>
      </c>
      <c r="K1636">
        <v>13.5</v>
      </c>
      <c r="L1636">
        <v>13.15</v>
      </c>
      <c r="M1636" s="175">
        <v>0.38</v>
      </c>
      <c r="N1636" t="s">
        <v>4489</v>
      </c>
    </row>
    <row r="1637" spans="1:14">
      <c r="A1637">
        <v>6121</v>
      </c>
      <c r="B1637" t="s">
        <v>1355</v>
      </c>
      <c r="C1637">
        <v>360.5</v>
      </c>
      <c r="D1637">
        <v>366.5</v>
      </c>
      <c r="E1637" s="178">
        <v>1</v>
      </c>
      <c r="F1637" s="176">
        <v>0.27</v>
      </c>
      <c r="G1637" t="s">
        <v>6688</v>
      </c>
      <c r="H1637">
        <v>1326</v>
      </c>
      <c r="I1637">
        <v>467</v>
      </c>
      <c r="J1637">
        <v>18.5</v>
      </c>
      <c r="K1637">
        <v>370</v>
      </c>
      <c r="L1637">
        <v>360.5</v>
      </c>
      <c r="M1637" s="175">
        <v>0.72</v>
      </c>
      <c r="N1637" t="s">
        <v>4490</v>
      </c>
    </row>
    <row r="1638" spans="1:14">
      <c r="A1638">
        <v>6122</v>
      </c>
      <c r="B1638" t="s">
        <v>1356</v>
      </c>
      <c r="C1638">
        <v>63.6</v>
      </c>
      <c r="D1638">
        <v>63</v>
      </c>
      <c r="E1638" s="178">
        <v>-3</v>
      </c>
      <c r="F1638" s="176">
        <v>-4.55</v>
      </c>
      <c r="G1638" t="s">
        <v>5541</v>
      </c>
      <c r="H1638">
        <v>2558</v>
      </c>
      <c r="I1638">
        <v>2121</v>
      </c>
      <c r="J1638">
        <v>7.81</v>
      </c>
      <c r="K1638">
        <v>65.7</v>
      </c>
      <c r="L1638">
        <v>62.1</v>
      </c>
      <c r="M1638" s="175">
        <v>3.28</v>
      </c>
      <c r="N1638" t="s">
        <v>4491</v>
      </c>
    </row>
    <row r="1639" spans="1:14">
      <c r="A1639">
        <v>6123</v>
      </c>
      <c r="B1639" t="s">
        <v>1357</v>
      </c>
      <c r="C1639">
        <v>42.9</v>
      </c>
      <c r="D1639">
        <v>42.9</v>
      </c>
      <c r="E1639" s="178">
        <v>-0.1</v>
      </c>
      <c r="F1639" s="176">
        <v>-0.23</v>
      </c>
      <c r="G1639" t="s">
        <v>6689</v>
      </c>
      <c r="H1639">
        <v>52</v>
      </c>
      <c r="I1639">
        <v>26</v>
      </c>
      <c r="J1639">
        <v>6.21</v>
      </c>
      <c r="K1639">
        <v>42.9</v>
      </c>
      <c r="L1639">
        <v>42.5</v>
      </c>
      <c r="M1639" s="175">
        <v>0.08</v>
      </c>
      <c r="N1639" t="s">
        <v>4492</v>
      </c>
    </row>
    <row r="1640" spans="1:14">
      <c r="A1640">
        <v>6124</v>
      </c>
      <c r="B1640" t="s">
        <v>1358</v>
      </c>
      <c r="C1640">
        <v>26.5</v>
      </c>
      <c r="D1640">
        <v>26.35</v>
      </c>
      <c r="E1640" s="178">
        <v>-0.25</v>
      </c>
      <c r="F1640" s="176">
        <v>-0.94</v>
      </c>
      <c r="G1640" t="s">
        <v>5468</v>
      </c>
      <c r="H1640">
        <v>14</v>
      </c>
      <c r="I1640">
        <v>11</v>
      </c>
      <c r="J1640">
        <v>18.25</v>
      </c>
      <c r="K1640">
        <v>26.5</v>
      </c>
      <c r="L1640">
        <v>26.1</v>
      </c>
      <c r="M1640" s="175">
        <v>0.01</v>
      </c>
      <c r="N1640" t="s">
        <v>4493</v>
      </c>
    </row>
    <row r="1641" spans="1:14">
      <c r="A1641">
        <v>6125</v>
      </c>
      <c r="B1641" t="s">
        <v>1359</v>
      </c>
      <c r="C1641">
        <v>49.25</v>
      </c>
      <c r="D1641">
        <v>48</v>
      </c>
      <c r="E1641" s="178">
        <v>-1.9</v>
      </c>
      <c r="F1641" s="176">
        <v>-3.81</v>
      </c>
      <c r="G1641" t="s">
        <v>6690</v>
      </c>
      <c r="H1641">
        <v>791</v>
      </c>
      <c r="I1641">
        <v>601</v>
      </c>
      <c r="J1641">
        <v>25.9</v>
      </c>
      <c r="K1641">
        <v>49.25</v>
      </c>
      <c r="L1641">
        <v>48</v>
      </c>
      <c r="M1641" s="175">
        <v>0.31</v>
      </c>
      <c r="N1641" t="s">
        <v>4494</v>
      </c>
    </row>
    <row r="1642" spans="1:14">
      <c r="A1642">
        <v>6126</v>
      </c>
      <c r="B1642" t="s">
        <v>1360</v>
      </c>
      <c r="C1642">
        <v>30.1</v>
      </c>
      <c r="D1642">
        <v>29.9</v>
      </c>
      <c r="E1642" s="178">
        <v>-0.45</v>
      </c>
      <c r="F1642" s="176">
        <v>-1.48</v>
      </c>
      <c r="G1642" t="s">
        <v>6691</v>
      </c>
      <c r="H1642">
        <v>679</v>
      </c>
      <c r="I1642">
        <v>623</v>
      </c>
      <c r="J1642">
        <v>13.06</v>
      </c>
      <c r="K1642">
        <v>30.2</v>
      </c>
      <c r="L1642">
        <v>29.75</v>
      </c>
      <c r="M1642" s="175">
        <v>0.52</v>
      </c>
      <c r="N1642" t="s">
        <v>4495</v>
      </c>
    </row>
    <row r="1643" spans="1:14">
      <c r="A1643">
        <v>6127</v>
      </c>
      <c r="B1643" t="s">
        <v>1361</v>
      </c>
      <c r="C1643">
        <v>62.3</v>
      </c>
      <c r="D1643">
        <v>62.3</v>
      </c>
      <c r="E1643" s="178">
        <v>-2.2000000000000002</v>
      </c>
      <c r="F1643" s="176">
        <v>-3.41</v>
      </c>
      <c r="G1643" t="s">
        <v>5669</v>
      </c>
      <c r="H1643">
        <v>21019</v>
      </c>
      <c r="I1643">
        <v>22161</v>
      </c>
      <c r="J1643">
        <v>10.81</v>
      </c>
      <c r="K1643">
        <v>67</v>
      </c>
      <c r="L1643">
        <v>62.3</v>
      </c>
      <c r="M1643" s="175">
        <v>19.45</v>
      </c>
      <c r="N1643" t="s">
        <v>4496</v>
      </c>
    </row>
    <row r="1644" spans="1:14">
      <c r="A1644">
        <v>6128</v>
      </c>
      <c r="B1644" t="s">
        <v>1362</v>
      </c>
      <c r="C1644">
        <v>19.3</v>
      </c>
      <c r="D1644">
        <v>19.100000000000001</v>
      </c>
      <c r="E1644" s="178">
        <v>-0.2</v>
      </c>
      <c r="F1644" s="176">
        <v>-1.04</v>
      </c>
      <c r="G1644" t="s">
        <v>5205</v>
      </c>
      <c r="H1644">
        <v>65</v>
      </c>
      <c r="I1644">
        <v>36</v>
      </c>
      <c r="J1644">
        <v>12.76</v>
      </c>
      <c r="K1644">
        <v>19.3</v>
      </c>
      <c r="L1644">
        <v>19.100000000000001</v>
      </c>
      <c r="M1644" s="175">
        <v>0.05</v>
      </c>
      <c r="N1644" t="s">
        <v>4497</v>
      </c>
    </row>
    <row r="1645" spans="1:14">
      <c r="A1645">
        <v>6129</v>
      </c>
      <c r="B1645" t="s">
        <v>5166</v>
      </c>
      <c r="C1645">
        <v>13.8</v>
      </c>
      <c r="D1645">
        <v>13.65</v>
      </c>
      <c r="E1645" s="178">
        <v>-0.35</v>
      </c>
      <c r="F1645" s="176">
        <v>-2.5</v>
      </c>
      <c r="G1645" t="s">
        <v>5630</v>
      </c>
      <c r="H1645">
        <v>330</v>
      </c>
      <c r="I1645">
        <v>264</v>
      </c>
      <c r="J1645">
        <v>18.059999999999999</v>
      </c>
      <c r="K1645">
        <v>13.85</v>
      </c>
      <c r="L1645">
        <v>13.55</v>
      </c>
      <c r="M1645" s="175">
        <v>0.18</v>
      </c>
      <c r="N1645" t="s">
        <v>5167</v>
      </c>
    </row>
    <row r="1646" spans="1:14">
      <c r="A1646">
        <v>6130</v>
      </c>
      <c r="B1646" t="s">
        <v>2285</v>
      </c>
      <c r="C1646">
        <v>22.85</v>
      </c>
      <c r="D1646">
        <v>22.15</v>
      </c>
      <c r="E1646" s="178">
        <v>-0.2</v>
      </c>
      <c r="F1646" s="176">
        <v>-0.89</v>
      </c>
      <c r="G1646" t="s">
        <v>5813</v>
      </c>
      <c r="H1646">
        <v>69</v>
      </c>
      <c r="I1646">
        <v>67</v>
      </c>
      <c r="J1646">
        <v>4.93</v>
      </c>
      <c r="K1646">
        <v>22.85</v>
      </c>
      <c r="L1646">
        <v>22.15</v>
      </c>
      <c r="M1646" s="175">
        <v>0.14000000000000001</v>
      </c>
      <c r="N1646" t="s">
        <v>4498</v>
      </c>
    </row>
    <row r="1647" spans="1:14">
      <c r="A1647">
        <v>6133</v>
      </c>
      <c r="B1647" t="s">
        <v>1363</v>
      </c>
      <c r="C1647">
        <v>24.85</v>
      </c>
      <c r="D1647">
        <v>24.8</v>
      </c>
      <c r="E1647" s="178">
        <v>-1.2</v>
      </c>
      <c r="F1647" s="176">
        <v>-4.62</v>
      </c>
      <c r="G1647" t="s">
        <v>6692</v>
      </c>
      <c r="H1647">
        <v>1494</v>
      </c>
      <c r="I1647">
        <v>2492</v>
      </c>
      <c r="J1647">
        <v>11.7</v>
      </c>
      <c r="K1647">
        <v>25.6</v>
      </c>
      <c r="L1647">
        <v>24.8</v>
      </c>
      <c r="M1647" s="175">
        <v>1.28</v>
      </c>
      <c r="N1647" t="s">
        <v>4499</v>
      </c>
    </row>
    <row r="1648" spans="1:14">
      <c r="A1648">
        <v>6134</v>
      </c>
      <c r="B1648" t="s">
        <v>1364</v>
      </c>
      <c r="C1648">
        <v>26.8</v>
      </c>
      <c r="D1648">
        <v>25.85</v>
      </c>
      <c r="E1648" s="178">
        <v>-1.25</v>
      </c>
      <c r="F1648" s="176">
        <v>-4.6100000000000003</v>
      </c>
      <c r="G1648" t="s">
        <v>6693</v>
      </c>
      <c r="H1648">
        <v>471</v>
      </c>
      <c r="I1648">
        <v>226</v>
      </c>
      <c r="J1648">
        <v>8.19</v>
      </c>
      <c r="K1648">
        <v>26.8</v>
      </c>
      <c r="L1648">
        <v>25.75</v>
      </c>
      <c r="M1648" s="175">
        <v>0.57999999999999996</v>
      </c>
      <c r="N1648" t="s">
        <v>4500</v>
      </c>
    </row>
    <row r="1649" spans="1:14">
      <c r="A1649">
        <v>6136</v>
      </c>
      <c r="B1649" t="s">
        <v>1365</v>
      </c>
      <c r="C1649">
        <v>27.2</v>
      </c>
      <c r="D1649">
        <v>26.9</v>
      </c>
      <c r="E1649" s="178">
        <v>-0.4</v>
      </c>
      <c r="F1649" s="176">
        <v>-1.47</v>
      </c>
      <c r="G1649" t="s">
        <v>5412</v>
      </c>
      <c r="H1649">
        <v>438</v>
      </c>
      <c r="I1649">
        <v>828</v>
      </c>
      <c r="J1649">
        <v>11.55</v>
      </c>
      <c r="K1649">
        <v>27.85</v>
      </c>
      <c r="L1649">
        <v>26.55</v>
      </c>
      <c r="M1649" s="175">
        <v>0.38</v>
      </c>
      <c r="N1649" t="s">
        <v>5178</v>
      </c>
    </row>
    <row r="1650" spans="1:14">
      <c r="A1650">
        <v>6138</v>
      </c>
      <c r="B1650" t="s">
        <v>1366</v>
      </c>
      <c r="C1650">
        <v>259.5</v>
      </c>
      <c r="D1650">
        <v>255</v>
      </c>
      <c r="E1650" s="178">
        <v>-9.5</v>
      </c>
      <c r="F1650" s="176">
        <v>-3.59</v>
      </c>
      <c r="G1650" t="s">
        <v>6343</v>
      </c>
      <c r="H1650">
        <v>444</v>
      </c>
      <c r="I1650">
        <v>500</v>
      </c>
      <c r="J1650">
        <v>7.56</v>
      </c>
      <c r="K1650">
        <v>261.5</v>
      </c>
      <c r="L1650">
        <v>255</v>
      </c>
      <c r="M1650" s="175">
        <v>0.59</v>
      </c>
      <c r="N1650" t="s">
        <v>4501</v>
      </c>
    </row>
    <row r="1651" spans="1:14">
      <c r="A1651">
        <v>6139</v>
      </c>
      <c r="B1651" t="s">
        <v>1367</v>
      </c>
      <c r="C1651">
        <v>699</v>
      </c>
      <c r="D1651">
        <v>690</v>
      </c>
      <c r="E1651" s="178">
        <v>-30</v>
      </c>
      <c r="F1651" s="176">
        <v>-4.17</v>
      </c>
      <c r="G1651" t="s">
        <v>5780</v>
      </c>
      <c r="H1651">
        <v>3306</v>
      </c>
      <c r="I1651">
        <v>2526</v>
      </c>
      <c r="J1651">
        <v>23.56</v>
      </c>
      <c r="K1651">
        <v>699</v>
      </c>
      <c r="L1651">
        <v>681</v>
      </c>
      <c r="M1651" s="175">
        <v>1.4</v>
      </c>
      <c r="N1651" t="s">
        <v>4502</v>
      </c>
    </row>
    <row r="1652" spans="1:14">
      <c r="A1652">
        <v>6140</v>
      </c>
      <c r="B1652" t="s">
        <v>1368</v>
      </c>
      <c r="C1652">
        <v>19.7</v>
      </c>
      <c r="D1652">
        <v>20.149999999999999</v>
      </c>
      <c r="E1652" s="178">
        <v>0.2</v>
      </c>
      <c r="F1652" s="176">
        <v>1</v>
      </c>
      <c r="G1652" t="s">
        <v>6694</v>
      </c>
      <c r="H1652">
        <v>289</v>
      </c>
      <c r="I1652">
        <v>416</v>
      </c>
      <c r="J1652">
        <v>5.49</v>
      </c>
      <c r="K1652">
        <v>20.65</v>
      </c>
      <c r="L1652">
        <v>19.7</v>
      </c>
      <c r="M1652" s="175">
        <v>0.53</v>
      </c>
      <c r="N1652" t="s">
        <v>4503</v>
      </c>
    </row>
    <row r="1653" spans="1:14">
      <c r="A1653">
        <v>6141</v>
      </c>
      <c r="B1653" t="s">
        <v>1617</v>
      </c>
      <c r="C1653">
        <v>52.1</v>
      </c>
      <c r="D1653">
        <v>52.1</v>
      </c>
      <c r="E1653" s="178">
        <v>-2.2000000000000002</v>
      </c>
      <c r="F1653" s="176">
        <v>-4.05</v>
      </c>
      <c r="G1653" t="s">
        <v>5500</v>
      </c>
      <c r="H1653">
        <v>2428</v>
      </c>
      <c r="I1653">
        <v>2636</v>
      </c>
      <c r="J1653">
        <v>11.34</v>
      </c>
      <c r="K1653">
        <v>54.3</v>
      </c>
      <c r="L1653">
        <v>51.7</v>
      </c>
      <c r="M1653" s="175">
        <v>2.14</v>
      </c>
      <c r="N1653" t="s">
        <v>4504</v>
      </c>
    </row>
    <row r="1654" spans="1:14">
      <c r="A1654">
        <v>6143</v>
      </c>
      <c r="B1654" t="s">
        <v>1369</v>
      </c>
      <c r="C1654">
        <v>77</v>
      </c>
      <c r="D1654">
        <v>77.400000000000006</v>
      </c>
      <c r="E1654" s="178">
        <v>-0.6</v>
      </c>
      <c r="F1654" s="176">
        <v>-0.77</v>
      </c>
      <c r="G1654" t="s">
        <v>6695</v>
      </c>
      <c r="H1654">
        <v>225</v>
      </c>
      <c r="I1654">
        <v>360</v>
      </c>
      <c r="J1654">
        <v>8.61</v>
      </c>
      <c r="K1654">
        <v>77.8</v>
      </c>
      <c r="L1654">
        <v>77</v>
      </c>
      <c r="M1654" s="175">
        <v>0.26</v>
      </c>
      <c r="N1654" t="s">
        <v>4505</v>
      </c>
    </row>
    <row r="1655" spans="1:14">
      <c r="A1655">
        <v>6144</v>
      </c>
      <c r="B1655" t="s">
        <v>1370</v>
      </c>
      <c r="C1655">
        <v>13.3</v>
      </c>
      <c r="D1655">
        <v>13.3</v>
      </c>
      <c r="E1655" s="178">
        <v>0</v>
      </c>
      <c r="F1655" s="176">
        <v>0</v>
      </c>
      <c r="G1655" t="s">
        <v>6696</v>
      </c>
      <c r="H1655">
        <v>7</v>
      </c>
      <c r="I1655">
        <v>11</v>
      </c>
      <c r="J1655">
        <v>3.83</v>
      </c>
      <c r="K1655">
        <v>13.3</v>
      </c>
      <c r="L1655">
        <v>12.8</v>
      </c>
      <c r="M1655" s="175">
        <v>0.02</v>
      </c>
      <c r="N1655" t="s">
        <v>4506</v>
      </c>
    </row>
    <row r="1656" spans="1:14">
      <c r="A1656">
        <v>6146</v>
      </c>
      <c r="B1656" t="s">
        <v>1371</v>
      </c>
      <c r="C1656">
        <v>200</v>
      </c>
      <c r="D1656">
        <v>207.5</v>
      </c>
      <c r="E1656" s="178">
        <v>3.5</v>
      </c>
      <c r="F1656" s="176">
        <v>1.72</v>
      </c>
      <c r="G1656" t="s">
        <v>6013</v>
      </c>
      <c r="H1656">
        <v>1186</v>
      </c>
      <c r="I1656">
        <v>829</v>
      </c>
      <c r="J1656">
        <v>10.19</v>
      </c>
      <c r="K1656">
        <v>211</v>
      </c>
      <c r="L1656">
        <v>200</v>
      </c>
      <c r="M1656" s="175">
        <v>1.1599999999999999</v>
      </c>
      <c r="N1656" t="s">
        <v>4507</v>
      </c>
    </row>
    <row r="1657" spans="1:14">
      <c r="A1657">
        <v>6147</v>
      </c>
      <c r="B1657" t="s">
        <v>1372</v>
      </c>
      <c r="C1657">
        <v>222</v>
      </c>
      <c r="D1657">
        <v>214.5</v>
      </c>
      <c r="E1657" s="178">
        <v>-17.5</v>
      </c>
      <c r="F1657" s="176">
        <v>-7.54</v>
      </c>
      <c r="G1657" t="s">
        <v>6697</v>
      </c>
      <c r="H1657">
        <v>37493</v>
      </c>
      <c r="I1657">
        <v>45865</v>
      </c>
      <c r="J1657">
        <v>74.459999999999994</v>
      </c>
      <c r="K1657">
        <v>222</v>
      </c>
      <c r="L1657">
        <v>210.5</v>
      </c>
      <c r="M1657" s="175">
        <v>5.04</v>
      </c>
      <c r="N1657" t="s">
        <v>4508</v>
      </c>
    </row>
    <row r="1658" spans="1:14">
      <c r="A1658">
        <v>6148</v>
      </c>
      <c r="B1658" t="s">
        <v>1373</v>
      </c>
      <c r="C1658">
        <v>36.5</v>
      </c>
      <c r="D1658">
        <v>38.15</v>
      </c>
      <c r="E1658" s="178">
        <v>0.95</v>
      </c>
      <c r="F1658" s="176">
        <v>2.5499999999999998</v>
      </c>
      <c r="G1658" t="s">
        <v>6698</v>
      </c>
      <c r="H1658">
        <v>5971</v>
      </c>
      <c r="I1658">
        <v>3113</v>
      </c>
      <c r="J1658">
        <v>4.66</v>
      </c>
      <c r="K1658">
        <v>40.6</v>
      </c>
      <c r="L1658">
        <v>36.35</v>
      </c>
      <c r="M1658" s="175">
        <v>12.81</v>
      </c>
      <c r="N1658" t="s">
        <v>4509</v>
      </c>
    </row>
    <row r="1659" spans="1:14">
      <c r="A1659">
        <v>6150</v>
      </c>
      <c r="B1659" t="s">
        <v>1374</v>
      </c>
      <c r="C1659">
        <v>72.599999999999994</v>
      </c>
      <c r="D1659">
        <v>71.099999999999994</v>
      </c>
      <c r="E1659" s="178">
        <v>-3.4</v>
      </c>
      <c r="F1659" s="176">
        <v>-4.5599999999999996</v>
      </c>
      <c r="G1659" t="s">
        <v>6699</v>
      </c>
      <c r="H1659">
        <v>879</v>
      </c>
      <c r="I1659">
        <v>1075</v>
      </c>
      <c r="J1659">
        <v>4.83</v>
      </c>
      <c r="K1659">
        <v>73.599999999999994</v>
      </c>
      <c r="L1659">
        <v>68.599999999999994</v>
      </c>
      <c r="M1659" s="175">
        <v>1.82</v>
      </c>
      <c r="N1659" t="s">
        <v>4510</v>
      </c>
    </row>
    <row r="1660" spans="1:14">
      <c r="A1660">
        <v>6151</v>
      </c>
      <c r="B1660" t="s">
        <v>1375</v>
      </c>
      <c r="C1660">
        <v>34.35</v>
      </c>
      <c r="D1660">
        <v>33.9</v>
      </c>
      <c r="E1660" s="178">
        <v>-0.75</v>
      </c>
      <c r="F1660" s="176">
        <v>-2.16</v>
      </c>
      <c r="G1660" t="s">
        <v>6700</v>
      </c>
      <c r="H1660">
        <v>158</v>
      </c>
      <c r="I1660">
        <v>91</v>
      </c>
      <c r="J1660">
        <v>5.53</v>
      </c>
      <c r="K1660">
        <v>34.4</v>
      </c>
      <c r="L1660">
        <v>33.85</v>
      </c>
      <c r="M1660" s="175">
        <v>0.28999999999999998</v>
      </c>
      <c r="N1660" t="s">
        <v>4511</v>
      </c>
    </row>
    <row r="1661" spans="1:14">
      <c r="A1661">
        <v>6152</v>
      </c>
      <c r="B1661" t="s">
        <v>1376</v>
      </c>
      <c r="C1661">
        <v>18.05</v>
      </c>
      <c r="D1661">
        <v>17.7</v>
      </c>
      <c r="E1661" s="178">
        <v>-0.9</v>
      </c>
      <c r="F1661" s="176">
        <v>-4.84</v>
      </c>
      <c r="G1661" t="s">
        <v>6701</v>
      </c>
      <c r="H1661">
        <v>4639</v>
      </c>
      <c r="I1661">
        <v>14570</v>
      </c>
      <c r="J1661">
        <v>16.77</v>
      </c>
      <c r="K1661">
        <v>18.5</v>
      </c>
      <c r="L1661">
        <v>17.7</v>
      </c>
      <c r="M1661" s="175">
        <v>2.77</v>
      </c>
      <c r="N1661" t="s">
        <v>4512</v>
      </c>
    </row>
    <row r="1662" spans="1:14">
      <c r="A1662">
        <v>6153</v>
      </c>
      <c r="B1662" t="s">
        <v>1576</v>
      </c>
      <c r="C1662">
        <v>18.5</v>
      </c>
      <c r="D1662">
        <v>18.05</v>
      </c>
      <c r="E1662" s="178">
        <v>-0.95</v>
      </c>
      <c r="F1662" s="176">
        <v>-5</v>
      </c>
      <c r="G1662" t="s">
        <v>5348</v>
      </c>
      <c r="H1662">
        <v>13932</v>
      </c>
      <c r="I1662">
        <v>5582</v>
      </c>
      <c r="J1662">
        <v>63.62</v>
      </c>
      <c r="K1662">
        <v>19.2</v>
      </c>
      <c r="L1662">
        <v>18</v>
      </c>
      <c r="M1662" s="175">
        <v>2.19</v>
      </c>
      <c r="N1662" t="s">
        <v>4513</v>
      </c>
    </row>
    <row r="1663" spans="1:14">
      <c r="A1663">
        <v>6154</v>
      </c>
      <c r="B1663" t="s">
        <v>1377</v>
      </c>
      <c r="C1663">
        <v>14.1</v>
      </c>
      <c r="D1663">
        <v>14.1</v>
      </c>
      <c r="E1663" s="178">
        <v>-0.1</v>
      </c>
      <c r="F1663" s="176">
        <v>-0.7</v>
      </c>
      <c r="G1663" t="s">
        <v>6702</v>
      </c>
      <c r="H1663">
        <v>45</v>
      </c>
      <c r="I1663">
        <v>20</v>
      </c>
      <c r="J1663">
        <v>8.01</v>
      </c>
      <c r="K1663">
        <v>14.1</v>
      </c>
      <c r="L1663">
        <v>14.05</v>
      </c>
      <c r="M1663" s="175">
        <v>0.06</v>
      </c>
      <c r="N1663" t="s">
        <v>4514</v>
      </c>
    </row>
    <row r="1664" spans="1:14">
      <c r="A1664">
        <v>6155</v>
      </c>
      <c r="B1664" t="s">
        <v>1378</v>
      </c>
      <c r="C1664">
        <v>70.599999999999994</v>
      </c>
      <c r="D1664">
        <v>71</v>
      </c>
      <c r="E1664" s="178">
        <v>-1.4</v>
      </c>
      <c r="F1664" s="176">
        <v>-1.93</v>
      </c>
      <c r="G1664" t="s">
        <v>6703</v>
      </c>
      <c r="H1664">
        <v>4200</v>
      </c>
      <c r="I1664">
        <v>4338</v>
      </c>
      <c r="J1664">
        <v>8.8000000000000007</v>
      </c>
      <c r="K1664">
        <v>73.3</v>
      </c>
      <c r="L1664">
        <v>69.8</v>
      </c>
      <c r="M1664" s="175">
        <v>4.7699999999999996</v>
      </c>
      <c r="N1664" t="s">
        <v>4515</v>
      </c>
    </row>
    <row r="1665" spans="1:14">
      <c r="A1665">
        <v>6156</v>
      </c>
      <c r="B1665" t="s">
        <v>1379</v>
      </c>
      <c r="C1665">
        <v>25.6</v>
      </c>
      <c r="D1665">
        <v>25.5</v>
      </c>
      <c r="E1665" s="178">
        <v>-0.85</v>
      </c>
      <c r="F1665" s="176">
        <v>-3.23</v>
      </c>
      <c r="G1665" t="s">
        <v>5398</v>
      </c>
      <c r="H1665">
        <v>1759</v>
      </c>
      <c r="I1665">
        <v>3076</v>
      </c>
      <c r="J1665">
        <v>10.79</v>
      </c>
      <c r="K1665">
        <v>26.05</v>
      </c>
      <c r="L1665">
        <v>25.35</v>
      </c>
      <c r="M1665" s="175">
        <v>1.63</v>
      </c>
      <c r="N1665" t="s">
        <v>4516</v>
      </c>
    </row>
    <row r="1666" spans="1:14">
      <c r="A1666">
        <v>6158</v>
      </c>
      <c r="B1666" t="s">
        <v>1380</v>
      </c>
      <c r="C1666">
        <v>17.95</v>
      </c>
      <c r="D1666">
        <v>17.899999999999999</v>
      </c>
      <c r="E1666" s="178">
        <v>-0.1</v>
      </c>
      <c r="F1666" s="176">
        <v>-0.56000000000000005</v>
      </c>
      <c r="G1666" t="s">
        <v>6704</v>
      </c>
      <c r="H1666">
        <v>28</v>
      </c>
      <c r="I1666">
        <v>54</v>
      </c>
      <c r="J1666">
        <v>5.5</v>
      </c>
      <c r="K1666">
        <v>17.95</v>
      </c>
      <c r="L1666">
        <v>17.600000000000001</v>
      </c>
      <c r="M1666" s="175">
        <v>0.05</v>
      </c>
      <c r="N1666" t="s">
        <v>4517</v>
      </c>
    </row>
    <row r="1667" spans="1:14">
      <c r="A1667">
        <v>6160</v>
      </c>
      <c r="B1667" t="s">
        <v>1381</v>
      </c>
      <c r="C1667">
        <v>13.7</v>
      </c>
      <c r="D1667">
        <v>13.8</v>
      </c>
      <c r="E1667" s="178">
        <v>-0.2</v>
      </c>
      <c r="F1667" s="176">
        <v>-1.43</v>
      </c>
      <c r="G1667" t="s">
        <v>6480</v>
      </c>
      <c r="H1667">
        <v>31</v>
      </c>
      <c r="I1667">
        <v>42</v>
      </c>
      <c r="J1667">
        <v>6.85</v>
      </c>
      <c r="K1667">
        <v>14.05</v>
      </c>
      <c r="L1667">
        <v>13.7</v>
      </c>
      <c r="M1667" s="175">
        <v>0.05</v>
      </c>
      <c r="N1667" t="s">
        <v>4518</v>
      </c>
    </row>
    <row r="1668" spans="1:14">
      <c r="A1668">
        <v>6161</v>
      </c>
      <c r="B1668" t="s">
        <v>2645</v>
      </c>
      <c r="C1668">
        <v>48.55</v>
      </c>
      <c r="D1668">
        <v>48.35</v>
      </c>
      <c r="E1668" s="178">
        <v>-0.85</v>
      </c>
      <c r="F1668" s="176">
        <v>-1.73</v>
      </c>
      <c r="G1668" t="s">
        <v>5429</v>
      </c>
      <c r="H1668">
        <v>39</v>
      </c>
      <c r="I1668">
        <v>110</v>
      </c>
      <c r="J1668">
        <v>5.62</v>
      </c>
      <c r="K1668">
        <v>48.55</v>
      </c>
      <c r="L1668">
        <v>48.05</v>
      </c>
      <c r="M1668" s="175">
        <v>7.0000000000000007E-2</v>
      </c>
      <c r="N1668" t="s">
        <v>4519</v>
      </c>
    </row>
    <row r="1669" spans="1:14">
      <c r="A1669">
        <v>6163</v>
      </c>
      <c r="B1669" t="s">
        <v>1382</v>
      </c>
      <c r="C1669">
        <v>44.85</v>
      </c>
      <c r="D1669">
        <v>43.85</v>
      </c>
      <c r="E1669" s="178">
        <v>-1.75</v>
      </c>
      <c r="F1669" s="176">
        <v>-3.84</v>
      </c>
      <c r="G1669" t="s">
        <v>6453</v>
      </c>
      <c r="H1669">
        <v>5211</v>
      </c>
      <c r="I1669">
        <v>2290</v>
      </c>
      <c r="J1669">
        <v>14.88</v>
      </c>
      <c r="K1669">
        <v>47</v>
      </c>
      <c r="L1669">
        <v>43.8</v>
      </c>
      <c r="M1669" s="175">
        <v>3.5</v>
      </c>
      <c r="N1669" t="s">
        <v>4520</v>
      </c>
    </row>
    <row r="1670" spans="1:14">
      <c r="A1670">
        <v>6164</v>
      </c>
      <c r="B1670" t="s">
        <v>2651</v>
      </c>
      <c r="C1670">
        <v>12.9</v>
      </c>
      <c r="D1670">
        <v>12.6</v>
      </c>
      <c r="E1670" s="178">
        <v>-0.45</v>
      </c>
      <c r="F1670" s="176">
        <v>-3.45</v>
      </c>
      <c r="G1670" t="s">
        <v>5553</v>
      </c>
      <c r="H1670">
        <v>345</v>
      </c>
      <c r="I1670">
        <v>420</v>
      </c>
      <c r="J1670">
        <v>8</v>
      </c>
      <c r="K1670">
        <v>12.9</v>
      </c>
      <c r="L1670">
        <v>12.5</v>
      </c>
      <c r="M1670" s="175">
        <v>0.43</v>
      </c>
      <c r="N1670" t="s">
        <v>4521</v>
      </c>
    </row>
    <row r="1671" spans="1:14">
      <c r="A1671">
        <v>6165</v>
      </c>
      <c r="B1671" t="s">
        <v>1383</v>
      </c>
      <c r="C1671">
        <v>47.8</v>
      </c>
      <c r="D1671">
        <v>47.05</v>
      </c>
      <c r="E1671" s="178">
        <v>-0.75</v>
      </c>
      <c r="F1671" s="176">
        <v>-1.57</v>
      </c>
      <c r="G1671" t="s">
        <v>6705</v>
      </c>
      <c r="H1671">
        <v>314</v>
      </c>
      <c r="I1671">
        <v>648</v>
      </c>
      <c r="J1671">
        <v>7.78</v>
      </c>
      <c r="K1671">
        <v>47.8</v>
      </c>
      <c r="L1671">
        <v>47</v>
      </c>
      <c r="M1671" s="175">
        <v>0.4</v>
      </c>
      <c r="N1671" t="s">
        <v>4522</v>
      </c>
    </row>
    <row r="1672" spans="1:14">
      <c r="A1672">
        <v>6166</v>
      </c>
      <c r="B1672" t="s">
        <v>1384</v>
      </c>
      <c r="C1672">
        <v>111</v>
      </c>
      <c r="D1672">
        <v>110</v>
      </c>
      <c r="E1672" s="178">
        <v>-4</v>
      </c>
      <c r="F1672" s="176">
        <v>-3.51</v>
      </c>
      <c r="G1672" t="s">
        <v>5307</v>
      </c>
      <c r="H1672">
        <v>1353</v>
      </c>
      <c r="I1672">
        <v>1615</v>
      </c>
      <c r="J1672">
        <v>21.81</v>
      </c>
      <c r="K1672">
        <v>112.5</v>
      </c>
      <c r="L1672">
        <v>109</v>
      </c>
      <c r="M1672" s="175">
        <v>0.62</v>
      </c>
      <c r="N1672" t="s">
        <v>4523</v>
      </c>
    </row>
    <row r="1673" spans="1:14">
      <c r="A1673">
        <v>6168</v>
      </c>
      <c r="B1673" t="s">
        <v>1385</v>
      </c>
      <c r="C1673">
        <v>36.299999999999997</v>
      </c>
      <c r="D1673">
        <v>34.9</v>
      </c>
      <c r="E1673" s="178">
        <v>-2.9</v>
      </c>
      <c r="F1673" s="176">
        <v>-7.67</v>
      </c>
      <c r="G1673" t="s">
        <v>5325</v>
      </c>
      <c r="H1673">
        <v>4863</v>
      </c>
      <c r="I1673">
        <v>8495</v>
      </c>
      <c r="J1673">
        <v>20.58</v>
      </c>
      <c r="K1673">
        <v>36.5</v>
      </c>
      <c r="L1673">
        <v>34.799999999999997</v>
      </c>
      <c r="M1673" s="175">
        <v>2.36</v>
      </c>
      <c r="N1673" t="s">
        <v>4524</v>
      </c>
    </row>
    <row r="1674" spans="1:14">
      <c r="A1674">
        <v>6169</v>
      </c>
      <c r="B1674" t="s">
        <v>1386</v>
      </c>
      <c r="C1674">
        <v>11.55</v>
      </c>
      <c r="D1674">
        <v>11.6</v>
      </c>
      <c r="E1674" s="178">
        <v>-0.35</v>
      </c>
      <c r="F1674" s="176">
        <v>-2.93</v>
      </c>
      <c r="G1674" t="s">
        <v>6706</v>
      </c>
      <c r="H1674">
        <v>10</v>
      </c>
      <c r="I1674">
        <v>17</v>
      </c>
      <c r="J1674">
        <v>2.34</v>
      </c>
      <c r="K1674">
        <v>11.95</v>
      </c>
      <c r="L1674">
        <v>11.55</v>
      </c>
      <c r="M1674" s="175">
        <v>0.04</v>
      </c>
      <c r="N1674" t="s">
        <v>5360</v>
      </c>
    </row>
    <row r="1675" spans="1:14">
      <c r="A1675">
        <v>6170</v>
      </c>
      <c r="B1675" t="s">
        <v>1387</v>
      </c>
      <c r="C1675">
        <v>49.55</v>
      </c>
      <c r="D1675">
        <v>49.25</v>
      </c>
      <c r="E1675" s="178">
        <v>-0.2</v>
      </c>
      <c r="F1675" s="176">
        <v>-0.4</v>
      </c>
      <c r="G1675" t="s">
        <v>5746</v>
      </c>
      <c r="H1675">
        <v>205</v>
      </c>
      <c r="I1675">
        <v>160</v>
      </c>
      <c r="J1675">
        <v>9.73</v>
      </c>
      <c r="K1675">
        <v>49.55</v>
      </c>
      <c r="L1675">
        <v>49</v>
      </c>
      <c r="M1675" s="175">
        <v>0.21</v>
      </c>
      <c r="N1675" t="s">
        <v>4525</v>
      </c>
    </row>
    <row r="1676" spans="1:14">
      <c r="A1676">
        <v>6171</v>
      </c>
      <c r="B1676" t="s">
        <v>1585</v>
      </c>
      <c r="C1676">
        <v>23.85</v>
      </c>
      <c r="D1676">
        <v>23.5</v>
      </c>
      <c r="E1676" s="178">
        <v>-0.35</v>
      </c>
      <c r="F1676" s="176">
        <v>-1.47</v>
      </c>
      <c r="G1676" t="s">
        <v>6707</v>
      </c>
      <c r="H1676">
        <v>30</v>
      </c>
      <c r="I1676">
        <v>68</v>
      </c>
      <c r="J1676">
        <v>10</v>
      </c>
      <c r="K1676">
        <v>23.85</v>
      </c>
      <c r="L1676">
        <v>23.35</v>
      </c>
      <c r="M1676" s="175">
        <v>0.03</v>
      </c>
      <c r="N1676" t="s">
        <v>4526</v>
      </c>
    </row>
    <row r="1677" spans="1:14">
      <c r="A1677">
        <v>6174</v>
      </c>
      <c r="B1677" t="s">
        <v>1388</v>
      </c>
      <c r="C1677">
        <v>54.5</v>
      </c>
      <c r="D1677">
        <v>52.8</v>
      </c>
      <c r="E1677" s="178">
        <v>-3.9</v>
      </c>
      <c r="F1677" s="176">
        <v>-6.88</v>
      </c>
      <c r="G1677" t="s">
        <v>6068</v>
      </c>
      <c r="H1677">
        <v>1918</v>
      </c>
      <c r="I1677">
        <v>5361</v>
      </c>
      <c r="J1677">
        <v>5</v>
      </c>
      <c r="K1677">
        <v>58.3</v>
      </c>
      <c r="L1677">
        <v>52.8</v>
      </c>
      <c r="M1677" s="175">
        <v>3.84</v>
      </c>
      <c r="N1677" t="s">
        <v>4527</v>
      </c>
    </row>
    <row r="1678" spans="1:14">
      <c r="A1678">
        <v>6175</v>
      </c>
      <c r="B1678" t="s">
        <v>1389</v>
      </c>
      <c r="C1678">
        <v>76</v>
      </c>
      <c r="D1678">
        <v>73.599999999999994</v>
      </c>
      <c r="E1678" s="178">
        <v>-3.7</v>
      </c>
      <c r="F1678" s="176">
        <v>-4.79</v>
      </c>
      <c r="G1678" t="s">
        <v>6708</v>
      </c>
      <c r="H1678">
        <v>1096</v>
      </c>
      <c r="I1678">
        <v>1784</v>
      </c>
      <c r="J1678">
        <v>15.01</v>
      </c>
      <c r="K1678">
        <v>76.900000000000006</v>
      </c>
      <c r="L1678">
        <v>73.5</v>
      </c>
      <c r="M1678" s="175">
        <v>0.73</v>
      </c>
      <c r="N1678" t="s">
        <v>4528</v>
      </c>
    </row>
    <row r="1679" spans="1:14">
      <c r="A1679">
        <v>6176</v>
      </c>
      <c r="B1679" t="s">
        <v>100</v>
      </c>
      <c r="C1679">
        <v>91</v>
      </c>
      <c r="D1679">
        <v>91</v>
      </c>
      <c r="E1679" s="178">
        <v>-0.7</v>
      </c>
      <c r="F1679" s="176">
        <v>-0.76</v>
      </c>
      <c r="G1679" t="s">
        <v>5500</v>
      </c>
      <c r="H1679">
        <v>1409</v>
      </c>
      <c r="I1679">
        <v>1156</v>
      </c>
      <c r="J1679">
        <v>34.880000000000003</v>
      </c>
      <c r="K1679">
        <v>91.8</v>
      </c>
      <c r="L1679">
        <v>90.6</v>
      </c>
      <c r="M1679" s="175">
        <v>0.4</v>
      </c>
      <c r="N1679" t="s">
        <v>4529</v>
      </c>
    </row>
    <row r="1680" spans="1:14">
      <c r="A1680">
        <v>6177</v>
      </c>
      <c r="B1680" t="s">
        <v>1390</v>
      </c>
      <c r="C1680">
        <v>45.65</v>
      </c>
      <c r="D1680">
        <v>45.65</v>
      </c>
      <c r="E1680" s="178">
        <v>-0.05</v>
      </c>
      <c r="F1680" s="176">
        <v>-0.11</v>
      </c>
      <c r="G1680" t="s">
        <v>6709</v>
      </c>
      <c r="H1680">
        <v>978</v>
      </c>
      <c r="I1680">
        <v>673</v>
      </c>
      <c r="J1680">
        <v>47.29</v>
      </c>
      <c r="K1680">
        <v>46.05</v>
      </c>
      <c r="L1680">
        <v>45.5</v>
      </c>
      <c r="M1680" s="175">
        <v>0.21</v>
      </c>
      <c r="N1680" t="s">
        <v>4530</v>
      </c>
    </row>
    <row r="1681" spans="1:14">
      <c r="A1681">
        <v>6179</v>
      </c>
      <c r="B1681" t="s">
        <v>1391</v>
      </c>
      <c r="C1681">
        <v>37</v>
      </c>
      <c r="D1681">
        <v>36.35</v>
      </c>
      <c r="E1681" s="178">
        <v>-1.05</v>
      </c>
      <c r="F1681" s="176">
        <v>-2.81</v>
      </c>
      <c r="G1681" t="s">
        <v>5542</v>
      </c>
      <c r="H1681">
        <v>8484</v>
      </c>
      <c r="I1681">
        <v>6950</v>
      </c>
      <c r="J1681">
        <v>18.11</v>
      </c>
      <c r="K1681">
        <v>38.6</v>
      </c>
      <c r="L1681">
        <v>36.35</v>
      </c>
      <c r="M1681" s="175">
        <v>4.76</v>
      </c>
      <c r="N1681" t="s">
        <v>4531</v>
      </c>
    </row>
    <row r="1682" spans="1:14">
      <c r="A1682">
        <v>6180</v>
      </c>
      <c r="B1682" t="s">
        <v>86</v>
      </c>
      <c r="C1682">
        <v>40.25</v>
      </c>
      <c r="D1682">
        <v>40.25</v>
      </c>
      <c r="E1682" s="178">
        <v>0.3</v>
      </c>
      <c r="F1682" s="176">
        <v>0.75</v>
      </c>
      <c r="G1682" t="s">
        <v>6710</v>
      </c>
      <c r="H1682">
        <v>401</v>
      </c>
      <c r="I1682">
        <v>633</v>
      </c>
      <c r="J1682">
        <v>17.55</v>
      </c>
      <c r="K1682">
        <v>40.5</v>
      </c>
      <c r="L1682">
        <v>39.799999999999997</v>
      </c>
      <c r="M1682" s="175">
        <v>0.23</v>
      </c>
      <c r="N1682" t="s">
        <v>4532</v>
      </c>
    </row>
    <row r="1683" spans="1:14">
      <c r="A1683">
        <v>6182</v>
      </c>
      <c r="B1683" t="s">
        <v>1392</v>
      </c>
      <c r="C1683">
        <v>112.5</v>
      </c>
      <c r="D1683">
        <v>110</v>
      </c>
      <c r="E1683" s="178">
        <v>-9</v>
      </c>
      <c r="F1683" s="176">
        <v>-7.56</v>
      </c>
      <c r="G1683" t="s">
        <v>6711</v>
      </c>
      <c r="H1683">
        <v>30556</v>
      </c>
      <c r="I1683">
        <v>47403</v>
      </c>
      <c r="J1683">
        <v>63.92</v>
      </c>
      <c r="K1683">
        <v>115</v>
      </c>
      <c r="L1683">
        <v>110</v>
      </c>
      <c r="M1683" s="175">
        <v>4.79</v>
      </c>
      <c r="N1683" t="s">
        <v>4533</v>
      </c>
    </row>
    <row r="1684" spans="1:14">
      <c r="A1684">
        <v>6183</v>
      </c>
      <c r="B1684" t="s">
        <v>1393</v>
      </c>
      <c r="C1684">
        <v>91.7</v>
      </c>
      <c r="D1684">
        <v>91.9</v>
      </c>
      <c r="E1684" s="178">
        <v>0.2</v>
      </c>
      <c r="F1684" s="176">
        <v>0.22</v>
      </c>
      <c r="G1684" t="s">
        <v>6712</v>
      </c>
      <c r="H1684">
        <v>34</v>
      </c>
      <c r="I1684">
        <v>35</v>
      </c>
      <c r="J1684">
        <v>15</v>
      </c>
      <c r="K1684">
        <v>92</v>
      </c>
      <c r="L1684">
        <v>91.1</v>
      </c>
      <c r="M1684" s="175">
        <v>0.02</v>
      </c>
      <c r="N1684" t="s">
        <v>4534</v>
      </c>
    </row>
    <row r="1685" spans="1:14">
      <c r="A1685">
        <v>6184</v>
      </c>
      <c r="B1685" t="s">
        <v>1394</v>
      </c>
      <c r="C1685">
        <v>39.950000000000003</v>
      </c>
      <c r="D1685">
        <v>39.85</v>
      </c>
      <c r="E1685" s="178">
        <v>-0.1</v>
      </c>
      <c r="F1685" s="176">
        <v>-0.25</v>
      </c>
      <c r="G1685" t="s">
        <v>6713</v>
      </c>
      <c r="H1685">
        <v>125</v>
      </c>
      <c r="I1685">
        <v>75</v>
      </c>
      <c r="J1685">
        <v>16.21</v>
      </c>
      <c r="K1685">
        <v>40</v>
      </c>
      <c r="L1685">
        <v>39.5</v>
      </c>
      <c r="M1685" s="175">
        <v>0.08</v>
      </c>
      <c r="N1685" t="s">
        <v>4535</v>
      </c>
    </row>
    <row r="1686" spans="1:14">
      <c r="A1686">
        <v>6185</v>
      </c>
      <c r="B1686" t="s">
        <v>1395</v>
      </c>
      <c r="C1686">
        <v>13.35</v>
      </c>
      <c r="D1686">
        <v>13.05</v>
      </c>
      <c r="E1686" s="178">
        <v>-0.3</v>
      </c>
      <c r="F1686" s="176">
        <v>-2.25</v>
      </c>
      <c r="G1686" t="s">
        <v>5987</v>
      </c>
      <c r="H1686">
        <v>383</v>
      </c>
      <c r="I1686">
        <v>607</v>
      </c>
      <c r="J1686">
        <v>14.99</v>
      </c>
      <c r="K1686">
        <v>13.35</v>
      </c>
      <c r="L1686">
        <v>12.9</v>
      </c>
      <c r="M1686" s="175">
        <v>0.26</v>
      </c>
      <c r="N1686" t="s">
        <v>4536</v>
      </c>
    </row>
    <row r="1687" spans="1:14">
      <c r="A1687">
        <v>6186</v>
      </c>
      <c r="B1687" t="s">
        <v>1396</v>
      </c>
      <c r="C1687">
        <v>29.05</v>
      </c>
      <c r="D1687">
        <v>29</v>
      </c>
      <c r="E1687" s="178">
        <v>-0.2</v>
      </c>
      <c r="F1687" s="176">
        <v>-0.68</v>
      </c>
      <c r="G1687" t="s">
        <v>5863</v>
      </c>
      <c r="H1687">
        <v>374</v>
      </c>
      <c r="I1687">
        <v>267</v>
      </c>
      <c r="J1687">
        <v>22.69</v>
      </c>
      <c r="K1687">
        <v>29.25</v>
      </c>
      <c r="L1687">
        <v>28.9</v>
      </c>
      <c r="M1687" s="175">
        <v>0.16</v>
      </c>
      <c r="N1687" t="s">
        <v>4537</v>
      </c>
    </row>
    <row r="1688" spans="1:14">
      <c r="A1688">
        <v>6187</v>
      </c>
      <c r="B1688" t="s">
        <v>1397</v>
      </c>
      <c r="C1688">
        <v>1455</v>
      </c>
      <c r="D1688">
        <v>1390</v>
      </c>
      <c r="E1688" s="178">
        <v>-150</v>
      </c>
      <c r="F1688" s="176">
        <v>-9.74</v>
      </c>
      <c r="G1688" t="s">
        <v>6714</v>
      </c>
      <c r="H1688">
        <v>3133</v>
      </c>
      <c r="I1688">
        <v>3860</v>
      </c>
      <c r="J1688">
        <v>9.83</v>
      </c>
      <c r="K1688">
        <v>1480</v>
      </c>
      <c r="L1688">
        <v>1390</v>
      </c>
      <c r="M1688" s="175">
        <v>3.19</v>
      </c>
      <c r="N1688" t="s">
        <v>4538</v>
      </c>
    </row>
    <row r="1689" spans="1:14">
      <c r="A1689">
        <v>6188</v>
      </c>
      <c r="B1689" t="s">
        <v>1398</v>
      </c>
      <c r="C1689">
        <v>63.7</v>
      </c>
      <c r="D1689">
        <v>62.8</v>
      </c>
      <c r="E1689" s="178">
        <v>-1.4</v>
      </c>
      <c r="F1689" s="176">
        <v>-2.1800000000000002</v>
      </c>
      <c r="G1689" t="s">
        <v>6715</v>
      </c>
      <c r="H1689">
        <v>928</v>
      </c>
      <c r="I1689">
        <v>1291</v>
      </c>
      <c r="J1689">
        <v>27.84</v>
      </c>
      <c r="K1689">
        <v>63.7</v>
      </c>
      <c r="L1689">
        <v>62.5</v>
      </c>
      <c r="M1689" s="175">
        <v>0.33</v>
      </c>
      <c r="N1689" t="s">
        <v>4539</v>
      </c>
    </row>
    <row r="1690" spans="1:14">
      <c r="A1690">
        <v>6189</v>
      </c>
      <c r="B1690" t="s">
        <v>1399</v>
      </c>
      <c r="C1690">
        <v>49.85</v>
      </c>
      <c r="D1690">
        <v>50</v>
      </c>
      <c r="E1690" s="178">
        <v>0.15</v>
      </c>
      <c r="F1690" s="176">
        <v>0.3</v>
      </c>
      <c r="G1690" t="s">
        <v>6716</v>
      </c>
      <c r="H1690">
        <v>745</v>
      </c>
      <c r="I1690">
        <v>248</v>
      </c>
      <c r="J1690">
        <v>26.48</v>
      </c>
      <c r="K1690">
        <v>50.3</v>
      </c>
      <c r="L1690">
        <v>49.4</v>
      </c>
      <c r="M1690" s="175">
        <v>0.28000000000000003</v>
      </c>
      <c r="N1690" t="s">
        <v>4540</v>
      </c>
    </row>
    <row r="1691" spans="1:14">
      <c r="A1691">
        <v>6190</v>
      </c>
      <c r="B1691" t="s">
        <v>1400</v>
      </c>
      <c r="C1691">
        <v>73.2</v>
      </c>
      <c r="D1691">
        <v>71.5</v>
      </c>
      <c r="E1691" s="178">
        <v>-3</v>
      </c>
      <c r="F1691" s="176">
        <v>-4.03</v>
      </c>
      <c r="G1691" t="s">
        <v>5262</v>
      </c>
      <c r="H1691">
        <v>1981</v>
      </c>
      <c r="I1691">
        <v>2199</v>
      </c>
      <c r="J1691">
        <v>19.73</v>
      </c>
      <c r="K1691">
        <v>73.7</v>
      </c>
      <c r="L1691">
        <v>71.5</v>
      </c>
      <c r="M1691" s="175">
        <v>1.01</v>
      </c>
      <c r="N1691" t="s">
        <v>4541</v>
      </c>
    </row>
    <row r="1692" spans="1:14">
      <c r="A1692">
        <v>6191</v>
      </c>
      <c r="B1692" t="s">
        <v>1401</v>
      </c>
      <c r="C1692">
        <v>93</v>
      </c>
      <c r="D1692">
        <v>90</v>
      </c>
      <c r="E1692" s="178">
        <v>-5.4</v>
      </c>
      <c r="F1692" s="176">
        <v>-5.66</v>
      </c>
      <c r="G1692" t="s">
        <v>6624</v>
      </c>
      <c r="H1692">
        <v>5927</v>
      </c>
      <c r="I1692">
        <v>9470</v>
      </c>
      <c r="J1692">
        <v>52.94</v>
      </c>
      <c r="K1692">
        <v>93.1</v>
      </c>
      <c r="L1692">
        <v>89</v>
      </c>
      <c r="M1692" s="175">
        <v>1.1200000000000001</v>
      </c>
      <c r="N1692" t="s">
        <v>4542</v>
      </c>
    </row>
    <row r="1693" spans="1:14">
      <c r="A1693">
        <v>6192</v>
      </c>
      <c r="B1693" t="s">
        <v>1671</v>
      </c>
      <c r="C1693">
        <v>114</v>
      </c>
      <c r="D1693">
        <v>114.5</v>
      </c>
      <c r="E1693" s="178">
        <v>0.5</v>
      </c>
      <c r="F1693" s="176">
        <v>0.44</v>
      </c>
      <c r="G1693" t="s">
        <v>6717</v>
      </c>
      <c r="H1693">
        <v>132</v>
      </c>
      <c r="I1693">
        <v>122</v>
      </c>
      <c r="J1693">
        <v>9.6199999999999992</v>
      </c>
      <c r="K1693">
        <v>115</v>
      </c>
      <c r="L1693">
        <v>113.5</v>
      </c>
      <c r="M1693" s="175">
        <v>0.14000000000000001</v>
      </c>
      <c r="N1693" t="s">
        <v>4543</v>
      </c>
    </row>
    <row r="1694" spans="1:14">
      <c r="A1694">
        <v>6194</v>
      </c>
      <c r="B1694" t="s">
        <v>1402</v>
      </c>
      <c r="C1694">
        <v>32.549999999999997</v>
      </c>
      <c r="D1694">
        <v>32.5</v>
      </c>
      <c r="E1694" s="178">
        <v>-0.2</v>
      </c>
      <c r="F1694" s="176">
        <v>-0.61</v>
      </c>
      <c r="G1694" t="s">
        <v>5280</v>
      </c>
      <c r="H1694">
        <v>65</v>
      </c>
      <c r="I1694">
        <v>87</v>
      </c>
      <c r="J1694">
        <v>4.8</v>
      </c>
      <c r="K1694">
        <v>32.85</v>
      </c>
      <c r="L1694">
        <v>32.5</v>
      </c>
      <c r="M1694" s="175">
        <v>0.14000000000000001</v>
      </c>
      <c r="N1694" t="s">
        <v>4544</v>
      </c>
    </row>
    <row r="1695" spans="1:14">
      <c r="A1695">
        <v>6195</v>
      </c>
      <c r="B1695" t="s">
        <v>1403</v>
      </c>
      <c r="C1695">
        <v>28.2</v>
      </c>
      <c r="D1695">
        <v>27.8</v>
      </c>
      <c r="E1695" s="178">
        <v>-0.65</v>
      </c>
      <c r="F1695" s="176">
        <v>-2.2799999999999998</v>
      </c>
      <c r="G1695" t="s">
        <v>6718</v>
      </c>
      <c r="H1695">
        <v>21</v>
      </c>
      <c r="I1695">
        <v>18</v>
      </c>
      <c r="J1695">
        <v>5.0199999999999996</v>
      </c>
      <c r="K1695">
        <v>28.4</v>
      </c>
      <c r="L1695">
        <v>27.8</v>
      </c>
      <c r="M1695" s="175">
        <v>0.04</v>
      </c>
      <c r="N1695" t="s">
        <v>4545</v>
      </c>
    </row>
    <row r="1696" spans="1:14">
      <c r="A1696">
        <v>6196</v>
      </c>
      <c r="B1696" t="s">
        <v>1577</v>
      </c>
      <c r="C1696">
        <v>625</v>
      </c>
      <c r="D1696">
        <v>613</v>
      </c>
      <c r="E1696" s="178">
        <v>-43</v>
      </c>
      <c r="F1696" s="176">
        <v>-6.55</v>
      </c>
      <c r="G1696" t="s">
        <v>5970</v>
      </c>
      <c r="H1696">
        <v>1606</v>
      </c>
      <c r="I1696">
        <v>1387</v>
      </c>
      <c r="J1696">
        <v>22.03</v>
      </c>
      <c r="K1696">
        <v>630</v>
      </c>
      <c r="L1696">
        <v>606</v>
      </c>
      <c r="M1696" s="175">
        <v>0.73</v>
      </c>
      <c r="N1696" t="s">
        <v>4546</v>
      </c>
    </row>
    <row r="1697" spans="1:14">
      <c r="A1697">
        <v>6197</v>
      </c>
      <c r="B1697" t="s">
        <v>1404</v>
      </c>
      <c r="C1697">
        <v>356.5</v>
      </c>
      <c r="D1697">
        <v>355</v>
      </c>
      <c r="E1697" s="178">
        <v>-12</v>
      </c>
      <c r="F1697" s="176">
        <v>-3.27</v>
      </c>
      <c r="G1697" t="s">
        <v>6719</v>
      </c>
      <c r="H1697">
        <v>1974</v>
      </c>
      <c r="I1697">
        <v>4557</v>
      </c>
      <c r="J1697">
        <v>12.62</v>
      </c>
      <c r="K1697">
        <v>363</v>
      </c>
      <c r="L1697">
        <v>353.5</v>
      </c>
      <c r="M1697" s="175">
        <v>1.62</v>
      </c>
      <c r="N1697" t="s">
        <v>4547</v>
      </c>
    </row>
    <row r="1698" spans="1:14">
      <c r="A1698">
        <v>6198</v>
      </c>
      <c r="B1698" t="s">
        <v>1672</v>
      </c>
      <c r="C1698">
        <v>19.5</v>
      </c>
      <c r="D1698">
        <v>19.5</v>
      </c>
      <c r="E1698" s="178">
        <v>-0.55000000000000004</v>
      </c>
      <c r="F1698" s="176">
        <v>-2.74</v>
      </c>
      <c r="G1698" t="s">
        <v>6720</v>
      </c>
      <c r="H1698">
        <v>3</v>
      </c>
      <c r="I1698">
        <v>2</v>
      </c>
      <c r="J1698">
        <v>17.14</v>
      </c>
      <c r="K1698">
        <v>19.5</v>
      </c>
      <c r="L1698">
        <v>19.5</v>
      </c>
      <c r="M1698" s="175">
        <v>0</v>
      </c>
      <c r="N1698" t="s">
        <v>4548</v>
      </c>
    </row>
    <row r="1699" spans="1:14">
      <c r="A1699">
        <v>6199</v>
      </c>
      <c r="B1699" t="s">
        <v>1405</v>
      </c>
      <c r="C1699">
        <v>142</v>
      </c>
      <c r="D1699">
        <v>142</v>
      </c>
      <c r="E1699" s="178">
        <v>4</v>
      </c>
      <c r="F1699" s="176">
        <v>2.9</v>
      </c>
      <c r="G1699" t="s">
        <v>5703</v>
      </c>
      <c r="H1699">
        <v>7620</v>
      </c>
      <c r="I1699">
        <v>8054</v>
      </c>
      <c r="J1699">
        <v>6.18</v>
      </c>
      <c r="K1699">
        <v>142.5</v>
      </c>
      <c r="L1699">
        <v>141</v>
      </c>
      <c r="M1699" s="175">
        <v>12.34</v>
      </c>
      <c r="N1699" t="s">
        <v>4549</v>
      </c>
    </row>
    <row r="1700" spans="1:14">
      <c r="A1700">
        <v>6201</v>
      </c>
      <c r="B1700" t="s">
        <v>1406</v>
      </c>
      <c r="C1700">
        <v>46.2</v>
      </c>
      <c r="D1700">
        <v>46.05</v>
      </c>
      <c r="E1700" s="178">
        <v>0</v>
      </c>
      <c r="F1700" s="176">
        <v>0</v>
      </c>
      <c r="G1700" t="s">
        <v>5218</v>
      </c>
      <c r="H1700">
        <v>33</v>
      </c>
      <c r="I1700">
        <v>52</v>
      </c>
      <c r="J1700">
        <v>8.92</v>
      </c>
      <c r="K1700">
        <v>46.2</v>
      </c>
      <c r="L1700">
        <v>45.5</v>
      </c>
      <c r="M1700" s="175">
        <v>0.04</v>
      </c>
      <c r="N1700" t="s">
        <v>4550</v>
      </c>
    </row>
    <row r="1701" spans="1:14">
      <c r="A1701">
        <v>6202</v>
      </c>
      <c r="B1701" t="s">
        <v>1407</v>
      </c>
      <c r="C1701">
        <v>55.5</v>
      </c>
      <c r="D1701">
        <v>55.1</v>
      </c>
      <c r="E1701" s="178">
        <v>-1.8</v>
      </c>
      <c r="F1701" s="176">
        <v>-3.16</v>
      </c>
      <c r="G1701" t="s">
        <v>6721</v>
      </c>
      <c r="H1701">
        <v>1477</v>
      </c>
      <c r="I1701">
        <v>1350</v>
      </c>
      <c r="J1701">
        <v>23.04</v>
      </c>
      <c r="K1701">
        <v>56.2</v>
      </c>
      <c r="L1701">
        <v>54.6</v>
      </c>
      <c r="M1701" s="175">
        <v>0.65</v>
      </c>
      <c r="N1701" t="s">
        <v>4551</v>
      </c>
    </row>
    <row r="1702" spans="1:14">
      <c r="A1702">
        <v>6203</v>
      </c>
      <c r="B1702" t="s">
        <v>1408</v>
      </c>
      <c r="C1702">
        <v>58.6</v>
      </c>
      <c r="D1702">
        <v>58</v>
      </c>
      <c r="E1702" s="178">
        <v>-0.8</v>
      </c>
      <c r="F1702" s="176">
        <v>-1.36</v>
      </c>
      <c r="G1702" t="s">
        <v>5845</v>
      </c>
      <c r="H1702">
        <v>122</v>
      </c>
      <c r="I1702">
        <v>65</v>
      </c>
      <c r="J1702">
        <v>8.24</v>
      </c>
      <c r="K1702">
        <v>58.9</v>
      </c>
      <c r="L1702">
        <v>57.9</v>
      </c>
      <c r="M1702" s="175">
        <v>0.15</v>
      </c>
      <c r="N1702" t="s">
        <v>4552</v>
      </c>
    </row>
    <row r="1703" spans="1:14">
      <c r="A1703">
        <v>6204</v>
      </c>
      <c r="B1703" t="s">
        <v>266</v>
      </c>
      <c r="C1703">
        <v>112</v>
      </c>
      <c r="D1703">
        <v>110.5</v>
      </c>
      <c r="E1703" s="178">
        <v>-3.5</v>
      </c>
      <c r="F1703" s="176">
        <v>-3.07</v>
      </c>
      <c r="G1703" t="s">
        <v>6722</v>
      </c>
      <c r="H1703">
        <v>384</v>
      </c>
      <c r="I1703">
        <v>471</v>
      </c>
      <c r="J1703">
        <v>2.31</v>
      </c>
      <c r="K1703">
        <v>113.5</v>
      </c>
      <c r="L1703">
        <v>110</v>
      </c>
      <c r="M1703" s="175">
        <v>1.66</v>
      </c>
      <c r="N1703" t="s">
        <v>4553</v>
      </c>
    </row>
    <row r="1704" spans="1:14">
      <c r="A1704">
        <v>6205</v>
      </c>
      <c r="B1704" t="s">
        <v>1409</v>
      </c>
      <c r="C1704">
        <v>67.099999999999994</v>
      </c>
      <c r="D1704">
        <v>66.2</v>
      </c>
      <c r="E1704" s="178">
        <v>-2.9</v>
      </c>
      <c r="F1704" s="176">
        <v>-4.2</v>
      </c>
      <c r="G1704" t="s">
        <v>6723</v>
      </c>
      <c r="H1704">
        <v>584</v>
      </c>
      <c r="I1704">
        <v>531</v>
      </c>
      <c r="J1704">
        <v>8.2200000000000006</v>
      </c>
      <c r="K1704">
        <v>67.599999999999994</v>
      </c>
      <c r="L1704">
        <v>65.599999999999994</v>
      </c>
      <c r="M1704" s="175">
        <v>0.71</v>
      </c>
      <c r="N1704" t="s">
        <v>4554</v>
      </c>
    </row>
    <row r="1705" spans="1:14">
      <c r="A1705">
        <v>6206</v>
      </c>
      <c r="B1705" t="s">
        <v>1410</v>
      </c>
      <c r="C1705">
        <v>134</v>
      </c>
      <c r="D1705">
        <v>135</v>
      </c>
      <c r="E1705" s="178">
        <v>-0.5</v>
      </c>
      <c r="F1705" s="176">
        <v>-0.37</v>
      </c>
      <c r="G1705" t="s">
        <v>6724</v>
      </c>
      <c r="H1705">
        <v>551</v>
      </c>
      <c r="I1705">
        <v>625</v>
      </c>
      <c r="J1705">
        <v>14.31</v>
      </c>
      <c r="K1705">
        <v>135.5</v>
      </c>
      <c r="L1705">
        <v>133</v>
      </c>
      <c r="M1705" s="175">
        <v>0.39</v>
      </c>
      <c r="N1705" t="s">
        <v>4555</v>
      </c>
    </row>
    <row r="1706" spans="1:14">
      <c r="A1706">
        <v>6207</v>
      </c>
      <c r="B1706" t="s">
        <v>1411</v>
      </c>
      <c r="C1706">
        <v>135</v>
      </c>
      <c r="D1706">
        <v>130</v>
      </c>
      <c r="E1706" s="178">
        <v>-9.5</v>
      </c>
      <c r="F1706" s="176">
        <v>-6.81</v>
      </c>
      <c r="G1706" t="s">
        <v>6590</v>
      </c>
      <c r="H1706">
        <v>3583</v>
      </c>
      <c r="I1706">
        <v>6822</v>
      </c>
      <c r="J1706">
        <v>9.36</v>
      </c>
      <c r="K1706">
        <v>136.5</v>
      </c>
      <c r="L1706">
        <v>130</v>
      </c>
      <c r="M1706" s="175">
        <v>3.83</v>
      </c>
      <c r="N1706" t="s">
        <v>4556</v>
      </c>
    </row>
    <row r="1707" spans="1:14">
      <c r="A1707">
        <v>6208</v>
      </c>
      <c r="B1707" t="s">
        <v>2638</v>
      </c>
      <c r="C1707">
        <v>73.3</v>
      </c>
      <c r="D1707">
        <v>72.7</v>
      </c>
      <c r="E1707" s="178">
        <v>-1.7</v>
      </c>
      <c r="F1707" s="176">
        <v>-2.2799999999999998</v>
      </c>
      <c r="G1707" t="s">
        <v>6725</v>
      </c>
      <c r="H1707">
        <v>177</v>
      </c>
      <c r="I1707">
        <v>146</v>
      </c>
      <c r="J1707">
        <v>9.4499999999999993</v>
      </c>
      <c r="K1707">
        <v>73.5</v>
      </c>
      <c r="L1707">
        <v>72.2</v>
      </c>
      <c r="M1707" s="175">
        <v>0.19</v>
      </c>
      <c r="N1707" t="s">
        <v>4557</v>
      </c>
    </row>
    <row r="1708" spans="1:14">
      <c r="A1708">
        <v>6209</v>
      </c>
      <c r="B1708" t="s">
        <v>1412</v>
      </c>
      <c r="C1708">
        <v>87.5</v>
      </c>
      <c r="D1708">
        <v>93</v>
      </c>
      <c r="E1708" s="178">
        <v>3.2</v>
      </c>
      <c r="F1708" s="176">
        <v>3.56</v>
      </c>
      <c r="G1708" t="s">
        <v>6726</v>
      </c>
      <c r="H1708">
        <v>41439</v>
      </c>
      <c r="I1708">
        <v>19967</v>
      </c>
      <c r="J1708">
        <v>18.239999999999998</v>
      </c>
      <c r="K1708">
        <v>98</v>
      </c>
      <c r="L1708">
        <v>86.4</v>
      </c>
      <c r="M1708" s="175">
        <v>22.96</v>
      </c>
      <c r="N1708" t="s">
        <v>4558</v>
      </c>
    </row>
    <row r="1709" spans="1:14">
      <c r="A1709">
        <v>6210</v>
      </c>
      <c r="B1709" t="s">
        <v>1413</v>
      </c>
      <c r="C1709">
        <v>18.600000000000001</v>
      </c>
      <c r="D1709">
        <v>18.649999999999999</v>
      </c>
      <c r="E1709" s="178">
        <v>-0.05</v>
      </c>
      <c r="F1709" s="176">
        <v>-0.27</v>
      </c>
      <c r="G1709" t="s">
        <v>6727</v>
      </c>
      <c r="H1709">
        <v>25</v>
      </c>
      <c r="I1709">
        <v>62</v>
      </c>
      <c r="J1709">
        <v>3.5</v>
      </c>
      <c r="K1709">
        <v>18.899999999999999</v>
      </c>
      <c r="L1709">
        <v>18.2</v>
      </c>
      <c r="M1709" s="175">
        <v>7.0000000000000007E-2</v>
      </c>
      <c r="N1709" t="s">
        <v>4559</v>
      </c>
    </row>
    <row r="1710" spans="1:14">
      <c r="A1710">
        <v>6212</v>
      </c>
      <c r="B1710" t="s">
        <v>1414</v>
      </c>
      <c r="C1710">
        <v>32.200000000000003</v>
      </c>
      <c r="D1710">
        <v>32</v>
      </c>
      <c r="E1710" s="178">
        <v>-0.2</v>
      </c>
      <c r="F1710" s="176">
        <v>-0.62</v>
      </c>
      <c r="G1710" t="s">
        <v>6728</v>
      </c>
      <c r="H1710">
        <v>2</v>
      </c>
      <c r="I1710">
        <v>0</v>
      </c>
      <c r="J1710">
        <v>10.199999999999999</v>
      </c>
      <c r="K1710">
        <v>32.200000000000003</v>
      </c>
      <c r="L1710">
        <v>32</v>
      </c>
      <c r="M1710" s="175">
        <v>0</v>
      </c>
      <c r="N1710" t="s">
        <v>4560</v>
      </c>
    </row>
    <row r="1711" spans="1:14">
      <c r="A1711">
        <v>6213</v>
      </c>
      <c r="B1711" t="s">
        <v>1415</v>
      </c>
      <c r="C1711">
        <v>801</v>
      </c>
      <c r="D1711">
        <v>799</v>
      </c>
      <c r="E1711" s="178">
        <v>-57</v>
      </c>
      <c r="F1711" s="176">
        <v>-6.66</v>
      </c>
      <c r="G1711" t="s">
        <v>5590</v>
      </c>
      <c r="H1711">
        <v>6503</v>
      </c>
      <c r="I1711">
        <v>7494</v>
      </c>
      <c r="J1711">
        <v>36.36</v>
      </c>
      <c r="K1711">
        <v>836</v>
      </c>
      <c r="L1711">
        <v>779</v>
      </c>
      <c r="M1711" s="175">
        <v>1.79</v>
      </c>
      <c r="N1711" t="s">
        <v>4561</v>
      </c>
    </row>
    <row r="1712" spans="1:14">
      <c r="A1712">
        <v>6214</v>
      </c>
      <c r="B1712" t="s">
        <v>1416</v>
      </c>
      <c r="C1712">
        <v>196.5</v>
      </c>
      <c r="D1712">
        <v>197</v>
      </c>
      <c r="E1712" s="178">
        <v>1</v>
      </c>
      <c r="F1712" s="176">
        <v>0.51</v>
      </c>
      <c r="G1712" t="s">
        <v>6537</v>
      </c>
      <c r="H1712">
        <v>1201</v>
      </c>
      <c r="I1712">
        <v>1057</v>
      </c>
      <c r="J1712">
        <v>27.22</v>
      </c>
      <c r="K1712">
        <v>199</v>
      </c>
      <c r="L1712">
        <v>195.5</v>
      </c>
      <c r="M1712" s="175">
        <v>0.44</v>
      </c>
      <c r="N1712" t="s">
        <v>4562</v>
      </c>
    </row>
    <row r="1713" spans="1:14">
      <c r="A1713">
        <v>6215</v>
      </c>
      <c r="B1713" t="s">
        <v>1417</v>
      </c>
      <c r="C1713">
        <v>92.3</v>
      </c>
      <c r="D1713">
        <v>90.5</v>
      </c>
      <c r="E1713" s="178">
        <v>-3.8</v>
      </c>
      <c r="F1713" s="176">
        <v>-4.03</v>
      </c>
      <c r="G1713" t="s">
        <v>6729</v>
      </c>
      <c r="H1713">
        <v>588</v>
      </c>
      <c r="I1713">
        <v>528</v>
      </c>
      <c r="J1713">
        <v>8.35</v>
      </c>
      <c r="K1713">
        <v>92.4</v>
      </c>
      <c r="L1713">
        <v>89.8</v>
      </c>
      <c r="M1713" s="175">
        <v>0.7</v>
      </c>
      <c r="N1713" t="s">
        <v>4563</v>
      </c>
    </row>
    <row r="1714" spans="1:14">
      <c r="A1714">
        <v>6216</v>
      </c>
      <c r="B1714" t="s">
        <v>1418</v>
      </c>
      <c r="C1714">
        <v>19.600000000000001</v>
      </c>
      <c r="D1714">
        <v>19.149999999999999</v>
      </c>
      <c r="E1714" s="178">
        <v>-0.25</v>
      </c>
      <c r="F1714" s="176">
        <v>-1.29</v>
      </c>
      <c r="G1714" t="s">
        <v>5209</v>
      </c>
      <c r="H1714">
        <v>281</v>
      </c>
      <c r="I1714">
        <v>339</v>
      </c>
      <c r="J1714">
        <v>9.74</v>
      </c>
      <c r="K1714">
        <v>19.600000000000001</v>
      </c>
      <c r="L1714">
        <v>19.149999999999999</v>
      </c>
      <c r="M1714" s="175">
        <v>0.28999999999999998</v>
      </c>
      <c r="N1714" t="s">
        <v>4564</v>
      </c>
    </row>
    <row r="1715" spans="1:14">
      <c r="A1715">
        <v>6217</v>
      </c>
      <c r="B1715" t="s">
        <v>1419</v>
      </c>
      <c r="C1715">
        <v>209</v>
      </c>
      <c r="D1715">
        <v>195</v>
      </c>
      <c r="E1715" s="178">
        <v>-21.5</v>
      </c>
      <c r="F1715" s="176">
        <v>-9.93</v>
      </c>
      <c r="G1715" t="s">
        <v>6730</v>
      </c>
      <c r="H1715">
        <v>40933</v>
      </c>
      <c r="I1715">
        <v>9840</v>
      </c>
      <c r="J1715">
        <v>11.72</v>
      </c>
      <c r="K1715">
        <v>224.5</v>
      </c>
      <c r="L1715">
        <v>195</v>
      </c>
      <c r="M1715" s="175">
        <v>34.92</v>
      </c>
      <c r="N1715" t="s">
        <v>4565</v>
      </c>
    </row>
    <row r="1716" spans="1:14">
      <c r="A1716">
        <v>6218</v>
      </c>
      <c r="B1716" t="s">
        <v>1420</v>
      </c>
      <c r="C1716">
        <v>54.6</v>
      </c>
      <c r="D1716">
        <v>51.6</v>
      </c>
      <c r="E1716" s="178">
        <v>-4.7</v>
      </c>
      <c r="F1716" s="176">
        <v>-8.35</v>
      </c>
      <c r="G1716" t="s">
        <v>5172</v>
      </c>
      <c r="H1716">
        <v>2020</v>
      </c>
      <c r="I1716">
        <v>4904</v>
      </c>
      <c r="J1716">
        <v>6.43</v>
      </c>
      <c r="K1716">
        <v>54.9</v>
      </c>
      <c r="L1716">
        <v>51.2</v>
      </c>
      <c r="M1716" s="175">
        <v>3.14</v>
      </c>
      <c r="N1716" t="s">
        <v>4566</v>
      </c>
    </row>
    <row r="1717" spans="1:14">
      <c r="A1717">
        <v>6219</v>
      </c>
      <c r="B1717" t="s">
        <v>1421</v>
      </c>
      <c r="C1717">
        <v>12</v>
      </c>
      <c r="D1717">
        <v>12</v>
      </c>
      <c r="E1717" s="178">
        <v>-0.05</v>
      </c>
      <c r="F1717" s="176">
        <v>-0.41</v>
      </c>
      <c r="G1717" t="s">
        <v>5660</v>
      </c>
      <c r="H1717">
        <v>78</v>
      </c>
      <c r="I1717">
        <v>70</v>
      </c>
      <c r="J1717">
        <v>12.5</v>
      </c>
      <c r="K1717">
        <v>12</v>
      </c>
      <c r="L1717">
        <v>11.85</v>
      </c>
      <c r="M1717" s="175">
        <v>0.06</v>
      </c>
      <c r="N1717" t="s">
        <v>4567</v>
      </c>
    </row>
    <row r="1718" spans="1:14">
      <c r="A1718">
        <v>6220</v>
      </c>
      <c r="B1718" t="s">
        <v>1422</v>
      </c>
      <c r="C1718">
        <v>24.85</v>
      </c>
      <c r="D1718">
        <v>25.05</v>
      </c>
      <c r="E1718" s="178">
        <v>0</v>
      </c>
      <c r="F1718" s="176">
        <v>0</v>
      </c>
      <c r="G1718" t="s">
        <v>5657</v>
      </c>
      <c r="H1718">
        <v>249</v>
      </c>
      <c r="I1718">
        <v>250</v>
      </c>
      <c r="J1718">
        <v>14.65</v>
      </c>
      <c r="K1718">
        <v>25.05</v>
      </c>
      <c r="L1718">
        <v>24.7</v>
      </c>
      <c r="M1718" s="175">
        <v>0.17</v>
      </c>
      <c r="N1718" t="s">
        <v>4568</v>
      </c>
    </row>
    <row r="1719" spans="1:14">
      <c r="A1719">
        <v>6221</v>
      </c>
      <c r="B1719" t="s">
        <v>1423</v>
      </c>
      <c r="C1719">
        <v>34</v>
      </c>
      <c r="D1719">
        <v>33.9</v>
      </c>
      <c r="E1719" s="178">
        <v>-1.3</v>
      </c>
      <c r="F1719" s="176">
        <v>-3.69</v>
      </c>
      <c r="G1719" t="s">
        <v>5330</v>
      </c>
      <c r="H1719">
        <v>3135</v>
      </c>
      <c r="I1719">
        <v>3122</v>
      </c>
      <c r="J1719">
        <v>16.86</v>
      </c>
      <c r="K1719">
        <v>36.4</v>
      </c>
      <c r="L1719">
        <v>33.6</v>
      </c>
      <c r="M1719" s="175">
        <v>1.86</v>
      </c>
      <c r="N1719" t="s">
        <v>4569</v>
      </c>
    </row>
    <row r="1720" spans="1:14">
      <c r="A1720">
        <v>6222</v>
      </c>
      <c r="B1720" t="s">
        <v>2707</v>
      </c>
      <c r="C1720">
        <v>19.350000000000001</v>
      </c>
      <c r="D1720">
        <v>19.649999999999999</v>
      </c>
      <c r="E1720" s="178">
        <v>0.3</v>
      </c>
      <c r="F1720" s="176">
        <v>1.55</v>
      </c>
      <c r="G1720" t="s">
        <v>6731</v>
      </c>
      <c r="H1720">
        <v>3</v>
      </c>
      <c r="I1720">
        <v>4</v>
      </c>
      <c r="J1720">
        <v>11.07</v>
      </c>
      <c r="K1720">
        <v>19.649999999999999</v>
      </c>
      <c r="L1720">
        <v>19.350000000000001</v>
      </c>
      <c r="M1720" s="175">
        <v>0</v>
      </c>
      <c r="N1720" t="s">
        <v>4570</v>
      </c>
    </row>
    <row r="1721" spans="1:14">
      <c r="A1721">
        <v>6223</v>
      </c>
      <c r="B1721" t="s">
        <v>1424</v>
      </c>
      <c r="C1721">
        <v>5600</v>
      </c>
      <c r="D1721">
        <v>5300</v>
      </c>
      <c r="E1721" s="178">
        <v>-585</v>
      </c>
      <c r="F1721" s="176">
        <v>-9.94</v>
      </c>
      <c r="G1721" t="s">
        <v>6732</v>
      </c>
      <c r="H1721">
        <v>981</v>
      </c>
      <c r="I1721">
        <v>1045</v>
      </c>
      <c r="J1721">
        <v>9.8000000000000007</v>
      </c>
      <c r="K1721">
        <v>5615</v>
      </c>
      <c r="L1721">
        <v>5300</v>
      </c>
      <c r="M1721" s="175">
        <v>1</v>
      </c>
      <c r="N1721" t="s">
        <v>4571</v>
      </c>
    </row>
    <row r="1722" spans="1:14">
      <c r="A1722">
        <v>6224</v>
      </c>
      <c r="B1722" t="s">
        <v>400</v>
      </c>
      <c r="C1722">
        <v>77.099999999999994</v>
      </c>
      <c r="D1722">
        <v>73.400000000000006</v>
      </c>
      <c r="E1722" s="178">
        <v>-3.8</v>
      </c>
      <c r="F1722" s="176">
        <v>-4.92</v>
      </c>
      <c r="G1722" t="s">
        <v>5558</v>
      </c>
      <c r="H1722">
        <v>524</v>
      </c>
      <c r="I1722">
        <v>680</v>
      </c>
      <c r="J1722">
        <v>8.56</v>
      </c>
      <c r="K1722">
        <v>77.099999999999994</v>
      </c>
      <c r="L1722">
        <v>73.3</v>
      </c>
      <c r="M1722" s="175">
        <v>0.61</v>
      </c>
      <c r="N1722" t="s">
        <v>4572</v>
      </c>
    </row>
    <row r="1723" spans="1:14">
      <c r="A1723">
        <v>6225</v>
      </c>
      <c r="B1723" t="s">
        <v>1425</v>
      </c>
      <c r="C1723">
        <v>89.9</v>
      </c>
      <c r="D1723">
        <v>84.6</v>
      </c>
      <c r="E1723" s="178">
        <v>-3.6</v>
      </c>
      <c r="F1723" s="176">
        <v>-4.08</v>
      </c>
      <c r="G1723" t="s">
        <v>6733</v>
      </c>
      <c r="H1723">
        <v>534</v>
      </c>
      <c r="I1723">
        <v>347</v>
      </c>
      <c r="J1723">
        <v>6</v>
      </c>
      <c r="K1723">
        <v>96.6</v>
      </c>
      <c r="L1723">
        <v>79.599999999999994</v>
      </c>
      <c r="M1723" s="175">
        <v>0.89</v>
      </c>
      <c r="N1723" t="s">
        <v>4573</v>
      </c>
    </row>
    <row r="1724" spans="1:14">
      <c r="A1724">
        <v>6226</v>
      </c>
      <c r="B1724" t="s">
        <v>1426</v>
      </c>
      <c r="C1724">
        <v>43.2</v>
      </c>
      <c r="D1724">
        <v>40.1</v>
      </c>
      <c r="E1724" s="178">
        <v>-4.4000000000000004</v>
      </c>
      <c r="F1724" s="176">
        <v>-9.89</v>
      </c>
      <c r="G1724" t="s">
        <v>5567</v>
      </c>
      <c r="H1724">
        <v>9289</v>
      </c>
      <c r="I1724">
        <v>17599</v>
      </c>
      <c r="J1724">
        <v>11.55</v>
      </c>
      <c r="K1724">
        <v>44.4</v>
      </c>
      <c r="L1724">
        <v>40.049999999999997</v>
      </c>
      <c r="M1724" s="175">
        <v>8.0399999999999991</v>
      </c>
      <c r="N1724" t="s">
        <v>4574</v>
      </c>
    </row>
    <row r="1725" spans="1:14">
      <c r="A1725">
        <v>6227</v>
      </c>
      <c r="B1725" t="s">
        <v>1427</v>
      </c>
      <c r="C1725">
        <v>125.5</v>
      </c>
      <c r="D1725">
        <v>125</v>
      </c>
      <c r="E1725" s="178">
        <v>-3</v>
      </c>
      <c r="F1725" s="176">
        <v>-2.34</v>
      </c>
      <c r="G1725" t="s">
        <v>6734</v>
      </c>
      <c r="H1725">
        <v>466</v>
      </c>
      <c r="I1725">
        <v>1047</v>
      </c>
      <c r="J1725">
        <v>7.61</v>
      </c>
      <c r="K1725">
        <v>127</v>
      </c>
      <c r="L1725">
        <v>123.5</v>
      </c>
      <c r="M1725" s="175">
        <v>0.61</v>
      </c>
      <c r="N1725" t="s">
        <v>4575</v>
      </c>
    </row>
    <row r="1726" spans="1:14">
      <c r="A1726">
        <v>6228</v>
      </c>
      <c r="B1726" t="s">
        <v>1428</v>
      </c>
      <c r="C1726" t="s">
        <v>1555</v>
      </c>
      <c r="D1726" t="s">
        <v>1555</v>
      </c>
      <c r="E1726" s="178" t="s">
        <v>1555</v>
      </c>
      <c r="F1726" s="176" t="s">
        <v>1555</v>
      </c>
      <c r="G1726" t="s">
        <v>1555</v>
      </c>
      <c r="H1726">
        <v>0</v>
      </c>
      <c r="I1726">
        <v>12</v>
      </c>
      <c r="J1726">
        <v>2.9</v>
      </c>
      <c r="K1726" t="s">
        <v>1555</v>
      </c>
      <c r="L1726" t="s">
        <v>1555</v>
      </c>
      <c r="M1726" s="175">
        <v>0</v>
      </c>
      <c r="N1726" t="s">
        <v>4576</v>
      </c>
    </row>
    <row r="1727" spans="1:14">
      <c r="A1727">
        <v>6229</v>
      </c>
      <c r="B1727" t="s">
        <v>1429</v>
      </c>
      <c r="C1727">
        <v>23.45</v>
      </c>
      <c r="D1727">
        <v>22.85</v>
      </c>
      <c r="E1727" s="178">
        <v>-0.35</v>
      </c>
      <c r="F1727" s="176">
        <v>-1.51</v>
      </c>
      <c r="G1727" t="s">
        <v>5411</v>
      </c>
      <c r="H1727">
        <v>87</v>
      </c>
      <c r="I1727">
        <v>73</v>
      </c>
      <c r="J1727">
        <v>4.04</v>
      </c>
      <c r="K1727">
        <v>23.45</v>
      </c>
      <c r="L1727">
        <v>22.75</v>
      </c>
      <c r="M1727" s="175">
        <v>0.22</v>
      </c>
      <c r="N1727" t="s">
        <v>4577</v>
      </c>
    </row>
    <row r="1728" spans="1:14">
      <c r="A1728">
        <v>6230</v>
      </c>
      <c r="B1728" t="s">
        <v>1430</v>
      </c>
      <c r="C1728">
        <v>112.5</v>
      </c>
      <c r="D1728">
        <v>111.5</v>
      </c>
      <c r="E1728" s="178">
        <v>-1</v>
      </c>
      <c r="F1728" s="176">
        <v>-0.89</v>
      </c>
      <c r="G1728" t="s">
        <v>5382</v>
      </c>
      <c r="H1728">
        <v>51</v>
      </c>
      <c r="I1728">
        <v>44</v>
      </c>
      <c r="J1728">
        <v>8.6300000000000008</v>
      </c>
      <c r="K1728">
        <v>114</v>
      </c>
      <c r="L1728">
        <v>110</v>
      </c>
      <c r="M1728" s="175">
        <v>0.06</v>
      </c>
      <c r="N1728" t="s">
        <v>4578</v>
      </c>
    </row>
    <row r="1729" spans="1:14">
      <c r="A1729">
        <v>6231</v>
      </c>
      <c r="B1729" t="s">
        <v>1431</v>
      </c>
      <c r="C1729">
        <v>241</v>
      </c>
      <c r="D1729">
        <v>234.5</v>
      </c>
      <c r="E1729" s="178">
        <v>-13.5</v>
      </c>
      <c r="F1729" s="176">
        <v>-5.44</v>
      </c>
      <c r="G1729" t="s">
        <v>5217</v>
      </c>
      <c r="H1729">
        <v>434</v>
      </c>
      <c r="I1729">
        <v>526</v>
      </c>
      <c r="J1729">
        <v>4.57</v>
      </c>
      <c r="K1729">
        <v>243</v>
      </c>
      <c r="L1729">
        <v>232</v>
      </c>
      <c r="M1729" s="175">
        <v>0.95</v>
      </c>
      <c r="N1729" t="s">
        <v>4579</v>
      </c>
    </row>
    <row r="1730" spans="1:14">
      <c r="A1730">
        <v>6233</v>
      </c>
      <c r="B1730" t="s">
        <v>1432</v>
      </c>
      <c r="C1730">
        <v>25</v>
      </c>
      <c r="D1730">
        <v>24.95</v>
      </c>
      <c r="E1730" s="178">
        <v>-0.2</v>
      </c>
      <c r="F1730" s="176">
        <v>-0.8</v>
      </c>
      <c r="G1730" t="s">
        <v>5638</v>
      </c>
      <c r="H1730">
        <v>273</v>
      </c>
      <c r="I1730">
        <v>359</v>
      </c>
      <c r="J1730">
        <v>8.1</v>
      </c>
      <c r="K1730">
        <v>25.1</v>
      </c>
      <c r="L1730">
        <v>24.85</v>
      </c>
      <c r="M1730" s="175">
        <v>0.34</v>
      </c>
      <c r="N1730" t="s">
        <v>4580</v>
      </c>
    </row>
    <row r="1731" spans="1:14">
      <c r="A1731">
        <v>6234</v>
      </c>
      <c r="B1731" t="s">
        <v>1433</v>
      </c>
      <c r="C1731">
        <v>45.9</v>
      </c>
      <c r="D1731">
        <v>44.6</v>
      </c>
      <c r="E1731" s="178">
        <v>-1.35</v>
      </c>
      <c r="F1731" s="176">
        <v>-2.94</v>
      </c>
      <c r="G1731" t="s">
        <v>6735</v>
      </c>
      <c r="H1731">
        <v>5339</v>
      </c>
      <c r="I1731">
        <v>3754</v>
      </c>
      <c r="J1731">
        <v>10.039999999999999</v>
      </c>
      <c r="K1731">
        <v>47.55</v>
      </c>
      <c r="L1731">
        <v>43.2</v>
      </c>
      <c r="M1731" s="175">
        <v>5.32</v>
      </c>
      <c r="N1731" t="s">
        <v>4581</v>
      </c>
    </row>
    <row r="1732" spans="1:14">
      <c r="A1732">
        <v>6235</v>
      </c>
      <c r="B1732" t="s">
        <v>1434</v>
      </c>
      <c r="C1732">
        <v>35.9</v>
      </c>
      <c r="D1732">
        <v>35.5</v>
      </c>
      <c r="E1732" s="178">
        <v>-1</v>
      </c>
      <c r="F1732" s="176">
        <v>-2.74</v>
      </c>
      <c r="G1732" t="s">
        <v>6736</v>
      </c>
      <c r="H1732">
        <v>492</v>
      </c>
      <c r="I1732">
        <v>402</v>
      </c>
      <c r="J1732">
        <v>19.989999999999998</v>
      </c>
      <c r="K1732">
        <v>36.1</v>
      </c>
      <c r="L1732">
        <v>35.4</v>
      </c>
      <c r="M1732" s="175">
        <v>0.25</v>
      </c>
      <c r="N1732" t="s">
        <v>4582</v>
      </c>
    </row>
    <row r="1733" spans="1:14">
      <c r="A1733">
        <v>6236</v>
      </c>
      <c r="B1733" t="s">
        <v>2295</v>
      </c>
      <c r="C1733">
        <v>15.75</v>
      </c>
      <c r="D1733">
        <v>16.25</v>
      </c>
      <c r="E1733" s="178">
        <v>1</v>
      </c>
      <c r="F1733" s="176">
        <v>6.56</v>
      </c>
      <c r="G1733" t="s">
        <v>6737</v>
      </c>
      <c r="H1733">
        <v>2</v>
      </c>
      <c r="I1733">
        <v>3</v>
      </c>
      <c r="J1733">
        <v>4.17</v>
      </c>
      <c r="K1733">
        <v>16.25</v>
      </c>
      <c r="L1733">
        <v>15.75</v>
      </c>
      <c r="M1733" s="175">
        <v>0</v>
      </c>
      <c r="N1733" t="s">
        <v>4583</v>
      </c>
    </row>
    <row r="1734" spans="1:14">
      <c r="A1734">
        <v>6237</v>
      </c>
      <c r="B1734" t="s">
        <v>1435</v>
      </c>
      <c r="C1734">
        <v>33.200000000000003</v>
      </c>
      <c r="D1734">
        <v>32.6</v>
      </c>
      <c r="E1734" s="178">
        <v>-1</v>
      </c>
      <c r="F1734" s="176">
        <v>-2.98</v>
      </c>
      <c r="G1734" t="s">
        <v>6738</v>
      </c>
      <c r="H1734">
        <v>438</v>
      </c>
      <c r="I1734">
        <v>289</v>
      </c>
      <c r="J1734">
        <v>7.96</v>
      </c>
      <c r="K1734">
        <v>33.200000000000003</v>
      </c>
      <c r="L1734">
        <v>32.4</v>
      </c>
      <c r="M1734" s="175">
        <v>0.55000000000000004</v>
      </c>
      <c r="N1734" t="s">
        <v>4584</v>
      </c>
    </row>
    <row r="1735" spans="1:14">
      <c r="A1735">
        <v>6239</v>
      </c>
      <c r="B1735" t="s">
        <v>1436</v>
      </c>
      <c r="C1735">
        <v>286</v>
      </c>
      <c r="D1735">
        <v>270.5</v>
      </c>
      <c r="E1735" s="178">
        <v>-28</v>
      </c>
      <c r="F1735" s="176">
        <v>-9.3800000000000008</v>
      </c>
      <c r="G1735" t="s">
        <v>6739</v>
      </c>
      <c r="H1735">
        <v>24122</v>
      </c>
      <c r="I1735">
        <v>12944</v>
      </c>
      <c r="J1735">
        <v>75.91</v>
      </c>
      <c r="K1735">
        <v>286.5</v>
      </c>
      <c r="L1735">
        <v>269</v>
      </c>
      <c r="M1735" s="175">
        <v>3.18</v>
      </c>
      <c r="N1735" t="s">
        <v>4585</v>
      </c>
    </row>
    <row r="1736" spans="1:14">
      <c r="A1736">
        <v>6240</v>
      </c>
      <c r="B1736" t="s">
        <v>1437</v>
      </c>
      <c r="C1736">
        <v>27.95</v>
      </c>
      <c r="D1736">
        <v>30.1</v>
      </c>
      <c r="E1736" s="178">
        <v>2.15</v>
      </c>
      <c r="F1736" s="176">
        <v>7.69</v>
      </c>
      <c r="G1736" t="s">
        <v>6740</v>
      </c>
      <c r="H1736">
        <v>129</v>
      </c>
      <c r="I1736">
        <v>27</v>
      </c>
      <c r="J1736">
        <v>2.29</v>
      </c>
      <c r="K1736">
        <v>30.65</v>
      </c>
      <c r="L1736">
        <v>27.85</v>
      </c>
      <c r="M1736" s="175">
        <v>0.56000000000000005</v>
      </c>
      <c r="N1736" t="s">
        <v>4586</v>
      </c>
    </row>
    <row r="1737" spans="1:14">
      <c r="A1737">
        <v>6241</v>
      </c>
      <c r="B1737" t="s">
        <v>3173</v>
      </c>
      <c r="C1737">
        <v>16.5</v>
      </c>
      <c r="D1737">
        <v>16.600000000000001</v>
      </c>
      <c r="E1737" s="178">
        <v>0.05</v>
      </c>
      <c r="F1737" s="176">
        <v>0.3</v>
      </c>
      <c r="G1737" t="s">
        <v>5807</v>
      </c>
      <c r="H1737">
        <v>192</v>
      </c>
      <c r="I1737">
        <v>62</v>
      </c>
      <c r="J1737">
        <v>4.55</v>
      </c>
      <c r="K1737">
        <v>16.649999999999999</v>
      </c>
      <c r="L1737">
        <v>16.399999999999999</v>
      </c>
      <c r="M1737" s="175">
        <v>0.42</v>
      </c>
      <c r="N1737" t="s">
        <v>4587</v>
      </c>
    </row>
    <row r="1738" spans="1:14">
      <c r="A1738">
        <v>6242</v>
      </c>
      <c r="B1738" t="s">
        <v>1439</v>
      </c>
      <c r="C1738">
        <v>33.700000000000003</v>
      </c>
      <c r="D1738">
        <v>33.700000000000003</v>
      </c>
      <c r="E1738" s="178">
        <v>0</v>
      </c>
      <c r="F1738" s="176">
        <v>0</v>
      </c>
      <c r="G1738" t="s">
        <v>5592</v>
      </c>
      <c r="H1738">
        <v>4</v>
      </c>
      <c r="I1738">
        <v>3</v>
      </c>
      <c r="J1738">
        <v>3.18</v>
      </c>
      <c r="K1738">
        <v>33.700000000000003</v>
      </c>
      <c r="L1738">
        <v>33.700000000000003</v>
      </c>
      <c r="M1738" s="175">
        <v>0.01</v>
      </c>
      <c r="N1738" t="s">
        <v>4588</v>
      </c>
    </row>
    <row r="1739" spans="1:14">
      <c r="A1739">
        <v>6243</v>
      </c>
      <c r="B1739" t="s">
        <v>1440</v>
      </c>
      <c r="C1739">
        <v>38.5</v>
      </c>
      <c r="D1739">
        <v>36.85</v>
      </c>
      <c r="E1739" s="178">
        <v>-1.6</v>
      </c>
      <c r="F1739" s="176">
        <v>-4.16</v>
      </c>
      <c r="G1739" t="s">
        <v>6741</v>
      </c>
      <c r="H1739">
        <v>470</v>
      </c>
      <c r="I1739">
        <v>219</v>
      </c>
      <c r="J1739">
        <v>4.53</v>
      </c>
      <c r="K1739">
        <v>38.5</v>
      </c>
      <c r="L1739">
        <v>36.549999999999997</v>
      </c>
      <c r="M1739" s="175">
        <v>1.04</v>
      </c>
      <c r="N1739" t="s">
        <v>4589</v>
      </c>
    </row>
    <row r="1740" spans="1:14">
      <c r="A1740">
        <v>6244</v>
      </c>
      <c r="B1740" t="s">
        <v>1441</v>
      </c>
      <c r="C1740">
        <v>22</v>
      </c>
      <c r="D1740">
        <v>21.5</v>
      </c>
      <c r="E1740" s="178">
        <v>-0.8</v>
      </c>
      <c r="F1740" s="176">
        <v>-3.59</v>
      </c>
      <c r="G1740" t="s">
        <v>6742</v>
      </c>
      <c r="H1740">
        <v>2838</v>
      </c>
      <c r="I1740">
        <v>2727</v>
      </c>
      <c r="J1740">
        <v>38.700000000000003</v>
      </c>
      <c r="K1740">
        <v>22.1</v>
      </c>
      <c r="L1740">
        <v>21.35</v>
      </c>
      <c r="M1740" s="175">
        <v>0.73</v>
      </c>
      <c r="N1740" t="s">
        <v>4590</v>
      </c>
    </row>
    <row r="1741" spans="1:14">
      <c r="A1741">
        <v>6245</v>
      </c>
      <c r="B1741" t="s">
        <v>1442</v>
      </c>
      <c r="C1741">
        <v>88.8</v>
      </c>
      <c r="D1741">
        <v>87.7</v>
      </c>
      <c r="E1741" s="178">
        <v>-2</v>
      </c>
      <c r="F1741" s="176">
        <v>-2.23</v>
      </c>
      <c r="G1741" t="s">
        <v>6743</v>
      </c>
      <c r="H1741">
        <v>775</v>
      </c>
      <c r="I1741">
        <v>677</v>
      </c>
      <c r="J1741">
        <v>14.66</v>
      </c>
      <c r="K1741">
        <v>89.6</v>
      </c>
      <c r="L1741">
        <v>87.5</v>
      </c>
      <c r="M1741" s="175">
        <v>0.53</v>
      </c>
      <c r="N1741" t="s">
        <v>4591</v>
      </c>
    </row>
    <row r="1742" spans="1:14">
      <c r="A1742">
        <v>6246</v>
      </c>
      <c r="B1742" t="s">
        <v>1443</v>
      </c>
      <c r="C1742">
        <v>12.8</v>
      </c>
      <c r="D1742">
        <v>12.5</v>
      </c>
      <c r="E1742" s="178">
        <v>-0.1</v>
      </c>
      <c r="F1742" s="176">
        <v>-0.79</v>
      </c>
      <c r="G1742" t="s">
        <v>5693</v>
      </c>
      <c r="H1742">
        <v>42</v>
      </c>
      <c r="I1742">
        <v>21</v>
      </c>
      <c r="J1742">
        <v>3.79</v>
      </c>
      <c r="K1742">
        <v>12.85</v>
      </c>
      <c r="L1742">
        <v>12.4</v>
      </c>
      <c r="M1742" s="175">
        <v>0.11</v>
      </c>
      <c r="N1742" t="s">
        <v>4592</v>
      </c>
    </row>
    <row r="1743" spans="1:14">
      <c r="A1743">
        <v>6248</v>
      </c>
      <c r="B1743" t="s">
        <v>1444</v>
      </c>
      <c r="C1743">
        <v>16.8</v>
      </c>
      <c r="D1743">
        <v>16.8</v>
      </c>
      <c r="E1743" s="178">
        <v>-0.2</v>
      </c>
      <c r="F1743" s="176">
        <v>-1.18</v>
      </c>
      <c r="G1743" t="s">
        <v>5658</v>
      </c>
      <c r="H1743">
        <v>48</v>
      </c>
      <c r="I1743">
        <v>73</v>
      </c>
      <c r="J1743">
        <v>10</v>
      </c>
      <c r="K1743">
        <v>16.8</v>
      </c>
      <c r="L1743">
        <v>16.7</v>
      </c>
      <c r="M1743" s="175">
        <v>0.05</v>
      </c>
      <c r="N1743" t="s">
        <v>4593</v>
      </c>
    </row>
    <row r="1744" spans="1:14">
      <c r="A1744">
        <v>6257</v>
      </c>
      <c r="B1744" t="s">
        <v>1445</v>
      </c>
      <c r="C1744">
        <v>266</v>
      </c>
      <c r="D1744">
        <v>258</v>
      </c>
      <c r="E1744" s="178">
        <v>-19</v>
      </c>
      <c r="F1744" s="176">
        <v>-6.86</v>
      </c>
      <c r="G1744" t="s">
        <v>6744</v>
      </c>
      <c r="H1744">
        <v>14004</v>
      </c>
      <c r="I1744">
        <v>25209</v>
      </c>
      <c r="J1744">
        <v>48.39</v>
      </c>
      <c r="K1744">
        <v>266</v>
      </c>
      <c r="L1744">
        <v>253.5</v>
      </c>
      <c r="M1744" s="175">
        <v>2.89</v>
      </c>
      <c r="N1744" t="s">
        <v>4594</v>
      </c>
    </row>
    <row r="1745" spans="1:14">
      <c r="A1745">
        <v>6259</v>
      </c>
      <c r="B1745" t="s">
        <v>1446</v>
      </c>
      <c r="C1745">
        <v>31.5</v>
      </c>
      <c r="D1745">
        <v>30.05</v>
      </c>
      <c r="E1745" s="178">
        <v>-2.15</v>
      </c>
      <c r="F1745" s="176">
        <v>-6.68</v>
      </c>
      <c r="G1745" t="s">
        <v>6745</v>
      </c>
      <c r="H1745">
        <v>202</v>
      </c>
      <c r="I1745">
        <v>299</v>
      </c>
      <c r="J1745">
        <v>2.81</v>
      </c>
      <c r="K1745">
        <v>31.6</v>
      </c>
      <c r="L1745">
        <v>30.05</v>
      </c>
      <c r="M1745" s="175">
        <v>0.72</v>
      </c>
      <c r="N1745" t="s">
        <v>4595</v>
      </c>
    </row>
    <row r="1746" spans="1:14">
      <c r="A1746">
        <v>6261</v>
      </c>
      <c r="B1746" t="s">
        <v>1447</v>
      </c>
      <c r="C1746">
        <v>81.2</v>
      </c>
      <c r="D1746">
        <v>78.400000000000006</v>
      </c>
      <c r="E1746" s="178">
        <v>-5</v>
      </c>
      <c r="F1746" s="176">
        <v>-6</v>
      </c>
      <c r="G1746" t="s">
        <v>6403</v>
      </c>
      <c r="H1746">
        <v>1874</v>
      </c>
      <c r="I1746">
        <v>2906</v>
      </c>
      <c r="J1746">
        <v>12.85</v>
      </c>
      <c r="K1746">
        <v>82.5</v>
      </c>
      <c r="L1746">
        <v>78.099999999999994</v>
      </c>
      <c r="M1746" s="175">
        <v>1.46</v>
      </c>
      <c r="N1746" t="s">
        <v>4596</v>
      </c>
    </row>
    <row r="1747" spans="1:14">
      <c r="A1747">
        <v>6263</v>
      </c>
      <c r="B1747" t="s">
        <v>1448</v>
      </c>
      <c r="C1747">
        <v>175.5</v>
      </c>
      <c r="D1747">
        <v>173</v>
      </c>
      <c r="E1747" s="178">
        <v>-4</v>
      </c>
      <c r="F1747" s="176">
        <v>-2.2599999999999998</v>
      </c>
      <c r="G1747" t="s">
        <v>6746</v>
      </c>
      <c r="H1747">
        <v>210</v>
      </c>
      <c r="I1747">
        <v>453</v>
      </c>
      <c r="J1747">
        <v>6.25</v>
      </c>
      <c r="K1747">
        <v>176</v>
      </c>
      <c r="L1747">
        <v>173</v>
      </c>
      <c r="M1747" s="175">
        <v>0.34</v>
      </c>
      <c r="N1747" t="s">
        <v>4597</v>
      </c>
    </row>
    <row r="1748" spans="1:14">
      <c r="A1748">
        <v>6264</v>
      </c>
      <c r="B1748" t="s">
        <v>1449</v>
      </c>
      <c r="C1748">
        <v>6.02</v>
      </c>
      <c r="D1748">
        <v>6.03</v>
      </c>
      <c r="E1748" s="178">
        <v>0.01</v>
      </c>
      <c r="F1748" s="176">
        <v>0.17</v>
      </c>
      <c r="G1748" t="s">
        <v>5533</v>
      </c>
      <c r="H1748">
        <v>39</v>
      </c>
      <c r="I1748">
        <v>21</v>
      </c>
      <c r="J1748">
        <v>13.64</v>
      </c>
      <c r="K1748">
        <v>6.05</v>
      </c>
      <c r="L1748">
        <v>5.9</v>
      </c>
      <c r="M1748" s="175">
        <v>0.03</v>
      </c>
      <c r="N1748" t="s">
        <v>4598</v>
      </c>
    </row>
    <row r="1749" spans="1:14">
      <c r="A1749">
        <v>6265</v>
      </c>
      <c r="B1749" t="s">
        <v>267</v>
      </c>
      <c r="C1749">
        <v>46.7</v>
      </c>
      <c r="D1749">
        <v>45</v>
      </c>
      <c r="E1749" s="178">
        <v>-2.2000000000000002</v>
      </c>
      <c r="F1749" s="176">
        <v>-4.66</v>
      </c>
      <c r="G1749" t="s">
        <v>6747</v>
      </c>
      <c r="H1749">
        <v>1641</v>
      </c>
      <c r="I1749">
        <v>1304</v>
      </c>
      <c r="J1749">
        <v>11.82</v>
      </c>
      <c r="K1749">
        <v>46.7</v>
      </c>
      <c r="L1749">
        <v>44.95</v>
      </c>
      <c r="M1749" s="175">
        <v>1.39</v>
      </c>
      <c r="N1749" t="s">
        <v>4599</v>
      </c>
    </row>
    <row r="1750" spans="1:14">
      <c r="A1750">
        <v>6266</v>
      </c>
      <c r="B1750" t="s">
        <v>268</v>
      </c>
      <c r="C1750">
        <v>25.35</v>
      </c>
      <c r="D1750">
        <v>25.15</v>
      </c>
      <c r="E1750" s="178">
        <v>-0.25</v>
      </c>
      <c r="F1750" s="176">
        <v>-0.98</v>
      </c>
      <c r="G1750" t="s">
        <v>6748</v>
      </c>
      <c r="H1750">
        <v>237</v>
      </c>
      <c r="I1750">
        <v>327</v>
      </c>
      <c r="J1750">
        <v>15.39</v>
      </c>
      <c r="K1750">
        <v>25.35</v>
      </c>
      <c r="L1750">
        <v>24.95</v>
      </c>
      <c r="M1750" s="175">
        <v>0.15</v>
      </c>
      <c r="N1750" t="s">
        <v>4600</v>
      </c>
    </row>
    <row r="1751" spans="1:14">
      <c r="A1751">
        <v>6269</v>
      </c>
      <c r="B1751" t="s">
        <v>1450</v>
      </c>
      <c r="C1751">
        <v>74.599999999999994</v>
      </c>
      <c r="D1751">
        <v>74.599999999999994</v>
      </c>
      <c r="E1751" s="178">
        <v>6.7</v>
      </c>
      <c r="F1751" s="176">
        <v>9.8699999999999992</v>
      </c>
      <c r="G1751" t="s">
        <v>6749</v>
      </c>
      <c r="H1751">
        <v>29784</v>
      </c>
      <c r="I1751">
        <v>2072</v>
      </c>
      <c r="J1751">
        <v>32.380000000000003</v>
      </c>
      <c r="K1751">
        <v>74.599999999999994</v>
      </c>
      <c r="L1751">
        <v>73.599999999999994</v>
      </c>
      <c r="M1751" s="175">
        <v>9.1999999999999993</v>
      </c>
      <c r="N1751" t="s">
        <v>4601</v>
      </c>
    </row>
    <row r="1752" spans="1:14">
      <c r="A1752">
        <v>6270</v>
      </c>
      <c r="B1752" t="s">
        <v>269</v>
      </c>
      <c r="C1752">
        <v>29.5</v>
      </c>
      <c r="D1752">
        <v>28.65</v>
      </c>
      <c r="E1752" s="178">
        <v>-1.05</v>
      </c>
      <c r="F1752" s="176">
        <v>-3.54</v>
      </c>
      <c r="G1752" t="s">
        <v>5755</v>
      </c>
      <c r="H1752">
        <v>225</v>
      </c>
      <c r="I1752">
        <v>110</v>
      </c>
      <c r="J1752">
        <v>7.21</v>
      </c>
      <c r="K1752">
        <v>29.5</v>
      </c>
      <c r="L1752">
        <v>28.45</v>
      </c>
      <c r="M1752" s="175">
        <v>0.31</v>
      </c>
      <c r="N1752" t="s">
        <v>4602</v>
      </c>
    </row>
    <row r="1753" spans="1:14">
      <c r="A1753">
        <v>6271</v>
      </c>
      <c r="B1753" t="s">
        <v>1677</v>
      </c>
      <c r="C1753">
        <v>234</v>
      </c>
      <c r="D1753">
        <v>229</v>
      </c>
      <c r="E1753" s="178">
        <v>-13</v>
      </c>
      <c r="F1753" s="176">
        <v>-5.37</v>
      </c>
      <c r="G1753" t="s">
        <v>6750</v>
      </c>
      <c r="H1753">
        <v>2356</v>
      </c>
      <c r="I1753">
        <v>4403</v>
      </c>
      <c r="J1753">
        <v>20.91</v>
      </c>
      <c r="K1753">
        <v>238</v>
      </c>
      <c r="L1753">
        <v>227</v>
      </c>
      <c r="M1753" s="175">
        <v>1.1299999999999999</v>
      </c>
      <c r="N1753" t="s">
        <v>4603</v>
      </c>
    </row>
    <row r="1754" spans="1:14">
      <c r="A1754">
        <v>6272</v>
      </c>
      <c r="B1754" t="s">
        <v>2966</v>
      </c>
      <c r="C1754">
        <v>24</v>
      </c>
      <c r="D1754">
        <v>23.85</v>
      </c>
      <c r="E1754" s="178">
        <v>-0.45</v>
      </c>
      <c r="F1754" s="176">
        <v>-1.85</v>
      </c>
      <c r="G1754" t="s">
        <v>5467</v>
      </c>
      <c r="H1754">
        <v>202</v>
      </c>
      <c r="I1754">
        <v>156</v>
      </c>
      <c r="J1754">
        <v>8.18</v>
      </c>
      <c r="K1754">
        <v>24.1</v>
      </c>
      <c r="L1754">
        <v>23.55</v>
      </c>
      <c r="M1754" s="175">
        <v>0.25</v>
      </c>
      <c r="N1754" t="s">
        <v>4604</v>
      </c>
    </row>
    <row r="1755" spans="1:14">
      <c r="A1755">
        <v>6274</v>
      </c>
      <c r="B1755" t="s">
        <v>270</v>
      </c>
      <c r="C1755">
        <v>1620</v>
      </c>
      <c r="D1755">
        <v>1625</v>
      </c>
      <c r="E1755" s="178">
        <v>-110</v>
      </c>
      <c r="F1755" s="176">
        <v>-6.34</v>
      </c>
      <c r="G1755" t="s">
        <v>6751</v>
      </c>
      <c r="H1755">
        <v>13641</v>
      </c>
      <c r="I1755">
        <v>8804</v>
      </c>
      <c r="J1755">
        <v>29.95</v>
      </c>
      <c r="K1755">
        <v>1730</v>
      </c>
      <c r="L1755">
        <v>1605</v>
      </c>
      <c r="M1755" s="175">
        <v>4.55</v>
      </c>
      <c r="N1755" t="s">
        <v>4561</v>
      </c>
    </row>
    <row r="1756" spans="1:14">
      <c r="A1756">
        <v>6275</v>
      </c>
      <c r="B1756" t="s">
        <v>271</v>
      </c>
      <c r="C1756">
        <v>46.2</v>
      </c>
      <c r="D1756">
        <v>45.45</v>
      </c>
      <c r="E1756" s="178">
        <v>-0.75</v>
      </c>
      <c r="F1756" s="176">
        <v>-1.62</v>
      </c>
      <c r="G1756" t="s">
        <v>6752</v>
      </c>
      <c r="H1756">
        <v>133</v>
      </c>
      <c r="I1756">
        <v>127</v>
      </c>
      <c r="J1756">
        <v>8.0299999999999994</v>
      </c>
      <c r="K1756">
        <v>46.2</v>
      </c>
      <c r="L1756">
        <v>45.2</v>
      </c>
      <c r="M1756" s="175">
        <v>0.17</v>
      </c>
      <c r="N1756" t="s">
        <v>4605</v>
      </c>
    </row>
    <row r="1757" spans="1:14">
      <c r="A1757">
        <v>6276</v>
      </c>
      <c r="B1757" t="s">
        <v>2323</v>
      </c>
      <c r="C1757">
        <v>18.100000000000001</v>
      </c>
      <c r="D1757">
        <v>18.399999999999999</v>
      </c>
      <c r="E1757" s="178">
        <v>-0.65</v>
      </c>
      <c r="F1757" s="176">
        <v>-3.41</v>
      </c>
      <c r="G1757" t="s">
        <v>6753</v>
      </c>
      <c r="H1757">
        <v>35</v>
      </c>
      <c r="I1757">
        <v>24</v>
      </c>
      <c r="J1757">
        <v>2.2000000000000002</v>
      </c>
      <c r="K1757">
        <v>18.95</v>
      </c>
      <c r="L1757">
        <v>18.100000000000001</v>
      </c>
      <c r="M1757" s="175">
        <v>0.16</v>
      </c>
      <c r="N1757" t="s">
        <v>4606</v>
      </c>
    </row>
    <row r="1758" spans="1:14">
      <c r="A1758">
        <v>6277</v>
      </c>
      <c r="B1758" t="s">
        <v>1451</v>
      </c>
      <c r="C1758">
        <v>81.7</v>
      </c>
      <c r="D1758">
        <v>83</v>
      </c>
      <c r="E1758" s="178">
        <v>1.2</v>
      </c>
      <c r="F1758" s="176">
        <v>1.47</v>
      </c>
      <c r="G1758" t="s">
        <v>6754</v>
      </c>
      <c r="H1758">
        <v>487</v>
      </c>
      <c r="I1758">
        <v>314</v>
      </c>
      <c r="J1758">
        <v>11.95</v>
      </c>
      <c r="K1758">
        <v>83</v>
      </c>
      <c r="L1758">
        <v>80.900000000000006</v>
      </c>
      <c r="M1758" s="175">
        <v>0.41</v>
      </c>
      <c r="N1758" t="s">
        <v>4607</v>
      </c>
    </row>
    <row r="1759" spans="1:14">
      <c r="A1759">
        <v>6278</v>
      </c>
      <c r="B1759" t="s">
        <v>1452</v>
      </c>
      <c r="C1759">
        <v>289</v>
      </c>
      <c r="D1759">
        <v>303</v>
      </c>
      <c r="E1759" s="178">
        <v>13</v>
      </c>
      <c r="F1759" s="176">
        <v>4.4800000000000004</v>
      </c>
      <c r="G1759" t="s">
        <v>6755</v>
      </c>
      <c r="H1759">
        <v>56699</v>
      </c>
      <c r="I1759">
        <v>23268</v>
      </c>
      <c r="J1759">
        <v>29.24</v>
      </c>
      <c r="K1759">
        <v>309</v>
      </c>
      <c r="L1759">
        <v>282</v>
      </c>
      <c r="M1759" s="175">
        <v>19.39</v>
      </c>
      <c r="N1759" t="s">
        <v>4608</v>
      </c>
    </row>
    <row r="1760" spans="1:14">
      <c r="A1760">
        <v>6279</v>
      </c>
      <c r="B1760" t="s">
        <v>272</v>
      </c>
      <c r="C1760">
        <v>116</v>
      </c>
      <c r="D1760">
        <v>115.5</v>
      </c>
      <c r="E1760" s="178">
        <v>-1.5</v>
      </c>
      <c r="F1760" s="176">
        <v>-1.28</v>
      </c>
      <c r="G1760" t="s">
        <v>6756</v>
      </c>
      <c r="H1760">
        <v>397</v>
      </c>
      <c r="I1760">
        <v>352</v>
      </c>
      <c r="J1760">
        <v>11.9</v>
      </c>
      <c r="K1760">
        <v>117.5</v>
      </c>
      <c r="L1760">
        <v>115</v>
      </c>
      <c r="M1760" s="175">
        <v>0.33</v>
      </c>
      <c r="N1760" t="s">
        <v>4609</v>
      </c>
    </row>
    <row r="1761" spans="1:14">
      <c r="A1761">
        <v>6281</v>
      </c>
      <c r="B1761" t="s">
        <v>1453</v>
      </c>
      <c r="C1761">
        <v>50.8</v>
      </c>
      <c r="D1761">
        <v>51</v>
      </c>
      <c r="E1761" s="178">
        <v>-0.1</v>
      </c>
      <c r="F1761" s="176">
        <v>-0.2</v>
      </c>
      <c r="G1761" t="s">
        <v>5342</v>
      </c>
      <c r="H1761">
        <v>31</v>
      </c>
      <c r="I1761">
        <v>36</v>
      </c>
      <c r="J1761">
        <v>9.92</v>
      </c>
      <c r="K1761">
        <v>51.1</v>
      </c>
      <c r="L1761">
        <v>50.7</v>
      </c>
      <c r="M1761" s="175">
        <v>0.03</v>
      </c>
      <c r="N1761" t="s">
        <v>4610</v>
      </c>
    </row>
    <row r="1762" spans="1:14">
      <c r="A1762">
        <v>6282</v>
      </c>
      <c r="B1762" t="s">
        <v>1454</v>
      </c>
      <c r="C1762">
        <v>43.9</v>
      </c>
      <c r="D1762">
        <v>42.9</v>
      </c>
      <c r="E1762" s="178">
        <v>-2</v>
      </c>
      <c r="F1762" s="176">
        <v>-4.45</v>
      </c>
      <c r="G1762" t="s">
        <v>6757</v>
      </c>
      <c r="H1762">
        <v>9811</v>
      </c>
      <c r="I1762">
        <v>12017</v>
      </c>
      <c r="J1762">
        <v>85.61</v>
      </c>
      <c r="K1762">
        <v>43.9</v>
      </c>
      <c r="L1762">
        <v>42.8</v>
      </c>
      <c r="M1762" s="175">
        <v>1.1499999999999999</v>
      </c>
      <c r="N1762" t="s">
        <v>4611</v>
      </c>
    </row>
    <row r="1763" spans="1:14">
      <c r="A1763">
        <v>6283</v>
      </c>
      <c r="B1763" t="s">
        <v>1455</v>
      </c>
      <c r="C1763">
        <v>18.7</v>
      </c>
      <c r="D1763">
        <v>18.649999999999999</v>
      </c>
      <c r="E1763" s="178">
        <v>-0.05</v>
      </c>
      <c r="F1763" s="176">
        <v>-0.27</v>
      </c>
      <c r="G1763" t="s">
        <v>5261</v>
      </c>
      <c r="H1763">
        <v>59</v>
      </c>
      <c r="I1763">
        <v>60</v>
      </c>
      <c r="J1763">
        <v>14.76</v>
      </c>
      <c r="K1763">
        <v>18.7</v>
      </c>
      <c r="L1763">
        <v>18.399999999999999</v>
      </c>
      <c r="M1763" s="175">
        <v>0.04</v>
      </c>
      <c r="N1763" t="s">
        <v>4612</v>
      </c>
    </row>
    <row r="1764" spans="1:14">
      <c r="A1764">
        <v>6284</v>
      </c>
      <c r="B1764" t="s">
        <v>273</v>
      </c>
      <c r="C1764">
        <v>77.5</v>
      </c>
      <c r="D1764">
        <v>76.2</v>
      </c>
      <c r="E1764" s="178">
        <v>-2.9</v>
      </c>
      <c r="F1764" s="176">
        <v>-3.67</v>
      </c>
      <c r="G1764" t="s">
        <v>6758</v>
      </c>
      <c r="H1764">
        <v>734</v>
      </c>
      <c r="I1764">
        <v>853</v>
      </c>
      <c r="J1764">
        <v>14.9</v>
      </c>
      <c r="K1764">
        <v>78</v>
      </c>
      <c r="L1764">
        <v>76</v>
      </c>
      <c r="M1764" s="175">
        <v>0.49</v>
      </c>
      <c r="N1764" t="s">
        <v>4613</v>
      </c>
    </row>
    <row r="1765" spans="1:14">
      <c r="A1765">
        <v>6285</v>
      </c>
      <c r="B1765" t="s">
        <v>1456</v>
      </c>
      <c r="C1765">
        <v>246</v>
      </c>
      <c r="D1765">
        <v>241</v>
      </c>
      <c r="E1765" s="178">
        <v>-12</v>
      </c>
      <c r="F1765" s="176">
        <v>-4.74</v>
      </c>
      <c r="G1765" t="s">
        <v>6759</v>
      </c>
      <c r="H1765">
        <v>6400</v>
      </c>
      <c r="I1765">
        <v>8956</v>
      </c>
      <c r="J1765">
        <v>48.34</v>
      </c>
      <c r="K1765">
        <v>249.5</v>
      </c>
      <c r="L1765">
        <v>240.5</v>
      </c>
      <c r="M1765" s="175">
        <v>1.32</v>
      </c>
      <c r="N1765" t="s">
        <v>4614</v>
      </c>
    </row>
    <row r="1766" spans="1:14">
      <c r="A1766">
        <v>6290</v>
      </c>
      <c r="B1766" t="s">
        <v>274</v>
      </c>
      <c r="C1766">
        <v>283.5</v>
      </c>
      <c r="D1766">
        <v>275.5</v>
      </c>
      <c r="E1766" s="178">
        <v>-16.5</v>
      </c>
      <c r="F1766" s="176">
        <v>-5.65</v>
      </c>
      <c r="G1766" t="s">
        <v>5462</v>
      </c>
      <c r="H1766">
        <v>6845</v>
      </c>
      <c r="I1766">
        <v>5526</v>
      </c>
      <c r="J1766">
        <v>16.97</v>
      </c>
      <c r="K1766">
        <v>290.5</v>
      </c>
      <c r="L1766">
        <v>275.5</v>
      </c>
      <c r="M1766" s="175">
        <v>4.03</v>
      </c>
      <c r="N1766" t="s">
        <v>4615</v>
      </c>
    </row>
    <row r="1767" spans="1:14">
      <c r="A1767">
        <v>6291</v>
      </c>
      <c r="B1767" t="s">
        <v>1661</v>
      </c>
      <c r="C1767">
        <v>413</v>
      </c>
      <c r="D1767">
        <v>409.5</v>
      </c>
      <c r="E1767" s="178">
        <v>-19.5</v>
      </c>
      <c r="F1767" s="176">
        <v>-4.55</v>
      </c>
      <c r="G1767" t="s">
        <v>5259</v>
      </c>
      <c r="H1767">
        <v>392</v>
      </c>
      <c r="I1767">
        <v>699</v>
      </c>
      <c r="J1767">
        <v>4.2699999999999996</v>
      </c>
      <c r="K1767">
        <v>418</v>
      </c>
      <c r="L1767">
        <v>400.5</v>
      </c>
      <c r="M1767" s="175">
        <v>0.93</v>
      </c>
      <c r="N1767" t="s">
        <v>4616</v>
      </c>
    </row>
    <row r="1768" spans="1:14">
      <c r="A1768">
        <v>6292</v>
      </c>
      <c r="B1768" t="s">
        <v>275</v>
      </c>
      <c r="C1768">
        <v>68.099999999999994</v>
      </c>
      <c r="D1768">
        <v>66.400000000000006</v>
      </c>
      <c r="E1768" s="178">
        <v>-2.4</v>
      </c>
      <c r="F1768" s="176">
        <v>-3.49</v>
      </c>
      <c r="G1768" t="s">
        <v>6760</v>
      </c>
      <c r="H1768">
        <v>241</v>
      </c>
      <c r="I1768">
        <v>304</v>
      </c>
      <c r="J1768">
        <v>4.66</v>
      </c>
      <c r="K1768">
        <v>68.5</v>
      </c>
      <c r="L1768">
        <v>66</v>
      </c>
      <c r="M1768" s="175">
        <v>0.52</v>
      </c>
      <c r="N1768" t="s">
        <v>4617</v>
      </c>
    </row>
    <row r="1769" spans="1:14">
      <c r="A1769">
        <v>6294</v>
      </c>
      <c r="B1769" t="s">
        <v>276</v>
      </c>
      <c r="C1769">
        <v>27.7</v>
      </c>
      <c r="D1769">
        <v>27.4</v>
      </c>
      <c r="E1769" s="178">
        <v>-0.7</v>
      </c>
      <c r="F1769" s="176">
        <v>-2.4900000000000002</v>
      </c>
      <c r="G1769" t="s">
        <v>6761</v>
      </c>
      <c r="H1769">
        <v>9</v>
      </c>
      <c r="I1769">
        <v>7</v>
      </c>
      <c r="J1769">
        <v>2.6</v>
      </c>
      <c r="K1769">
        <v>27.7</v>
      </c>
      <c r="L1769">
        <v>27.3</v>
      </c>
      <c r="M1769" s="175">
        <v>0.03</v>
      </c>
      <c r="N1769" t="s">
        <v>4618</v>
      </c>
    </row>
    <row r="1770" spans="1:14">
      <c r="A1770">
        <v>6405</v>
      </c>
      <c r="B1770" t="s">
        <v>1457</v>
      </c>
      <c r="C1770">
        <v>39.6</v>
      </c>
      <c r="D1770">
        <v>39</v>
      </c>
      <c r="E1770" s="178">
        <v>-1.6</v>
      </c>
      <c r="F1770" s="176">
        <v>-3.94</v>
      </c>
      <c r="G1770" t="s">
        <v>5819</v>
      </c>
      <c r="H1770">
        <v>563</v>
      </c>
      <c r="I1770">
        <v>578</v>
      </c>
      <c r="J1770">
        <v>6.58</v>
      </c>
      <c r="K1770">
        <v>40.200000000000003</v>
      </c>
      <c r="L1770">
        <v>38.65</v>
      </c>
      <c r="M1770" s="175">
        <v>0.86</v>
      </c>
      <c r="N1770" t="s">
        <v>4619</v>
      </c>
    </row>
    <row r="1771" spans="1:14">
      <c r="A1771">
        <v>6409</v>
      </c>
      <c r="B1771" t="s">
        <v>1458</v>
      </c>
      <c r="C1771">
        <v>913</v>
      </c>
      <c r="D1771">
        <v>896</v>
      </c>
      <c r="E1771" s="178">
        <v>-28</v>
      </c>
      <c r="F1771" s="176">
        <v>-3.03</v>
      </c>
      <c r="G1771" t="s">
        <v>6762</v>
      </c>
      <c r="H1771">
        <v>584</v>
      </c>
      <c r="I1771">
        <v>371</v>
      </c>
      <c r="J1771">
        <v>8.83</v>
      </c>
      <c r="K1771">
        <v>916</v>
      </c>
      <c r="L1771">
        <v>874</v>
      </c>
      <c r="M1771" s="175">
        <v>0.66</v>
      </c>
      <c r="N1771" t="s">
        <v>4620</v>
      </c>
    </row>
    <row r="1772" spans="1:14">
      <c r="A1772">
        <v>6411</v>
      </c>
      <c r="B1772" t="s">
        <v>187</v>
      </c>
      <c r="C1772">
        <v>76.900000000000006</v>
      </c>
      <c r="D1772">
        <v>75.400000000000006</v>
      </c>
      <c r="E1772" s="178">
        <v>-2.6</v>
      </c>
      <c r="F1772" s="176">
        <v>-3.33</v>
      </c>
      <c r="G1772" t="s">
        <v>6763</v>
      </c>
      <c r="H1772">
        <v>346</v>
      </c>
      <c r="I1772">
        <v>260</v>
      </c>
      <c r="J1772">
        <v>9.9499999999999993</v>
      </c>
      <c r="K1772">
        <v>76.900000000000006</v>
      </c>
      <c r="L1772">
        <v>74.5</v>
      </c>
      <c r="M1772" s="175">
        <v>0.35</v>
      </c>
      <c r="N1772" t="s">
        <v>4621</v>
      </c>
    </row>
    <row r="1773" spans="1:14">
      <c r="A1773">
        <v>6412</v>
      </c>
      <c r="B1773" t="s">
        <v>1459</v>
      </c>
      <c r="C1773">
        <v>74.400000000000006</v>
      </c>
      <c r="D1773">
        <v>74.2</v>
      </c>
      <c r="E1773" s="178">
        <v>-0.1</v>
      </c>
      <c r="F1773" s="176">
        <v>-0.13</v>
      </c>
      <c r="G1773" t="s">
        <v>6764</v>
      </c>
      <c r="H1773">
        <v>528</v>
      </c>
      <c r="I1773">
        <v>565</v>
      </c>
      <c r="J1773">
        <v>40.08</v>
      </c>
      <c r="K1773">
        <v>74.599999999999994</v>
      </c>
      <c r="L1773">
        <v>73.599999999999994</v>
      </c>
      <c r="M1773" s="175">
        <v>0.13</v>
      </c>
      <c r="N1773" t="s">
        <v>4622</v>
      </c>
    </row>
    <row r="1774" spans="1:14">
      <c r="A1774">
        <v>6414</v>
      </c>
      <c r="B1774" t="s">
        <v>1460</v>
      </c>
      <c r="C1774">
        <v>398</v>
      </c>
      <c r="D1774">
        <v>395.5</v>
      </c>
      <c r="E1774" s="178">
        <v>-8.5</v>
      </c>
      <c r="F1774" s="176">
        <v>-2.1</v>
      </c>
      <c r="G1774" t="s">
        <v>5744</v>
      </c>
      <c r="H1774">
        <v>754</v>
      </c>
      <c r="I1774">
        <v>780</v>
      </c>
      <c r="J1774">
        <v>15.71</v>
      </c>
      <c r="K1774">
        <v>398</v>
      </c>
      <c r="L1774">
        <v>391.5</v>
      </c>
      <c r="M1774" s="175">
        <v>0.5</v>
      </c>
      <c r="N1774" t="s">
        <v>4623</v>
      </c>
    </row>
    <row r="1775" spans="1:14">
      <c r="A1775">
        <v>6415</v>
      </c>
      <c r="B1775" t="s">
        <v>1642</v>
      </c>
      <c r="C1775">
        <v>469</v>
      </c>
      <c r="D1775">
        <v>466.5</v>
      </c>
      <c r="E1775" s="178">
        <v>-4.5</v>
      </c>
      <c r="F1775" s="176">
        <v>-0.96</v>
      </c>
      <c r="G1775" t="s">
        <v>6765</v>
      </c>
      <c r="H1775">
        <v>13178</v>
      </c>
      <c r="I1775">
        <v>3279</v>
      </c>
      <c r="J1775">
        <v>9.76</v>
      </c>
      <c r="K1775">
        <v>497.5</v>
      </c>
      <c r="L1775">
        <v>443</v>
      </c>
      <c r="M1775" s="175">
        <v>3.38</v>
      </c>
      <c r="N1775" t="s">
        <v>4624</v>
      </c>
    </row>
    <row r="1776" spans="1:14">
      <c r="A1776">
        <v>6416</v>
      </c>
      <c r="B1776" t="s">
        <v>314</v>
      </c>
      <c r="C1776">
        <v>116</v>
      </c>
      <c r="D1776">
        <v>121</v>
      </c>
      <c r="E1776" s="178">
        <v>2.5</v>
      </c>
      <c r="F1776" s="176">
        <v>2.11</v>
      </c>
      <c r="G1776" t="s">
        <v>6182</v>
      </c>
      <c r="H1776">
        <v>1680</v>
      </c>
      <c r="I1776">
        <v>955</v>
      </c>
      <c r="J1776">
        <v>7.33</v>
      </c>
      <c r="K1776">
        <v>124</v>
      </c>
      <c r="L1776">
        <v>115.5</v>
      </c>
      <c r="M1776" s="175">
        <v>2.29</v>
      </c>
      <c r="N1776" t="s">
        <v>4625</v>
      </c>
    </row>
    <row r="1777" spans="1:14">
      <c r="A1777">
        <v>6417</v>
      </c>
      <c r="B1777" t="s">
        <v>277</v>
      </c>
      <c r="C1777">
        <v>105.5</v>
      </c>
      <c r="D1777">
        <v>103.5</v>
      </c>
      <c r="E1777" s="178">
        <v>-2.5</v>
      </c>
      <c r="F1777" s="176">
        <v>-2.36</v>
      </c>
      <c r="G1777" t="s">
        <v>6766</v>
      </c>
      <c r="H1777">
        <v>35</v>
      </c>
      <c r="I1777">
        <v>84</v>
      </c>
      <c r="J1777">
        <v>4.2300000000000004</v>
      </c>
      <c r="K1777">
        <v>105.5</v>
      </c>
      <c r="L1777">
        <v>103</v>
      </c>
      <c r="M1777" s="175">
        <v>0.08</v>
      </c>
      <c r="N1777" t="s">
        <v>4626</v>
      </c>
    </row>
    <row r="1778" spans="1:14">
      <c r="A1778">
        <v>6418</v>
      </c>
      <c r="B1778" t="s">
        <v>341</v>
      </c>
      <c r="C1778">
        <v>33.1</v>
      </c>
      <c r="D1778">
        <v>33.1</v>
      </c>
      <c r="E1778" s="178">
        <v>-0.65</v>
      </c>
      <c r="F1778" s="176">
        <v>-1.93</v>
      </c>
      <c r="G1778" t="s">
        <v>5206</v>
      </c>
      <c r="H1778">
        <v>38</v>
      </c>
      <c r="I1778">
        <v>81</v>
      </c>
      <c r="J1778">
        <v>3.45</v>
      </c>
      <c r="K1778">
        <v>33.950000000000003</v>
      </c>
      <c r="L1778">
        <v>33.1</v>
      </c>
      <c r="M1778" s="175">
        <v>0.11</v>
      </c>
      <c r="N1778" t="s">
        <v>4627</v>
      </c>
    </row>
    <row r="1779" spans="1:14">
      <c r="A1779">
        <v>6419</v>
      </c>
      <c r="B1779" t="s">
        <v>278</v>
      </c>
      <c r="C1779">
        <v>153</v>
      </c>
      <c r="D1779">
        <v>149.5</v>
      </c>
      <c r="E1779" s="178">
        <v>-10</v>
      </c>
      <c r="F1779" s="176">
        <v>-6.27</v>
      </c>
      <c r="G1779" t="s">
        <v>6767</v>
      </c>
      <c r="H1779">
        <v>256</v>
      </c>
      <c r="I1779">
        <v>293</v>
      </c>
      <c r="J1779">
        <v>1.32</v>
      </c>
      <c r="K1779">
        <v>156.5</v>
      </c>
      <c r="L1779">
        <v>149</v>
      </c>
      <c r="M1779" s="175">
        <v>1.95</v>
      </c>
      <c r="N1779" t="s">
        <v>4628</v>
      </c>
    </row>
    <row r="1780" spans="1:14">
      <c r="A1780">
        <v>6423</v>
      </c>
      <c r="B1780" t="s">
        <v>3015</v>
      </c>
      <c r="C1780">
        <v>83.3</v>
      </c>
      <c r="D1780">
        <v>83.5</v>
      </c>
      <c r="E1780" s="178">
        <v>-0.8</v>
      </c>
      <c r="F1780" s="176">
        <v>-0.95</v>
      </c>
      <c r="G1780" t="s">
        <v>5495</v>
      </c>
      <c r="H1780">
        <v>62</v>
      </c>
      <c r="I1780">
        <v>42</v>
      </c>
      <c r="J1780">
        <v>3.1</v>
      </c>
      <c r="K1780">
        <v>84.1</v>
      </c>
      <c r="L1780">
        <v>81.8</v>
      </c>
      <c r="M1780" s="175">
        <v>0.2</v>
      </c>
      <c r="N1780" t="s">
        <v>4629</v>
      </c>
    </row>
    <row r="1781" spans="1:14">
      <c r="A1781">
        <v>6425</v>
      </c>
      <c r="B1781" t="s">
        <v>338</v>
      </c>
      <c r="C1781">
        <v>74.2</v>
      </c>
      <c r="D1781">
        <v>73.5</v>
      </c>
      <c r="E1781" s="178">
        <v>-2.7</v>
      </c>
      <c r="F1781" s="176">
        <v>-3.54</v>
      </c>
      <c r="G1781" t="s">
        <v>6768</v>
      </c>
      <c r="H1781">
        <v>475</v>
      </c>
      <c r="I1781">
        <v>674</v>
      </c>
      <c r="J1781">
        <v>5.14</v>
      </c>
      <c r="K1781">
        <v>75</v>
      </c>
      <c r="L1781">
        <v>72.5</v>
      </c>
      <c r="M1781" s="175">
        <v>0.92</v>
      </c>
      <c r="N1781" t="s">
        <v>4630</v>
      </c>
    </row>
    <row r="1782" spans="1:14">
      <c r="A1782">
        <v>6426</v>
      </c>
      <c r="B1782" t="s">
        <v>125</v>
      </c>
      <c r="C1782">
        <v>325</v>
      </c>
      <c r="D1782">
        <v>320.5</v>
      </c>
      <c r="E1782" s="178">
        <v>-16</v>
      </c>
      <c r="F1782" s="176">
        <v>-4.75</v>
      </c>
      <c r="G1782" t="s">
        <v>6769</v>
      </c>
      <c r="H1782">
        <v>1119</v>
      </c>
      <c r="I1782">
        <v>2230</v>
      </c>
      <c r="J1782">
        <v>3.85</v>
      </c>
      <c r="K1782">
        <v>334</v>
      </c>
      <c r="L1782">
        <v>320.5</v>
      </c>
      <c r="M1782" s="175">
        <v>2.91</v>
      </c>
      <c r="N1782" t="s">
        <v>4631</v>
      </c>
    </row>
    <row r="1783" spans="1:14">
      <c r="A1783">
        <v>6431</v>
      </c>
      <c r="B1783" t="s">
        <v>1461</v>
      </c>
      <c r="C1783">
        <v>17</v>
      </c>
      <c r="D1783">
        <v>16.75</v>
      </c>
      <c r="E1783" s="178">
        <v>-0.15</v>
      </c>
      <c r="F1783" s="176">
        <v>-0.89</v>
      </c>
      <c r="G1783" t="s">
        <v>5227</v>
      </c>
      <c r="H1783">
        <v>99</v>
      </c>
      <c r="I1783">
        <v>89</v>
      </c>
      <c r="J1783">
        <v>8.61</v>
      </c>
      <c r="K1783">
        <v>17.55</v>
      </c>
      <c r="L1783">
        <v>16.5</v>
      </c>
      <c r="M1783" s="175">
        <v>0.2</v>
      </c>
      <c r="N1783" t="s">
        <v>4632</v>
      </c>
    </row>
    <row r="1784" spans="1:14">
      <c r="A1784">
        <v>6432</v>
      </c>
      <c r="B1784" t="s">
        <v>279</v>
      </c>
      <c r="C1784">
        <v>62.2</v>
      </c>
      <c r="D1784">
        <v>60.8</v>
      </c>
      <c r="E1784" s="178">
        <v>-3</v>
      </c>
      <c r="F1784" s="176">
        <v>-4.7</v>
      </c>
      <c r="G1784" t="s">
        <v>6770</v>
      </c>
      <c r="H1784">
        <v>421</v>
      </c>
      <c r="I1784">
        <v>749</v>
      </c>
      <c r="J1784">
        <v>4.0199999999999996</v>
      </c>
      <c r="K1784">
        <v>63.8</v>
      </c>
      <c r="L1784">
        <v>60.8</v>
      </c>
      <c r="M1784" s="175">
        <v>1.05</v>
      </c>
      <c r="N1784" t="s">
        <v>4633</v>
      </c>
    </row>
    <row r="1785" spans="1:14">
      <c r="A1785">
        <v>6435</v>
      </c>
      <c r="B1785" t="s">
        <v>280</v>
      </c>
      <c r="C1785">
        <v>236</v>
      </c>
      <c r="D1785">
        <v>229</v>
      </c>
      <c r="E1785" s="178">
        <v>-14.5</v>
      </c>
      <c r="F1785" s="176">
        <v>-5.95</v>
      </c>
      <c r="G1785" t="s">
        <v>5249</v>
      </c>
      <c r="H1785">
        <v>579</v>
      </c>
      <c r="I1785">
        <v>404</v>
      </c>
      <c r="J1785">
        <v>3.75</v>
      </c>
      <c r="K1785">
        <v>237</v>
      </c>
      <c r="L1785">
        <v>222.5</v>
      </c>
      <c r="M1785" s="175">
        <v>1.55</v>
      </c>
      <c r="N1785" t="s">
        <v>4634</v>
      </c>
    </row>
    <row r="1786" spans="1:14">
      <c r="A1786">
        <v>6438</v>
      </c>
      <c r="B1786" t="s">
        <v>281</v>
      </c>
      <c r="C1786">
        <v>178</v>
      </c>
      <c r="D1786">
        <v>180</v>
      </c>
      <c r="E1786" s="178">
        <v>-2</v>
      </c>
      <c r="F1786" s="176">
        <v>-1.1000000000000001</v>
      </c>
      <c r="G1786" t="s">
        <v>5229</v>
      </c>
      <c r="H1786">
        <v>5596</v>
      </c>
      <c r="I1786">
        <v>3172</v>
      </c>
      <c r="J1786">
        <v>8.2200000000000006</v>
      </c>
      <c r="K1786">
        <v>187</v>
      </c>
      <c r="L1786">
        <v>178</v>
      </c>
      <c r="M1786" s="175">
        <v>6.81</v>
      </c>
      <c r="N1786" t="s">
        <v>4635</v>
      </c>
    </row>
    <row r="1787" spans="1:14">
      <c r="A1787">
        <v>6441</v>
      </c>
      <c r="B1787" t="s">
        <v>317</v>
      </c>
      <c r="C1787">
        <v>21.3</v>
      </c>
      <c r="D1787">
        <v>21.3</v>
      </c>
      <c r="E1787" s="178">
        <v>-0.4</v>
      </c>
      <c r="F1787" s="176">
        <v>-1.84</v>
      </c>
      <c r="G1787" t="s">
        <v>6014</v>
      </c>
      <c r="H1787">
        <v>67</v>
      </c>
      <c r="I1787">
        <v>114</v>
      </c>
      <c r="J1787">
        <v>5.33</v>
      </c>
      <c r="K1787">
        <v>21.4</v>
      </c>
      <c r="L1787">
        <v>21.15</v>
      </c>
      <c r="M1787" s="175">
        <v>0.13</v>
      </c>
      <c r="N1787" t="s">
        <v>4636</v>
      </c>
    </row>
    <row r="1788" spans="1:14">
      <c r="A1788">
        <v>6442</v>
      </c>
      <c r="B1788" t="s">
        <v>1462</v>
      </c>
      <c r="C1788">
        <v>1535</v>
      </c>
      <c r="D1788">
        <v>1540</v>
      </c>
      <c r="E1788" s="178">
        <v>-100</v>
      </c>
      <c r="F1788" s="176">
        <v>-6.1</v>
      </c>
      <c r="G1788" t="s">
        <v>5700</v>
      </c>
      <c r="H1788">
        <v>1640</v>
      </c>
      <c r="I1788">
        <v>3024</v>
      </c>
      <c r="J1788">
        <v>8.18</v>
      </c>
      <c r="K1788">
        <v>1580</v>
      </c>
      <c r="L1788">
        <v>1500</v>
      </c>
      <c r="M1788" s="175">
        <v>2</v>
      </c>
      <c r="N1788" t="s">
        <v>4637</v>
      </c>
    </row>
    <row r="1789" spans="1:14">
      <c r="A1789">
        <v>6443</v>
      </c>
      <c r="B1789" t="s">
        <v>1463</v>
      </c>
      <c r="C1789">
        <v>26.7</v>
      </c>
      <c r="D1789">
        <v>25.65</v>
      </c>
      <c r="E1789" s="178">
        <v>-1.3</v>
      </c>
      <c r="F1789" s="176">
        <v>-4.82</v>
      </c>
      <c r="G1789" t="s">
        <v>6771</v>
      </c>
      <c r="H1789">
        <v>4261</v>
      </c>
      <c r="I1789">
        <v>3611</v>
      </c>
      <c r="J1789">
        <v>51.28</v>
      </c>
      <c r="K1789">
        <v>26.9</v>
      </c>
      <c r="L1789">
        <v>25.6</v>
      </c>
      <c r="M1789" s="175">
        <v>0.83</v>
      </c>
      <c r="N1789" t="s">
        <v>4638</v>
      </c>
    </row>
    <row r="1790" spans="1:14">
      <c r="A1790">
        <v>6446</v>
      </c>
      <c r="B1790" t="s">
        <v>282</v>
      </c>
      <c r="C1790">
        <v>1180</v>
      </c>
      <c r="D1790">
        <v>1205</v>
      </c>
      <c r="E1790" s="178">
        <v>15</v>
      </c>
      <c r="F1790" s="176">
        <v>1.26</v>
      </c>
      <c r="G1790" t="s">
        <v>6772</v>
      </c>
      <c r="H1790">
        <v>3103</v>
      </c>
      <c r="I1790">
        <v>1315</v>
      </c>
      <c r="J1790">
        <v>42.24</v>
      </c>
      <c r="K1790">
        <v>1240</v>
      </c>
      <c r="L1790">
        <v>1180</v>
      </c>
      <c r="M1790" s="175">
        <v>0.73</v>
      </c>
      <c r="N1790" t="s">
        <v>4639</v>
      </c>
    </row>
    <row r="1791" spans="1:14">
      <c r="A1791">
        <v>6449</v>
      </c>
      <c r="B1791" t="s">
        <v>1464</v>
      </c>
      <c r="C1791">
        <v>260.5</v>
      </c>
      <c r="D1791">
        <v>243</v>
      </c>
      <c r="E1791" s="178">
        <v>-26</v>
      </c>
      <c r="F1791" s="176">
        <v>-9.67</v>
      </c>
      <c r="G1791" t="s">
        <v>6773</v>
      </c>
      <c r="H1791">
        <v>3216</v>
      </c>
      <c r="I1791">
        <v>6819</v>
      </c>
      <c r="J1791">
        <v>9.19</v>
      </c>
      <c r="K1791">
        <v>261</v>
      </c>
      <c r="L1791">
        <v>242.5</v>
      </c>
      <c r="M1791" s="175">
        <v>3.5</v>
      </c>
      <c r="N1791" t="s">
        <v>4640</v>
      </c>
    </row>
    <row r="1792" spans="1:14">
      <c r="A1792">
        <v>6451</v>
      </c>
      <c r="B1792" t="s">
        <v>1465</v>
      </c>
      <c r="C1792">
        <v>370</v>
      </c>
      <c r="D1792">
        <v>360.5</v>
      </c>
      <c r="E1792" s="178">
        <v>-29</v>
      </c>
      <c r="F1792" s="176">
        <v>-7.45</v>
      </c>
      <c r="G1792" t="s">
        <v>6774</v>
      </c>
      <c r="H1792">
        <v>1778</v>
      </c>
      <c r="I1792">
        <v>1834</v>
      </c>
      <c r="J1792">
        <v>11.79</v>
      </c>
      <c r="K1792">
        <v>381.5</v>
      </c>
      <c r="L1792">
        <v>358</v>
      </c>
      <c r="M1792" s="175">
        <v>1.56</v>
      </c>
      <c r="N1792" t="s">
        <v>4641</v>
      </c>
    </row>
    <row r="1793" spans="1:14">
      <c r="A1793">
        <v>6456</v>
      </c>
      <c r="B1793" t="s">
        <v>1466</v>
      </c>
      <c r="C1793">
        <v>87.1</v>
      </c>
      <c r="D1793">
        <v>88.7</v>
      </c>
      <c r="E1793" s="178">
        <v>-2.5</v>
      </c>
      <c r="F1793" s="176">
        <v>-2.74</v>
      </c>
      <c r="G1793" t="s">
        <v>6775</v>
      </c>
      <c r="H1793">
        <v>30208</v>
      </c>
      <c r="I1793">
        <v>32172</v>
      </c>
      <c r="J1793">
        <v>33.79</v>
      </c>
      <c r="K1793">
        <v>96.4</v>
      </c>
      <c r="L1793">
        <v>87.1</v>
      </c>
      <c r="M1793" s="175">
        <v>8.94</v>
      </c>
      <c r="N1793" t="s">
        <v>4642</v>
      </c>
    </row>
    <row r="1794" spans="1:14">
      <c r="A1794">
        <v>6461</v>
      </c>
      <c r="B1794" t="s">
        <v>5152</v>
      </c>
      <c r="C1794">
        <v>28.1</v>
      </c>
      <c r="D1794">
        <v>28</v>
      </c>
      <c r="E1794" s="178">
        <v>-0.55000000000000004</v>
      </c>
      <c r="F1794" s="176">
        <v>-1.93</v>
      </c>
      <c r="G1794" t="s">
        <v>5392</v>
      </c>
      <c r="H1794">
        <v>72</v>
      </c>
      <c r="I1794">
        <v>167</v>
      </c>
      <c r="J1794">
        <v>11.08</v>
      </c>
      <c r="K1794">
        <v>28.1</v>
      </c>
      <c r="L1794">
        <v>27.35</v>
      </c>
      <c r="M1794" s="175">
        <v>7.0000000000000007E-2</v>
      </c>
      <c r="N1794" t="s">
        <v>5153</v>
      </c>
    </row>
    <row r="1795" spans="1:14">
      <c r="A1795">
        <v>6462</v>
      </c>
      <c r="B1795" t="s">
        <v>283</v>
      </c>
      <c r="C1795">
        <v>98.1</v>
      </c>
      <c r="D1795">
        <v>95.4</v>
      </c>
      <c r="E1795" s="178">
        <v>-3.5</v>
      </c>
      <c r="F1795" s="176">
        <v>-3.54</v>
      </c>
      <c r="G1795" t="s">
        <v>6776</v>
      </c>
      <c r="H1795">
        <v>483</v>
      </c>
      <c r="I1795">
        <v>321</v>
      </c>
      <c r="J1795">
        <v>9.1300000000000008</v>
      </c>
      <c r="K1795">
        <v>98.1</v>
      </c>
      <c r="L1795">
        <v>94.9</v>
      </c>
      <c r="M1795" s="175">
        <v>0.53</v>
      </c>
      <c r="N1795" t="s">
        <v>4643</v>
      </c>
    </row>
    <row r="1796" spans="1:14">
      <c r="A1796">
        <v>6464</v>
      </c>
      <c r="B1796" t="s">
        <v>1467</v>
      </c>
      <c r="C1796">
        <v>76</v>
      </c>
      <c r="D1796">
        <v>76.7</v>
      </c>
      <c r="E1796" s="178">
        <v>0.7</v>
      </c>
      <c r="F1796" s="176">
        <v>0.92</v>
      </c>
      <c r="G1796" t="s">
        <v>6689</v>
      </c>
      <c r="H1796">
        <v>29</v>
      </c>
      <c r="I1796">
        <v>17</v>
      </c>
      <c r="J1796">
        <v>13.39</v>
      </c>
      <c r="K1796">
        <v>78.5</v>
      </c>
      <c r="L1796">
        <v>75.8</v>
      </c>
      <c r="M1796" s="175">
        <v>0.02</v>
      </c>
      <c r="N1796" t="s">
        <v>4644</v>
      </c>
    </row>
    <row r="1797" spans="1:14">
      <c r="A1797">
        <v>6465</v>
      </c>
      <c r="B1797" t="s">
        <v>2945</v>
      </c>
      <c r="C1797">
        <v>42.45</v>
      </c>
      <c r="D1797">
        <v>42.65</v>
      </c>
      <c r="E1797" s="178">
        <v>0</v>
      </c>
      <c r="F1797" s="176">
        <v>0</v>
      </c>
      <c r="G1797" t="s">
        <v>6777</v>
      </c>
      <c r="H1797">
        <v>267</v>
      </c>
      <c r="I1797">
        <v>174</v>
      </c>
      <c r="J1797">
        <v>5.91</v>
      </c>
      <c r="K1797">
        <v>43.75</v>
      </c>
      <c r="L1797">
        <v>41.6</v>
      </c>
      <c r="M1797" s="175">
        <v>0.45</v>
      </c>
      <c r="N1797" t="s">
        <v>4645</v>
      </c>
    </row>
    <row r="1798" spans="1:14">
      <c r="A1798">
        <v>6469</v>
      </c>
      <c r="B1798" t="s">
        <v>284</v>
      </c>
      <c r="C1798">
        <v>67.7</v>
      </c>
      <c r="D1798">
        <v>68.2</v>
      </c>
      <c r="E1798" s="178">
        <v>0.7</v>
      </c>
      <c r="F1798" s="176">
        <v>1.04</v>
      </c>
      <c r="G1798" t="s">
        <v>6778</v>
      </c>
      <c r="H1798">
        <v>1072</v>
      </c>
      <c r="I1798">
        <v>601</v>
      </c>
      <c r="J1798">
        <v>15.91</v>
      </c>
      <c r="K1798">
        <v>69.599999999999994</v>
      </c>
      <c r="L1798">
        <v>67.7</v>
      </c>
      <c r="M1798" s="175">
        <v>0.67</v>
      </c>
      <c r="N1798" t="s">
        <v>4646</v>
      </c>
    </row>
    <row r="1799" spans="1:14">
      <c r="A1799">
        <v>6470</v>
      </c>
      <c r="B1799" t="s">
        <v>285</v>
      </c>
      <c r="C1799">
        <v>44.9</v>
      </c>
      <c r="D1799">
        <v>45</v>
      </c>
      <c r="E1799" s="178">
        <v>-0.7</v>
      </c>
      <c r="F1799" s="176">
        <v>-1.53</v>
      </c>
      <c r="G1799" t="s">
        <v>5394</v>
      </c>
      <c r="H1799">
        <v>42</v>
      </c>
      <c r="I1799">
        <v>83</v>
      </c>
      <c r="J1799">
        <v>3.77</v>
      </c>
      <c r="K1799">
        <v>45.2</v>
      </c>
      <c r="L1799">
        <v>44.9</v>
      </c>
      <c r="M1799" s="175">
        <v>0.11</v>
      </c>
      <c r="N1799" t="s">
        <v>4647</v>
      </c>
    </row>
    <row r="1800" spans="1:14">
      <c r="A1800">
        <v>6472</v>
      </c>
      <c r="B1800" t="s">
        <v>286</v>
      </c>
      <c r="C1800">
        <v>425.5</v>
      </c>
      <c r="D1800">
        <v>424</v>
      </c>
      <c r="E1800" s="178">
        <v>-0.5</v>
      </c>
      <c r="F1800" s="176">
        <v>-0.12</v>
      </c>
      <c r="G1800" t="s">
        <v>6779</v>
      </c>
      <c r="H1800">
        <v>934</v>
      </c>
      <c r="I1800">
        <v>486</v>
      </c>
      <c r="J1800">
        <v>12.81</v>
      </c>
      <c r="K1800">
        <v>433</v>
      </c>
      <c r="L1800">
        <v>423</v>
      </c>
      <c r="M1800" s="175">
        <v>0.73</v>
      </c>
      <c r="N1800" t="s">
        <v>4648</v>
      </c>
    </row>
    <row r="1801" spans="1:14">
      <c r="A1801">
        <v>6474</v>
      </c>
      <c r="B1801" t="s">
        <v>2946</v>
      </c>
      <c r="C1801">
        <v>35.700000000000003</v>
      </c>
      <c r="D1801">
        <v>35.299999999999997</v>
      </c>
      <c r="E1801" s="178">
        <v>0</v>
      </c>
      <c r="F1801" s="176">
        <v>0</v>
      </c>
      <c r="G1801" t="s">
        <v>5643</v>
      </c>
      <c r="H1801">
        <v>50</v>
      </c>
      <c r="I1801">
        <v>30</v>
      </c>
      <c r="J1801">
        <v>5.25</v>
      </c>
      <c r="K1801">
        <v>36</v>
      </c>
      <c r="L1801">
        <v>35.200000000000003</v>
      </c>
      <c r="M1801" s="175">
        <v>0.1</v>
      </c>
      <c r="N1801" t="s">
        <v>4649</v>
      </c>
    </row>
    <row r="1802" spans="1:14">
      <c r="A1802">
        <v>6477</v>
      </c>
      <c r="B1802" t="s">
        <v>1468</v>
      </c>
      <c r="C1802">
        <v>32.5</v>
      </c>
      <c r="D1802">
        <v>32.299999999999997</v>
      </c>
      <c r="E1802" s="178">
        <v>-0.6</v>
      </c>
      <c r="F1802" s="176">
        <v>-1.82</v>
      </c>
      <c r="G1802" t="s">
        <v>5727</v>
      </c>
      <c r="H1802">
        <v>594</v>
      </c>
      <c r="I1802">
        <v>393</v>
      </c>
      <c r="J1802">
        <v>12.41</v>
      </c>
      <c r="K1802">
        <v>32.700000000000003</v>
      </c>
      <c r="L1802">
        <v>32.15</v>
      </c>
      <c r="M1802" s="175">
        <v>0.48</v>
      </c>
      <c r="N1802" t="s">
        <v>4650</v>
      </c>
    </row>
    <row r="1803" spans="1:14">
      <c r="A1803">
        <v>6482</v>
      </c>
      <c r="B1803" t="s">
        <v>287</v>
      </c>
      <c r="C1803">
        <v>23.1</v>
      </c>
      <c r="D1803">
        <v>23.1</v>
      </c>
      <c r="E1803" s="178">
        <v>0</v>
      </c>
      <c r="F1803" s="176">
        <v>0</v>
      </c>
      <c r="G1803" t="s">
        <v>6780</v>
      </c>
      <c r="H1803">
        <v>1</v>
      </c>
      <c r="I1803">
        <v>7</v>
      </c>
      <c r="J1803">
        <v>2.86</v>
      </c>
      <c r="K1803">
        <v>23.1</v>
      </c>
      <c r="L1803">
        <v>23.1</v>
      </c>
      <c r="M1803" s="175">
        <v>0</v>
      </c>
      <c r="N1803" t="s">
        <v>4651</v>
      </c>
    </row>
    <row r="1804" spans="1:14">
      <c r="A1804">
        <v>6485</v>
      </c>
      <c r="B1804" t="s">
        <v>288</v>
      </c>
      <c r="C1804">
        <v>77</v>
      </c>
      <c r="D1804">
        <v>75</v>
      </c>
      <c r="E1804" s="178">
        <v>-2.9</v>
      </c>
      <c r="F1804" s="176">
        <v>-3.72</v>
      </c>
      <c r="G1804" t="s">
        <v>6781</v>
      </c>
      <c r="H1804">
        <v>354</v>
      </c>
      <c r="I1804">
        <v>1201</v>
      </c>
      <c r="J1804">
        <v>4.74</v>
      </c>
      <c r="K1804">
        <v>77.5</v>
      </c>
      <c r="L1804">
        <v>75</v>
      </c>
      <c r="M1804" s="175">
        <v>0.75</v>
      </c>
      <c r="N1804" t="s">
        <v>4652</v>
      </c>
    </row>
    <row r="1805" spans="1:14">
      <c r="A1805">
        <v>6486</v>
      </c>
      <c r="B1805" t="s">
        <v>289</v>
      </c>
      <c r="C1805">
        <v>79.099999999999994</v>
      </c>
      <c r="D1805">
        <v>78.2</v>
      </c>
      <c r="E1805" s="178">
        <v>-0.8</v>
      </c>
      <c r="F1805" s="176">
        <v>-1.01</v>
      </c>
      <c r="G1805" t="s">
        <v>6782</v>
      </c>
      <c r="H1805">
        <v>160</v>
      </c>
      <c r="I1805">
        <v>67</v>
      </c>
      <c r="J1805">
        <v>5.09</v>
      </c>
      <c r="K1805">
        <v>79.2</v>
      </c>
      <c r="L1805">
        <v>76.900000000000006</v>
      </c>
      <c r="M1805" s="175">
        <v>0.31</v>
      </c>
      <c r="N1805" t="s">
        <v>4653</v>
      </c>
    </row>
    <row r="1806" spans="1:14">
      <c r="A1806">
        <v>6488</v>
      </c>
      <c r="B1806" t="s">
        <v>290</v>
      </c>
      <c r="C1806">
        <v>950</v>
      </c>
      <c r="D1806">
        <v>923</v>
      </c>
      <c r="E1806" s="178">
        <v>-97</v>
      </c>
      <c r="F1806" s="176">
        <v>-9.51</v>
      </c>
      <c r="G1806" t="s">
        <v>6783</v>
      </c>
      <c r="H1806">
        <v>17042</v>
      </c>
      <c r="I1806">
        <v>14348</v>
      </c>
      <c r="J1806">
        <v>52.81</v>
      </c>
      <c r="K1806">
        <v>980</v>
      </c>
      <c r="L1806">
        <v>918</v>
      </c>
      <c r="M1806" s="175">
        <v>3.23</v>
      </c>
      <c r="N1806" t="s">
        <v>4654</v>
      </c>
    </row>
    <row r="1807" spans="1:14">
      <c r="A1807">
        <v>6491</v>
      </c>
      <c r="B1807" t="s">
        <v>1469</v>
      </c>
      <c r="C1807">
        <v>409</v>
      </c>
      <c r="D1807">
        <v>404.5</v>
      </c>
      <c r="E1807" s="178">
        <v>-5.5</v>
      </c>
      <c r="F1807" s="176">
        <v>-1.34</v>
      </c>
      <c r="G1807" t="s">
        <v>6784</v>
      </c>
      <c r="H1807">
        <v>687</v>
      </c>
      <c r="I1807">
        <v>411</v>
      </c>
      <c r="J1807">
        <v>7.8</v>
      </c>
      <c r="K1807">
        <v>420.5</v>
      </c>
      <c r="L1807">
        <v>403</v>
      </c>
      <c r="M1807" s="175">
        <v>0.88</v>
      </c>
      <c r="N1807" t="s">
        <v>4655</v>
      </c>
    </row>
    <row r="1808" spans="1:14">
      <c r="A1808">
        <v>6492</v>
      </c>
      <c r="B1808" t="s">
        <v>291</v>
      </c>
      <c r="C1808">
        <v>33.9</v>
      </c>
      <c r="D1808">
        <v>33.299999999999997</v>
      </c>
      <c r="E1808" s="178">
        <v>-0.8</v>
      </c>
      <c r="F1808" s="176">
        <v>-2.35</v>
      </c>
      <c r="G1808" t="s">
        <v>6785</v>
      </c>
      <c r="H1808">
        <v>236</v>
      </c>
      <c r="I1808">
        <v>130</v>
      </c>
      <c r="J1808">
        <v>11.49</v>
      </c>
      <c r="K1808">
        <v>33.9</v>
      </c>
      <c r="L1808">
        <v>33</v>
      </c>
      <c r="M1808" s="175">
        <v>0.21</v>
      </c>
      <c r="N1808" t="s">
        <v>4656</v>
      </c>
    </row>
    <row r="1809" spans="1:14">
      <c r="A1809">
        <v>6494</v>
      </c>
      <c r="B1809" t="s">
        <v>292</v>
      </c>
      <c r="C1809">
        <v>48.5</v>
      </c>
      <c r="D1809">
        <v>47.5</v>
      </c>
      <c r="E1809" s="178">
        <v>-1.5</v>
      </c>
      <c r="F1809" s="176">
        <v>-3.06</v>
      </c>
      <c r="G1809" t="s">
        <v>5581</v>
      </c>
      <c r="H1809">
        <v>93</v>
      </c>
      <c r="I1809">
        <v>108</v>
      </c>
      <c r="J1809">
        <v>3.16</v>
      </c>
      <c r="K1809">
        <v>48.5</v>
      </c>
      <c r="L1809">
        <v>47</v>
      </c>
      <c r="M1809" s="175">
        <v>0.28999999999999998</v>
      </c>
      <c r="N1809" t="s">
        <v>4657</v>
      </c>
    </row>
    <row r="1810" spans="1:14">
      <c r="A1810">
        <v>6496</v>
      </c>
      <c r="B1810" t="s">
        <v>293</v>
      </c>
      <c r="C1810" t="s">
        <v>1555</v>
      </c>
      <c r="D1810" t="s">
        <v>1555</v>
      </c>
      <c r="E1810" s="178" t="s">
        <v>1555</v>
      </c>
      <c r="F1810" s="176" t="s">
        <v>1555</v>
      </c>
      <c r="G1810" t="s">
        <v>1555</v>
      </c>
      <c r="H1810">
        <v>0</v>
      </c>
      <c r="I1810">
        <v>78</v>
      </c>
      <c r="J1810">
        <v>4.7300000000000004</v>
      </c>
      <c r="K1810" t="s">
        <v>1555</v>
      </c>
      <c r="L1810" t="s">
        <v>1555</v>
      </c>
      <c r="M1810" s="175">
        <v>0</v>
      </c>
      <c r="N1810" t="s">
        <v>4658</v>
      </c>
    </row>
    <row r="1811" spans="1:14">
      <c r="A1811">
        <v>6498</v>
      </c>
      <c r="B1811" t="s">
        <v>2826</v>
      </c>
      <c r="C1811">
        <v>69</v>
      </c>
      <c r="D1811">
        <v>68.099999999999994</v>
      </c>
      <c r="E1811" s="178">
        <v>-2.1</v>
      </c>
      <c r="F1811" s="176">
        <v>-2.99</v>
      </c>
      <c r="G1811" t="s">
        <v>5283</v>
      </c>
      <c r="H1811">
        <v>72</v>
      </c>
      <c r="I1811">
        <v>194</v>
      </c>
      <c r="J1811">
        <v>4.75</v>
      </c>
      <c r="K1811">
        <v>69.400000000000006</v>
      </c>
      <c r="L1811">
        <v>67.5</v>
      </c>
      <c r="M1811" s="175">
        <v>0.15</v>
      </c>
      <c r="N1811" t="s">
        <v>4659</v>
      </c>
    </row>
    <row r="1812" spans="1:14">
      <c r="A1812">
        <v>6499</v>
      </c>
      <c r="B1812" t="s">
        <v>294</v>
      </c>
      <c r="C1812">
        <v>79.5</v>
      </c>
      <c r="D1812">
        <v>79.599999999999994</v>
      </c>
      <c r="E1812" s="178">
        <v>-0.6</v>
      </c>
      <c r="F1812" s="176">
        <v>-0.75</v>
      </c>
      <c r="G1812" t="s">
        <v>6786</v>
      </c>
      <c r="H1812">
        <v>209</v>
      </c>
      <c r="I1812">
        <v>399</v>
      </c>
      <c r="J1812">
        <v>9.69</v>
      </c>
      <c r="K1812">
        <v>80.900000000000006</v>
      </c>
      <c r="L1812">
        <v>79.2</v>
      </c>
      <c r="M1812" s="175">
        <v>0.22</v>
      </c>
      <c r="N1812" t="s">
        <v>4660</v>
      </c>
    </row>
    <row r="1813" spans="1:14">
      <c r="A1813">
        <v>6504</v>
      </c>
      <c r="B1813" t="s">
        <v>1470</v>
      </c>
      <c r="C1813">
        <v>40.5</v>
      </c>
      <c r="D1813">
        <v>39.549999999999997</v>
      </c>
      <c r="E1813" s="178">
        <v>-1.05</v>
      </c>
      <c r="F1813" s="176">
        <v>-2.59</v>
      </c>
      <c r="G1813" t="s">
        <v>6787</v>
      </c>
      <c r="H1813">
        <v>390</v>
      </c>
      <c r="I1813">
        <v>805</v>
      </c>
      <c r="J1813">
        <v>7.26</v>
      </c>
      <c r="K1813">
        <v>42.6</v>
      </c>
      <c r="L1813">
        <v>39.549999999999997</v>
      </c>
      <c r="M1813" s="175">
        <v>0.54</v>
      </c>
      <c r="N1813" t="s">
        <v>4661</v>
      </c>
    </row>
    <row r="1814" spans="1:14">
      <c r="A1814">
        <v>6505</v>
      </c>
      <c r="B1814" t="s">
        <v>1471</v>
      </c>
      <c r="C1814">
        <v>118</v>
      </c>
      <c r="D1814">
        <v>111.5</v>
      </c>
      <c r="E1814" s="178">
        <v>-8</v>
      </c>
      <c r="F1814" s="176">
        <v>-6.69</v>
      </c>
      <c r="G1814" t="s">
        <v>5609</v>
      </c>
      <c r="H1814">
        <v>58232</v>
      </c>
      <c r="I1814">
        <v>64991</v>
      </c>
      <c r="J1814">
        <v>952.6</v>
      </c>
      <c r="K1814">
        <v>120.5</v>
      </c>
      <c r="L1814">
        <v>108</v>
      </c>
      <c r="M1814" s="175">
        <v>0.61</v>
      </c>
      <c r="N1814" t="s">
        <v>4662</v>
      </c>
    </row>
    <row r="1815" spans="1:14">
      <c r="A1815">
        <v>6506</v>
      </c>
      <c r="B1815" t="s">
        <v>295</v>
      </c>
      <c r="C1815">
        <v>18.8</v>
      </c>
      <c r="D1815">
        <v>18.649999999999999</v>
      </c>
      <c r="E1815" s="178">
        <v>-0.15</v>
      </c>
      <c r="F1815" s="176">
        <v>-0.8</v>
      </c>
      <c r="G1815" t="s">
        <v>5927</v>
      </c>
      <c r="H1815">
        <v>112</v>
      </c>
      <c r="I1815">
        <v>73</v>
      </c>
      <c r="J1815">
        <v>8.24</v>
      </c>
      <c r="K1815">
        <v>18.8</v>
      </c>
      <c r="L1815">
        <v>18.649999999999999</v>
      </c>
      <c r="M1815" s="175">
        <v>0.14000000000000001</v>
      </c>
      <c r="N1815" t="s">
        <v>4663</v>
      </c>
    </row>
    <row r="1816" spans="1:14">
      <c r="A1816">
        <v>6508</v>
      </c>
      <c r="B1816" t="s">
        <v>296</v>
      </c>
      <c r="C1816">
        <v>26.4</v>
      </c>
      <c r="D1816">
        <v>26.7</v>
      </c>
      <c r="E1816" s="178">
        <v>-0.1</v>
      </c>
      <c r="F1816" s="176">
        <v>-0.37</v>
      </c>
      <c r="G1816" t="s">
        <v>6788</v>
      </c>
      <c r="H1816">
        <v>14</v>
      </c>
      <c r="I1816">
        <v>29</v>
      </c>
      <c r="J1816">
        <v>8.65</v>
      </c>
      <c r="K1816">
        <v>26.7</v>
      </c>
      <c r="L1816">
        <v>26.3</v>
      </c>
      <c r="M1816" s="175">
        <v>0.02</v>
      </c>
      <c r="N1816" t="s">
        <v>4664</v>
      </c>
    </row>
    <row r="1817" spans="1:14">
      <c r="A1817">
        <v>6509</v>
      </c>
      <c r="B1817" t="s">
        <v>297</v>
      </c>
      <c r="C1817">
        <v>50.3</v>
      </c>
      <c r="D1817">
        <v>50.9</v>
      </c>
      <c r="E1817" s="178">
        <v>0</v>
      </c>
      <c r="F1817" s="176">
        <v>0</v>
      </c>
      <c r="G1817" t="s">
        <v>6789</v>
      </c>
      <c r="H1817">
        <v>1223</v>
      </c>
      <c r="I1817">
        <v>1186</v>
      </c>
      <c r="J1817">
        <v>19.739999999999998</v>
      </c>
      <c r="K1817">
        <v>51.5</v>
      </c>
      <c r="L1817">
        <v>50</v>
      </c>
      <c r="M1817" s="175">
        <v>0.62</v>
      </c>
      <c r="N1817" t="s">
        <v>4665</v>
      </c>
    </row>
    <row r="1818" spans="1:14">
      <c r="A1818">
        <v>6510</v>
      </c>
      <c r="B1818" t="s">
        <v>298</v>
      </c>
      <c r="C1818">
        <v>3090</v>
      </c>
      <c r="D1818">
        <v>2905</v>
      </c>
      <c r="E1818" s="178">
        <v>-320</v>
      </c>
      <c r="F1818" s="176">
        <v>-9.92</v>
      </c>
      <c r="G1818" t="s">
        <v>6649</v>
      </c>
      <c r="H1818">
        <v>696</v>
      </c>
      <c r="I1818">
        <v>979</v>
      </c>
      <c r="J1818">
        <v>3.29</v>
      </c>
      <c r="K1818">
        <v>3105</v>
      </c>
      <c r="L1818">
        <v>2905</v>
      </c>
      <c r="M1818" s="175">
        <v>2.11</v>
      </c>
      <c r="N1818" t="s">
        <v>4666</v>
      </c>
    </row>
    <row r="1819" spans="1:14">
      <c r="A1819">
        <v>6512</v>
      </c>
      <c r="B1819" t="s">
        <v>299</v>
      </c>
      <c r="C1819">
        <v>20.149999999999999</v>
      </c>
      <c r="D1819">
        <v>20.149999999999999</v>
      </c>
      <c r="E1819" s="178">
        <v>0</v>
      </c>
      <c r="F1819" s="176">
        <v>0</v>
      </c>
      <c r="G1819" t="s">
        <v>6790</v>
      </c>
      <c r="H1819">
        <v>2</v>
      </c>
      <c r="I1819">
        <v>5</v>
      </c>
      <c r="J1819">
        <v>2.5299999999999998</v>
      </c>
      <c r="K1819">
        <v>20.149999999999999</v>
      </c>
      <c r="L1819">
        <v>20.149999999999999</v>
      </c>
      <c r="M1819" s="175">
        <v>0.01</v>
      </c>
      <c r="N1819" t="s">
        <v>4667</v>
      </c>
    </row>
    <row r="1820" spans="1:14">
      <c r="A1820">
        <v>6515</v>
      </c>
      <c r="B1820" t="s">
        <v>1493</v>
      </c>
      <c r="C1820">
        <v>5360</v>
      </c>
      <c r="D1820">
        <v>5055</v>
      </c>
      <c r="E1820" s="178">
        <v>-560</v>
      </c>
      <c r="F1820" s="176">
        <v>-9.9700000000000006</v>
      </c>
      <c r="G1820" t="s">
        <v>6791</v>
      </c>
      <c r="H1820">
        <v>628</v>
      </c>
      <c r="I1820">
        <v>1077</v>
      </c>
      <c r="J1820">
        <v>3.65</v>
      </c>
      <c r="K1820">
        <v>5390</v>
      </c>
      <c r="L1820">
        <v>5055</v>
      </c>
      <c r="M1820" s="175">
        <v>1.72</v>
      </c>
      <c r="N1820" t="s">
        <v>4668</v>
      </c>
    </row>
    <row r="1821" spans="1:14">
      <c r="A1821">
        <v>6516</v>
      </c>
      <c r="B1821" t="s">
        <v>373</v>
      </c>
      <c r="C1821">
        <v>55.6</v>
      </c>
      <c r="D1821">
        <v>55.4</v>
      </c>
      <c r="E1821" s="178">
        <v>-0.6</v>
      </c>
      <c r="F1821" s="176">
        <v>-1.07</v>
      </c>
      <c r="G1821" t="s">
        <v>5364</v>
      </c>
      <c r="H1821">
        <v>58</v>
      </c>
      <c r="I1821">
        <v>23</v>
      </c>
      <c r="J1821">
        <v>5.63</v>
      </c>
      <c r="K1821">
        <v>55.8</v>
      </c>
      <c r="L1821">
        <v>55</v>
      </c>
      <c r="M1821" s="175">
        <v>0.1</v>
      </c>
      <c r="N1821" t="s">
        <v>4669</v>
      </c>
    </row>
    <row r="1822" spans="1:14">
      <c r="A1822">
        <v>6517</v>
      </c>
      <c r="B1822" t="s">
        <v>1678</v>
      </c>
      <c r="C1822">
        <v>70.8</v>
      </c>
      <c r="D1822">
        <v>70</v>
      </c>
      <c r="E1822" s="178">
        <v>-1.1000000000000001</v>
      </c>
      <c r="F1822" s="176">
        <v>-1.55</v>
      </c>
      <c r="G1822" t="s">
        <v>5339</v>
      </c>
      <c r="H1822">
        <v>2426</v>
      </c>
      <c r="I1822">
        <v>1625</v>
      </c>
      <c r="J1822">
        <v>3.06</v>
      </c>
      <c r="K1822">
        <v>74.2</v>
      </c>
      <c r="L1822">
        <v>69.900000000000006</v>
      </c>
      <c r="M1822" s="175">
        <v>7.93</v>
      </c>
      <c r="N1822" t="s">
        <v>4670</v>
      </c>
    </row>
    <row r="1823" spans="1:14">
      <c r="A1823">
        <v>6523</v>
      </c>
      <c r="B1823" t="s">
        <v>300</v>
      </c>
      <c r="C1823">
        <v>88</v>
      </c>
      <c r="D1823">
        <v>86.6</v>
      </c>
      <c r="E1823" s="178">
        <v>-1.5</v>
      </c>
      <c r="F1823" s="176">
        <v>-1.7</v>
      </c>
      <c r="G1823" t="s">
        <v>6792</v>
      </c>
      <c r="H1823">
        <v>121</v>
      </c>
      <c r="I1823">
        <v>22</v>
      </c>
      <c r="J1823">
        <v>4.5</v>
      </c>
      <c r="K1823">
        <v>89.9</v>
      </c>
      <c r="L1823">
        <v>84.1</v>
      </c>
      <c r="M1823" s="175">
        <v>0.27</v>
      </c>
      <c r="N1823" t="s">
        <v>4671</v>
      </c>
    </row>
    <row r="1824" spans="1:14">
      <c r="A1824">
        <v>6525</v>
      </c>
      <c r="B1824" t="s">
        <v>1472</v>
      </c>
      <c r="C1824">
        <v>133.5</v>
      </c>
      <c r="D1824">
        <v>128.5</v>
      </c>
      <c r="E1824" s="178">
        <v>-8.5</v>
      </c>
      <c r="F1824" s="176">
        <v>-6.2</v>
      </c>
      <c r="G1824" t="s">
        <v>5524</v>
      </c>
      <c r="H1824">
        <v>845</v>
      </c>
      <c r="I1824">
        <v>872</v>
      </c>
      <c r="J1824">
        <v>12.9</v>
      </c>
      <c r="K1824">
        <v>133.5</v>
      </c>
      <c r="L1824">
        <v>128</v>
      </c>
      <c r="M1824" s="175">
        <v>0.65</v>
      </c>
      <c r="N1824" t="s">
        <v>4672</v>
      </c>
    </row>
    <row r="1825" spans="1:14">
      <c r="A1825">
        <v>6526</v>
      </c>
      <c r="B1825" t="s">
        <v>2300</v>
      </c>
      <c r="C1825">
        <v>768</v>
      </c>
      <c r="D1825">
        <v>779</v>
      </c>
      <c r="E1825" s="178">
        <v>-23</v>
      </c>
      <c r="F1825" s="176">
        <v>-2.87</v>
      </c>
      <c r="G1825" t="s">
        <v>5633</v>
      </c>
      <c r="H1825">
        <v>1354</v>
      </c>
      <c r="I1825">
        <v>1595</v>
      </c>
      <c r="J1825">
        <v>16.75</v>
      </c>
      <c r="K1825">
        <v>796</v>
      </c>
      <c r="L1825">
        <v>759</v>
      </c>
      <c r="M1825" s="175">
        <v>0.81</v>
      </c>
      <c r="N1825" t="s">
        <v>4673</v>
      </c>
    </row>
    <row r="1826" spans="1:14">
      <c r="A1826">
        <v>6527</v>
      </c>
      <c r="B1826" t="s">
        <v>1473</v>
      </c>
      <c r="C1826">
        <v>73</v>
      </c>
      <c r="D1826">
        <v>72.5</v>
      </c>
      <c r="E1826" s="178">
        <v>-1</v>
      </c>
      <c r="F1826" s="176">
        <v>-1.36</v>
      </c>
      <c r="G1826" t="s">
        <v>5411</v>
      </c>
      <c r="H1826">
        <v>27</v>
      </c>
      <c r="I1826">
        <v>15</v>
      </c>
      <c r="J1826">
        <v>2.5499999999999998</v>
      </c>
      <c r="K1826">
        <v>73</v>
      </c>
      <c r="L1826">
        <v>72.5</v>
      </c>
      <c r="M1826" s="175">
        <v>0.11</v>
      </c>
      <c r="N1826" t="s">
        <v>4674</v>
      </c>
    </row>
    <row r="1827" spans="1:14">
      <c r="A1827">
        <v>6530</v>
      </c>
      <c r="B1827" t="s">
        <v>378</v>
      </c>
      <c r="C1827">
        <v>96.2</v>
      </c>
      <c r="D1827">
        <v>95.5</v>
      </c>
      <c r="E1827" s="178">
        <v>-3.2</v>
      </c>
      <c r="F1827" s="176">
        <v>-3.24</v>
      </c>
      <c r="G1827" t="s">
        <v>6793</v>
      </c>
      <c r="H1827">
        <v>773</v>
      </c>
      <c r="I1827">
        <v>1350</v>
      </c>
      <c r="J1827">
        <v>3.38</v>
      </c>
      <c r="K1827">
        <v>98.7</v>
      </c>
      <c r="L1827">
        <v>93</v>
      </c>
      <c r="M1827" s="175">
        <v>2.29</v>
      </c>
      <c r="N1827" t="s">
        <v>4675</v>
      </c>
    </row>
    <row r="1828" spans="1:14">
      <c r="A1828">
        <v>6531</v>
      </c>
      <c r="B1828" t="s">
        <v>1586</v>
      </c>
      <c r="C1828">
        <v>891</v>
      </c>
      <c r="D1828">
        <v>831</v>
      </c>
      <c r="E1828" s="178">
        <v>-92</v>
      </c>
      <c r="F1828" s="176">
        <v>-9.9700000000000006</v>
      </c>
      <c r="G1828" t="s">
        <v>6794</v>
      </c>
      <c r="H1828">
        <v>7108</v>
      </c>
      <c r="I1828">
        <v>5136</v>
      </c>
      <c r="J1828">
        <v>8.9</v>
      </c>
      <c r="K1828">
        <v>902</v>
      </c>
      <c r="L1828">
        <v>831</v>
      </c>
      <c r="M1828" s="175">
        <v>4.3600000000000003</v>
      </c>
      <c r="N1828" t="s">
        <v>4676</v>
      </c>
    </row>
    <row r="1829" spans="1:14">
      <c r="A1829">
        <v>6532</v>
      </c>
      <c r="B1829" t="s">
        <v>301</v>
      </c>
      <c r="C1829">
        <v>125</v>
      </c>
      <c r="D1829">
        <v>119.5</v>
      </c>
      <c r="E1829" s="178">
        <v>-6</v>
      </c>
      <c r="F1829" s="176">
        <v>-4.78</v>
      </c>
      <c r="G1829" t="s">
        <v>6795</v>
      </c>
      <c r="H1829">
        <v>9012</v>
      </c>
      <c r="I1829">
        <v>2009</v>
      </c>
      <c r="J1829">
        <v>3.8</v>
      </c>
      <c r="K1829">
        <v>132</v>
      </c>
      <c r="L1829">
        <v>119</v>
      </c>
      <c r="M1829" s="175">
        <v>24.07</v>
      </c>
      <c r="N1829" t="s">
        <v>4677</v>
      </c>
    </row>
    <row r="1830" spans="1:14">
      <c r="A1830">
        <v>6533</v>
      </c>
      <c r="B1830" t="s">
        <v>1474</v>
      </c>
      <c r="C1830">
        <v>305</v>
      </c>
      <c r="D1830">
        <v>294.5</v>
      </c>
      <c r="E1830" s="178">
        <v>-21</v>
      </c>
      <c r="F1830" s="176">
        <v>-6.66</v>
      </c>
      <c r="G1830" t="s">
        <v>6796</v>
      </c>
      <c r="H1830">
        <v>1872</v>
      </c>
      <c r="I1830">
        <v>1588</v>
      </c>
      <c r="J1830">
        <v>5.75</v>
      </c>
      <c r="K1830">
        <v>311.5</v>
      </c>
      <c r="L1830">
        <v>294</v>
      </c>
      <c r="M1830" s="175">
        <v>3.26</v>
      </c>
      <c r="N1830" t="s">
        <v>4678</v>
      </c>
    </row>
    <row r="1831" spans="1:14">
      <c r="A1831">
        <v>6535</v>
      </c>
      <c r="B1831" t="s">
        <v>302</v>
      </c>
      <c r="C1831">
        <v>77</v>
      </c>
      <c r="D1831">
        <v>75.599999999999994</v>
      </c>
      <c r="E1831" s="178">
        <v>-1</v>
      </c>
      <c r="F1831" s="176">
        <v>-1.31</v>
      </c>
      <c r="G1831" t="s">
        <v>6797</v>
      </c>
      <c r="H1831">
        <v>126</v>
      </c>
      <c r="I1831">
        <v>149</v>
      </c>
      <c r="J1831">
        <v>16.78</v>
      </c>
      <c r="K1831">
        <v>78.2</v>
      </c>
      <c r="L1831">
        <v>75.3</v>
      </c>
      <c r="M1831" s="175">
        <v>0.08</v>
      </c>
      <c r="N1831" t="s">
        <v>4679</v>
      </c>
    </row>
    <row r="1832" spans="1:14">
      <c r="A1832">
        <v>6538</v>
      </c>
      <c r="B1832" t="s">
        <v>303</v>
      </c>
      <c r="C1832">
        <v>313.5</v>
      </c>
      <c r="D1832">
        <v>302</v>
      </c>
      <c r="E1832" s="178">
        <v>-23</v>
      </c>
      <c r="F1832" s="176">
        <v>-7.08</v>
      </c>
      <c r="G1832" t="s">
        <v>5587</v>
      </c>
      <c r="H1832">
        <v>2247</v>
      </c>
      <c r="I1832">
        <v>4522</v>
      </c>
      <c r="J1832">
        <v>3.96</v>
      </c>
      <c r="K1832">
        <v>334.5</v>
      </c>
      <c r="L1832">
        <v>302</v>
      </c>
      <c r="M1832" s="175">
        <v>5.77</v>
      </c>
      <c r="N1832" t="s">
        <v>4680</v>
      </c>
    </row>
    <row r="1833" spans="1:14">
      <c r="A1833">
        <v>6541</v>
      </c>
      <c r="B1833" t="s">
        <v>321</v>
      </c>
      <c r="C1833">
        <v>30.6</v>
      </c>
      <c r="D1833">
        <v>30.45</v>
      </c>
      <c r="E1833" s="178">
        <v>-0.45</v>
      </c>
      <c r="F1833" s="176">
        <v>-1.46</v>
      </c>
      <c r="G1833" t="s">
        <v>6798</v>
      </c>
      <c r="H1833">
        <v>392</v>
      </c>
      <c r="I1833">
        <v>567</v>
      </c>
      <c r="J1833">
        <v>26.52</v>
      </c>
      <c r="K1833">
        <v>31.6</v>
      </c>
      <c r="L1833">
        <v>30.3</v>
      </c>
      <c r="M1833" s="175">
        <v>0.15</v>
      </c>
      <c r="N1833" t="s">
        <v>4681</v>
      </c>
    </row>
    <row r="1834" spans="1:14">
      <c r="A1834">
        <v>6542</v>
      </c>
      <c r="B1834" t="s">
        <v>304</v>
      </c>
      <c r="C1834">
        <v>37.5</v>
      </c>
      <c r="D1834">
        <v>38.049999999999997</v>
      </c>
      <c r="E1834" s="178">
        <v>-0.45</v>
      </c>
      <c r="F1834" s="176">
        <v>-1.17</v>
      </c>
      <c r="G1834" t="s">
        <v>5694</v>
      </c>
      <c r="H1834">
        <v>2</v>
      </c>
      <c r="I1834">
        <v>5</v>
      </c>
      <c r="J1834">
        <v>4.2</v>
      </c>
      <c r="K1834">
        <v>38.049999999999997</v>
      </c>
      <c r="L1834">
        <v>37.5</v>
      </c>
      <c r="M1834" s="175">
        <v>0</v>
      </c>
      <c r="N1834" t="s">
        <v>4682</v>
      </c>
    </row>
    <row r="1835" spans="1:14">
      <c r="A1835">
        <v>6546</v>
      </c>
      <c r="B1835" t="s">
        <v>1636</v>
      </c>
      <c r="C1835">
        <v>60.4</v>
      </c>
      <c r="D1835">
        <v>59.2</v>
      </c>
      <c r="E1835" s="178">
        <v>-1.4</v>
      </c>
      <c r="F1835" s="176">
        <v>-2.31</v>
      </c>
      <c r="G1835" t="s">
        <v>6799</v>
      </c>
      <c r="H1835">
        <v>249</v>
      </c>
      <c r="I1835">
        <v>128</v>
      </c>
      <c r="J1835">
        <v>6.68</v>
      </c>
      <c r="K1835">
        <v>60.4</v>
      </c>
      <c r="L1835">
        <v>59.2</v>
      </c>
      <c r="M1835" s="175">
        <v>0.37</v>
      </c>
      <c r="N1835" t="s">
        <v>4683</v>
      </c>
    </row>
    <row r="1836" spans="1:14">
      <c r="A1836">
        <v>6547</v>
      </c>
      <c r="B1836" t="s">
        <v>328</v>
      </c>
      <c r="C1836">
        <v>53.8</v>
      </c>
      <c r="D1836">
        <v>51.8</v>
      </c>
      <c r="E1836" s="178">
        <v>-2.2000000000000002</v>
      </c>
      <c r="F1836" s="176">
        <v>-4.07</v>
      </c>
      <c r="G1836" t="s">
        <v>6013</v>
      </c>
      <c r="H1836">
        <v>4705</v>
      </c>
      <c r="I1836">
        <v>4375</v>
      </c>
      <c r="J1836">
        <v>33.729999999999997</v>
      </c>
      <c r="K1836">
        <v>54.1</v>
      </c>
      <c r="L1836">
        <v>51.4</v>
      </c>
      <c r="M1836" s="175">
        <v>1.39</v>
      </c>
      <c r="N1836" t="s">
        <v>4684</v>
      </c>
    </row>
    <row r="1837" spans="1:14">
      <c r="A1837">
        <v>6548</v>
      </c>
      <c r="B1837" t="s">
        <v>1652</v>
      </c>
      <c r="C1837">
        <v>80.3</v>
      </c>
      <c r="D1837">
        <v>82.2</v>
      </c>
      <c r="E1837" s="178">
        <v>-0.2</v>
      </c>
      <c r="F1837" s="176">
        <v>-0.24</v>
      </c>
      <c r="G1837" t="s">
        <v>6800</v>
      </c>
      <c r="H1837">
        <v>9436</v>
      </c>
      <c r="I1837">
        <v>12964</v>
      </c>
      <c r="J1837">
        <v>3.8</v>
      </c>
      <c r="K1837">
        <v>84.7</v>
      </c>
      <c r="L1837">
        <v>77.599999999999994</v>
      </c>
      <c r="M1837" s="175">
        <v>0.99</v>
      </c>
      <c r="N1837" t="s">
        <v>4685</v>
      </c>
    </row>
    <row r="1838" spans="1:14">
      <c r="A1838">
        <v>6550</v>
      </c>
      <c r="B1838" t="s">
        <v>5233</v>
      </c>
      <c r="C1838">
        <v>16.100000000000001</v>
      </c>
      <c r="D1838">
        <v>15.9</v>
      </c>
      <c r="E1838" s="178">
        <v>-0.2</v>
      </c>
      <c r="F1838" s="176">
        <v>-1.24</v>
      </c>
      <c r="G1838" t="s">
        <v>5938</v>
      </c>
      <c r="H1838">
        <v>448</v>
      </c>
      <c r="I1838">
        <v>529</v>
      </c>
      <c r="J1838">
        <v>46.48</v>
      </c>
      <c r="K1838">
        <v>16.3</v>
      </c>
      <c r="L1838">
        <v>15.8</v>
      </c>
      <c r="M1838" s="175">
        <v>0.1</v>
      </c>
      <c r="N1838" t="s">
        <v>5234</v>
      </c>
    </row>
    <row r="1839" spans="1:14">
      <c r="A1839">
        <v>6552</v>
      </c>
      <c r="B1839" t="s">
        <v>1475</v>
      </c>
      <c r="C1839">
        <v>24</v>
      </c>
      <c r="D1839">
        <v>23.3</v>
      </c>
      <c r="E1839" s="178">
        <v>-0.45</v>
      </c>
      <c r="F1839" s="176">
        <v>-1.89</v>
      </c>
      <c r="G1839" t="s">
        <v>5740</v>
      </c>
      <c r="H1839">
        <v>95</v>
      </c>
      <c r="I1839">
        <v>51</v>
      </c>
      <c r="J1839">
        <v>8.3000000000000007</v>
      </c>
      <c r="K1839">
        <v>24</v>
      </c>
      <c r="L1839">
        <v>23.3</v>
      </c>
      <c r="M1839" s="175">
        <v>0.11</v>
      </c>
      <c r="N1839" t="s">
        <v>4686</v>
      </c>
    </row>
    <row r="1840" spans="1:14">
      <c r="A1840">
        <v>6556</v>
      </c>
      <c r="B1840" t="s">
        <v>1476</v>
      </c>
      <c r="C1840">
        <v>66.8</v>
      </c>
      <c r="D1840">
        <v>65.599999999999994</v>
      </c>
      <c r="E1840" s="178">
        <v>-1.5</v>
      </c>
      <c r="F1840" s="176">
        <v>-2.2400000000000002</v>
      </c>
      <c r="G1840" t="s">
        <v>6801</v>
      </c>
      <c r="H1840">
        <v>9</v>
      </c>
      <c r="I1840">
        <v>14</v>
      </c>
      <c r="J1840">
        <v>2.88</v>
      </c>
      <c r="K1840">
        <v>66.8</v>
      </c>
      <c r="L1840">
        <v>62.9</v>
      </c>
      <c r="M1840" s="175">
        <v>0.03</v>
      </c>
      <c r="N1840" t="s">
        <v>4687</v>
      </c>
    </row>
    <row r="1841" spans="1:14">
      <c r="A1841">
        <v>6558</v>
      </c>
      <c r="B1841" t="s">
        <v>332</v>
      </c>
      <c r="C1841">
        <v>23.75</v>
      </c>
      <c r="D1841">
        <v>23.5</v>
      </c>
      <c r="E1841" s="178">
        <v>-0.55000000000000004</v>
      </c>
      <c r="F1841" s="176">
        <v>-2.29</v>
      </c>
      <c r="G1841" t="s">
        <v>6492</v>
      </c>
      <c r="H1841">
        <v>173</v>
      </c>
      <c r="I1841">
        <v>136</v>
      </c>
      <c r="J1841">
        <v>9.3800000000000008</v>
      </c>
      <c r="K1841">
        <v>23.75</v>
      </c>
      <c r="L1841">
        <v>23.45</v>
      </c>
      <c r="M1841" s="175">
        <v>0.2</v>
      </c>
      <c r="N1841" t="s">
        <v>4688</v>
      </c>
    </row>
    <row r="1842" spans="1:14">
      <c r="A1842">
        <v>6560</v>
      </c>
      <c r="B1842" t="s">
        <v>305</v>
      </c>
      <c r="C1842">
        <v>31.5</v>
      </c>
      <c r="D1842">
        <v>31.75</v>
      </c>
      <c r="E1842" s="178">
        <v>-0.25</v>
      </c>
      <c r="F1842" s="176">
        <v>-0.78</v>
      </c>
      <c r="G1842" t="s">
        <v>6802</v>
      </c>
      <c r="H1842">
        <v>31</v>
      </c>
      <c r="I1842">
        <v>78</v>
      </c>
      <c r="J1842">
        <v>3.35</v>
      </c>
      <c r="K1842">
        <v>31.95</v>
      </c>
      <c r="L1842">
        <v>31.5</v>
      </c>
      <c r="M1842" s="175">
        <v>0.09</v>
      </c>
      <c r="N1842" t="s">
        <v>4689</v>
      </c>
    </row>
    <row r="1843" spans="1:14">
      <c r="A1843">
        <v>6561</v>
      </c>
      <c r="B1843" t="s">
        <v>334</v>
      </c>
      <c r="C1843">
        <v>312</v>
      </c>
      <c r="D1843">
        <v>308</v>
      </c>
      <c r="E1843" s="178">
        <v>-4.5</v>
      </c>
      <c r="F1843" s="176">
        <v>-1.44</v>
      </c>
      <c r="G1843" t="s">
        <v>6803</v>
      </c>
      <c r="H1843">
        <v>228</v>
      </c>
      <c r="I1843">
        <v>97</v>
      </c>
      <c r="J1843">
        <v>7.8</v>
      </c>
      <c r="K1843">
        <v>312</v>
      </c>
      <c r="L1843">
        <v>308</v>
      </c>
      <c r="M1843" s="175">
        <v>0.28999999999999998</v>
      </c>
      <c r="N1843" t="s">
        <v>4690</v>
      </c>
    </row>
    <row r="1844" spans="1:14">
      <c r="A1844">
        <v>6568</v>
      </c>
      <c r="B1844" t="s">
        <v>306</v>
      </c>
      <c r="C1844">
        <v>132</v>
      </c>
      <c r="D1844">
        <v>135</v>
      </c>
      <c r="E1844" s="178">
        <v>2</v>
      </c>
      <c r="F1844" s="176">
        <v>1.5</v>
      </c>
      <c r="G1844" t="s">
        <v>6804</v>
      </c>
      <c r="H1844">
        <v>201</v>
      </c>
      <c r="I1844">
        <v>130</v>
      </c>
      <c r="J1844">
        <v>3.08</v>
      </c>
      <c r="K1844">
        <v>139.5</v>
      </c>
      <c r="L1844">
        <v>132</v>
      </c>
      <c r="M1844" s="175">
        <v>0.65</v>
      </c>
      <c r="N1844" t="s">
        <v>4691</v>
      </c>
    </row>
    <row r="1845" spans="1:14">
      <c r="A1845">
        <v>6569</v>
      </c>
      <c r="B1845" t="s">
        <v>307</v>
      </c>
      <c r="C1845">
        <v>90.7</v>
      </c>
      <c r="D1845">
        <v>90</v>
      </c>
      <c r="E1845" s="178">
        <v>-0.6</v>
      </c>
      <c r="F1845" s="176">
        <v>-0.66</v>
      </c>
      <c r="G1845" t="s">
        <v>6805</v>
      </c>
      <c r="H1845">
        <v>10</v>
      </c>
      <c r="I1845">
        <v>23</v>
      </c>
      <c r="J1845">
        <v>4.28</v>
      </c>
      <c r="K1845">
        <v>90.7</v>
      </c>
      <c r="L1845">
        <v>90</v>
      </c>
      <c r="M1845" s="175">
        <v>0.02</v>
      </c>
      <c r="N1845" t="s">
        <v>4692</v>
      </c>
    </row>
    <row r="1846" spans="1:14">
      <c r="A1846">
        <v>6570</v>
      </c>
      <c r="B1846" t="s">
        <v>350</v>
      </c>
      <c r="C1846">
        <v>46.1</v>
      </c>
      <c r="D1846">
        <v>46.2</v>
      </c>
      <c r="E1846" s="178">
        <v>-0.05</v>
      </c>
      <c r="F1846" s="176">
        <v>-0.11</v>
      </c>
      <c r="G1846" t="s">
        <v>6806</v>
      </c>
      <c r="H1846">
        <v>110</v>
      </c>
      <c r="I1846">
        <v>117</v>
      </c>
      <c r="J1846">
        <v>3.71</v>
      </c>
      <c r="K1846">
        <v>46.2</v>
      </c>
      <c r="L1846">
        <v>45.05</v>
      </c>
      <c r="M1846" s="175">
        <v>0.3</v>
      </c>
      <c r="N1846" t="s">
        <v>4693</v>
      </c>
    </row>
    <row r="1847" spans="1:14">
      <c r="A1847">
        <v>6573</v>
      </c>
      <c r="B1847" t="s">
        <v>320</v>
      </c>
      <c r="C1847">
        <v>15.8</v>
      </c>
      <c r="D1847">
        <v>15.25</v>
      </c>
      <c r="E1847" s="178">
        <v>-0.5</v>
      </c>
      <c r="F1847" s="176">
        <v>-3.17</v>
      </c>
      <c r="G1847" t="s">
        <v>6807</v>
      </c>
      <c r="H1847">
        <v>170</v>
      </c>
      <c r="I1847">
        <v>116</v>
      </c>
      <c r="J1847">
        <v>8.0500000000000007</v>
      </c>
      <c r="K1847">
        <v>15.8</v>
      </c>
      <c r="L1847">
        <v>15.15</v>
      </c>
      <c r="M1847" s="175">
        <v>0.21</v>
      </c>
      <c r="N1847" t="s">
        <v>4694</v>
      </c>
    </row>
    <row r="1848" spans="1:14">
      <c r="A1848">
        <v>6574</v>
      </c>
      <c r="B1848" t="s">
        <v>1477</v>
      </c>
      <c r="C1848">
        <v>118</v>
      </c>
      <c r="D1848">
        <v>117</v>
      </c>
      <c r="E1848" s="178">
        <v>-1</v>
      </c>
      <c r="F1848" s="176">
        <v>-0.85</v>
      </c>
      <c r="G1848" t="s">
        <v>6808</v>
      </c>
      <c r="H1848">
        <v>53</v>
      </c>
      <c r="I1848">
        <v>38</v>
      </c>
      <c r="J1848">
        <v>2.2000000000000002</v>
      </c>
      <c r="K1848">
        <v>118</v>
      </c>
      <c r="L1848">
        <v>115</v>
      </c>
      <c r="M1848" s="175">
        <v>0.24</v>
      </c>
      <c r="N1848" t="s">
        <v>4695</v>
      </c>
    </row>
    <row r="1849" spans="1:14">
      <c r="A1849">
        <v>6576</v>
      </c>
      <c r="B1849" t="s">
        <v>367</v>
      </c>
      <c r="C1849">
        <v>77.2</v>
      </c>
      <c r="D1849">
        <v>77.2</v>
      </c>
      <c r="E1849" s="178">
        <v>-0.3</v>
      </c>
      <c r="F1849" s="176">
        <v>-0.39</v>
      </c>
      <c r="G1849" t="s">
        <v>6809</v>
      </c>
      <c r="H1849">
        <v>99</v>
      </c>
      <c r="I1849">
        <v>304</v>
      </c>
      <c r="J1849">
        <v>15.76</v>
      </c>
      <c r="K1849">
        <v>77.3</v>
      </c>
      <c r="L1849">
        <v>75.900000000000006</v>
      </c>
      <c r="M1849" s="175">
        <v>0.06</v>
      </c>
      <c r="N1849" t="s">
        <v>4696</v>
      </c>
    </row>
    <row r="1850" spans="1:14">
      <c r="A1850">
        <v>6577</v>
      </c>
      <c r="B1850" t="s">
        <v>308</v>
      </c>
      <c r="C1850">
        <v>81.3</v>
      </c>
      <c r="D1850">
        <v>79.599999999999994</v>
      </c>
      <c r="E1850" s="178">
        <v>-0.6</v>
      </c>
      <c r="F1850" s="176">
        <v>-0.75</v>
      </c>
      <c r="G1850" t="s">
        <v>5417</v>
      </c>
      <c r="H1850">
        <v>37</v>
      </c>
      <c r="I1850">
        <v>27</v>
      </c>
      <c r="J1850">
        <v>6.01</v>
      </c>
      <c r="K1850">
        <v>81.3</v>
      </c>
      <c r="L1850">
        <v>79.5</v>
      </c>
      <c r="M1850" s="175">
        <v>0.06</v>
      </c>
      <c r="N1850" t="s">
        <v>4697</v>
      </c>
    </row>
    <row r="1851" spans="1:14">
      <c r="A1851">
        <v>6578</v>
      </c>
      <c r="B1851" t="s">
        <v>340</v>
      </c>
      <c r="C1851">
        <v>16.7</v>
      </c>
      <c r="D1851">
        <v>16.5</v>
      </c>
      <c r="E1851" s="178">
        <v>-0.4</v>
      </c>
      <c r="F1851" s="176">
        <v>-2.37</v>
      </c>
      <c r="G1851" t="s">
        <v>6810</v>
      </c>
      <c r="H1851">
        <v>59</v>
      </c>
      <c r="I1851">
        <v>64</v>
      </c>
      <c r="J1851">
        <v>7.19</v>
      </c>
      <c r="K1851">
        <v>16.7</v>
      </c>
      <c r="L1851">
        <v>16.3</v>
      </c>
      <c r="M1851" s="175">
        <v>0.08</v>
      </c>
      <c r="N1851" t="s">
        <v>4698</v>
      </c>
    </row>
    <row r="1852" spans="1:14">
      <c r="A1852">
        <v>6579</v>
      </c>
      <c r="B1852" t="s">
        <v>347</v>
      </c>
      <c r="C1852">
        <v>149</v>
      </c>
      <c r="D1852">
        <v>146.5</v>
      </c>
      <c r="E1852" s="178">
        <v>-3.5</v>
      </c>
      <c r="F1852" s="176">
        <v>-2.33</v>
      </c>
      <c r="G1852" t="s">
        <v>6768</v>
      </c>
      <c r="H1852">
        <v>238</v>
      </c>
      <c r="I1852">
        <v>295</v>
      </c>
      <c r="J1852">
        <v>16.95</v>
      </c>
      <c r="K1852">
        <v>149</v>
      </c>
      <c r="L1852">
        <v>146</v>
      </c>
      <c r="M1852" s="175">
        <v>0.14000000000000001</v>
      </c>
      <c r="N1852" t="s">
        <v>4699</v>
      </c>
    </row>
    <row r="1853" spans="1:14">
      <c r="A1853">
        <v>6581</v>
      </c>
      <c r="B1853" t="s">
        <v>383</v>
      </c>
      <c r="C1853">
        <v>107.5</v>
      </c>
      <c r="D1853">
        <v>108.5</v>
      </c>
      <c r="E1853" s="178">
        <v>1</v>
      </c>
      <c r="F1853" s="176">
        <v>0.93</v>
      </c>
      <c r="G1853" t="s">
        <v>5781</v>
      </c>
      <c r="H1853">
        <v>20</v>
      </c>
      <c r="I1853">
        <v>14</v>
      </c>
      <c r="J1853">
        <v>11.13</v>
      </c>
      <c r="K1853">
        <v>109.5</v>
      </c>
      <c r="L1853">
        <v>107.5</v>
      </c>
      <c r="M1853" s="175">
        <v>0.02</v>
      </c>
      <c r="N1853" t="s">
        <v>4700</v>
      </c>
    </row>
    <row r="1854" spans="1:14">
      <c r="A1854">
        <v>6582</v>
      </c>
      <c r="B1854" t="s">
        <v>381</v>
      </c>
      <c r="C1854">
        <v>31.6</v>
      </c>
      <c r="D1854">
        <v>31.85</v>
      </c>
      <c r="E1854" s="178">
        <v>0.25</v>
      </c>
      <c r="F1854" s="176">
        <v>0.79</v>
      </c>
      <c r="G1854" t="s">
        <v>5163</v>
      </c>
      <c r="H1854">
        <v>35</v>
      </c>
      <c r="I1854">
        <v>43</v>
      </c>
      <c r="J1854">
        <v>10.62</v>
      </c>
      <c r="K1854">
        <v>31.85</v>
      </c>
      <c r="L1854">
        <v>31.55</v>
      </c>
      <c r="M1854" s="175">
        <v>0.03</v>
      </c>
      <c r="N1854" t="s">
        <v>4701</v>
      </c>
    </row>
    <row r="1855" spans="1:14">
      <c r="A1855">
        <v>6584</v>
      </c>
      <c r="B1855" t="s">
        <v>2025</v>
      </c>
      <c r="C1855">
        <v>499</v>
      </c>
      <c r="D1855">
        <v>486.5</v>
      </c>
      <c r="E1855" s="178">
        <v>-23.5</v>
      </c>
      <c r="F1855" s="176">
        <v>-4.6100000000000003</v>
      </c>
      <c r="G1855" t="s">
        <v>6811</v>
      </c>
      <c r="H1855">
        <v>331</v>
      </c>
      <c r="I1855">
        <v>400</v>
      </c>
      <c r="J1855">
        <v>7.14</v>
      </c>
      <c r="K1855">
        <v>499</v>
      </c>
      <c r="L1855">
        <v>483</v>
      </c>
      <c r="M1855" s="175">
        <v>0.46</v>
      </c>
      <c r="N1855" t="s">
        <v>4702</v>
      </c>
    </row>
    <row r="1856" spans="1:14">
      <c r="A1856">
        <v>6585</v>
      </c>
      <c r="B1856" t="s">
        <v>1637</v>
      </c>
      <c r="C1856">
        <v>98.5</v>
      </c>
      <c r="D1856">
        <v>97.8</v>
      </c>
      <c r="E1856" s="178">
        <v>-1.4</v>
      </c>
      <c r="F1856" s="176">
        <v>-1.41</v>
      </c>
      <c r="G1856" t="s">
        <v>6812</v>
      </c>
      <c r="H1856">
        <v>164</v>
      </c>
      <c r="I1856">
        <v>308</v>
      </c>
      <c r="J1856">
        <v>7.26</v>
      </c>
      <c r="K1856">
        <v>99.2</v>
      </c>
      <c r="L1856">
        <v>97.8</v>
      </c>
      <c r="M1856" s="175">
        <v>0.23</v>
      </c>
      <c r="N1856" t="s">
        <v>4703</v>
      </c>
    </row>
    <row r="1857" spans="1:14">
      <c r="A1857">
        <v>6588</v>
      </c>
      <c r="B1857" t="s">
        <v>1478</v>
      </c>
      <c r="C1857">
        <v>95.6</v>
      </c>
      <c r="D1857">
        <v>94.5</v>
      </c>
      <c r="E1857" s="178">
        <v>-5.5</v>
      </c>
      <c r="F1857" s="176">
        <v>-5.5</v>
      </c>
      <c r="G1857" t="s">
        <v>6813</v>
      </c>
      <c r="H1857">
        <v>480</v>
      </c>
      <c r="I1857">
        <v>627</v>
      </c>
      <c r="J1857">
        <v>3.47</v>
      </c>
      <c r="K1857">
        <v>97.7</v>
      </c>
      <c r="L1857">
        <v>94.5</v>
      </c>
      <c r="M1857" s="175">
        <v>1.38</v>
      </c>
      <c r="N1857" t="s">
        <v>4631</v>
      </c>
    </row>
    <row r="1858" spans="1:14">
      <c r="A1858">
        <v>6589</v>
      </c>
      <c r="B1858" t="s">
        <v>382</v>
      </c>
      <c r="C1858">
        <v>49.55</v>
      </c>
      <c r="D1858">
        <v>49.85</v>
      </c>
      <c r="E1858" s="178">
        <v>-0.05</v>
      </c>
      <c r="F1858" s="176">
        <v>-0.1</v>
      </c>
      <c r="G1858" t="s">
        <v>6814</v>
      </c>
      <c r="H1858">
        <v>345</v>
      </c>
      <c r="I1858">
        <v>483</v>
      </c>
      <c r="J1858">
        <v>30.34</v>
      </c>
      <c r="K1858">
        <v>50.3</v>
      </c>
      <c r="L1858">
        <v>49.25</v>
      </c>
      <c r="M1858" s="175">
        <v>0.14000000000000001</v>
      </c>
      <c r="N1858" t="s">
        <v>4704</v>
      </c>
    </row>
    <row r="1859" spans="1:14">
      <c r="A1859">
        <v>6590</v>
      </c>
      <c r="B1859" t="s">
        <v>351</v>
      </c>
      <c r="C1859">
        <v>73</v>
      </c>
      <c r="D1859">
        <v>72</v>
      </c>
      <c r="E1859" s="178">
        <v>0.5</v>
      </c>
      <c r="F1859" s="176">
        <v>0.7</v>
      </c>
      <c r="G1859" t="s">
        <v>6815</v>
      </c>
      <c r="H1859">
        <v>494</v>
      </c>
      <c r="I1859">
        <v>74</v>
      </c>
      <c r="J1859">
        <v>2.87</v>
      </c>
      <c r="K1859">
        <v>78</v>
      </c>
      <c r="L1859">
        <v>72</v>
      </c>
      <c r="M1859" s="175">
        <v>1.72</v>
      </c>
      <c r="N1859" t="s">
        <v>4705</v>
      </c>
    </row>
    <row r="1860" spans="1:14">
      <c r="A1860">
        <v>6591</v>
      </c>
      <c r="B1860" t="s">
        <v>185</v>
      </c>
      <c r="C1860">
        <v>43</v>
      </c>
      <c r="D1860">
        <v>42.25</v>
      </c>
      <c r="E1860" s="178">
        <v>-1.05</v>
      </c>
      <c r="F1860" s="176">
        <v>-2.42</v>
      </c>
      <c r="G1860" t="s">
        <v>5753</v>
      </c>
      <c r="H1860">
        <v>127</v>
      </c>
      <c r="I1860">
        <v>123</v>
      </c>
      <c r="J1860">
        <v>4.1100000000000003</v>
      </c>
      <c r="K1860">
        <v>43</v>
      </c>
      <c r="L1860">
        <v>42.2</v>
      </c>
      <c r="M1860" s="175">
        <v>0.31</v>
      </c>
      <c r="N1860" t="s">
        <v>4706</v>
      </c>
    </row>
    <row r="1861" spans="1:14">
      <c r="A1861">
        <v>6592</v>
      </c>
      <c r="B1861" t="s">
        <v>1479</v>
      </c>
      <c r="C1861">
        <v>57.3</v>
      </c>
      <c r="D1861">
        <v>57.8</v>
      </c>
      <c r="E1861" s="178">
        <v>0.6</v>
      </c>
      <c r="F1861" s="176">
        <v>1.05</v>
      </c>
      <c r="G1861" t="s">
        <v>6816</v>
      </c>
      <c r="H1861">
        <v>704</v>
      </c>
      <c r="I1861">
        <v>292</v>
      </c>
      <c r="J1861">
        <v>64.180000000000007</v>
      </c>
      <c r="K1861">
        <v>58.2</v>
      </c>
      <c r="L1861">
        <v>57.3</v>
      </c>
      <c r="M1861" s="175">
        <v>0.11</v>
      </c>
      <c r="N1861" t="s">
        <v>4707</v>
      </c>
    </row>
    <row r="1862" spans="1:14">
      <c r="A1862">
        <v>6593</v>
      </c>
      <c r="B1862" t="s">
        <v>1480</v>
      </c>
      <c r="C1862">
        <v>32</v>
      </c>
      <c r="D1862">
        <v>31.8</v>
      </c>
      <c r="E1862" s="178">
        <v>-0.6</v>
      </c>
      <c r="F1862" s="176">
        <v>-1.85</v>
      </c>
      <c r="G1862" t="s">
        <v>5720</v>
      </c>
      <c r="H1862">
        <v>14</v>
      </c>
      <c r="I1862">
        <v>26</v>
      </c>
      <c r="J1862">
        <v>3.19</v>
      </c>
      <c r="K1862">
        <v>32.299999999999997</v>
      </c>
      <c r="L1862">
        <v>31.8</v>
      </c>
      <c r="M1862" s="175">
        <v>0.04</v>
      </c>
      <c r="N1862" t="s">
        <v>4708</v>
      </c>
    </row>
    <row r="1863" spans="1:14">
      <c r="A1863">
        <v>6596</v>
      </c>
      <c r="B1863" t="s">
        <v>360</v>
      </c>
      <c r="C1863">
        <v>95.3</v>
      </c>
      <c r="D1863">
        <v>95.3</v>
      </c>
      <c r="E1863" s="178">
        <v>0</v>
      </c>
      <c r="F1863" s="176">
        <v>0</v>
      </c>
      <c r="G1863" t="s">
        <v>6817</v>
      </c>
      <c r="H1863">
        <v>127</v>
      </c>
      <c r="I1863">
        <v>103</v>
      </c>
      <c r="J1863">
        <v>3.8</v>
      </c>
      <c r="K1863">
        <v>95.9</v>
      </c>
      <c r="L1863">
        <v>94.8</v>
      </c>
      <c r="M1863" s="175">
        <v>0.33</v>
      </c>
      <c r="N1863" t="s">
        <v>4709</v>
      </c>
    </row>
    <row r="1864" spans="1:14">
      <c r="A1864">
        <v>6597</v>
      </c>
      <c r="B1864" t="s">
        <v>2827</v>
      </c>
      <c r="C1864" t="s">
        <v>1555</v>
      </c>
      <c r="D1864" t="s">
        <v>1555</v>
      </c>
      <c r="E1864" s="178" t="s">
        <v>1555</v>
      </c>
      <c r="F1864" s="176" t="s">
        <v>1555</v>
      </c>
      <c r="G1864" t="s">
        <v>1555</v>
      </c>
      <c r="H1864">
        <v>0</v>
      </c>
      <c r="I1864">
        <v>11</v>
      </c>
      <c r="J1864">
        <v>3</v>
      </c>
      <c r="K1864" t="s">
        <v>1555</v>
      </c>
      <c r="L1864" t="s">
        <v>1555</v>
      </c>
      <c r="M1864" s="175">
        <v>0</v>
      </c>
      <c r="N1864" t="s">
        <v>4710</v>
      </c>
    </row>
    <row r="1865" spans="1:14">
      <c r="A1865">
        <v>6598</v>
      </c>
      <c r="B1865" t="s">
        <v>1481</v>
      </c>
      <c r="C1865">
        <v>29.4</v>
      </c>
      <c r="D1865">
        <v>28.95</v>
      </c>
      <c r="E1865" s="178">
        <v>-0.55000000000000004</v>
      </c>
      <c r="F1865" s="176">
        <v>-1.86</v>
      </c>
      <c r="G1865" t="s">
        <v>6818</v>
      </c>
      <c r="H1865">
        <v>204</v>
      </c>
      <c r="I1865">
        <v>318</v>
      </c>
      <c r="J1865">
        <v>10.28</v>
      </c>
      <c r="K1865">
        <v>29.4</v>
      </c>
      <c r="L1865">
        <v>28.7</v>
      </c>
      <c r="M1865" s="175">
        <v>0.2</v>
      </c>
      <c r="N1865" t="s">
        <v>4711</v>
      </c>
    </row>
    <row r="1866" spans="1:14">
      <c r="A1866">
        <v>6603</v>
      </c>
      <c r="B1866" t="s">
        <v>310</v>
      </c>
      <c r="C1866">
        <v>28</v>
      </c>
      <c r="D1866">
        <v>27.5</v>
      </c>
      <c r="E1866" s="178">
        <v>-1</v>
      </c>
      <c r="F1866" s="176">
        <v>-3.51</v>
      </c>
      <c r="G1866" t="s">
        <v>6819</v>
      </c>
      <c r="H1866">
        <v>1102</v>
      </c>
      <c r="I1866">
        <v>2341</v>
      </c>
      <c r="J1866">
        <v>16.739999999999998</v>
      </c>
      <c r="K1866">
        <v>28.05</v>
      </c>
      <c r="L1866">
        <v>27.5</v>
      </c>
      <c r="M1866" s="175">
        <v>0.66</v>
      </c>
      <c r="N1866" t="s">
        <v>4712</v>
      </c>
    </row>
    <row r="1867" spans="1:14">
      <c r="A1867">
        <v>6604</v>
      </c>
      <c r="B1867" t="s">
        <v>5312</v>
      </c>
      <c r="C1867">
        <v>24.7</v>
      </c>
      <c r="D1867">
        <v>24.6</v>
      </c>
      <c r="E1867" s="178">
        <v>-0.4</v>
      </c>
      <c r="F1867" s="176">
        <v>-1.6</v>
      </c>
      <c r="G1867" t="s">
        <v>5555</v>
      </c>
      <c r="H1867">
        <v>332</v>
      </c>
      <c r="I1867">
        <v>278</v>
      </c>
      <c r="J1867">
        <v>5.07</v>
      </c>
      <c r="K1867">
        <v>24.8</v>
      </c>
      <c r="L1867">
        <v>24.5</v>
      </c>
      <c r="M1867" s="175">
        <v>0.65</v>
      </c>
      <c r="N1867" t="s">
        <v>5313</v>
      </c>
    </row>
    <row r="1868" spans="1:14">
      <c r="A1868">
        <v>6605</v>
      </c>
      <c r="B1868" t="s">
        <v>1482</v>
      </c>
      <c r="C1868">
        <v>136.5</v>
      </c>
      <c r="D1868">
        <v>137.5</v>
      </c>
      <c r="E1868" s="178">
        <v>1.5</v>
      </c>
      <c r="F1868" s="176">
        <v>1.1000000000000001</v>
      </c>
      <c r="G1868" t="s">
        <v>6820</v>
      </c>
      <c r="H1868">
        <v>589</v>
      </c>
      <c r="I1868">
        <v>209</v>
      </c>
      <c r="J1868">
        <v>16.579999999999998</v>
      </c>
      <c r="K1868">
        <v>138.5</v>
      </c>
      <c r="L1868">
        <v>135.5</v>
      </c>
      <c r="M1868" s="175">
        <v>0.36</v>
      </c>
      <c r="N1868" t="s">
        <v>4713</v>
      </c>
    </row>
    <row r="1869" spans="1:14">
      <c r="A1869">
        <v>6606</v>
      </c>
      <c r="B1869" t="s">
        <v>2026</v>
      </c>
      <c r="C1869">
        <v>24.2</v>
      </c>
      <c r="D1869">
        <v>24.5</v>
      </c>
      <c r="E1869" s="178">
        <v>-0.1</v>
      </c>
      <c r="F1869" s="176">
        <v>-0.41</v>
      </c>
      <c r="G1869" t="s">
        <v>6821</v>
      </c>
      <c r="H1869">
        <v>39</v>
      </c>
      <c r="I1869">
        <v>62</v>
      </c>
      <c r="J1869">
        <v>11.03</v>
      </c>
      <c r="K1869">
        <v>25</v>
      </c>
      <c r="L1869">
        <v>24.2</v>
      </c>
      <c r="M1869" s="175">
        <v>0.04</v>
      </c>
      <c r="N1869" t="s">
        <v>4714</v>
      </c>
    </row>
    <row r="1870" spans="1:14">
      <c r="A1870">
        <v>6609</v>
      </c>
      <c r="B1870" t="s">
        <v>311</v>
      </c>
      <c r="C1870">
        <v>39.6</v>
      </c>
      <c r="D1870">
        <v>39.85</v>
      </c>
      <c r="E1870" s="178">
        <v>0.05</v>
      </c>
      <c r="F1870" s="176">
        <v>0.13</v>
      </c>
      <c r="G1870" t="s">
        <v>6592</v>
      </c>
      <c r="H1870">
        <v>137</v>
      </c>
      <c r="I1870">
        <v>162</v>
      </c>
      <c r="J1870">
        <v>7.25</v>
      </c>
      <c r="K1870">
        <v>40.1</v>
      </c>
      <c r="L1870">
        <v>39.35</v>
      </c>
      <c r="M1870" s="175">
        <v>0.19</v>
      </c>
      <c r="N1870" t="s">
        <v>4715</v>
      </c>
    </row>
    <row r="1871" spans="1:14">
      <c r="A1871">
        <v>6612</v>
      </c>
      <c r="B1871" t="s">
        <v>324</v>
      </c>
      <c r="C1871">
        <v>70</v>
      </c>
      <c r="D1871">
        <v>69.7</v>
      </c>
      <c r="E1871" s="178">
        <v>-0.5</v>
      </c>
      <c r="F1871" s="176">
        <v>-0.71</v>
      </c>
      <c r="G1871" t="s">
        <v>5207</v>
      </c>
      <c r="H1871">
        <v>28</v>
      </c>
      <c r="I1871">
        <v>27</v>
      </c>
      <c r="J1871">
        <v>5.23</v>
      </c>
      <c r="K1871">
        <v>70</v>
      </c>
      <c r="L1871">
        <v>69.3</v>
      </c>
      <c r="M1871" s="175">
        <v>0.05</v>
      </c>
      <c r="N1871" t="s">
        <v>4716</v>
      </c>
    </row>
    <row r="1872" spans="1:14">
      <c r="A1872">
        <v>6613</v>
      </c>
      <c r="B1872" t="s">
        <v>1649</v>
      </c>
      <c r="C1872">
        <v>270</v>
      </c>
      <c r="D1872">
        <v>270.5</v>
      </c>
      <c r="E1872" s="178">
        <v>-5.5</v>
      </c>
      <c r="F1872" s="176">
        <v>-1.99</v>
      </c>
      <c r="G1872" t="s">
        <v>6822</v>
      </c>
      <c r="H1872">
        <v>183</v>
      </c>
      <c r="I1872">
        <v>268</v>
      </c>
      <c r="J1872">
        <v>3.89</v>
      </c>
      <c r="K1872">
        <v>273</v>
      </c>
      <c r="L1872">
        <v>267</v>
      </c>
      <c r="M1872" s="175">
        <v>0.24</v>
      </c>
      <c r="N1872" t="s">
        <v>4717</v>
      </c>
    </row>
    <row r="1873" spans="1:14">
      <c r="A1873">
        <v>6614</v>
      </c>
      <c r="B1873" t="s">
        <v>2947</v>
      </c>
      <c r="C1873">
        <v>35.25</v>
      </c>
      <c r="D1873">
        <v>35.15</v>
      </c>
      <c r="E1873" s="178">
        <v>-0.05</v>
      </c>
      <c r="F1873" s="176">
        <v>-0.14000000000000001</v>
      </c>
      <c r="G1873" t="s">
        <v>6823</v>
      </c>
      <c r="H1873">
        <v>22</v>
      </c>
      <c r="I1873">
        <v>33</v>
      </c>
      <c r="J1873">
        <v>8.07</v>
      </c>
      <c r="K1873">
        <v>35.299999999999997</v>
      </c>
      <c r="L1873">
        <v>35.15</v>
      </c>
      <c r="M1873" s="175">
        <v>0.03</v>
      </c>
      <c r="N1873" t="s">
        <v>4718</v>
      </c>
    </row>
    <row r="1874" spans="1:14">
      <c r="A1874">
        <v>6615</v>
      </c>
      <c r="B1874" t="s">
        <v>368</v>
      </c>
      <c r="C1874">
        <v>33.6</v>
      </c>
      <c r="D1874">
        <v>33.299999999999997</v>
      </c>
      <c r="E1874" s="178">
        <v>0.25</v>
      </c>
      <c r="F1874" s="176">
        <v>0.76</v>
      </c>
      <c r="G1874" t="s">
        <v>6824</v>
      </c>
      <c r="H1874">
        <v>2</v>
      </c>
      <c r="I1874">
        <v>31</v>
      </c>
      <c r="J1874">
        <v>2.16</v>
      </c>
      <c r="K1874">
        <v>33.6</v>
      </c>
      <c r="L1874">
        <v>33.299999999999997</v>
      </c>
      <c r="M1874" s="175">
        <v>0.01</v>
      </c>
      <c r="N1874" t="s">
        <v>4719</v>
      </c>
    </row>
    <row r="1875" spans="1:14">
      <c r="A1875">
        <v>6616</v>
      </c>
      <c r="B1875" t="s">
        <v>370</v>
      </c>
      <c r="C1875">
        <v>8.75</v>
      </c>
      <c r="D1875">
        <v>8.84</v>
      </c>
      <c r="E1875" s="178">
        <v>0.14000000000000001</v>
      </c>
      <c r="F1875" s="176">
        <v>1.61</v>
      </c>
      <c r="G1875" t="s">
        <v>6825</v>
      </c>
      <c r="H1875">
        <v>32</v>
      </c>
      <c r="I1875">
        <v>23</v>
      </c>
      <c r="J1875">
        <v>3.54</v>
      </c>
      <c r="K1875">
        <v>8.86</v>
      </c>
      <c r="L1875">
        <v>8.5</v>
      </c>
      <c r="M1875" s="175">
        <v>0.09</v>
      </c>
      <c r="N1875" t="s">
        <v>4720</v>
      </c>
    </row>
    <row r="1876" spans="1:14">
      <c r="A1876">
        <v>6617</v>
      </c>
      <c r="B1876" t="s">
        <v>2570</v>
      </c>
      <c r="C1876">
        <v>118</v>
      </c>
      <c r="D1876">
        <v>120.5</v>
      </c>
      <c r="E1876" s="178">
        <v>4.5</v>
      </c>
      <c r="F1876" s="176">
        <v>3.88</v>
      </c>
      <c r="G1876" t="s">
        <v>5216</v>
      </c>
      <c r="H1876">
        <v>1104</v>
      </c>
      <c r="I1876">
        <v>457</v>
      </c>
      <c r="J1876">
        <v>12.75</v>
      </c>
      <c r="K1876">
        <v>124</v>
      </c>
      <c r="L1876">
        <v>118</v>
      </c>
      <c r="M1876" s="175">
        <v>0.87</v>
      </c>
      <c r="N1876" t="s">
        <v>4721</v>
      </c>
    </row>
    <row r="1877" spans="1:14">
      <c r="A1877">
        <v>6620</v>
      </c>
      <c r="B1877" t="s">
        <v>2967</v>
      </c>
      <c r="C1877">
        <v>134</v>
      </c>
      <c r="D1877">
        <v>130.5</v>
      </c>
      <c r="E1877" s="178">
        <v>-6</v>
      </c>
      <c r="F1877" s="176">
        <v>-4.4000000000000004</v>
      </c>
      <c r="G1877" t="s">
        <v>6826</v>
      </c>
      <c r="H1877">
        <v>5678</v>
      </c>
      <c r="I1877">
        <v>1918</v>
      </c>
      <c r="J1877">
        <v>16.600000000000001</v>
      </c>
      <c r="K1877">
        <v>141</v>
      </c>
      <c r="L1877">
        <v>130.5</v>
      </c>
      <c r="M1877" s="175">
        <v>3.42</v>
      </c>
      <c r="N1877" t="s">
        <v>4722</v>
      </c>
    </row>
    <row r="1878" spans="1:14">
      <c r="A1878">
        <v>6624</v>
      </c>
      <c r="B1878" t="s">
        <v>1483</v>
      </c>
      <c r="C1878">
        <v>38</v>
      </c>
      <c r="D1878">
        <v>38.35</v>
      </c>
      <c r="E1878" s="178">
        <v>-0.55000000000000004</v>
      </c>
      <c r="F1878" s="176">
        <v>-1.41</v>
      </c>
      <c r="G1878" t="s">
        <v>5889</v>
      </c>
      <c r="H1878">
        <v>6</v>
      </c>
      <c r="I1878">
        <v>9</v>
      </c>
      <c r="J1878">
        <v>2.2599999999999998</v>
      </c>
      <c r="K1878">
        <v>38.35</v>
      </c>
      <c r="L1878">
        <v>37.1</v>
      </c>
      <c r="M1878" s="175">
        <v>0.03</v>
      </c>
      <c r="N1878" t="s">
        <v>4723</v>
      </c>
    </row>
    <row r="1879" spans="1:14">
      <c r="A1879">
        <v>6625</v>
      </c>
      <c r="B1879" t="s">
        <v>318</v>
      </c>
      <c r="C1879">
        <v>73</v>
      </c>
      <c r="D1879">
        <v>72.8</v>
      </c>
      <c r="E1879" s="178">
        <v>-0.6</v>
      </c>
      <c r="F1879" s="176">
        <v>-0.82</v>
      </c>
      <c r="G1879" t="s">
        <v>6827</v>
      </c>
      <c r="H1879">
        <v>40</v>
      </c>
      <c r="I1879">
        <v>62</v>
      </c>
      <c r="J1879">
        <v>5.8</v>
      </c>
      <c r="K1879">
        <v>73.099999999999994</v>
      </c>
      <c r="L1879">
        <v>72.7</v>
      </c>
      <c r="M1879" s="175">
        <v>7.0000000000000007E-2</v>
      </c>
      <c r="N1879" t="s">
        <v>4724</v>
      </c>
    </row>
    <row r="1880" spans="1:14">
      <c r="A1880">
        <v>6629</v>
      </c>
      <c r="B1880" t="s">
        <v>1484</v>
      </c>
      <c r="C1880">
        <v>100</v>
      </c>
      <c r="D1880">
        <v>101.5</v>
      </c>
      <c r="E1880" s="178">
        <v>-1</v>
      </c>
      <c r="F1880" s="176">
        <v>-0.98</v>
      </c>
      <c r="G1880" t="s">
        <v>6395</v>
      </c>
      <c r="H1880">
        <v>6</v>
      </c>
      <c r="I1880">
        <v>19</v>
      </c>
      <c r="J1880">
        <v>3.84</v>
      </c>
      <c r="K1880">
        <v>102</v>
      </c>
      <c r="L1880">
        <v>100</v>
      </c>
      <c r="M1880" s="175">
        <v>0.02</v>
      </c>
      <c r="N1880" t="s">
        <v>4725</v>
      </c>
    </row>
    <row r="1881" spans="1:14">
      <c r="A1881">
        <v>6637</v>
      </c>
      <c r="B1881" t="s">
        <v>2571</v>
      </c>
      <c r="C1881">
        <v>55</v>
      </c>
      <c r="D1881">
        <v>54.4</v>
      </c>
      <c r="E1881" s="178">
        <v>-0.6</v>
      </c>
      <c r="F1881" s="176">
        <v>-1.0900000000000001</v>
      </c>
      <c r="G1881" t="s">
        <v>5184</v>
      </c>
      <c r="H1881">
        <v>22</v>
      </c>
      <c r="I1881">
        <v>34</v>
      </c>
      <c r="J1881">
        <v>2.68</v>
      </c>
      <c r="K1881">
        <v>55</v>
      </c>
      <c r="L1881">
        <v>54</v>
      </c>
      <c r="M1881" s="175">
        <v>0.08</v>
      </c>
      <c r="N1881" t="s">
        <v>4726</v>
      </c>
    </row>
    <row r="1882" spans="1:14">
      <c r="A1882">
        <v>6640</v>
      </c>
      <c r="B1882" t="s">
        <v>1485</v>
      </c>
      <c r="C1882">
        <v>1020</v>
      </c>
      <c r="D1882">
        <v>1015</v>
      </c>
      <c r="E1882" s="178">
        <v>-55</v>
      </c>
      <c r="F1882" s="176">
        <v>-5.14</v>
      </c>
      <c r="G1882" t="s">
        <v>6828</v>
      </c>
      <c r="H1882">
        <v>600</v>
      </c>
      <c r="I1882">
        <v>456</v>
      </c>
      <c r="J1882">
        <v>2.89</v>
      </c>
      <c r="K1882">
        <v>1030</v>
      </c>
      <c r="L1882">
        <v>994</v>
      </c>
      <c r="M1882" s="175">
        <v>2.08</v>
      </c>
      <c r="N1882" t="s">
        <v>4727</v>
      </c>
    </row>
    <row r="1883" spans="1:14">
      <c r="A1883">
        <v>6641</v>
      </c>
      <c r="B1883" t="s">
        <v>1486</v>
      </c>
      <c r="C1883">
        <v>17.149999999999999</v>
      </c>
      <c r="D1883">
        <v>17.05</v>
      </c>
      <c r="E1883" s="178">
        <v>-0.25</v>
      </c>
      <c r="F1883" s="176">
        <v>-1.45</v>
      </c>
      <c r="G1883" t="s">
        <v>6829</v>
      </c>
      <c r="H1883">
        <v>4</v>
      </c>
      <c r="I1883">
        <v>7</v>
      </c>
      <c r="J1883">
        <v>3.65</v>
      </c>
      <c r="K1883">
        <v>17.350000000000001</v>
      </c>
      <c r="L1883">
        <v>17.05</v>
      </c>
      <c r="M1883" s="175">
        <v>0.01</v>
      </c>
      <c r="N1883" t="s">
        <v>4728</v>
      </c>
    </row>
    <row r="1884" spans="1:14">
      <c r="A1884">
        <v>6642</v>
      </c>
      <c r="B1884" t="s">
        <v>1487</v>
      </c>
      <c r="C1884">
        <v>76</v>
      </c>
      <c r="D1884">
        <v>73.5</v>
      </c>
      <c r="E1884" s="178">
        <v>-3.8</v>
      </c>
      <c r="F1884" s="176">
        <v>-4.92</v>
      </c>
      <c r="G1884" t="s">
        <v>6830</v>
      </c>
      <c r="H1884">
        <v>221</v>
      </c>
      <c r="I1884">
        <v>197</v>
      </c>
      <c r="J1884">
        <v>3.74</v>
      </c>
      <c r="K1884">
        <v>76.099999999999994</v>
      </c>
      <c r="L1884">
        <v>73.3</v>
      </c>
      <c r="M1884" s="175">
        <v>0.59</v>
      </c>
      <c r="N1884" t="s">
        <v>4729</v>
      </c>
    </row>
    <row r="1885" spans="1:14">
      <c r="A1885">
        <v>6643</v>
      </c>
      <c r="B1885" t="s">
        <v>349</v>
      </c>
      <c r="C1885">
        <v>450</v>
      </c>
      <c r="D1885">
        <v>441</v>
      </c>
      <c r="E1885" s="178">
        <v>-27.5</v>
      </c>
      <c r="F1885" s="176">
        <v>-5.87</v>
      </c>
      <c r="G1885" t="s">
        <v>5739</v>
      </c>
      <c r="H1885">
        <v>454</v>
      </c>
      <c r="I1885">
        <v>555</v>
      </c>
      <c r="J1885">
        <v>4.26</v>
      </c>
      <c r="K1885">
        <v>459.5</v>
      </c>
      <c r="L1885">
        <v>441</v>
      </c>
      <c r="M1885" s="175">
        <v>1.07</v>
      </c>
      <c r="N1885" t="s">
        <v>4730</v>
      </c>
    </row>
    <row r="1886" spans="1:14">
      <c r="A1886">
        <v>6649</v>
      </c>
      <c r="B1886" t="s">
        <v>1488</v>
      </c>
      <c r="C1886">
        <v>36</v>
      </c>
      <c r="D1886">
        <v>36.5</v>
      </c>
      <c r="E1886" s="178">
        <v>-0.05</v>
      </c>
      <c r="F1886" s="176">
        <v>-0.14000000000000001</v>
      </c>
      <c r="G1886" t="s">
        <v>6463</v>
      </c>
      <c r="H1886">
        <v>11</v>
      </c>
      <c r="I1886">
        <v>50</v>
      </c>
      <c r="J1886">
        <v>4.2</v>
      </c>
      <c r="K1886">
        <v>36.5</v>
      </c>
      <c r="L1886">
        <v>35.5</v>
      </c>
      <c r="M1886" s="175">
        <v>0.03</v>
      </c>
      <c r="N1886" t="s">
        <v>4731</v>
      </c>
    </row>
    <row r="1887" spans="1:14">
      <c r="A1887">
        <v>6651</v>
      </c>
      <c r="B1887" t="s">
        <v>1578</v>
      </c>
      <c r="C1887">
        <v>144</v>
      </c>
      <c r="D1887">
        <v>141</v>
      </c>
      <c r="E1887" s="178">
        <v>-3</v>
      </c>
      <c r="F1887" s="176">
        <v>-2.08</v>
      </c>
      <c r="G1887" t="s">
        <v>6831</v>
      </c>
      <c r="H1887">
        <v>109</v>
      </c>
      <c r="I1887">
        <v>234</v>
      </c>
      <c r="J1887">
        <v>3.46</v>
      </c>
      <c r="K1887">
        <v>144</v>
      </c>
      <c r="L1887">
        <v>140</v>
      </c>
      <c r="M1887" s="175">
        <v>0.32</v>
      </c>
      <c r="N1887" t="s">
        <v>4732</v>
      </c>
    </row>
    <row r="1888" spans="1:14">
      <c r="A1888">
        <v>6654</v>
      </c>
      <c r="B1888" t="s">
        <v>330</v>
      </c>
      <c r="C1888">
        <v>205</v>
      </c>
      <c r="D1888">
        <v>200</v>
      </c>
      <c r="E1888" s="178">
        <v>-11.5</v>
      </c>
      <c r="F1888" s="176">
        <v>-5.44</v>
      </c>
      <c r="G1888" t="s">
        <v>5817</v>
      </c>
      <c r="H1888">
        <v>100</v>
      </c>
      <c r="I1888">
        <v>53</v>
      </c>
      <c r="J1888">
        <v>3.73</v>
      </c>
      <c r="K1888">
        <v>207</v>
      </c>
      <c r="L1888">
        <v>198</v>
      </c>
      <c r="M1888" s="175">
        <v>0.24</v>
      </c>
      <c r="N1888" t="s">
        <v>4733</v>
      </c>
    </row>
    <row r="1889" spans="1:14">
      <c r="A1889">
        <v>6655</v>
      </c>
      <c r="B1889" t="s">
        <v>364</v>
      </c>
      <c r="C1889">
        <v>130</v>
      </c>
      <c r="D1889">
        <v>133.5</v>
      </c>
      <c r="E1889" s="178">
        <v>6.5</v>
      </c>
      <c r="F1889" s="176">
        <v>5.12</v>
      </c>
      <c r="G1889" t="s">
        <v>6832</v>
      </c>
      <c r="H1889">
        <v>47</v>
      </c>
      <c r="I1889">
        <v>14</v>
      </c>
      <c r="J1889">
        <v>8.1300000000000008</v>
      </c>
      <c r="K1889">
        <v>137.5</v>
      </c>
      <c r="L1889">
        <v>126</v>
      </c>
      <c r="M1889" s="175">
        <v>0.06</v>
      </c>
      <c r="N1889" t="s">
        <v>4734</v>
      </c>
    </row>
    <row r="1890" spans="1:14">
      <c r="A1890">
        <v>6657</v>
      </c>
      <c r="B1890" t="s">
        <v>2027</v>
      </c>
      <c r="C1890">
        <v>32.799999999999997</v>
      </c>
      <c r="D1890">
        <v>32.299999999999997</v>
      </c>
      <c r="E1890" s="178">
        <v>-0.75</v>
      </c>
      <c r="F1890" s="176">
        <v>-2.27</v>
      </c>
      <c r="G1890" t="s">
        <v>5811</v>
      </c>
      <c r="H1890">
        <v>105</v>
      </c>
      <c r="I1890">
        <v>172</v>
      </c>
      <c r="J1890">
        <v>8.8800000000000008</v>
      </c>
      <c r="K1890">
        <v>32.950000000000003</v>
      </c>
      <c r="L1890">
        <v>32.25</v>
      </c>
      <c r="M1890" s="175">
        <v>0.12</v>
      </c>
      <c r="N1890" t="s">
        <v>4735</v>
      </c>
    </row>
    <row r="1891" spans="1:14">
      <c r="A1891">
        <v>6658</v>
      </c>
      <c r="B1891" t="s">
        <v>2305</v>
      </c>
      <c r="C1891">
        <v>194.5</v>
      </c>
      <c r="D1891">
        <v>188.5</v>
      </c>
      <c r="E1891" s="178">
        <v>-10.5</v>
      </c>
      <c r="F1891" s="176">
        <v>-5.28</v>
      </c>
      <c r="G1891" t="s">
        <v>6833</v>
      </c>
      <c r="H1891">
        <v>374</v>
      </c>
      <c r="I1891">
        <v>1412</v>
      </c>
      <c r="J1891">
        <v>3.84</v>
      </c>
      <c r="K1891">
        <v>194.5</v>
      </c>
      <c r="L1891">
        <v>187</v>
      </c>
      <c r="M1891" s="175">
        <v>1.03</v>
      </c>
      <c r="N1891" t="s">
        <v>4736</v>
      </c>
    </row>
    <row r="1892" spans="1:14">
      <c r="A1892">
        <v>6661</v>
      </c>
      <c r="B1892" t="s">
        <v>1579</v>
      </c>
      <c r="C1892">
        <v>16.5</v>
      </c>
      <c r="D1892">
        <v>17.25</v>
      </c>
      <c r="E1892" s="178">
        <v>0.25</v>
      </c>
      <c r="F1892" s="176">
        <v>1.47</v>
      </c>
      <c r="G1892" t="s">
        <v>6137</v>
      </c>
      <c r="H1892">
        <v>6</v>
      </c>
      <c r="I1892">
        <v>3</v>
      </c>
      <c r="J1892">
        <v>2.33</v>
      </c>
      <c r="K1892">
        <v>17.8</v>
      </c>
      <c r="L1892">
        <v>16.5</v>
      </c>
      <c r="M1892" s="175">
        <v>0.03</v>
      </c>
      <c r="N1892" t="s">
        <v>4737</v>
      </c>
    </row>
    <row r="1893" spans="1:14">
      <c r="A1893">
        <v>6662</v>
      </c>
      <c r="B1893" t="s">
        <v>1489</v>
      </c>
      <c r="C1893">
        <v>28.2</v>
      </c>
      <c r="D1893">
        <v>28.2</v>
      </c>
      <c r="E1893" s="178">
        <v>0</v>
      </c>
      <c r="F1893" s="176">
        <v>0</v>
      </c>
      <c r="G1893" t="s">
        <v>6834</v>
      </c>
      <c r="H1893">
        <v>2</v>
      </c>
      <c r="I1893">
        <v>1</v>
      </c>
      <c r="J1893">
        <v>2.56</v>
      </c>
      <c r="K1893">
        <v>28.2</v>
      </c>
      <c r="L1893">
        <v>28.2</v>
      </c>
      <c r="M1893" s="175">
        <v>0.01</v>
      </c>
      <c r="N1893" t="s">
        <v>4738</v>
      </c>
    </row>
    <row r="1894" spans="1:14">
      <c r="A1894">
        <v>6664</v>
      </c>
      <c r="B1894" t="s">
        <v>353</v>
      </c>
      <c r="C1894">
        <v>363.5</v>
      </c>
      <c r="D1894">
        <v>345</v>
      </c>
      <c r="E1894" s="178">
        <v>-20</v>
      </c>
      <c r="F1894" s="176">
        <v>-5.48</v>
      </c>
      <c r="G1894" t="s">
        <v>6628</v>
      </c>
      <c r="H1894">
        <v>455</v>
      </c>
      <c r="I1894">
        <v>237</v>
      </c>
      <c r="J1894">
        <v>6.12</v>
      </c>
      <c r="K1894">
        <v>363.5</v>
      </c>
      <c r="L1894">
        <v>344.5</v>
      </c>
      <c r="M1894" s="175">
        <v>0.74</v>
      </c>
      <c r="N1894" t="s">
        <v>4739</v>
      </c>
    </row>
    <row r="1895" spans="1:14">
      <c r="A1895">
        <v>6666</v>
      </c>
      <c r="B1895" t="s">
        <v>339</v>
      </c>
      <c r="C1895">
        <v>41.5</v>
      </c>
      <c r="D1895">
        <v>42</v>
      </c>
      <c r="E1895" s="178">
        <v>-0.05</v>
      </c>
      <c r="F1895" s="176">
        <v>-0.12</v>
      </c>
      <c r="G1895" t="s">
        <v>5449</v>
      </c>
      <c r="H1895">
        <v>50</v>
      </c>
      <c r="I1895">
        <v>30</v>
      </c>
      <c r="J1895">
        <v>4.74</v>
      </c>
      <c r="K1895">
        <v>42</v>
      </c>
      <c r="L1895">
        <v>41.35</v>
      </c>
      <c r="M1895" s="175">
        <v>0.11</v>
      </c>
      <c r="N1895" t="s">
        <v>4740</v>
      </c>
    </row>
    <row r="1896" spans="1:14">
      <c r="A1896">
        <v>6667</v>
      </c>
      <c r="B1896" t="s">
        <v>366</v>
      </c>
      <c r="C1896">
        <v>265</v>
      </c>
      <c r="D1896">
        <v>270</v>
      </c>
      <c r="E1896" s="178">
        <v>-1</v>
      </c>
      <c r="F1896" s="176">
        <v>-0.37</v>
      </c>
      <c r="G1896" t="s">
        <v>6317</v>
      </c>
      <c r="H1896">
        <v>699</v>
      </c>
      <c r="I1896">
        <v>1166</v>
      </c>
      <c r="J1896">
        <v>5.35</v>
      </c>
      <c r="K1896">
        <v>276.5</v>
      </c>
      <c r="L1896">
        <v>263</v>
      </c>
      <c r="M1896" s="175">
        <v>1.31</v>
      </c>
      <c r="N1896" t="s">
        <v>4741</v>
      </c>
    </row>
    <row r="1897" spans="1:14">
      <c r="A1897">
        <v>6668</v>
      </c>
      <c r="B1897" t="s">
        <v>327</v>
      </c>
      <c r="C1897">
        <v>64.400000000000006</v>
      </c>
      <c r="D1897">
        <v>62.1</v>
      </c>
      <c r="E1897" s="178">
        <v>-2.7</v>
      </c>
      <c r="F1897" s="176">
        <v>-4.17</v>
      </c>
      <c r="G1897" t="s">
        <v>6225</v>
      </c>
      <c r="H1897">
        <v>22731</v>
      </c>
      <c r="I1897">
        <v>11567</v>
      </c>
      <c r="J1897">
        <v>10.71</v>
      </c>
      <c r="K1897">
        <v>68.3</v>
      </c>
      <c r="L1897">
        <v>61.2</v>
      </c>
      <c r="M1897" s="175">
        <v>28.47</v>
      </c>
      <c r="N1897" t="s">
        <v>4742</v>
      </c>
    </row>
    <row r="1898" spans="1:14">
      <c r="A1898">
        <v>6669</v>
      </c>
      <c r="B1898" t="s">
        <v>375</v>
      </c>
      <c r="C1898">
        <v>1910</v>
      </c>
      <c r="D1898">
        <v>1905</v>
      </c>
      <c r="E1898" s="178">
        <v>-210</v>
      </c>
      <c r="F1898" s="176">
        <v>-9.93</v>
      </c>
      <c r="G1898" t="s">
        <v>5459</v>
      </c>
      <c r="H1898">
        <v>8107</v>
      </c>
      <c r="I1898">
        <v>3886</v>
      </c>
      <c r="J1898">
        <v>58.4</v>
      </c>
      <c r="K1898">
        <v>1940</v>
      </c>
      <c r="L1898">
        <v>1905</v>
      </c>
      <c r="M1898" s="175">
        <v>1.45</v>
      </c>
      <c r="N1898" t="s">
        <v>4743</v>
      </c>
    </row>
    <row r="1899" spans="1:14">
      <c r="A1899">
        <v>6670</v>
      </c>
      <c r="B1899" t="s">
        <v>355</v>
      </c>
      <c r="C1899">
        <v>269</v>
      </c>
      <c r="D1899">
        <v>274</v>
      </c>
      <c r="E1899" s="178">
        <v>4</v>
      </c>
      <c r="F1899" s="176">
        <v>1.48</v>
      </c>
      <c r="G1899" t="s">
        <v>5431</v>
      </c>
      <c r="H1899">
        <v>488</v>
      </c>
      <c r="I1899">
        <v>225</v>
      </c>
      <c r="J1899">
        <v>13.94</v>
      </c>
      <c r="K1899">
        <v>277.5</v>
      </c>
      <c r="L1899">
        <v>268</v>
      </c>
      <c r="M1899" s="175">
        <v>0.35</v>
      </c>
      <c r="N1899" t="s">
        <v>4744</v>
      </c>
    </row>
    <row r="1900" spans="1:14">
      <c r="A1900">
        <v>6671</v>
      </c>
      <c r="B1900" t="s">
        <v>371</v>
      </c>
      <c r="C1900">
        <v>23.1</v>
      </c>
      <c r="D1900">
        <v>23</v>
      </c>
      <c r="E1900" s="178">
        <v>-0.1</v>
      </c>
      <c r="F1900" s="176">
        <v>-0.43</v>
      </c>
      <c r="G1900" t="s">
        <v>5544</v>
      </c>
      <c r="H1900">
        <v>25</v>
      </c>
      <c r="I1900">
        <v>15</v>
      </c>
      <c r="J1900">
        <v>6.08</v>
      </c>
      <c r="K1900">
        <v>23.2</v>
      </c>
      <c r="L1900">
        <v>23</v>
      </c>
      <c r="M1900" s="175">
        <v>0.04</v>
      </c>
      <c r="N1900" t="s">
        <v>4745</v>
      </c>
    </row>
    <row r="1901" spans="1:14">
      <c r="A1901">
        <v>6672</v>
      </c>
      <c r="B1901" t="s">
        <v>361</v>
      </c>
      <c r="C1901">
        <v>554</v>
      </c>
      <c r="D1901">
        <v>570</v>
      </c>
      <c r="E1901" s="178">
        <v>-22</v>
      </c>
      <c r="F1901" s="176">
        <v>-3.72</v>
      </c>
      <c r="G1901" t="s">
        <v>6160</v>
      </c>
      <c r="H1901">
        <v>1531</v>
      </c>
      <c r="I1901">
        <v>2555</v>
      </c>
      <c r="J1901">
        <v>8.23</v>
      </c>
      <c r="K1901">
        <v>590</v>
      </c>
      <c r="L1901">
        <v>554</v>
      </c>
      <c r="M1901" s="175">
        <v>1.88</v>
      </c>
      <c r="N1901" t="s">
        <v>4746</v>
      </c>
    </row>
    <row r="1902" spans="1:14">
      <c r="A1902">
        <v>6674</v>
      </c>
      <c r="B1902" t="s">
        <v>348</v>
      </c>
      <c r="C1902">
        <v>18.3</v>
      </c>
      <c r="D1902">
        <v>18.3</v>
      </c>
      <c r="E1902" s="178">
        <v>0</v>
      </c>
      <c r="F1902" s="176">
        <v>0</v>
      </c>
      <c r="G1902" t="s">
        <v>5522</v>
      </c>
      <c r="H1902">
        <v>136</v>
      </c>
      <c r="I1902">
        <v>77</v>
      </c>
      <c r="J1902">
        <v>6.82</v>
      </c>
      <c r="K1902">
        <v>18.350000000000001</v>
      </c>
      <c r="L1902">
        <v>18.25</v>
      </c>
      <c r="M1902" s="175">
        <v>0.2</v>
      </c>
      <c r="N1902" t="s">
        <v>4747</v>
      </c>
    </row>
    <row r="1903" spans="1:14">
      <c r="A1903">
        <v>6679</v>
      </c>
      <c r="B1903" t="s">
        <v>362</v>
      </c>
      <c r="C1903">
        <v>191</v>
      </c>
      <c r="D1903">
        <v>190</v>
      </c>
      <c r="E1903" s="178">
        <v>-4</v>
      </c>
      <c r="F1903" s="176">
        <v>-2.06</v>
      </c>
      <c r="G1903" t="s">
        <v>6835</v>
      </c>
      <c r="H1903">
        <v>206</v>
      </c>
      <c r="I1903">
        <v>170</v>
      </c>
      <c r="J1903">
        <v>5.5</v>
      </c>
      <c r="K1903">
        <v>194</v>
      </c>
      <c r="L1903">
        <v>190</v>
      </c>
      <c r="M1903" s="175">
        <v>0.37</v>
      </c>
      <c r="N1903" t="s">
        <v>4748</v>
      </c>
    </row>
    <row r="1904" spans="1:14">
      <c r="A1904">
        <v>6680</v>
      </c>
      <c r="B1904" t="s">
        <v>1490</v>
      </c>
      <c r="C1904">
        <v>50</v>
      </c>
      <c r="D1904">
        <v>50</v>
      </c>
      <c r="E1904" s="178">
        <v>-0.1</v>
      </c>
      <c r="F1904" s="176">
        <v>-0.2</v>
      </c>
      <c r="G1904" t="s">
        <v>6836</v>
      </c>
      <c r="H1904">
        <v>8</v>
      </c>
      <c r="I1904">
        <v>3</v>
      </c>
      <c r="J1904">
        <v>2.5099999999999998</v>
      </c>
      <c r="K1904">
        <v>50</v>
      </c>
      <c r="L1904">
        <v>49.95</v>
      </c>
      <c r="M1904" s="175">
        <v>0.03</v>
      </c>
      <c r="N1904" t="s">
        <v>4749</v>
      </c>
    </row>
    <row r="1905" spans="1:14">
      <c r="A1905">
        <v>6683</v>
      </c>
      <c r="B1905" t="s">
        <v>72</v>
      </c>
      <c r="C1905">
        <v>1330</v>
      </c>
      <c r="D1905">
        <v>1295</v>
      </c>
      <c r="E1905" s="178">
        <v>-115</v>
      </c>
      <c r="F1905" s="176">
        <v>-8.16</v>
      </c>
      <c r="G1905" t="s">
        <v>5952</v>
      </c>
      <c r="H1905">
        <v>771</v>
      </c>
      <c r="I1905">
        <v>829</v>
      </c>
      <c r="J1905">
        <v>2.76</v>
      </c>
      <c r="K1905">
        <v>1350</v>
      </c>
      <c r="L1905">
        <v>1270</v>
      </c>
      <c r="M1905" s="175">
        <v>2.8</v>
      </c>
      <c r="N1905" t="s">
        <v>4750</v>
      </c>
    </row>
    <row r="1906" spans="1:14">
      <c r="A1906">
        <v>6684</v>
      </c>
      <c r="B1906" t="s">
        <v>1580</v>
      </c>
      <c r="C1906">
        <v>46.95</v>
      </c>
      <c r="D1906">
        <v>45.55</v>
      </c>
      <c r="E1906" s="178">
        <v>-1.75</v>
      </c>
      <c r="F1906" s="176">
        <v>-3.7</v>
      </c>
      <c r="G1906" t="s">
        <v>6837</v>
      </c>
      <c r="H1906">
        <v>72</v>
      </c>
      <c r="I1906">
        <v>57</v>
      </c>
      <c r="J1906">
        <v>4.46</v>
      </c>
      <c r="K1906">
        <v>46.95</v>
      </c>
      <c r="L1906">
        <v>45.2</v>
      </c>
      <c r="M1906" s="175">
        <v>0.16</v>
      </c>
      <c r="N1906" t="s">
        <v>4751</v>
      </c>
    </row>
    <row r="1907" spans="1:14">
      <c r="A1907">
        <v>6689</v>
      </c>
      <c r="B1907" t="s">
        <v>1655</v>
      </c>
      <c r="C1907">
        <v>63.9</v>
      </c>
      <c r="D1907">
        <v>64.099999999999994</v>
      </c>
      <c r="E1907" s="178">
        <v>-0.6</v>
      </c>
      <c r="F1907" s="176">
        <v>-0.93</v>
      </c>
      <c r="G1907" t="s">
        <v>6838</v>
      </c>
      <c r="H1907">
        <v>216</v>
      </c>
      <c r="I1907">
        <v>176</v>
      </c>
      <c r="J1907">
        <v>6.8</v>
      </c>
      <c r="K1907">
        <v>65.5</v>
      </c>
      <c r="L1907">
        <v>63.7</v>
      </c>
      <c r="M1907" s="175">
        <v>0.32</v>
      </c>
      <c r="N1907" t="s">
        <v>4752</v>
      </c>
    </row>
    <row r="1908" spans="1:14">
      <c r="A1908">
        <v>6690</v>
      </c>
      <c r="B1908" t="s">
        <v>1491</v>
      </c>
      <c r="C1908">
        <v>180</v>
      </c>
      <c r="D1908">
        <v>175.5</v>
      </c>
      <c r="E1908" s="178">
        <v>-7</v>
      </c>
      <c r="F1908" s="176">
        <v>-3.84</v>
      </c>
      <c r="G1908" t="s">
        <v>6839</v>
      </c>
      <c r="H1908">
        <v>179</v>
      </c>
      <c r="I1908">
        <v>135</v>
      </c>
      <c r="J1908">
        <v>3</v>
      </c>
      <c r="K1908">
        <v>182</v>
      </c>
      <c r="L1908">
        <v>175</v>
      </c>
      <c r="M1908" s="175">
        <v>0.6</v>
      </c>
      <c r="N1908" t="s">
        <v>4753</v>
      </c>
    </row>
    <row r="1909" spans="1:14">
      <c r="A1909">
        <v>6691</v>
      </c>
      <c r="B1909" t="s">
        <v>1619</v>
      </c>
      <c r="C1909">
        <v>717</v>
      </c>
      <c r="D1909">
        <v>701</v>
      </c>
      <c r="E1909" s="178">
        <v>-33</v>
      </c>
      <c r="F1909" s="176">
        <v>-4.5</v>
      </c>
      <c r="G1909" t="s">
        <v>5514</v>
      </c>
      <c r="H1909">
        <v>571</v>
      </c>
      <c r="I1909">
        <v>820</v>
      </c>
      <c r="J1909">
        <v>13.35</v>
      </c>
      <c r="K1909">
        <v>720</v>
      </c>
      <c r="L1909">
        <v>701</v>
      </c>
      <c r="M1909" s="175">
        <v>0.43</v>
      </c>
      <c r="N1909" t="s">
        <v>4754</v>
      </c>
    </row>
    <row r="1910" spans="1:14">
      <c r="A1910">
        <v>6692</v>
      </c>
      <c r="B1910" t="s">
        <v>2330</v>
      </c>
      <c r="C1910">
        <v>22.5</v>
      </c>
      <c r="D1910">
        <v>22.25</v>
      </c>
      <c r="E1910" s="178">
        <v>-0.25</v>
      </c>
      <c r="F1910" s="176">
        <v>-1.1100000000000001</v>
      </c>
      <c r="G1910" t="s">
        <v>6840</v>
      </c>
      <c r="H1910">
        <v>19</v>
      </c>
      <c r="I1910">
        <v>15</v>
      </c>
      <c r="J1910">
        <v>5.88</v>
      </c>
      <c r="K1910">
        <v>22.5</v>
      </c>
      <c r="L1910">
        <v>22.1</v>
      </c>
      <c r="M1910" s="175">
        <v>0.03</v>
      </c>
      <c r="N1910" t="s">
        <v>4755</v>
      </c>
    </row>
    <row r="1911" spans="1:14">
      <c r="A1911">
        <v>6693</v>
      </c>
      <c r="B1911" t="s">
        <v>1626</v>
      </c>
      <c r="C1911">
        <v>180.5</v>
      </c>
      <c r="D1911">
        <v>180</v>
      </c>
      <c r="E1911" s="178">
        <v>-9</v>
      </c>
      <c r="F1911" s="176">
        <v>-4.76</v>
      </c>
      <c r="G1911" t="s">
        <v>5255</v>
      </c>
      <c r="H1911">
        <v>803</v>
      </c>
      <c r="I1911">
        <v>975</v>
      </c>
      <c r="J1911">
        <v>4.57</v>
      </c>
      <c r="K1911">
        <v>183</v>
      </c>
      <c r="L1911">
        <v>178</v>
      </c>
      <c r="M1911" s="175">
        <v>1.76</v>
      </c>
      <c r="N1911" t="s">
        <v>4756</v>
      </c>
    </row>
    <row r="1912" spans="1:14">
      <c r="A1912">
        <v>6695</v>
      </c>
      <c r="B1912" t="s">
        <v>2028</v>
      </c>
      <c r="C1912">
        <v>49.4</v>
      </c>
      <c r="D1912">
        <v>48.4</v>
      </c>
      <c r="E1912" s="178">
        <v>-1.45</v>
      </c>
      <c r="F1912" s="176">
        <v>-2.91</v>
      </c>
      <c r="G1912" t="s">
        <v>6841</v>
      </c>
      <c r="H1912">
        <v>577</v>
      </c>
      <c r="I1912">
        <v>362</v>
      </c>
      <c r="J1912">
        <v>10.7</v>
      </c>
      <c r="K1912">
        <v>49.4</v>
      </c>
      <c r="L1912">
        <v>47.85</v>
      </c>
      <c r="M1912" s="175">
        <v>0.66</v>
      </c>
      <c r="N1912" t="s">
        <v>4757</v>
      </c>
    </row>
    <row r="1913" spans="1:14">
      <c r="A1913">
        <v>6697</v>
      </c>
      <c r="B1913" t="s">
        <v>148</v>
      </c>
      <c r="C1913">
        <v>40.700000000000003</v>
      </c>
      <c r="D1913">
        <v>40.700000000000003</v>
      </c>
      <c r="E1913" s="178">
        <v>-0.35</v>
      </c>
      <c r="F1913" s="176">
        <v>-0.85</v>
      </c>
      <c r="G1913" t="s">
        <v>5655</v>
      </c>
      <c r="H1913">
        <v>13</v>
      </c>
      <c r="I1913">
        <v>21</v>
      </c>
      <c r="J1913">
        <v>2.73</v>
      </c>
      <c r="K1913">
        <v>41.2</v>
      </c>
      <c r="L1913">
        <v>40.700000000000003</v>
      </c>
      <c r="M1913" s="175">
        <v>0.05</v>
      </c>
      <c r="N1913" t="s">
        <v>4758</v>
      </c>
    </row>
    <row r="1914" spans="1:14">
      <c r="A1914">
        <v>6698</v>
      </c>
      <c r="B1914" t="s">
        <v>2029</v>
      </c>
      <c r="C1914">
        <v>31.05</v>
      </c>
      <c r="D1914">
        <v>30.4</v>
      </c>
      <c r="E1914" s="178">
        <v>-0.75</v>
      </c>
      <c r="F1914" s="176">
        <v>-2.41</v>
      </c>
      <c r="G1914" t="s">
        <v>6842</v>
      </c>
      <c r="H1914">
        <v>147</v>
      </c>
      <c r="I1914">
        <v>234</v>
      </c>
      <c r="J1914">
        <v>7.14</v>
      </c>
      <c r="K1914">
        <v>31.05</v>
      </c>
      <c r="L1914">
        <v>30.25</v>
      </c>
      <c r="M1914" s="175">
        <v>0.21</v>
      </c>
      <c r="N1914" t="s">
        <v>4759</v>
      </c>
    </row>
    <row r="1915" spans="1:14">
      <c r="A1915">
        <v>6703</v>
      </c>
      <c r="B1915" t="s">
        <v>2030</v>
      </c>
      <c r="C1915">
        <v>99.5</v>
      </c>
      <c r="D1915">
        <v>99.1</v>
      </c>
      <c r="E1915" s="178">
        <v>-0.6</v>
      </c>
      <c r="F1915" s="176">
        <v>-0.6</v>
      </c>
      <c r="G1915" t="s">
        <v>6541</v>
      </c>
      <c r="H1915">
        <v>55</v>
      </c>
      <c r="I1915">
        <v>26</v>
      </c>
      <c r="J1915">
        <v>3.66</v>
      </c>
      <c r="K1915">
        <v>99.9</v>
      </c>
      <c r="L1915">
        <v>99</v>
      </c>
      <c r="M1915" s="175">
        <v>0.15</v>
      </c>
      <c r="N1915" t="s">
        <v>4760</v>
      </c>
    </row>
    <row r="1916" spans="1:14">
      <c r="A1916">
        <v>6706</v>
      </c>
      <c r="B1916" t="s">
        <v>145</v>
      </c>
      <c r="C1916">
        <v>149</v>
      </c>
      <c r="D1916">
        <v>143.5</v>
      </c>
      <c r="E1916" s="178">
        <v>-10</v>
      </c>
      <c r="F1916" s="176">
        <v>-6.51</v>
      </c>
      <c r="G1916" t="s">
        <v>5804</v>
      </c>
      <c r="H1916">
        <v>2088</v>
      </c>
      <c r="I1916">
        <v>2698</v>
      </c>
      <c r="J1916">
        <v>7.85</v>
      </c>
      <c r="K1916">
        <v>149</v>
      </c>
      <c r="L1916">
        <v>142.5</v>
      </c>
      <c r="M1916" s="175">
        <v>2.66</v>
      </c>
      <c r="N1916" t="s">
        <v>4761</v>
      </c>
    </row>
    <row r="1917" spans="1:14">
      <c r="A1917">
        <v>6708</v>
      </c>
      <c r="B1917" t="s">
        <v>2031</v>
      </c>
      <c r="C1917">
        <v>64.599999999999994</v>
      </c>
      <c r="D1917">
        <v>58.2</v>
      </c>
      <c r="E1917" s="178">
        <v>-6.4</v>
      </c>
      <c r="F1917" s="176">
        <v>-9.91</v>
      </c>
      <c r="G1917" t="s">
        <v>6843</v>
      </c>
      <c r="H1917">
        <v>163</v>
      </c>
      <c r="I1917">
        <v>411</v>
      </c>
      <c r="J1917">
        <v>2.9</v>
      </c>
      <c r="K1917">
        <v>64.599999999999994</v>
      </c>
      <c r="L1917">
        <v>58.2</v>
      </c>
      <c r="M1917" s="175">
        <v>0.56000000000000005</v>
      </c>
      <c r="N1917" t="s">
        <v>4762</v>
      </c>
    </row>
    <row r="1918" spans="1:14">
      <c r="A1918">
        <v>6712</v>
      </c>
      <c r="B1918" t="s">
        <v>233</v>
      </c>
      <c r="C1918">
        <v>157.5</v>
      </c>
      <c r="D1918">
        <v>155</v>
      </c>
      <c r="E1918" s="178">
        <v>-3</v>
      </c>
      <c r="F1918" s="176">
        <v>-1.9</v>
      </c>
      <c r="G1918" t="s">
        <v>6844</v>
      </c>
      <c r="H1918">
        <v>366</v>
      </c>
      <c r="I1918">
        <v>266</v>
      </c>
      <c r="J1918">
        <v>10.050000000000001</v>
      </c>
      <c r="K1918">
        <v>157.5</v>
      </c>
      <c r="L1918">
        <v>154</v>
      </c>
      <c r="M1918" s="175">
        <v>0.36</v>
      </c>
      <c r="N1918" t="s">
        <v>4763</v>
      </c>
    </row>
    <row r="1919" spans="1:14">
      <c r="A1919">
        <v>6715</v>
      </c>
      <c r="B1919" t="s">
        <v>2032</v>
      </c>
      <c r="C1919">
        <v>540</v>
      </c>
      <c r="D1919">
        <v>533</v>
      </c>
      <c r="E1919" s="178">
        <v>-24</v>
      </c>
      <c r="F1919" s="176">
        <v>-4.3099999999999996</v>
      </c>
      <c r="G1919" t="s">
        <v>5551</v>
      </c>
      <c r="H1919">
        <v>3414</v>
      </c>
      <c r="I1919">
        <v>2444</v>
      </c>
      <c r="J1919">
        <v>7.43</v>
      </c>
      <c r="K1919">
        <v>565</v>
      </c>
      <c r="L1919">
        <v>513</v>
      </c>
      <c r="M1919" s="175">
        <v>4.5999999999999996</v>
      </c>
      <c r="N1919" t="s">
        <v>4764</v>
      </c>
    </row>
    <row r="1920" spans="1:14">
      <c r="A1920">
        <v>6716</v>
      </c>
      <c r="B1920" t="s">
        <v>2033</v>
      </c>
      <c r="C1920">
        <v>102</v>
      </c>
      <c r="D1920">
        <v>95.4</v>
      </c>
      <c r="E1920" s="178">
        <v>-9.1</v>
      </c>
      <c r="F1920" s="176">
        <v>-8.7100000000000009</v>
      </c>
      <c r="G1920" t="s">
        <v>5688</v>
      </c>
      <c r="H1920">
        <v>1582</v>
      </c>
      <c r="I1920">
        <v>2182</v>
      </c>
      <c r="J1920">
        <v>3.02</v>
      </c>
      <c r="K1920">
        <v>102</v>
      </c>
      <c r="L1920">
        <v>94.9</v>
      </c>
      <c r="M1920" s="175">
        <v>5.23</v>
      </c>
      <c r="N1920" t="s">
        <v>4765</v>
      </c>
    </row>
    <row r="1921" spans="1:14">
      <c r="A1921">
        <v>6719</v>
      </c>
      <c r="B1921" t="s">
        <v>2034</v>
      </c>
      <c r="C1921">
        <v>182</v>
      </c>
      <c r="D1921">
        <v>179</v>
      </c>
      <c r="E1921" s="178">
        <v>-5.5</v>
      </c>
      <c r="F1921" s="176">
        <v>-2.98</v>
      </c>
      <c r="G1921" t="s">
        <v>5254</v>
      </c>
      <c r="H1921">
        <v>671</v>
      </c>
      <c r="I1921">
        <v>804</v>
      </c>
      <c r="J1921">
        <v>10.55</v>
      </c>
      <c r="K1921">
        <v>183.5</v>
      </c>
      <c r="L1921">
        <v>178</v>
      </c>
      <c r="M1921" s="175">
        <v>0.79</v>
      </c>
      <c r="N1921" t="s">
        <v>4766</v>
      </c>
    </row>
    <row r="1922" spans="1:14">
      <c r="A1922">
        <v>6720</v>
      </c>
      <c r="B1922" t="s">
        <v>2679</v>
      </c>
      <c r="C1922">
        <v>98</v>
      </c>
      <c r="D1922">
        <v>100</v>
      </c>
      <c r="E1922" s="178">
        <v>-1.5</v>
      </c>
      <c r="F1922" s="176">
        <v>-1.48</v>
      </c>
      <c r="G1922" t="s">
        <v>5241</v>
      </c>
      <c r="H1922">
        <v>13</v>
      </c>
      <c r="I1922">
        <v>62</v>
      </c>
      <c r="J1922">
        <v>3.02</v>
      </c>
      <c r="K1922">
        <v>100.5</v>
      </c>
      <c r="L1922">
        <v>98</v>
      </c>
      <c r="M1922" s="175">
        <v>0.04</v>
      </c>
      <c r="N1922" t="s">
        <v>4767</v>
      </c>
    </row>
    <row r="1923" spans="1:14">
      <c r="A1923">
        <v>6721</v>
      </c>
      <c r="B1923" t="s">
        <v>2035</v>
      </c>
      <c r="C1923">
        <v>48.15</v>
      </c>
      <c r="D1923">
        <v>48</v>
      </c>
      <c r="E1923" s="178">
        <v>-0.15</v>
      </c>
      <c r="F1923" s="176">
        <v>-0.31</v>
      </c>
      <c r="G1923" t="s">
        <v>5950</v>
      </c>
      <c r="H1923">
        <v>24</v>
      </c>
      <c r="I1923">
        <v>20</v>
      </c>
      <c r="J1923">
        <v>2.4500000000000002</v>
      </c>
      <c r="K1923">
        <v>48.15</v>
      </c>
      <c r="L1923">
        <v>47.55</v>
      </c>
      <c r="M1923" s="175">
        <v>0.1</v>
      </c>
      <c r="N1923" t="s">
        <v>4768</v>
      </c>
    </row>
    <row r="1924" spans="1:14">
      <c r="A1924">
        <v>6722</v>
      </c>
      <c r="B1924" t="s">
        <v>3016</v>
      </c>
      <c r="C1924">
        <v>32.9</v>
      </c>
      <c r="D1924">
        <v>32.9</v>
      </c>
      <c r="E1924" s="178">
        <v>-0.15</v>
      </c>
      <c r="F1924" s="176">
        <v>-0.45</v>
      </c>
      <c r="G1924" t="s">
        <v>5705</v>
      </c>
      <c r="H1924">
        <v>22</v>
      </c>
      <c r="I1924">
        <v>33</v>
      </c>
      <c r="J1924">
        <v>8.84</v>
      </c>
      <c r="K1924">
        <v>33.049999999999997</v>
      </c>
      <c r="L1924">
        <v>32.700000000000003</v>
      </c>
      <c r="M1924" s="175">
        <v>0.02</v>
      </c>
      <c r="N1924" t="s">
        <v>4769</v>
      </c>
    </row>
    <row r="1925" spans="1:14">
      <c r="A1925">
        <v>6725</v>
      </c>
      <c r="B1925" t="s">
        <v>2980</v>
      </c>
      <c r="C1925">
        <v>197</v>
      </c>
      <c r="D1925">
        <v>195</v>
      </c>
      <c r="E1925" s="178">
        <v>-9</v>
      </c>
      <c r="F1925" s="176">
        <v>-4.41</v>
      </c>
      <c r="G1925" t="s">
        <v>6845</v>
      </c>
      <c r="H1925">
        <v>168</v>
      </c>
      <c r="I1925">
        <v>98</v>
      </c>
      <c r="J1925">
        <v>3.71</v>
      </c>
      <c r="K1925">
        <v>199</v>
      </c>
      <c r="L1925">
        <v>194</v>
      </c>
      <c r="M1925" s="175">
        <v>0.45</v>
      </c>
      <c r="N1925" t="s">
        <v>4770</v>
      </c>
    </row>
    <row r="1926" spans="1:14">
      <c r="A1926">
        <v>6727</v>
      </c>
      <c r="B1926" t="s">
        <v>2036</v>
      </c>
      <c r="C1926">
        <v>543</v>
      </c>
      <c r="D1926">
        <v>515</v>
      </c>
      <c r="E1926" s="178">
        <v>-47</v>
      </c>
      <c r="F1926" s="176">
        <v>-8.36</v>
      </c>
      <c r="G1926" t="s">
        <v>6846</v>
      </c>
      <c r="H1926">
        <v>1873</v>
      </c>
      <c r="I1926">
        <v>1534</v>
      </c>
      <c r="J1926">
        <v>2.69</v>
      </c>
      <c r="K1926">
        <v>548</v>
      </c>
      <c r="L1926">
        <v>513</v>
      </c>
      <c r="M1926" s="175">
        <v>6.97</v>
      </c>
      <c r="N1926" t="s">
        <v>4771</v>
      </c>
    </row>
    <row r="1927" spans="1:14">
      <c r="A1927">
        <v>6728</v>
      </c>
      <c r="B1927" t="s">
        <v>215</v>
      </c>
      <c r="C1927">
        <v>109</v>
      </c>
      <c r="D1927">
        <v>108</v>
      </c>
      <c r="E1927" s="178">
        <v>0</v>
      </c>
      <c r="F1927" s="176">
        <v>0</v>
      </c>
      <c r="G1927" t="s">
        <v>5161</v>
      </c>
      <c r="H1927">
        <v>12</v>
      </c>
      <c r="I1927">
        <v>14</v>
      </c>
      <c r="J1927">
        <v>3.01</v>
      </c>
      <c r="K1927">
        <v>109</v>
      </c>
      <c r="L1927">
        <v>108</v>
      </c>
      <c r="M1927" s="175">
        <v>0.04</v>
      </c>
      <c r="N1927" t="s">
        <v>4772</v>
      </c>
    </row>
    <row r="1928" spans="1:14">
      <c r="A1928">
        <v>6730</v>
      </c>
      <c r="B1928" t="s">
        <v>2955</v>
      </c>
      <c r="C1928">
        <v>31.8</v>
      </c>
      <c r="D1928">
        <v>31.9</v>
      </c>
      <c r="E1928" s="178">
        <v>-0.8</v>
      </c>
      <c r="F1928" s="176">
        <v>-2.4500000000000002</v>
      </c>
      <c r="G1928" t="s">
        <v>5634</v>
      </c>
      <c r="H1928">
        <v>17</v>
      </c>
      <c r="I1928">
        <v>16</v>
      </c>
      <c r="J1928">
        <v>3.63</v>
      </c>
      <c r="K1928">
        <v>31.9</v>
      </c>
      <c r="L1928">
        <v>31.05</v>
      </c>
      <c r="M1928" s="175">
        <v>0.05</v>
      </c>
      <c r="N1928" t="s">
        <v>4773</v>
      </c>
    </row>
    <row r="1929" spans="1:14">
      <c r="A1929">
        <v>6732</v>
      </c>
      <c r="B1929" t="s">
        <v>2037</v>
      </c>
      <c r="C1929">
        <v>150.5</v>
      </c>
      <c r="D1929">
        <v>151</v>
      </c>
      <c r="E1929" s="178">
        <v>-1.5</v>
      </c>
      <c r="F1929" s="176">
        <v>-0.98</v>
      </c>
      <c r="G1929" t="s">
        <v>6847</v>
      </c>
      <c r="H1929">
        <v>66</v>
      </c>
      <c r="I1929">
        <v>59</v>
      </c>
      <c r="J1929">
        <v>4.8899999999999997</v>
      </c>
      <c r="K1929">
        <v>152</v>
      </c>
      <c r="L1929">
        <v>150</v>
      </c>
      <c r="M1929" s="175">
        <v>0.13</v>
      </c>
      <c r="N1929" t="s">
        <v>4774</v>
      </c>
    </row>
    <row r="1930" spans="1:14">
      <c r="A1930">
        <v>6733</v>
      </c>
      <c r="B1930" t="s">
        <v>2038</v>
      </c>
      <c r="C1930">
        <v>24.5</v>
      </c>
      <c r="D1930">
        <v>24.2</v>
      </c>
      <c r="E1930" s="178">
        <v>-0.35</v>
      </c>
      <c r="F1930" s="176">
        <v>-1.43</v>
      </c>
      <c r="G1930" t="s">
        <v>6848</v>
      </c>
      <c r="H1930">
        <v>123</v>
      </c>
      <c r="I1930">
        <v>52</v>
      </c>
      <c r="J1930">
        <v>13.43</v>
      </c>
      <c r="K1930">
        <v>24.5</v>
      </c>
      <c r="L1930">
        <v>24</v>
      </c>
      <c r="M1930" s="175">
        <v>0.09</v>
      </c>
      <c r="N1930" t="s">
        <v>4775</v>
      </c>
    </row>
    <row r="1931" spans="1:14">
      <c r="A1931">
        <v>6735</v>
      </c>
      <c r="B1931" t="s">
        <v>2039</v>
      </c>
      <c r="C1931">
        <v>59.6</v>
      </c>
      <c r="D1931">
        <v>58.6</v>
      </c>
      <c r="E1931" s="178">
        <v>-2</v>
      </c>
      <c r="F1931" s="176">
        <v>-3.3</v>
      </c>
      <c r="G1931" t="s">
        <v>6849</v>
      </c>
      <c r="H1931">
        <v>143</v>
      </c>
      <c r="I1931">
        <v>73</v>
      </c>
      <c r="J1931">
        <v>4.62</v>
      </c>
      <c r="K1931">
        <v>59.6</v>
      </c>
      <c r="L1931">
        <v>58.1</v>
      </c>
      <c r="M1931" s="175">
        <v>0.31</v>
      </c>
      <c r="N1931" t="s">
        <v>4776</v>
      </c>
    </row>
    <row r="1932" spans="1:14">
      <c r="A1932">
        <v>6739</v>
      </c>
      <c r="B1932" t="s">
        <v>2604</v>
      </c>
      <c r="C1932">
        <v>963</v>
      </c>
      <c r="D1932">
        <v>956</v>
      </c>
      <c r="E1932" s="178">
        <v>-42</v>
      </c>
      <c r="F1932" s="176">
        <v>-4.21</v>
      </c>
      <c r="G1932" t="s">
        <v>5524</v>
      </c>
      <c r="H1932">
        <v>115</v>
      </c>
      <c r="I1932">
        <v>166</v>
      </c>
      <c r="J1932">
        <v>2.34</v>
      </c>
      <c r="K1932">
        <v>968</v>
      </c>
      <c r="L1932">
        <v>940</v>
      </c>
      <c r="M1932" s="175">
        <v>0.49</v>
      </c>
      <c r="N1932" t="s">
        <v>4777</v>
      </c>
    </row>
    <row r="1933" spans="1:14">
      <c r="A1933">
        <v>6741</v>
      </c>
      <c r="B1933" t="s">
        <v>2040</v>
      </c>
      <c r="C1933">
        <v>54</v>
      </c>
      <c r="D1933">
        <v>54.2</v>
      </c>
      <c r="E1933" s="178">
        <v>0.2</v>
      </c>
      <c r="F1933" s="176">
        <v>0.37</v>
      </c>
      <c r="G1933" t="s">
        <v>5602</v>
      </c>
      <c r="H1933">
        <v>181</v>
      </c>
      <c r="I1933">
        <v>227</v>
      </c>
      <c r="J1933">
        <v>6.03</v>
      </c>
      <c r="K1933">
        <v>54.6</v>
      </c>
      <c r="L1933">
        <v>53.8</v>
      </c>
      <c r="M1933" s="175">
        <v>0.15</v>
      </c>
      <c r="N1933" t="s">
        <v>4778</v>
      </c>
    </row>
    <row r="1934" spans="1:14">
      <c r="A1934">
        <v>6742</v>
      </c>
      <c r="B1934" t="s">
        <v>2315</v>
      </c>
      <c r="C1934">
        <v>61.1</v>
      </c>
      <c r="D1934">
        <v>60.8</v>
      </c>
      <c r="E1934" s="178">
        <v>-1.7</v>
      </c>
      <c r="F1934" s="176">
        <v>-2.72</v>
      </c>
      <c r="G1934" t="s">
        <v>5716</v>
      </c>
      <c r="H1934">
        <v>2934</v>
      </c>
      <c r="I1934">
        <v>3227</v>
      </c>
      <c r="J1934">
        <v>7.13</v>
      </c>
      <c r="K1934">
        <v>64.400000000000006</v>
      </c>
      <c r="L1934">
        <v>60.8</v>
      </c>
      <c r="M1934" s="175">
        <v>4.12</v>
      </c>
      <c r="N1934" t="s">
        <v>4779</v>
      </c>
    </row>
    <row r="1935" spans="1:14">
      <c r="A1935">
        <v>6743</v>
      </c>
      <c r="B1935" t="s">
        <v>2041</v>
      </c>
      <c r="C1935">
        <v>31.6</v>
      </c>
      <c r="D1935">
        <v>32.5</v>
      </c>
      <c r="E1935" s="178">
        <v>0</v>
      </c>
      <c r="F1935" s="176">
        <v>0</v>
      </c>
      <c r="G1935" t="s">
        <v>6850</v>
      </c>
      <c r="H1935">
        <v>522</v>
      </c>
      <c r="I1935">
        <v>752</v>
      </c>
      <c r="J1935">
        <v>15</v>
      </c>
      <c r="K1935">
        <v>32.5</v>
      </c>
      <c r="L1935">
        <v>31.6</v>
      </c>
      <c r="M1935" s="175">
        <v>0.35</v>
      </c>
      <c r="N1935" t="s">
        <v>4780</v>
      </c>
    </row>
    <row r="1936" spans="1:14">
      <c r="A1936">
        <v>6751</v>
      </c>
      <c r="B1936" t="s">
        <v>216</v>
      </c>
      <c r="C1936">
        <v>49</v>
      </c>
      <c r="D1936">
        <v>49.6</v>
      </c>
      <c r="E1936" s="178">
        <v>0.05</v>
      </c>
      <c r="F1936" s="176">
        <v>0.1</v>
      </c>
      <c r="G1936" t="s">
        <v>5162</v>
      </c>
      <c r="H1936">
        <v>35</v>
      </c>
      <c r="I1936">
        <v>122</v>
      </c>
      <c r="J1936">
        <v>2.2200000000000002</v>
      </c>
      <c r="K1936">
        <v>49.6</v>
      </c>
      <c r="L1936">
        <v>48.3</v>
      </c>
      <c r="M1936" s="175">
        <v>0.16</v>
      </c>
      <c r="N1936" t="s">
        <v>4781</v>
      </c>
    </row>
    <row r="1937" spans="1:14">
      <c r="A1937">
        <v>6752</v>
      </c>
      <c r="B1937" t="s">
        <v>2042</v>
      </c>
      <c r="C1937">
        <v>95</v>
      </c>
      <c r="D1937">
        <v>95.2</v>
      </c>
      <c r="E1937" s="178">
        <v>-1.6</v>
      </c>
      <c r="F1937" s="176">
        <v>-1.65</v>
      </c>
      <c r="G1937" t="s">
        <v>6851</v>
      </c>
      <c r="H1937">
        <v>18</v>
      </c>
      <c r="I1937">
        <v>11</v>
      </c>
      <c r="J1937">
        <v>3.83</v>
      </c>
      <c r="K1937">
        <v>96.2</v>
      </c>
      <c r="L1937">
        <v>95</v>
      </c>
      <c r="M1937" s="175">
        <v>0.05</v>
      </c>
      <c r="N1937" t="s">
        <v>4782</v>
      </c>
    </row>
    <row r="1938" spans="1:14">
      <c r="A1938">
        <v>6753</v>
      </c>
      <c r="B1938" t="s">
        <v>2043</v>
      </c>
      <c r="C1938">
        <v>125.5</v>
      </c>
      <c r="D1938">
        <v>122</v>
      </c>
      <c r="E1938" s="178">
        <v>-4</v>
      </c>
      <c r="F1938" s="176">
        <v>-3.17</v>
      </c>
      <c r="G1938" t="s">
        <v>5529</v>
      </c>
      <c r="H1938">
        <v>814</v>
      </c>
      <c r="I1938">
        <v>449</v>
      </c>
      <c r="J1938">
        <v>11.73</v>
      </c>
      <c r="K1938">
        <v>125.5</v>
      </c>
      <c r="L1938">
        <v>121.5</v>
      </c>
      <c r="M1938" s="175">
        <v>0.69</v>
      </c>
      <c r="N1938" t="s">
        <v>4783</v>
      </c>
    </row>
    <row r="1939" spans="1:14">
      <c r="A1939">
        <v>6754</v>
      </c>
      <c r="B1939" t="s">
        <v>2044</v>
      </c>
      <c r="C1939">
        <v>42</v>
      </c>
      <c r="D1939">
        <v>40.75</v>
      </c>
      <c r="E1939" s="178">
        <v>-0.8</v>
      </c>
      <c r="F1939" s="176">
        <v>-1.93</v>
      </c>
      <c r="G1939" t="s">
        <v>6852</v>
      </c>
      <c r="H1939">
        <v>23</v>
      </c>
      <c r="I1939">
        <v>19</v>
      </c>
      <c r="J1939">
        <v>6.6</v>
      </c>
      <c r="K1939">
        <v>42</v>
      </c>
      <c r="L1939">
        <v>40.549999999999997</v>
      </c>
      <c r="M1939" s="175">
        <v>0.03</v>
      </c>
      <c r="N1939" t="s">
        <v>4784</v>
      </c>
    </row>
    <row r="1940" spans="1:14">
      <c r="A1940">
        <v>6756</v>
      </c>
      <c r="B1940" t="s">
        <v>213</v>
      </c>
      <c r="C1940">
        <v>94.6</v>
      </c>
      <c r="D1940">
        <v>100</v>
      </c>
      <c r="E1940" s="178">
        <v>2.7</v>
      </c>
      <c r="F1940" s="176">
        <v>2.77</v>
      </c>
      <c r="G1940" t="s">
        <v>6853</v>
      </c>
      <c r="H1940">
        <v>313</v>
      </c>
      <c r="I1940">
        <v>108</v>
      </c>
      <c r="J1940">
        <v>7</v>
      </c>
      <c r="K1940">
        <v>100.5</v>
      </c>
      <c r="L1940">
        <v>94.6</v>
      </c>
      <c r="M1940" s="175">
        <v>0.45</v>
      </c>
      <c r="N1940" t="s">
        <v>4785</v>
      </c>
    </row>
    <row r="1941" spans="1:14">
      <c r="A1941">
        <v>6757</v>
      </c>
      <c r="B1941" t="s">
        <v>2678</v>
      </c>
      <c r="C1941">
        <v>53.7</v>
      </c>
      <c r="D1941">
        <v>53.4</v>
      </c>
      <c r="E1941" s="178">
        <v>-0.3</v>
      </c>
      <c r="F1941" s="176">
        <v>-0.56000000000000005</v>
      </c>
      <c r="G1941" t="s">
        <v>6854</v>
      </c>
      <c r="H1941">
        <v>764</v>
      </c>
      <c r="I1941">
        <v>291</v>
      </c>
      <c r="J1941">
        <v>45.95</v>
      </c>
      <c r="K1941">
        <v>53.8</v>
      </c>
      <c r="L1941">
        <v>53.1</v>
      </c>
      <c r="M1941" s="175">
        <v>0.17</v>
      </c>
      <c r="N1941" t="s">
        <v>4786</v>
      </c>
    </row>
    <row r="1942" spans="1:14">
      <c r="A1942">
        <v>6761</v>
      </c>
      <c r="B1942" t="s">
        <v>2045</v>
      </c>
      <c r="C1942">
        <v>154.5</v>
      </c>
      <c r="D1942">
        <v>151</v>
      </c>
      <c r="E1942" s="178">
        <v>-5.5</v>
      </c>
      <c r="F1942" s="176">
        <v>-3.51</v>
      </c>
      <c r="G1942" t="s">
        <v>6855</v>
      </c>
      <c r="H1942">
        <v>255</v>
      </c>
      <c r="I1942">
        <v>152</v>
      </c>
      <c r="J1942">
        <v>3.5</v>
      </c>
      <c r="K1942">
        <v>154.5</v>
      </c>
      <c r="L1942">
        <v>149</v>
      </c>
      <c r="M1942" s="175">
        <v>0.73</v>
      </c>
      <c r="N1942" t="s">
        <v>4787</v>
      </c>
    </row>
    <row r="1943" spans="1:14">
      <c r="A1943">
        <v>6762</v>
      </c>
      <c r="B1943" t="s">
        <v>2046</v>
      </c>
      <c r="C1943">
        <v>153</v>
      </c>
      <c r="D1943">
        <v>151</v>
      </c>
      <c r="E1943" s="178">
        <v>-4</v>
      </c>
      <c r="F1943" s="176">
        <v>-2.58</v>
      </c>
      <c r="G1943" t="s">
        <v>5218</v>
      </c>
      <c r="H1943">
        <v>10</v>
      </c>
      <c r="I1943">
        <v>3</v>
      </c>
      <c r="J1943">
        <v>3.69</v>
      </c>
      <c r="K1943">
        <v>153</v>
      </c>
      <c r="L1943">
        <v>151</v>
      </c>
      <c r="M1943" s="175">
        <v>0.03</v>
      </c>
      <c r="N1943" t="s">
        <v>4788</v>
      </c>
    </row>
    <row r="1944" spans="1:14">
      <c r="A1944">
        <v>6763</v>
      </c>
      <c r="B1944" t="s">
        <v>2608</v>
      </c>
      <c r="C1944">
        <v>41.15</v>
      </c>
      <c r="D1944">
        <v>41.2</v>
      </c>
      <c r="E1944" s="178">
        <v>-0.1</v>
      </c>
      <c r="F1944" s="176">
        <v>-0.24</v>
      </c>
      <c r="G1944" t="s">
        <v>5486</v>
      </c>
      <c r="H1944">
        <v>289</v>
      </c>
      <c r="I1944">
        <v>133</v>
      </c>
      <c r="J1944">
        <v>1.84</v>
      </c>
      <c r="K1944">
        <v>41.55</v>
      </c>
      <c r="L1944">
        <v>41</v>
      </c>
      <c r="M1944" s="175">
        <v>0.16</v>
      </c>
      <c r="N1944" t="s">
        <v>4789</v>
      </c>
    </row>
    <row r="1945" spans="1:14">
      <c r="A1945">
        <v>6767</v>
      </c>
      <c r="B1945" t="s">
        <v>232</v>
      </c>
      <c r="C1945">
        <v>24</v>
      </c>
      <c r="D1945">
        <v>23.7</v>
      </c>
      <c r="E1945" s="178">
        <v>-0.3</v>
      </c>
      <c r="F1945" s="176">
        <v>-1.25</v>
      </c>
      <c r="G1945" t="s">
        <v>6856</v>
      </c>
      <c r="H1945">
        <v>4</v>
      </c>
      <c r="I1945">
        <v>9</v>
      </c>
      <c r="J1945">
        <v>3.92</v>
      </c>
      <c r="K1945">
        <v>24</v>
      </c>
      <c r="L1945">
        <v>23.7</v>
      </c>
      <c r="M1945" s="175">
        <v>0.01</v>
      </c>
      <c r="N1945" t="s">
        <v>4790</v>
      </c>
    </row>
    <row r="1946" spans="1:14">
      <c r="A1946">
        <v>6768</v>
      </c>
      <c r="B1946" t="s">
        <v>2047</v>
      </c>
      <c r="C1946">
        <v>64.2</v>
      </c>
      <c r="D1946">
        <v>64.5</v>
      </c>
      <c r="E1946" s="178">
        <v>0.7</v>
      </c>
      <c r="F1946" s="176">
        <v>1.1000000000000001</v>
      </c>
      <c r="G1946" t="s">
        <v>6857</v>
      </c>
      <c r="H1946">
        <v>243</v>
      </c>
      <c r="I1946">
        <v>219</v>
      </c>
      <c r="J1946">
        <v>20.010000000000002</v>
      </c>
      <c r="K1946">
        <v>64.5</v>
      </c>
      <c r="L1946">
        <v>63.5</v>
      </c>
      <c r="M1946" s="175">
        <v>0.12</v>
      </c>
      <c r="N1946" t="s">
        <v>4791</v>
      </c>
    </row>
    <row r="1947" spans="1:14">
      <c r="A1947">
        <v>6770</v>
      </c>
      <c r="B1947" t="s">
        <v>2048</v>
      </c>
      <c r="C1947">
        <v>68</v>
      </c>
      <c r="D1947">
        <v>66.2</v>
      </c>
      <c r="E1947" s="178">
        <v>-4.8</v>
      </c>
      <c r="F1947" s="176">
        <v>-6.76</v>
      </c>
      <c r="G1947" t="s">
        <v>6858</v>
      </c>
      <c r="H1947">
        <v>147800</v>
      </c>
      <c r="I1947">
        <v>108403</v>
      </c>
      <c r="J1947">
        <v>471.91</v>
      </c>
      <c r="K1947">
        <v>68.3</v>
      </c>
      <c r="L1947">
        <v>66</v>
      </c>
      <c r="M1947" s="175">
        <v>3.14</v>
      </c>
      <c r="N1947" t="s">
        <v>3563</v>
      </c>
    </row>
    <row r="1948" spans="1:14">
      <c r="A1948">
        <v>6776</v>
      </c>
      <c r="B1948" t="s">
        <v>2049</v>
      </c>
      <c r="C1948">
        <v>52.9</v>
      </c>
      <c r="D1948">
        <v>52.3</v>
      </c>
      <c r="E1948" s="178">
        <v>-0.6</v>
      </c>
      <c r="F1948" s="176">
        <v>-1.1299999999999999</v>
      </c>
      <c r="G1948" t="s">
        <v>5461</v>
      </c>
      <c r="H1948">
        <v>67</v>
      </c>
      <c r="I1948">
        <v>67</v>
      </c>
      <c r="J1948">
        <v>9.16</v>
      </c>
      <c r="K1948">
        <v>52.9</v>
      </c>
      <c r="L1948">
        <v>52.2</v>
      </c>
      <c r="M1948" s="175">
        <v>7.0000000000000007E-2</v>
      </c>
      <c r="N1948" t="s">
        <v>4792</v>
      </c>
    </row>
    <row r="1949" spans="1:14">
      <c r="A1949">
        <v>6781</v>
      </c>
      <c r="B1949" t="s">
        <v>2050</v>
      </c>
      <c r="C1949">
        <v>975</v>
      </c>
      <c r="D1949">
        <v>926</v>
      </c>
      <c r="E1949" s="178">
        <v>-67</v>
      </c>
      <c r="F1949" s="176">
        <v>-6.75</v>
      </c>
      <c r="G1949" t="s">
        <v>5513</v>
      </c>
      <c r="H1949">
        <v>557</v>
      </c>
      <c r="I1949">
        <v>310</v>
      </c>
      <c r="J1949">
        <v>8.5399999999999991</v>
      </c>
      <c r="K1949">
        <v>975</v>
      </c>
      <c r="L1949">
        <v>920</v>
      </c>
      <c r="M1949" s="175">
        <v>0.65</v>
      </c>
      <c r="N1949" t="s">
        <v>4793</v>
      </c>
    </row>
    <row r="1950" spans="1:14">
      <c r="A1950">
        <v>6782</v>
      </c>
      <c r="B1950" t="s">
        <v>2051</v>
      </c>
      <c r="C1950">
        <v>247</v>
      </c>
      <c r="D1950">
        <v>251</v>
      </c>
      <c r="E1950" s="178">
        <v>6.5</v>
      </c>
      <c r="F1950" s="176">
        <v>2.66</v>
      </c>
      <c r="G1950" t="s">
        <v>6612</v>
      </c>
      <c r="H1950">
        <v>1167</v>
      </c>
      <c r="I1950">
        <v>321</v>
      </c>
      <c r="J1950">
        <v>6.3</v>
      </c>
      <c r="K1950">
        <v>262</v>
      </c>
      <c r="L1950">
        <v>243</v>
      </c>
      <c r="M1950" s="175">
        <v>1.85</v>
      </c>
      <c r="N1950" t="s">
        <v>4794</v>
      </c>
    </row>
    <row r="1951" spans="1:14">
      <c r="A1951">
        <v>6785</v>
      </c>
      <c r="B1951" t="s">
        <v>2331</v>
      </c>
      <c r="C1951">
        <v>85.1</v>
      </c>
      <c r="D1951">
        <v>83.1</v>
      </c>
      <c r="E1951" s="178">
        <v>-1.6</v>
      </c>
      <c r="F1951" s="176">
        <v>-1.89</v>
      </c>
      <c r="G1951" t="s">
        <v>6101</v>
      </c>
      <c r="H1951">
        <v>69</v>
      </c>
      <c r="I1951">
        <v>80</v>
      </c>
      <c r="J1951">
        <v>6.68</v>
      </c>
      <c r="K1951">
        <v>85.1</v>
      </c>
      <c r="L1951">
        <v>81.099999999999994</v>
      </c>
      <c r="M1951" s="175">
        <v>0.1</v>
      </c>
      <c r="N1951" t="s">
        <v>4795</v>
      </c>
    </row>
    <row r="1952" spans="1:14">
      <c r="A1952">
        <v>6788</v>
      </c>
      <c r="B1952" t="s">
        <v>2052</v>
      </c>
      <c r="C1952">
        <v>372</v>
      </c>
      <c r="D1952">
        <v>358.5</v>
      </c>
      <c r="E1952" s="178">
        <v>-17</v>
      </c>
      <c r="F1952" s="176">
        <v>-4.53</v>
      </c>
      <c r="G1952" t="s">
        <v>5307</v>
      </c>
      <c r="H1952">
        <v>413</v>
      </c>
      <c r="I1952">
        <v>639</v>
      </c>
      <c r="J1952">
        <v>3.87</v>
      </c>
      <c r="K1952">
        <v>372</v>
      </c>
      <c r="L1952">
        <v>350</v>
      </c>
      <c r="M1952" s="175">
        <v>1.07</v>
      </c>
      <c r="N1952" t="s">
        <v>4796</v>
      </c>
    </row>
    <row r="1953" spans="1:14">
      <c r="A1953">
        <v>6789</v>
      </c>
      <c r="B1953" t="s">
        <v>2053</v>
      </c>
      <c r="C1953">
        <v>446.5</v>
      </c>
      <c r="D1953">
        <v>440</v>
      </c>
      <c r="E1953" s="178">
        <v>-20</v>
      </c>
      <c r="F1953" s="176">
        <v>-4.3499999999999996</v>
      </c>
      <c r="G1953" t="s">
        <v>6624</v>
      </c>
      <c r="H1953">
        <v>1213</v>
      </c>
      <c r="I1953">
        <v>787</v>
      </c>
      <c r="J1953">
        <v>31.84</v>
      </c>
      <c r="K1953">
        <v>451.5</v>
      </c>
      <c r="L1953">
        <v>435</v>
      </c>
      <c r="M1953" s="175">
        <v>0.38</v>
      </c>
      <c r="N1953" t="s">
        <v>4797</v>
      </c>
    </row>
    <row r="1954" spans="1:14">
      <c r="A1954">
        <v>6790</v>
      </c>
      <c r="B1954" t="s">
        <v>2054</v>
      </c>
      <c r="C1954">
        <v>37.85</v>
      </c>
      <c r="D1954">
        <v>37.85</v>
      </c>
      <c r="E1954" s="178">
        <v>0.05</v>
      </c>
      <c r="F1954" s="176">
        <v>0.13</v>
      </c>
      <c r="G1954" t="s">
        <v>5492</v>
      </c>
      <c r="H1954">
        <v>91</v>
      </c>
      <c r="I1954">
        <v>107</v>
      </c>
      <c r="J1954">
        <v>26.71</v>
      </c>
      <c r="K1954">
        <v>37.950000000000003</v>
      </c>
      <c r="L1954">
        <v>37.65</v>
      </c>
      <c r="M1954" s="175">
        <v>0.03</v>
      </c>
      <c r="N1954" t="s">
        <v>4798</v>
      </c>
    </row>
    <row r="1955" spans="1:14">
      <c r="A1955">
        <v>6791</v>
      </c>
      <c r="B1955" t="s">
        <v>2055</v>
      </c>
      <c r="C1955">
        <v>95</v>
      </c>
      <c r="D1955">
        <v>97</v>
      </c>
      <c r="E1955" s="178">
        <v>1.6</v>
      </c>
      <c r="F1955" s="176">
        <v>1.68</v>
      </c>
      <c r="G1955" t="s">
        <v>5419</v>
      </c>
      <c r="H1955">
        <v>27</v>
      </c>
      <c r="I1955">
        <v>24</v>
      </c>
      <c r="J1955">
        <v>2.08</v>
      </c>
      <c r="K1955">
        <v>97</v>
      </c>
      <c r="L1955">
        <v>94.6</v>
      </c>
      <c r="M1955" s="175">
        <v>0.13</v>
      </c>
      <c r="N1955" t="s">
        <v>4799</v>
      </c>
    </row>
    <row r="1956" spans="1:14">
      <c r="A1956">
        <v>6792</v>
      </c>
      <c r="B1956" t="s">
        <v>2056</v>
      </c>
      <c r="C1956">
        <v>60</v>
      </c>
      <c r="D1956">
        <v>59.7</v>
      </c>
      <c r="E1956" s="178">
        <v>-0.3</v>
      </c>
      <c r="F1956" s="176">
        <v>-0.5</v>
      </c>
      <c r="G1956" t="s">
        <v>5278</v>
      </c>
      <c r="H1956">
        <v>26</v>
      </c>
      <c r="I1956">
        <v>64</v>
      </c>
      <c r="J1956">
        <v>4.79</v>
      </c>
      <c r="K1956">
        <v>60</v>
      </c>
      <c r="L1956">
        <v>59.2</v>
      </c>
      <c r="M1956" s="175">
        <v>0.05</v>
      </c>
      <c r="N1956" t="s">
        <v>4800</v>
      </c>
    </row>
    <row r="1957" spans="1:14">
      <c r="A1957">
        <v>6794</v>
      </c>
      <c r="B1957" t="s">
        <v>2919</v>
      </c>
      <c r="C1957">
        <v>68.599999999999994</v>
      </c>
      <c r="D1957">
        <v>69.2</v>
      </c>
      <c r="E1957" s="178">
        <v>0</v>
      </c>
      <c r="F1957" s="176">
        <v>0</v>
      </c>
      <c r="G1957" t="s">
        <v>5270</v>
      </c>
      <c r="H1957">
        <v>28</v>
      </c>
      <c r="I1957">
        <v>61</v>
      </c>
      <c r="J1957">
        <v>6.37</v>
      </c>
      <c r="K1957">
        <v>69.2</v>
      </c>
      <c r="L1957">
        <v>68.3</v>
      </c>
      <c r="M1957" s="175">
        <v>0.06</v>
      </c>
      <c r="N1957" t="s">
        <v>4801</v>
      </c>
    </row>
    <row r="1958" spans="1:14">
      <c r="A1958">
        <v>6796</v>
      </c>
      <c r="B1958" t="s">
        <v>2057</v>
      </c>
      <c r="C1958">
        <v>56</v>
      </c>
      <c r="D1958">
        <v>54.6</v>
      </c>
      <c r="E1958" s="178">
        <v>0.2</v>
      </c>
      <c r="F1958" s="176">
        <v>0.37</v>
      </c>
      <c r="G1958" t="s">
        <v>6859</v>
      </c>
      <c r="H1958">
        <v>16</v>
      </c>
      <c r="I1958">
        <v>20</v>
      </c>
      <c r="J1958">
        <v>4.0199999999999996</v>
      </c>
      <c r="K1958">
        <v>56</v>
      </c>
      <c r="L1958">
        <v>53.9</v>
      </c>
      <c r="M1958" s="175">
        <v>0.04</v>
      </c>
      <c r="N1958" t="s">
        <v>4802</v>
      </c>
    </row>
    <row r="1959" spans="1:14">
      <c r="A1959">
        <v>6799</v>
      </c>
      <c r="B1959" t="s">
        <v>2058</v>
      </c>
      <c r="C1959">
        <v>86</v>
      </c>
      <c r="D1959">
        <v>84.5</v>
      </c>
      <c r="E1959" s="178">
        <v>-2.8</v>
      </c>
      <c r="F1959" s="176">
        <v>-3.21</v>
      </c>
      <c r="G1959" t="s">
        <v>5712</v>
      </c>
      <c r="H1959">
        <v>236</v>
      </c>
      <c r="I1959">
        <v>175</v>
      </c>
      <c r="J1959">
        <v>4.37</v>
      </c>
      <c r="K1959">
        <v>86</v>
      </c>
      <c r="L1959">
        <v>83</v>
      </c>
      <c r="M1959" s="175">
        <v>0.54</v>
      </c>
      <c r="N1959" t="s">
        <v>4803</v>
      </c>
    </row>
    <row r="1960" spans="1:14">
      <c r="A1960">
        <v>6803</v>
      </c>
      <c r="B1960" t="s">
        <v>2059</v>
      </c>
      <c r="C1960">
        <v>262</v>
      </c>
      <c r="D1960">
        <v>260</v>
      </c>
      <c r="E1960" s="178">
        <v>-2.5</v>
      </c>
      <c r="F1960" s="176">
        <v>-0.95</v>
      </c>
      <c r="G1960" t="s">
        <v>5521</v>
      </c>
      <c r="H1960">
        <v>147</v>
      </c>
      <c r="I1960">
        <v>57</v>
      </c>
      <c r="J1960">
        <v>7.28</v>
      </c>
      <c r="K1960">
        <v>262</v>
      </c>
      <c r="L1960">
        <v>260</v>
      </c>
      <c r="M1960" s="175">
        <v>0.2</v>
      </c>
      <c r="N1960" t="s">
        <v>4804</v>
      </c>
    </row>
    <row r="1961" spans="1:14">
      <c r="A1961">
        <v>6804</v>
      </c>
      <c r="B1961" t="s">
        <v>2060</v>
      </c>
      <c r="C1961">
        <v>16.899999999999999</v>
      </c>
      <c r="D1961">
        <v>16.95</v>
      </c>
      <c r="E1961" s="178">
        <v>0</v>
      </c>
      <c r="F1961" s="176">
        <v>0</v>
      </c>
      <c r="G1961" t="s">
        <v>5715</v>
      </c>
      <c r="H1961">
        <v>43</v>
      </c>
      <c r="I1961">
        <v>56</v>
      </c>
      <c r="J1961">
        <v>4.75</v>
      </c>
      <c r="K1961">
        <v>17.100000000000001</v>
      </c>
      <c r="L1961">
        <v>16.75</v>
      </c>
      <c r="M1961" s="175">
        <v>0.09</v>
      </c>
      <c r="N1961" t="s">
        <v>4805</v>
      </c>
    </row>
    <row r="1962" spans="1:14">
      <c r="A1962">
        <v>6805</v>
      </c>
      <c r="B1962" t="s">
        <v>2307</v>
      </c>
      <c r="C1962">
        <v>2100</v>
      </c>
      <c r="D1962">
        <v>2115</v>
      </c>
      <c r="E1962" s="178">
        <v>-80</v>
      </c>
      <c r="F1962" s="176">
        <v>-3.64</v>
      </c>
      <c r="G1962" t="s">
        <v>5406</v>
      </c>
      <c r="H1962">
        <v>929</v>
      </c>
      <c r="I1962">
        <v>1291</v>
      </c>
      <c r="J1962">
        <v>6.86</v>
      </c>
      <c r="K1962">
        <v>2150</v>
      </c>
      <c r="L1962">
        <v>2065</v>
      </c>
      <c r="M1962" s="175">
        <v>1.36</v>
      </c>
      <c r="N1962" t="s">
        <v>4806</v>
      </c>
    </row>
    <row r="1963" spans="1:14">
      <c r="A1963">
        <v>6807</v>
      </c>
      <c r="B1963" t="s">
        <v>2061</v>
      </c>
      <c r="C1963">
        <v>33.549999999999997</v>
      </c>
      <c r="D1963">
        <v>33.450000000000003</v>
      </c>
      <c r="E1963" s="178">
        <v>-0.1</v>
      </c>
      <c r="F1963" s="176">
        <v>-0.3</v>
      </c>
      <c r="G1963" t="s">
        <v>6860</v>
      </c>
      <c r="H1963">
        <v>5</v>
      </c>
      <c r="I1963">
        <v>12</v>
      </c>
      <c r="J1963">
        <v>5.4</v>
      </c>
      <c r="K1963">
        <v>33.549999999999997</v>
      </c>
      <c r="L1963">
        <v>32.700000000000003</v>
      </c>
      <c r="M1963" s="175">
        <v>0.01</v>
      </c>
      <c r="N1963" t="s">
        <v>4807</v>
      </c>
    </row>
    <row r="1964" spans="1:14">
      <c r="A1964">
        <v>6811</v>
      </c>
      <c r="B1964" t="s">
        <v>2062</v>
      </c>
      <c r="C1964">
        <v>280</v>
      </c>
      <c r="D1964">
        <v>274</v>
      </c>
      <c r="E1964" s="178">
        <v>-9.5</v>
      </c>
      <c r="F1964" s="176">
        <v>-3.35</v>
      </c>
      <c r="G1964" t="s">
        <v>5243</v>
      </c>
      <c r="H1964">
        <v>453</v>
      </c>
      <c r="I1964">
        <v>1028</v>
      </c>
      <c r="J1964">
        <v>4.1399999999999997</v>
      </c>
      <c r="K1964">
        <v>281.5</v>
      </c>
      <c r="L1964">
        <v>273.5</v>
      </c>
      <c r="M1964" s="175">
        <v>1.0900000000000001</v>
      </c>
      <c r="N1964" t="s">
        <v>4808</v>
      </c>
    </row>
    <row r="1965" spans="1:14">
      <c r="A1965">
        <v>6821</v>
      </c>
      <c r="B1965" t="s">
        <v>2063</v>
      </c>
      <c r="C1965">
        <v>46.5</v>
      </c>
      <c r="D1965">
        <v>44.8</v>
      </c>
      <c r="E1965" s="178">
        <v>-1.95</v>
      </c>
      <c r="F1965" s="176">
        <v>-4.17</v>
      </c>
      <c r="G1965" t="s">
        <v>6861</v>
      </c>
      <c r="H1965">
        <v>226</v>
      </c>
      <c r="I1965">
        <v>208</v>
      </c>
      <c r="J1965">
        <v>3.63</v>
      </c>
      <c r="K1965">
        <v>46.75</v>
      </c>
      <c r="L1965">
        <v>43.95</v>
      </c>
      <c r="M1965" s="175">
        <v>0.63</v>
      </c>
      <c r="N1965" t="s">
        <v>4809</v>
      </c>
    </row>
    <row r="1966" spans="1:14">
      <c r="A1966">
        <v>6823</v>
      </c>
      <c r="B1966" t="s">
        <v>2064</v>
      </c>
      <c r="C1966">
        <v>60.1</v>
      </c>
      <c r="D1966">
        <v>59.6</v>
      </c>
      <c r="E1966" s="178">
        <v>-1.3</v>
      </c>
      <c r="F1966" s="176">
        <v>-2.13</v>
      </c>
      <c r="G1966" t="s">
        <v>5179</v>
      </c>
      <c r="H1966">
        <v>30</v>
      </c>
      <c r="I1966">
        <v>55</v>
      </c>
      <c r="J1966">
        <v>3.32</v>
      </c>
      <c r="K1966">
        <v>60.1</v>
      </c>
      <c r="L1966">
        <v>59</v>
      </c>
      <c r="M1966" s="175">
        <v>0.09</v>
      </c>
      <c r="N1966" t="s">
        <v>4810</v>
      </c>
    </row>
    <row r="1967" spans="1:14">
      <c r="A1967">
        <v>6829</v>
      </c>
      <c r="B1967" t="s">
        <v>2065</v>
      </c>
      <c r="C1967">
        <v>197</v>
      </c>
      <c r="D1967">
        <v>190</v>
      </c>
      <c r="E1967" s="178">
        <v>-11</v>
      </c>
      <c r="F1967" s="176">
        <v>-5.47</v>
      </c>
      <c r="G1967" t="s">
        <v>5500</v>
      </c>
      <c r="H1967">
        <v>665</v>
      </c>
      <c r="I1967">
        <v>494</v>
      </c>
      <c r="J1967">
        <v>5.92</v>
      </c>
      <c r="K1967">
        <v>197</v>
      </c>
      <c r="L1967">
        <v>190</v>
      </c>
      <c r="M1967" s="175">
        <v>1.1200000000000001</v>
      </c>
      <c r="N1967" t="s">
        <v>4811</v>
      </c>
    </row>
    <row r="1968" spans="1:14">
      <c r="A1968">
        <v>6830</v>
      </c>
      <c r="B1968" t="s">
        <v>2066</v>
      </c>
      <c r="C1968">
        <v>497</v>
      </c>
      <c r="D1968">
        <v>488</v>
      </c>
      <c r="E1968" s="178">
        <v>-30</v>
      </c>
      <c r="F1968" s="176">
        <v>-5.79</v>
      </c>
      <c r="G1968" t="s">
        <v>6862</v>
      </c>
      <c r="H1968">
        <v>1538</v>
      </c>
      <c r="I1968">
        <v>789</v>
      </c>
      <c r="J1968">
        <v>6.08</v>
      </c>
      <c r="K1968">
        <v>503</v>
      </c>
      <c r="L1968">
        <v>480</v>
      </c>
      <c r="M1968" s="175">
        <v>2.5299999999999998</v>
      </c>
      <c r="N1968" t="s">
        <v>4812</v>
      </c>
    </row>
    <row r="1969" spans="1:14">
      <c r="A1969">
        <v>6831</v>
      </c>
      <c r="B1969" t="s">
        <v>2948</v>
      </c>
      <c r="C1969">
        <v>459</v>
      </c>
      <c r="D1969">
        <v>428.5</v>
      </c>
      <c r="E1969" s="178">
        <v>-47.5</v>
      </c>
      <c r="F1969" s="176">
        <v>-9.98</v>
      </c>
      <c r="G1969" t="s">
        <v>6863</v>
      </c>
      <c r="H1969">
        <v>1209</v>
      </c>
      <c r="I1969">
        <v>851</v>
      </c>
      <c r="J1969">
        <v>6.75</v>
      </c>
      <c r="K1969">
        <v>459</v>
      </c>
      <c r="L1969">
        <v>428.5</v>
      </c>
      <c r="M1969" s="175">
        <v>1.79</v>
      </c>
      <c r="N1969" t="s">
        <v>4813</v>
      </c>
    </row>
    <row r="1970" spans="1:14">
      <c r="A1970">
        <v>6834</v>
      </c>
      <c r="B1970" t="s">
        <v>2067</v>
      </c>
      <c r="C1970">
        <v>156</v>
      </c>
      <c r="D1970">
        <v>146.5</v>
      </c>
      <c r="E1970" s="178">
        <v>-16</v>
      </c>
      <c r="F1970" s="176">
        <v>-9.85</v>
      </c>
      <c r="G1970" t="s">
        <v>5906</v>
      </c>
      <c r="H1970">
        <v>12766</v>
      </c>
      <c r="I1970">
        <v>21208</v>
      </c>
      <c r="J1970">
        <v>9.85</v>
      </c>
      <c r="K1970">
        <v>158.5</v>
      </c>
      <c r="L1970">
        <v>146.5</v>
      </c>
      <c r="M1970" s="175">
        <v>12.96</v>
      </c>
      <c r="N1970" t="s">
        <v>4814</v>
      </c>
    </row>
    <row r="1971" spans="1:14">
      <c r="A1971">
        <v>6835</v>
      </c>
      <c r="B1971" t="s">
        <v>2068</v>
      </c>
      <c r="C1971">
        <v>32.35</v>
      </c>
      <c r="D1971">
        <v>32.049999999999997</v>
      </c>
      <c r="E1971" s="178">
        <v>-0.45</v>
      </c>
      <c r="F1971" s="176">
        <v>-1.38</v>
      </c>
      <c r="G1971" t="s">
        <v>6864</v>
      </c>
      <c r="H1971">
        <v>28</v>
      </c>
      <c r="I1971">
        <v>23</v>
      </c>
      <c r="J1971">
        <v>6.62</v>
      </c>
      <c r="K1971">
        <v>32.35</v>
      </c>
      <c r="L1971">
        <v>31.3</v>
      </c>
      <c r="M1971" s="175">
        <v>0.04</v>
      </c>
      <c r="N1971" t="s">
        <v>4815</v>
      </c>
    </row>
    <row r="1972" spans="1:14">
      <c r="A1972">
        <v>6838</v>
      </c>
      <c r="B1972" t="s">
        <v>2589</v>
      </c>
      <c r="C1972">
        <v>25.2</v>
      </c>
      <c r="D1972">
        <v>25.3</v>
      </c>
      <c r="E1972" s="178">
        <v>0.1</v>
      </c>
      <c r="F1972" s="176">
        <v>0.4</v>
      </c>
      <c r="G1972" t="s">
        <v>5659</v>
      </c>
      <c r="H1972">
        <v>155</v>
      </c>
      <c r="I1972">
        <v>106</v>
      </c>
      <c r="J1972">
        <v>15.1</v>
      </c>
      <c r="K1972">
        <v>25.7</v>
      </c>
      <c r="L1972">
        <v>25.2</v>
      </c>
      <c r="M1972" s="175">
        <v>0.1</v>
      </c>
      <c r="N1972" t="s">
        <v>4816</v>
      </c>
    </row>
    <row r="1973" spans="1:14">
      <c r="A1973">
        <v>6840</v>
      </c>
      <c r="B1973" t="s">
        <v>2069</v>
      </c>
      <c r="C1973">
        <v>85</v>
      </c>
      <c r="D1973">
        <v>83.3</v>
      </c>
      <c r="E1973" s="178">
        <v>-3.4</v>
      </c>
      <c r="F1973" s="176">
        <v>-3.92</v>
      </c>
      <c r="G1973" t="s">
        <v>6865</v>
      </c>
      <c r="H1973">
        <v>167</v>
      </c>
      <c r="I1973">
        <v>248</v>
      </c>
      <c r="J1973">
        <v>3.18</v>
      </c>
      <c r="K1973">
        <v>85.5</v>
      </c>
      <c r="L1973">
        <v>82.4</v>
      </c>
      <c r="M1973" s="175">
        <v>0.53</v>
      </c>
      <c r="N1973" t="s">
        <v>4817</v>
      </c>
    </row>
    <row r="1974" spans="1:14">
      <c r="A1974">
        <v>6841</v>
      </c>
      <c r="B1974" t="s">
        <v>2070</v>
      </c>
      <c r="C1974">
        <v>55.5</v>
      </c>
      <c r="D1974">
        <v>54.8</v>
      </c>
      <c r="E1974" s="178">
        <v>-0.8</v>
      </c>
      <c r="F1974" s="176">
        <v>-1.44</v>
      </c>
      <c r="G1974" t="s">
        <v>6866</v>
      </c>
      <c r="H1974">
        <v>201</v>
      </c>
      <c r="I1974">
        <v>120</v>
      </c>
      <c r="J1974">
        <v>9.52</v>
      </c>
      <c r="K1974">
        <v>56</v>
      </c>
      <c r="L1974">
        <v>54.5</v>
      </c>
      <c r="M1974" s="175">
        <v>0.21</v>
      </c>
      <c r="N1974" t="s">
        <v>4818</v>
      </c>
    </row>
    <row r="1975" spans="1:14">
      <c r="A1975">
        <v>6843</v>
      </c>
      <c r="B1975" t="s">
        <v>2071</v>
      </c>
      <c r="C1975">
        <v>37.299999999999997</v>
      </c>
      <c r="D1975">
        <v>37.450000000000003</v>
      </c>
      <c r="E1975" s="178">
        <v>0.05</v>
      </c>
      <c r="F1975" s="176">
        <v>0.13</v>
      </c>
      <c r="G1975" t="s">
        <v>6867</v>
      </c>
      <c r="H1975">
        <v>18</v>
      </c>
      <c r="I1975">
        <v>180</v>
      </c>
      <c r="J1975">
        <v>3.33</v>
      </c>
      <c r="K1975">
        <v>37.450000000000003</v>
      </c>
      <c r="L1975">
        <v>36.799999999999997</v>
      </c>
      <c r="M1975" s="175">
        <v>0.05</v>
      </c>
      <c r="N1975" t="s">
        <v>4819</v>
      </c>
    </row>
    <row r="1976" spans="1:14">
      <c r="A1976">
        <v>6844</v>
      </c>
      <c r="B1976" t="s">
        <v>2335</v>
      </c>
      <c r="C1976">
        <v>55.6</v>
      </c>
      <c r="D1976">
        <v>56.1</v>
      </c>
      <c r="E1976" s="178">
        <v>0</v>
      </c>
      <c r="F1976" s="176">
        <v>0</v>
      </c>
      <c r="G1976" t="s">
        <v>5640</v>
      </c>
      <c r="H1976">
        <v>7</v>
      </c>
      <c r="I1976">
        <v>12</v>
      </c>
      <c r="J1976">
        <v>3.74</v>
      </c>
      <c r="K1976">
        <v>56.1</v>
      </c>
      <c r="L1976">
        <v>55.5</v>
      </c>
      <c r="M1976" s="175">
        <v>0.02</v>
      </c>
      <c r="N1976" t="s">
        <v>4820</v>
      </c>
    </row>
    <row r="1977" spans="1:14">
      <c r="A1977">
        <v>6846</v>
      </c>
      <c r="B1977" t="s">
        <v>2072</v>
      </c>
      <c r="C1977">
        <v>57.4</v>
      </c>
      <c r="D1977">
        <v>57.6</v>
      </c>
      <c r="E1977" s="178">
        <v>-0.2</v>
      </c>
      <c r="F1977" s="176">
        <v>-0.35</v>
      </c>
      <c r="G1977" t="s">
        <v>6868</v>
      </c>
      <c r="H1977">
        <v>16</v>
      </c>
      <c r="I1977">
        <v>6</v>
      </c>
      <c r="J1977">
        <v>2.71</v>
      </c>
      <c r="K1977">
        <v>57.9</v>
      </c>
      <c r="L1977">
        <v>57.1</v>
      </c>
      <c r="M1977" s="175">
        <v>0.06</v>
      </c>
      <c r="N1977" t="s">
        <v>4821</v>
      </c>
    </row>
    <row r="1978" spans="1:14">
      <c r="A1978">
        <v>6855</v>
      </c>
      <c r="B1978" t="s">
        <v>2073</v>
      </c>
      <c r="C1978">
        <v>110</v>
      </c>
      <c r="D1978">
        <v>110</v>
      </c>
      <c r="E1978" s="178">
        <v>-2</v>
      </c>
      <c r="F1978" s="176">
        <v>-1.79</v>
      </c>
      <c r="G1978" t="s">
        <v>6869</v>
      </c>
      <c r="H1978">
        <v>1</v>
      </c>
      <c r="I1978">
        <v>14</v>
      </c>
      <c r="J1978">
        <v>2.3199999999999998</v>
      </c>
      <c r="K1978">
        <v>110</v>
      </c>
      <c r="L1978">
        <v>110</v>
      </c>
      <c r="M1978" s="175">
        <v>0</v>
      </c>
      <c r="N1978" t="s">
        <v>4822</v>
      </c>
    </row>
    <row r="1979" spans="1:14">
      <c r="A1979">
        <v>6856</v>
      </c>
      <c r="B1979" t="s">
        <v>2301</v>
      </c>
      <c r="C1979">
        <v>41.8</v>
      </c>
      <c r="D1979">
        <v>41.8</v>
      </c>
      <c r="E1979" s="178">
        <v>0.95</v>
      </c>
      <c r="F1979" s="176">
        <v>2.33</v>
      </c>
      <c r="G1979" t="s">
        <v>6870</v>
      </c>
      <c r="H1979">
        <v>1</v>
      </c>
      <c r="I1979">
        <v>7</v>
      </c>
      <c r="J1979">
        <v>2.82</v>
      </c>
      <c r="K1979">
        <v>41.8</v>
      </c>
      <c r="L1979">
        <v>41.8</v>
      </c>
      <c r="M1979" s="175">
        <v>0</v>
      </c>
      <c r="N1979" t="s">
        <v>4823</v>
      </c>
    </row>
    <row r="1980" spans="1:14">
      <c r="A1980">
        <v>6859</v>
      </c>
      <c r="B1980" t="s">
        <v>2074</v>
      </c>
      <c r="C1980">
        <v>114.5</v>
      </c>
      <c r="D1980">
        <v>115.5</v>
      </c>
      <c r="E1980" s="178">
        <v>-1.5</v>
      </c>
      <c r="F1980" s="176">
        <v>-1.28</v>
      </c>
      <c r="G1980" t="s">
        <v>6871</v>
      </c>
      <c r="H1980">
        <v>33</v>
      </c>
      <c r="I1980">
        <v>28</v>
      </c>
      <c r="J1980">
        <v>4.16</v>
      </c>
      <c r="K1980">
        <v>118</v>
      </c>
      <c r="L1980">
        <v>114.5</v>
      </c>
      <c r="M1980" s="175">
        <v>0.08</v>
      </c>
      <c r="N1980" t="s">
        <v>4824</v>
      </c>
    </row>
    <row r="1981" spans="1:14">
      <c r="A1981">
        <v>6861</v>
      </c>
      <c r="B1981" t="s">
        <v>2075</v>
      </c>
      <c r="C1981">
        <v>261</v>
      </c>
      <c r="D1981">
        <v>249.5</v>
      </c>
      <c r="E1981" s="178">
        <v>-20</v>
      </c>
      <c r="F1981" s="176">
        <v>-7.42</v>
      </c>
      <c r="G1981" t="s">
        <v>6453</v>
      </c>
      <c r="H1981">
        <v>925</v>
      </c>
      <c r="I1981">
        <v>1146</v>
      </c>
      <c r="J1981">
        <v>4.16</v>
      </c>
      <c r="K1981">
        <v>263.5</v>
      </c>
      <c r="L1981">
        <v>249</v>
      </c>
      <c r="M1981" s="175">
        <v>2.2200000000000002</v>
      </c>
      <c r="N1981" t="s">
        <v>4825</v>
      </c>
    </row>
    <row r="1982" spans="1:14">
      <c r="A1982">
        <v>6862</v>
      </c>
      <c r="B1982" t="s">
        <v>2648</v>
      </c>
      <c r="C1982">
        <v>143</v>
      </c>
      <c r="D1982">
        <v>142</v>
      </c>
      <c r="E1982" s="178">
        <v>-6</v>
      </c>
      <c r="F1982" s="176">
        <v>-4.05</v>
      </c>
      <c r="G1982" t="s">
        <v>6872</v>
      </c>
      <c r="H1982">
        <v>194</v>
      </c>
      <c r="I1982">
        <v>327</v>
      </c>
      <c r="J1982">
        <v>5</v>
      </c>
      <c r="K1982">
        <v>146</v>
      </c>
      <c r="L1982">
        <v>141</v>
      </c>
      <c r="M1982" s="175">
        <v>0.39</v>
      </c>
      <c r="N1982" t="s">
        <v>4826</v>
      </c>
    </row>
    <row r="1983" spans="1:14">
      <c r="A1983">
        <v>6863</v>
      </c>
      <c r="B1983" t="s">
        <v>2076</v>
      </c>
      <c r="C1983">
        <v>100.5</v>
      </c>
      <c r="D1983">
        <v>101</v>
      </c>
      <c r="E1983" s="178">
        <v>0.5</v>
      </c>
      <c r="F1983" s="176">
        <v>0.5</v>
      </c>
      <c r="G1983" t="s">
        <v>5822</v>
      </c>
      <c r="H1983">
        <v>80</v>
      </c>
      <c r="I1983">
        <v>97</v>
      </c>
      <c r="J1983">
        <v>7.49</v>
      </c>
      <c r="K1983">
        <v>103</v>
      </c>
      <c r="L1983">
        <v>100.5</v>
      </c>
      <c r="M1983" s="175">
        <v>0.11</v>
      </c>
      <c r="N1983" t="s">
        <v>4827</v>
      </c>
    </row>
    <row r="1984" spans="1:14">
      <c r="A1984">
        <v>6865</v>
      </c>
      <c r="B1984" t="s">
        <v>2077</v>
      </c>
      <c r="C1984">
        <v>27</v>
      </c>
      <c r="D1984">
        <v>27</v>
      </c>
      <c r="E1984" s="178">
        <v>0.25</v>
      </c>
      <c r="F1984" s="176">
        <v>0.93</v>
      </c>
      <c r="G1984" t="s">
        <v>6873</v>
      </c>
      <c r="H1984">
        <v>1</v>
      </c>
      <c r="I1984">
        <v>7</v>
      </c>
      <c r="J1984">
        <v>1.58</v>
      </c>
      <c r="K1984">
        <v>27</v>
      </c>
      <c r="L1984">
        <v>27</v>
      </c>
      <c r="M1984" s="175">
        <v>0.01</v>
      </c>
      <c r="N1984" t="s">
        <v>4828</v>
      </c>
    </row>
    <row r="1985" spans="1:14">
      <c r="A1985">
        <v>6869</v>
      </c>
      <c r="B1985" t="s">
        <v>2573</v>
      </c>
      <c r="C1985">
        <v>70</v>
      </c>
      <c r="D1985">
        <v>71.099999999999994</v>
      </c>
      <c r="E1985" s="178">
        <v>0.9</v>
      </c>
      <c r="F1985" s="176">
        <v>1.28</v>
      </c>
      <c r="G1985" t="s">
        <v>6874</v>
      </c>
      <c r="H1985">
        <v>661</v>
      </c>
      <c r="I1985">
        <v>277</v>
      </c>
      <c r="J1985">
        <v>13.78</v>
      </c>
      <c r="K1985">
        <v>71.7</v>
      </c>
      <c r="L1985">
        <v>70</v>
      </c>
      <c r="M1985" s="175">
        <v>0.48</v>
      </c>
      <c r="N1985" t="s">
        <v>4829</v>
      </c>
    </row>
    <row r="1986" spans="1:14">
      <c r="A1986">
        <v>6870</v>
      </c>
      <c r="B1986" t="s">
        <v>2296</v>
      </c>
      <c r="C1986">
        <v>305</v>
      </c>
      <c r="D1986">
        <v>294.5</v>
      </c>
      <c r="E1986" s="178">
        <v>-2.5</v>
      </c>
      <c r="F1986" s="176">
        <v>-0.84</v>
      </c>
      <c r="G1986" t="s">
        <v>6875</v>
      </c>
      <c r="H1986">
        <v>50</v>
      </c>
      <c r="I1986">
        <v>94</v>
      </c>
      <c r="J1986">
        <v>2.94</v>
      </c>
      <c r="K1986">
        <v>305</v>
      </c>
      <c r="L1986">
        <v>294</v>
      </c>
      <c r="M1986" s="175">
        <v>0.17</v>
      </c>
      <c r="N1986" t="s">
        <v>4830</v>
      </c>
    </row>
    <row r="1987" spans="1:14">
      <c r="A1987">
        <v>6872</v>
      </c>
      <c r="B1987" t="s">
        <v>2791</v>
      </c>
      <c r="C1987">
        <v>20.7</v>
      </c>
      <c r="D1987">
        <v>19.95</v>
      </c>
      <c r="E1987" s="178">
        <v>-0.3</v>
      </c>
      <c r="F1987" s="176">
        <v>-1.48</v>
      </c>
      <c r="G1987" t="s">
        <v>5301</v>
      </c>
      <c r="H1987">
        <v>75</v>
      </c>
      <c r="I1987">
        <v>116</v>
      </c>
      <c r="J1987">
        <v>7.08</v>
      </c>
      <c r="K1987">
        <v>20.7</v>
      </c>
      <c r="L1987">
        <v>19.5</v>
      </c>
      <c r="M1987" s="175">
        <v>0.11</v>
      </c>
      <c r="N1987" t="s">
        <v>4831</v>
      </c>
    </row>
    <row r="1988" spans="1:14">
      <c r="A1988">
        <v>6873</v>
      </c>
      <c r="B1988" t="s">
        <v>2631</v>
      </c>
      <c r="C1988">
        <v>65.2</v>
      </c>
      <c r="D1988">
        <v>65.8</v>
      </c>
      <c r="E1988" s="178">
        <v>0.6</v>
      </c>
      <c r="F1988" s="176">
        <v>0.92</v>
      </c>
      <c r="G1988" t="s">
        <v>6876</v>
      </c>
      <c r="H1988">
        <v>737</v>
      </c>
      <c r="I1988">
        <v>238</v>
      </c>
      <c r="J1988">
        <v>14.26</v>
      </c>
      <c r="K1988">
        <v>67</v>
      </c>
      <c r="L1988">
        <v>63.2</v>
      </c>
      <c r="M1988" s="175">
        <v>0.52</v>
      </c>
      <c r="N1988" t="s">
        <v>4832</v>
      </c>
    </row>
    <row r="1989" spans="1:14">
      <c r="A1989">
        <v>6874</v>
      </c>
      <c r="B1989" t="s">
        <v>2078</v>
      </c>
      <c r="C1989">
        <v>69.5</v>
      </c>
      <c r="D1989">
        <v>69</v>
      </c>
      <c r="E1989" s="178">
        <v>-1.7</v>
      </c>
      <c r="F1989" s="176">
        <v>-2.4</v>
      </c>
      <c r="G1989" t="s">
        <v>5163</v>
      </c>
      <c r="H1989">
        <v>16</v>
      </c>
      <c r="I1989">
        <v>10</v>
      </c>
      <c r="J1989">
        <v>2.42</v>
      </c>
      <c r="K1989">
        <v>70.5</v>
      </c>
      <c r="L1989">
        <v>69</v>
      </c>
      <c r="M1989" s="175">
        <v>7.0000000000000007E-2</v>
      </c>
      <c r="N1989" t="s">
        <v>4833</v>
      </c>
    </row>
    <row r="1990" spans="1:14">
      <c r="A1990">
        <v>6875</v>
      </c>
      <c r="B1990" t="s">
        <v>2344</v>
      </c>
      <c r="C1990">
        <v>26.8</v>
      </c>
      <c r="D1990">
        <v>26.45</v>
      </c>
      <c r="E1990" s="178">
        <v>-0.45</v>
      </c>
      <c r="F1990" s="176">
        <v>-1.67</v>
      </c>
      <c r="G1990" t="s">
        <v>6877</v>
      </c>
      <c r="H1990">
        <v>105</v>
      </c>
      <c r="I1990">
        <v>174</v>
      </c>
      <c r="J1990">
        <v>6.46</v>
      </c>
      <c r="K1990">
        <v>26.9</v>
      </c>
      <c r="L1990">
        <v>26.45</v>
      </c>
      <c r="M1990" s="175">
        <v>0.08</v>
      </c>
      <c r="N1990" t="s">
        <v>4834</v>
      </c>
    </row>
    <row r="1991" spans="1:14">
      <c r="A1991">
        <v>6877</v>
      </c>
      <c r="B1991" t="s">
        <v>2079</v>
      </c>
      <c r="C1991">
        <v>155.5</v>
      </c>
      <c r="D1991">
        <v>148.5</v>
      </c>
      <c r="E1991" s="178">
        <v>-4</v>
      </c>
      <c r="F1991" s="176">
        <v>-2.62</v>
      </c>
      <c r="G1991" t="s">
        <v>6376</v>
      </c>
      <c r="H1991">
        <v>1443</v>
      </c>
      <c r="I1991">
        <v>305</v>
      </c>
      <c r="J1991">
        <v>4.72</v>
      </c>
      <c r="K1991">
        <v>160.5</v>
      </c>
      <c r="L1991">
        <v>143.5</v>
      </c>
      <c r="M1991" s="175">
        <v>3.06</v>
      </c>
      <c r="N1991" t="s">
        <v>4835</v>
      </c>
    </row>
    <row r="1992" spans="1:14">
      <c r="A1992">
        <v>6881</v>
      </c>
      <c r="B1992" t="s">
        <v>2465</v>
      </c>
      <c r="C1992">
        <v>222</v>
      </c>
      <c r="D1992">
        <v>217.5</v>
      </c>
      <c r="E1992" s="178">
        <v>-7.5</v>
      </c>
      <c r="F1992" s="176">
        <v>-3.33</v>
      </c>
      <c r="G1992" t="s">
        <v>6878</v>
      </c>
      <c r="H1992">
        <v>2</v>
      </c>
      <c r="I1992">
        <v>4</v>
      </c>
      <c r="J1992">
        <v>1.5</v>
      </c>
      <c r="K1992">
        <v>222</v>
      </c>
      <c r="L1992">
        <v>217.5</v>
      </c>
      <c r="M1992" s="175">
        <v>0.01</v>
      </c>
      <c r="N1992" t="s">
        <v>4836</v>
      </c>
    </row>
    <row r="1993" spans="1:14">
      <c r="A1993">
        <v>6884</v>
      </c>
      <c r="B1993" t="s">
        <v>2959</v>
      </c>
      <c r="C1993">
        <v>32</v>
      </c>
      <c r="D1993">
        <v>32.5</v>
      </c>
      <c r="E1993" s="178">
        <v>-0.05</v>
      </c>
      <c r="F1993" s="176">
        <v>-0.15</v>
      </c>
      <c r="G1993" t="s">
        <v>6879</v>
      </c>
      <c r="H1993">
        <v>19</v>
      </c>
      <c r="I1993">
        <v>20</v>
      </c>
      <c r="J1993">
        <v>1.84</v>
      </c>
      <c r="K1993">
        <v>32.5</v>
      </c>
      <c r="L1993">
        <v>30.75</v>
      </c>
      <c r="M1993" s="175">
        <v>0.1</v>
      </c>
      <c r="N1993" t="s">
        <v>4837</v>
      </c>
    </row>
    <row r="1994" spans="1:14">
      <c r="A1994">
        <v>6885</v>
      </c>
      <c r="B1994" t="s">
        <v>2695</v>
      </c>
      <c r="C1994">
        <v>32.75</v>
      </c>
      <c r="D1994">
        <v>33.5</v>
      </c>
      <c r="E1994" s="178">
        <v>1.6</v>
      </c>
      <c r="F1994" s="176">
        <v>5.0199999999999996</v>
      </c>
      <c r="G1994" t="s">
        <v>6358</v>
      </c>
      <c r="H1994">
        <v>4097</v>
      </c>
      <c r="I1994">
        <v>1244</v>
      </c>
      <c r="J1994">
        <v>13.31</v>
      </c>
      <c r="K1994">
        <v>34.65</v>
      </c>
      <c r="L1994">
        <v>32.6</v>
      </c>
      <c r="M1994" s="175">
        <v>3.08</v>
      </c>
      <c r="N1994" t="s">
        <v>4838</v>
      </c>
    </row>
    <row r="1995" spans="1:14">
      <c r="A1995">
        <v>6887</v>
      </c>
      <c r="B1995" t="s">
        <v>2795</v>
      </c>
      <c r="C1995">
        <v>35.200000000000003</v>
      </c>
      <c r="D1995">
        <v>34.700000000000003</v>
      </c>
      <c r="E1995" s="178">
        <v>-0.95</v>
      </c>
      <c r="F1995" s="176">
        <v>-2.66</v>
      </c>
      <c r="G1995" t="s">
        <v>5163</v>
      </c>
      <c r="H1995">
        <v>32</v>
      </c>
      <c r="I1995">
        <v>15</v>
      </c>
      <c r="J1995">
        <v>7.42</v>
      </c>
      <c r="K1995">
        <v>35.35</v>
      </c>
      <c r="L1995">
        <v>34.5</v>
      </c>
      <c r="M1995" s="175">
        <v>0.04</v>
      </c>
      <c r="N1995" t="s">
        <v>4839</v>
      </c>
    </row>
    <row r="1996" spans="1:14">
      <c r="A1996">
        <v>6890</v>
      </c>
      <c r="B1996" t="s">
        <v>2567</v>
      </c>
      <c r="C1996">
        <v>151</v>
      </c>
      <c r="D1996">
        <v>152.5</v>
      </c>
      <c r="E1996" s="178">
        <v>1</v>
      </c>
      <c r="F1996" s="176">
        <v>0.66</v>
      </c>
      <c r="G1996" t="s">
        <v>6880</v>
      </c>
      <c r="H1996">
        <v>283</v>
      </c>
      <c r="I1996">
        <v>277</v>
      </c>
      <c r="J1996">
        <v>25.03</v>
      </c>
      <c r="K1996">
        <v>153</v>
      </c>
      <c r="L1996">
        <v>149.5</v>
      </c>
      <c r="M1996" s="175">
        <v>0.11</v>
      </c>
      <c r="N1996" t="s">
        <v>4840</v>
      </c>
    </row>
    <row r="1997" spans="1:14">
      <c r="A1997">
        <v>6894</v>
      </c>
      <c r="B1997" t="s">
        <v>2316</v>
      </c>
      <c r="C1997">
        <v>387.5</v>
      </c>
      <c r="D1997">
        <v>393</v>
      </c>
      <c r="E1997" s="178">
        <v>-8.5</v>
      </c>
      <c r="F1997" s="176">
        <v>-2.12</v>
      </c>
      <c r="G1997" t="s">
        <v>6881</v>
      </c>
      <c r="H1997">
        <v>219</v>
      </c>
      <c r="I1997">
        <v>244</v>
      </c>
      <c r="J1997">
        <v>2.39</v>
      </c>
      <c r="K1997">
        <v>404.5</v>
      </c>
      <c r="L1997">
        <v>387.5</v>
      </c>
      <c r="M1997" s="175">
        <v>0.92</v>
      </c>
      <c r="N1997" t="s">
        <v>4841</v>
      </c>
    </row>
    <row r="1998" spans="1:14">
      <c r="A1998">
        <v>6895</v>
      </c>
      <c r="B1998" t="s">
        <v>2286</v>
      </c>
      <c r="C1998">
        <v>153</v>
      </c>
      <c r="D1998">
        <v>147.5</v>
      </c>
      <c r="E1998" s="178">
        <v>-5.5</v>
      </c>
      <c r="F1998" s="176">
        <v>-3.59</v>
      </c>
      <c r="G1998" t="s">
        <v>5494</v>
      </c>
      <c r="H1998">
        <v>35</v>
      </c>
      <c r="I1998">
        <v>14</v>
      </c>
      <c r="J1998">
        <v>3.41</v>
      </c>
      <c r="K1998">
        <v>153</v>
      </c>
      <c r="L1998">
        <v>143</v>
      </c>
      <c r="M1998" s="175">
        <v>0.1</v>
      </c>
      <c r="N1998" t="s">
        <v>4842</v>
      </c>
    </row>
    <row r="1999" spans="1:14">
      <c r="A1999">
        <v>6899</v>
      </c>
      <c r="B1999" t="s">
        <v>2351</v>
      </c>
      <c r="C1999">
        <v>48.8</v>
      </c>
      <c r="D1999">
        <v>48.75</v>
      </c>
      <c r="E1999" s="178">
        <v>-0.1</v>
      </c>
      <c r="F1999" s="176">
        <v>-0.2</v>
      </c>
      <c r="G1999" t="s">
        <v>6882</v>
      </c>
      <c r="H1999">
        <v>19</v>
      </c>
      <c r="I1999">
        <v>12</v>
      </c>
      <c r="J1999">
        <v>4.24</v>
      </c>
      <c r="K1999">
        <v>48.95</v>
      </c>
      <c r="L1999">
        <v>48.7</v>
      </c>
      <c r="M1999" s="175">
        <v>0.04</v>
      </c>
      <c r="N1999" t="s">
        <v>4843</v>
      </c>
    </row>
    <row r="2000" spans="1:14">
      <c r="A2000">
        <v>6901</v>
      </c>
      <c r="B2000" t="s">
        <v>2297</v>
      </c>
      <c r="C2000">
        <v>17.149999999999999</v>
      </c>
      <c r="D2000">
        <v>17.399999999999999</v>
      </c>
      <c r="E2000" s="178">
        <v>-0.15</v>
      </c>
      <c r="F2000" s="176">
        <v>-0.85</v>
      </c>
      <c r="G2000" t="s">
        <v>5509</v>
      </c>
      <c r="H2000">
        <v>1915</v>
      </c>
      <c r="I2000">
        <v>2832</v>
      </c>
      <c r="J2000">
        <v>85.4</v>
      </c>
      <c r="K2000">
        <v>17.75</v>
      </c>
      <c r="L2000">
        <v>17.149999999999999</v>
      </c>
      <c r="M2000" s="175">
        <v>0.22</v>
      </c>
      <c r="N2000" t="s">
        <v>4844</v>
      </c>
    </row>
    <row r="2001" spans="1:14">
      <c r="A2001">
        <v>6902</v>
      </c>
      <c r="B2001" t="s">
        <v>2828</v>
      </c>
      <c r="C2001">
        <v>135</v>
      </c>
      <c r="D2001">
        <v>131.5</v>
      </c>
      <c r="E2001" s="178">
        <v>-5.5</v>
      </c>
      <c r="F2001" s="176">
        <v>-4.01</v>
      </c>
      <c r="G2001" t="s">
        <v>6883</v>
      </c>
      <c r="H2001">
        <v>190</v>
      </c>
      <c r="I2001">
        <v>342</v>
      </c>
      <c r="J2001">
        <v>3.56</v>
      </c>
      <c r="K2001">
        <v>135</v>
      </c>
      <c r="L2001">
        <v>130.5</v>
      </c>
      <c r="M2001" s="175">
        <v>0.53</v>
      </c>
      <c r="N2001" t="s">
        <v>4845</v>
      </c>
    </row>
    <row r="2002" spans="1:14">
      <c r="A2002">
        <v>6903</v>
      </c>
      <c r="B2002" t="s">
        <v>2568</v>
      </c>
      <c r="C2002">
        <v>332</v>
      </c>
      <c r="D2002">
        <v>334.5</v>
      </c>
      <c r="E2002" s="178">
        <v>-12.5</v>
      </c>
      <c r="F2002" s="176">
        <v>-3.6</v>
      </c>
      <c r="G2002" t="s">
        <v>6884</v>
      </c>
      <c r="H2002">
        <v>761</v>
      </c>
      <c r="I2002">
        <v>656</v>
      </c>
      <c r="J2002">
        <v>6.67</v>
      </c>
      <c r="K2002">
        <v>338</v>
      </c>
      <c r="L2002">
        <v>329</v>
      </c>
      <c r="M2002" s="175">
        <v>1.1399999999999999</v>
      </c>
      <c r="N2002" t="s">
        <v>4846</v>
      </c>
    </row>
    <row r="2003" spans="1:14">
      <c r="A2003">
        <v>6904</v>
      </c>
      <c r="B2003" t="s">
        <v>2317</v>
      </c>
      <c r="C2003">
        <v>120.5</v>
      </c>
      <c r="D2003">
        <v>116</v>
      </c>
      <c r="E2003" s="178">
        <v>-7.5</v>
      </c>
      <c r="F2003" s="176">
        <v>-6.07</v>
      </c>
      <c r="G2003" t="s">
        <v>5663</v>
      </c>
      <c r="H2003">
        <v>7</v>
      </c>
      <c r="I2003">
        <v>1</v>
      </c>
      <c r="J2003">
        <v>1.85</v>
      </c>
      <c r="K2003">
        <v>120.5</v>
      </c>
      <c r="L2003">
        <v>116</v>
      </c>
      <c r="M2003" s="175">
        <v>0.04</v>
      </c>
      <c r="N2003" t="s">
        <v>4847</v>
      </c>
    </row>
    <row r="2004" spans="1:14">
      <c r="A2004">
        <v>6906</v>
      </c>
      <c r="B2004" t="s">
        <v>2325</v>
      </c>
      <c r="C2004">
        <v>79</v>
      </c>
      <c r="D2004">
        <v>78.8</v>
      </c>
      <c r="E2004" s="178">
        <v>0.3</v>
      </c>
      <c r="F2004" s="176">
        <v>0.38</v>
      </c>
      <c r="G2004" t="s">
        <v>5652</v>
      </c>
      <c r="H2004">
        <v>38</v>
      </c>
      <c r="I2004">
        <v>20</v>
      </c>
      <c r="J2004">
        <v>3.35</v>
      </c>
      <c r="K2004">
        <v>80.099999999999994</v>
      </c>
      <c r="L2004">
        <v>78.5</v>
      </c>
      <c r="M2004" s="175">
        <v>0.11</v>
      </c>
      <c r="N2004" t="s">
        <v>4848</v>
      </c>
    </row>
    <row r="2005" spans="1:14">
      <c r="A2005">
        <v>6907</v>
      </c>
      <c r="B2005" t="s">
        <v>3046</v>
      </c>
      <c r="C2005">
        <v>171</v>
      </c>
      <c r="D2005">
        <v>169</v>
      </c>
      <c r="E2005" s="178">
        <v>-6.5</v>
      </c>
      <c r="F2005" s="176">
        <v>-3.7</v>
      </c>
      <c r="G2005" t="s">
        <v>5154</v>
      </c>
      <c r="H2005">
        <v>589</v>
      </c>
      <c r="I2005">
        <v>807</v>
      </c>
      <c r="J2005">
        <v>6.26</v>
      </c>
      <c r="K2005">
        <v>173</v>
      </c>
      <c r="L2005">
        <v>169</v>
      </c>
      <c r="M2005" s="175">
        <v>0.94</v>
      </c>
      <c r="N2005" t="s">
        <v>4849</v>
      </c>
    </row>
    <row r="2006" spans="1:14">
      <c r="A2006">
        <v>6909</v>
      </c>
      <c r="B2006" t="s">
        <v>2829</v>
      </c>
      <c r="C2006">
        <v>46</v>
      </c>
      <c r="D2006">
        <v>45.65</v>
      </c>
      <c r="E2006" s="178">
        <v>-1.5</v>
      </c>
      <c r="F2006" s="176">
        <v>-3.18</v>
      </c>
      <c r="G2006" t="s">
        <v>6885</v>
      </c>
      <c r="H2006">
        <v>747</v>
      </c>
      <c r="I2006">
        <v>1192</v>
      </c>
      <c r="J2006">
        <v>6.75</v>
      </c>
      <c r="K2006">
        <v>46.75</v>
      </c>
      <c r="L2006">
        <v>45</v>
      </c>
      <c r="M2006" s="175">
        <v>1.1100000000000001</v>
      </c>
      <c r="N2006" t="s">
        <v>4850</v>
      </c>
    </row>
    <row r="2007" spans="1:14">
      <c r="A2007">
        <v>6910</v>
      </c>
      <c r="B2007" t="s">
        <v>2958</v>
      </c>
      <c r="C2007">
        <v>25.35</v>
      </c>
      <c r="D2007">
        <v>25</v>
      </c>
      <c r="E2007" s="178">
        <v>-0.35</v>
      </c>
      <c r="F2007" s="176">
        <v>-1.38</v>
      </c>
      <c r="G2007" t="s">
        <v>5574</v>
      </c>
      <c r="H2007">
        <v>27</v>
      </c>
      <c r="I2007">
        <v>7</v>
      </c>
      <c r="J2007">
        <v>3.05</v>
      </c>
      <c r="K2007">
        <v>25.35</v>
      </c>
      <c r="L2007">
        <v>24.9</v>
      </c>
      <c r="M2007" s="175">
        <v>0.09</v>
      </c>
      <c r="N2007" t="s">
        <v>4851</v>
      </c>
    </row>
    <row r="2008" spans="1:14">
      <c r="A2008">
        <v>6913</v>
      </c>
      <c r="B2008" t="s">
        <v>2640</v>
      </c>
      <c r="C2008">
        <v>136</v>
      </c>
      <c r="D2008">
        <v>135</v>
      </c>
      <c r="E2008" s="178">
        <v>-5</v>
      </c>
      <c r="F2008" s="176">
        <v>-3.57</v>
      </c>
      <c r="G2008" t="s">
        <v>6886</v>
      </c>
      <c r="H2008">
        <v>509</v>
      </c>
      <c r="I2008">
        <v>1199</v>
      </c>
      <c r="J2008">
        <v>4.3899999999999997</v>
      </c>
      <c r="K2008">
        <v>138</v>
      </c>
      <c r="L2008">
        <v>134</v>
      </c>
      <c r="M2008" s="175">
        <v>1.1599999999999999</v>
      </c>
      <c r="N2008" t="s">
        <v>4852</v>
      </c>
    </row>
    <row r="2009" spans="1:14">
      <c r="A2009">
        <v>6914</v>
      </c>
      <c r="B2009" t="s">
        <v>2357</v>
      </c>
      <c r="C2009">
        <v>117.5</v>
      </c>
      <c r="D2009">
        <v>116</v>
      </c>
      <c r="E2009" s="178">
        <v>-1.5</v>
      </c>
      <c r="F2009" s="176">
        <v>-1.28</v>
      </c>
      <c r="G2009" t="s">
        <v>6887</v>
      </c>
      <c r="H2009">
        <v>167</v>
      </c>
      <c r="I2009">
        <v>48</v>
      </c>
      <c r="J2009">
        <v>7.95</v>
      </c>
      <c r="K2009">
        <v>117.5</v>
      </c>
      <c r="L2009">
        <v>115</v>
      </c>
      <c r="M2009" s="175">
        <v>0.21</v>
      </c>
      <c r="N2009" t="s">
        <v>4853</v>
      </c>
    </row>
    <row r="2010" spans="1:14">
      <c r="A2010">
        <v>6916</v>
      </c>
      <c r="B2010" t="s">
        <v>2318</v>
      </c>
      <c r="C2010">
        <v>19.350000000000001</v>
      </c>
      <c r="D2010">
        <v>19.2</v>
      </c>
      <c r="E2010" s="178">
        <v>-0.1</v>
      </c>
      <c r="F2010" s="176">
        <v>-0.52</v>
      </c>
      <c r="G2010" t="s">
        <v>6888</v>
      </c>
      <c r="H2010">
        <v>19</v>
      </c>
      <c r="I2010">
        <v>44</v>
      </c>
      <c r="J2010">
        <v>6.75</v>
      </c>
      <c r="K2010">
        <v>19.350000000000001</v>
      </c>
      <c r="L2010">
        <v>19</v>
      </c>
      <c r="M2010" s="175">
        <v>0.03</v>
      </c>
      <c r="N2010" t="s">
        <v>4854</v>
      </c>
    </row>
    <row r="2011" spans="1:14">
      <c r="A2011">
        <v>6918</v>
      </c>
      <c r="B2011" t="s">
        <v>2830</v>
      </c>
      <c r="C2011">
        <v>73.599999999999994</v>
      </c>
      <c r="D2011">
        <v>74.8</v>
      </c>
      <c r="E2011" s="178">
        <v>-1</v>
      </c>
      <c r="F2011" s="176">
        <v>-1.32</v>
      </c>
      <c r="G2011" t="s">
        <v>5937</v>
      </c>
      <c r="H2011">
        <v>18</v>
      </c>
      <c r="I2011">
        <v>89</v>
      </c>
      <c r="J2011">
        <v>3.46</v>
      </c>
      <c r="K2011">
        <v>75.099999999999994</v>
      </c>
      <c r="L2011">
        <v>73.599999999999994</v>
      </c>
      <c r="M2011" s="175">
        <v>0.05</v>
      </c>
      <c r="N2011" t="s">
        <v>4855</v>
      </c>
    </row>
    <row r="2012" spans="1:14">
      <c r="A2012">
        <v>6919</v>
      </c>
      <c r="B2012" t="s">
        <v>2848</v>
      </c>
      <c r="C2012">
        <v>78.3</v>
      </c>
      <c r="D2012">
        <v>75.3</v>
      </c>
      <c r="E2012" s="178">
        <v>-3</v>
      </c>
      <c r="F2012" s="176">
        <v>-3.83</v>
      </c>
      <c r="G2012" t="s">
        <v>5362</v>
      </c>
      <c r="H2012">
        <v>3434</v>
      </c>
      <c r="I2012">
        <v>2922</v>
      </c>
      <c r="J2012">
        <v>7.8</v>
      </c>
      <c r="K2012">
        <v>78.3</v>
      </c>
      <c r="L2012">
        <v>75.099999999999994</v>
      </c>
      <c r="M2012" s="175">
        <v>0.22</v>
      </c>
      <c r="N2012" t="s">
        <v>4856</v>
      </c>
    </row>
    <row r="2013" spans="1:14">
      <c r="A2013">
        <v>6922</v>
      </c>
      <c r="B2013" t="s">
        <v>2308</v>
      </c>
      <c r="C2013">
        <v>195.5</v>
      </c>
      <c r="D2013">
        <v>194</v>
      </c>
      <c r="E2013" s="178">
        <v>-6</v>
      </c>
      <c r="F2013" s="176">
        <v>-3</v>
      </c>
      <c r="G2013" t="s">
        <v>6889</v>
      </c>
      <c r="H2013">
        <v>101</v>
      </c>
      <c r="I2013">
        <v>85</v>
      </c>
      <c r="J2013">
        <v>2.72</v>
      </c>
      <c r="K2013">
        <v>197</v>
      </c>
      <c r="L2013">
        <v>193.5</v>
      </c>
      <c r="M2013" s="175">
        <v>0.37</v>
      </c>
      <c r="N2013" t="s">
        <v>4857</v>
      </c>
    </row>
    <row r="2014" spans="1:14">
      <c r="A2014">
        <v>6923</v>
      </c>
      <c r="B2014" t="s">
        <v>2628</v>
      </c>
      <c r="C2014">
        <v>75.400000000000006</v>
      </c>
      <c r="D2014">
        <v>73.099999999999994</v>
      </c>
      <c r="E2014" s="178">
        <v>-0.4</v>
      </c>
      <c r="F2014" s="176">
        <v>-0.54</v>
      </c>
      <c r="G2014" t="s">
        <v>5605</v>
      </c>
      <c r="H2014">
        <v>47</v>
      </c>
      <c r="I2014">
        <v>49</v>
      </c>
      <c r="J2014">
        <v>9.0399999999999991</v>
      </c>
      <c r="K2014">
        <v>75.5</v>
      </c>
      <c r="L2014">
        <v>72.2</v>
      </c>
      <c r="M2014" s="175">
        <v>0.05</v>
      </c>
      <c r="N2014" t="s">
        <v>4858</v>
      </c>
    </row>
    <row r="2015" spans="1:14">
      <c r="A2015">
        <v>6925</v>
      </c>
      <c r="B2015" t="s">
        <v>2831</v>
      </c>
      <c r="C2015">
        <v>73.5</v>
      </c>
      <c r="D2015">
        <v>82.3</v>
      </c>
      <c r="E2015" s="178">
        <v>7.4</v>
      </c>
      <c r="F2015" s="176">
        <v>9.8800000000000008</v>
      </c>
      <c r="G2015" t="s">
        <v>5431</v>
      </c>
      <c r="H2015">
        <v>1656</v>
      </c>
      <c r="I2015">
        <v>1030</v>
      </c>
      <c r="J2015">
        <v>2</v>
      </c>
      <c r="K2015">
        <v>82.3</v>
      </c>
      <c r="L2015">
        <v>73.5</v>
      </c>
      <c r="M2015" s="175">
        <v>8.2799999999999994</v>
      </c>
      <c r="N2015" t="s">
        <v>4859</v>
      </c>
    </row>
    <row r="2016" spans="1:14">
      <c r="A2016">
        <v>6928</v>
      </c>
      <c r="B2016" t="s">
        <v>2405</v>
      </c>
      <c r="C2016">
        <v>44.65</v>
      </c>
      <c r="D2016">
        <v>45.75</v>
      </c>
      <c r="E2016" s="178">
        <v>0.45</v>
      </c>
      <c r="F2016" s="176">
        <v>0.99</v>
      </c>
      <c r="G2016" t="s">
        <v>5416</v>
      </c>
      <c r="H2016">
        <v>74</v>
      </c>
      <c r="I2016">
        <v>54</v>
      </c>
      <c r="J2016">
        <v>8.6</v>
      </c>
      <c r="K2016">
        <v>45.9</v>
      </c>
      <c r="L2016">
        <v>44.4</v>
      </c>
      <c r="M2016" s="175">
        <v>0.09</v>
      </c>
      <c r="N2016" t="s">
        <v>4860</v>
      </c>
    </row>
    <row r="2017" spans="1:14">
      <c r="A2017">
        <v>6929</v>
      </c>
      <c r="B2017" t="s">
        <v>2345</v>
      </c>
      <c r="C2017">
        <v>21.55</v>
      </c>
      <c r="D2017">
        <v>21.85</v>
      </c>
      <c r="E2017" s="178">
        <v>0.45</v>
      </c>
      <c r="F2017" s="176">
        <v>2.1</v>
      </c>
      <c r="G2017" t="s">
        <v>6890</v>
      </c>
      <c r="H2017">
        <v>12</v>
      </c>
      <c r="I2017">
        <v>6</v>
      </c>
      <c r="J2017">
        <v>4.51</v>
      </c>
      <c r="K2017">
        <v>22</v>
      </c>
      <c r="L2017">
        <v>21.05</v>
      </c>
      <c r="M2017" s="175">
        <v>0.03</v>
      </c>
      <c r="N2017" t="s">
        <v>4861</v>
      </c>
    </row>
    <row r="2018" spans="1:14">
      <c r="A2018">
        <v>6931</v>
      </c>
      <c r="B2018" t="s">
        <v>2710</v>
      </c>
      <c r="C2018">
        <v>38.1</v>
      </c>
      <c r="D2018">
        <v>38.15</v>
      </c>
      <c r="E2018" s="178">
        <v>-0.05</v>
      </c>
      <c r="F2018" s="176">
        <v>-0.13</v>
      </c>
      <c r="G2018" t="s">
        <v>5298</v>
      </c>
      <c r="H2018">
        <v>48</v>
      </c>
      <c r="I2018">
        <v>46</v>
      </c>
      <c r="J2018">
        <v>6.62</v>
      </c>
      <c r="K2018">
        <v>38.299999999999997</v>
      </c>
      <c r="L2018">
        <v>38.1</v>
      </c>
      <c r="M2018" s="175">
        <v>7.0000000000000007E-2</v>
      </c>
      <c r="N2018" t="s">
        <v>4862</v>
      </c>
    </row>
    <row r="2019" spans="1:14">
      <c r="A2019">
        <v>6933</v>
      </c>
      <c r="B2019" t="s">
        <v>2309</v>
      </c>
      <c r="C2019">
        <v>412.5</v>
      </c>
      <c r="D2019">
        <v>410.5</v>
      </c>
      <c r="E2019" s="178">
        <v>-4</v>
      </c>
      <c r="F2019" s="176">
        <v>-0.97</v>
      </c>
      <c r="G2019" t="s">
        <v>5698</v>
      </c>
      <c r="H2019">
        <v>5024</v>
      </c>
      <c r="I2019">
        <v>1565</v>
      </c>
      <c r="J2019">
        <v>4.26</v>
      </c>
      <c r="K2019">
        <v>432</v>
      </c>
      <c r="L2019">
        <v>400</v>
      </c>
      <c r="M2019" s="175">
        <v>11.84</v>
      </c>
      <c r="N2019" t="s">
        <v>4863</v>
      </c>
    </row>
    <row r="2020" spans="1:14">
      <c r="A2020">
        <v>6934</v>
      </c>
      <c r="B2020" t="s">
        <v>3066</v>
      </c>
      <c r="C2020">
        <v>82.8</v>
      </c>
      <c r="D2020">
        <v>80.2</v>
      </c>
      <c r="E2020" s="178">
        <v>-2.6</v>
      </c>
      <c r="F2020" s="176">
        <v>-3.14</v>
      </c>
      <c r="G2020" t="s">
        <v>5285</v>
      </c>
      <c r="H2020">
        <v>42</v>
      </c>
      <c r="I2020">
        <v>70</v>
      </c>
      <c r="J2020">
        <v>3.61</v>
      </c>
      <c r="K2020">
        <v>82.8</v>
      </c>
      <c r="L2020">
        <v>79.400000000000006</v>
      </c>
      <c r="M2020" s="175">
        <v>0.12</v>
      </c>
      <c r="N2020" t="s">
        <v>4864</v>
      </c>
    </row>
    <row r="2021" spans="1:14">
      <c r="A2021">
        <v>6936</v>
      </c>
      <c r="B2021" t="s">
        <v>2832</v>
      </c>
      <c r="C2021">
        <v>32.1</v>
      </c>
      <c r="D2021">
        <v>32.25</v>
      </c>
      <c r="E2021" s="178">
        <v>-0.15</v>
      </c>
      <c r="F2021" s="176">
        <v>-0.46</v>
      </c>
      <c r="G2021" t="s">
        <v>6891</v>
      </c>
      <c r="H2021">
        <v>13</v>
      </c>
      <c r="I2021">
        <v>20</v>
      </c>
      <c r="J2021">
        <v>7.28</v>
      </c>
      <c r="K2021">
        <v>32.25</v>
      </c>
      <c r="L2021">
        <v>32.049999999999997</v>
      </c>
      <c r="M2021" s="175">
        <v>0.02</v>
      </c>
      <c r="N2021" t="s">
        <v>4865</v>
      </c>
    </row>
    <row r="2022" spans="1:14">
      <c r="A2022">
        <v>6937</v>
      </c>
      <c r="B2022" t="s">
        <v>2321</v>
      </c>
      <c r="C2022">
        <v>277</v>
      </c>
      <c r="D2022">
        <v>269.5</v>
      </c>
      <c r="E2022" s="178">
        <v>-14</v>
      </c>
      <c r="F2022" s="176">
        <v>-4.9400000000000004</v>
      </c>
      <c r="G2022" t="s">
        <v>6892</v>
      </c>
      <c r="H2022">
        <v>781</v>
      </c>
      <c r="I2022">
        <v>299</v>
      </c>
      <c r="J2022">
        <v>6.77</v>
      </c>
      <c r="K2022">
        <v>277</v>
      </c>
      <c r="L2022">
        <v>264</v>
      </c>
      <c r="M2022" s="175">
        <v>1.1499999999999999</v>
      </c>
      <c r="N2022" t="s">
        <v>4866</v>
      </c>
    </row>
    <row r="2023" spans="1:14">
      <c r="A2023">
        <v>6944</v>
      </c>
      <c r="B2023" t="s">
        <v>2833</v>
      </c>
      <c r="C2023">
        <v>791</v>
      </c>
      <c r="D2023">
        <v>788</v>
      </c>
      <c r="E2023" s="178">
        <v>-27</v>
      </c>
      <c r="F2023" s="176">
        <v>-3.31</v>
      </c>
      <c r="G2023" t="s">
        <v>6893</v>
      </c>
      <c r="H2023">
        <v>500</v>
      </c>
      <c r="I2023">
        <v>871</v>
      </c>
      <c r="J2023">
        <v>9.9700000000000006</v>
      </c>
      <c r="K2023">
        <v>803</v>
      </c>
      <c r="L2023">
        <v>785</v>
      </c>
      <c r="M2023" s="175">
        <v>0.5</v>
      </c>
      <c r="N2023" t="s">
        <v>4867</v>
      </c>
    </row>
    <row r="2024" spans="1:14">
      <c r="A2024">
        <v>6945</v>
      </c>
      <c r="B2024" t="s">
        <v>3181</v>
      </c>
      <c r="C2024">
        <v>120.5</v>
      </c>
      <c r="D2024">
        <v>122</v>
      </c>
      <c r="E2024" s="178">
        <v>-0.5</v>
      </c>
      <c r="F2024" s="176">
        <v>-0.41</v>
      </c>
      <c r="G2024" t="s">
        <v>6768</v>
      </c>
      <c r="H2024">
        <v>287</v>
      </c>
      <c r="I2024">
        <v>491</v>
      </c>
      <c r="J2024">
        <v>9.7799999999999994</v>
      </c>
      <c r="K2024">
        <v>127.5</v>
      </c>
      <c r="L2024">
        <v>120</v>
      </c>
      <c r="M2024" s="175">
        <v>0.28999999999999998</v>
      </c>
      <c r="N2024" t="s">
        <v>4868</v>
      </c>
    </row>
    <row r="2025" spans="1:14">
      <c r="A2025">
        <v>6947</v>
      </c>
      <c r="B2025" t="s">
        <v>3229</v>
      </c>
      <c r="C2025">
        <v>68.099999999999994</v>
      </c>
      <c r="D2025">
        <v>66.8</v>
      </c>
      <c r="E2025" s="178">
        <v>-1.6</v>
      </c>
      <c r="F2025" s="176">
        <v>-2.34</v>
      </c>
      <c r="G2025" t="s">
        <v>5727</v>
      </c>
      <c r="H2025">
        <v>284</v>
      </c>
      <c r="I2025">
        <v>204</v>
      </c>
      <c r="J2025">
        <v>10.61</v>
      </c>
      <c r="K2025">
        <v>69.3</v>
      </c>
      <c r="L2025">
        <v>66.8</v>
      </c>
      <c r="M2025" s="175">
        <v>0.27</v>
      </c>
      <c r="N2025" t="s">
        <v>4869</v>
      </c>
    </row>
    <row r="2026" spans="1:14">
      <c r="A2026">
        <v>6952</v>
      </c>
      <c r="B2026" t="s">
        <v>2569</v>
      </c>
      <c r="C2026">
        <v>38.5</v>
      </c>
      <c r="D2026">
        <v>39.299999999999997</v>
      </c>
      <c r="E2026" s="178">
        <v>0.3</v>
      </c>
      <c r="F2026" s="176">
        <v>0.77</v>
      </c>
      <c r="G2026" t="s">
        <v>5734</v>
      </c>
      <c r="H2026">
        <v>14</v>
      </c>
      <c r="I2026">
        <v>19</v>
      </c>
      <c r="J2026">
        <v>6.83</v>
      </c>
      <c r="K2026">
        <v>39.450000000000003</v>
      </c>
      <c r="L2026">
        <v>38.5</v>
      </c>
      <c r="M2026" s="175">
        <v>0.02</v>
      </c>
      <c r="N2026" t="s">
        <v>4870</v>
      </c>
    </row>
    <row r="2027" spans="1:14">
      <c r="A2027">
        <v>6953</v>
      </c>
      <c r="B2027" t="s">
        <v>2403</v>
      </c>
      <c r="C2027">
        <v>235</v>
      </c>
      <c r="D2027">
        <v>234</v>
      </c>
      <c r="E2027" s="178">
        <v>-10</v>
      </c>
      <c r="F2027" s="176">
        <v>-4.0999999999999996</v>
      </c>
      <c r="G2027" t="s">
        <v>6894</v>
      </c>
      <c r="H2027">
        <v>75</v>
      </c>
      <c r="I2027">
        <v>55</v>
      </c>
      <c r="J2027">
        <v>3</v>
      </c>
      <c r="K2027">
        <v>239.5</v>
      </c>
      <c r="L2027">
        <v>232.5</v>
      </c>
      <c r="M2027" s="175">
        <v>0.25</v>
      </c>
      <c r="N2027" t="s">
        <v>4871</v>
      </c>
    </row>
    <row r="2028" spans="1:14">
      <c r="A2028">
        <v>6957</v>
      </c>
      <c r="B2028" t="s">
        <v>2574</v>
      </c>
      <c r="C2028">
        <v>467</v>
      </c>
      <c r="D2028">
        <v>463</v>
      </c>
      <c r="E2028" s="178">
        <v>-10</v>
      </c>
      <c r="F2028" s="176">
        <v>-2.11</v>
      </c>
      <c r="G2028" t="s">
        <v>6895</v>
      </c>
      <c r="H2028">
        <v>205</v>
      </c>
      <c r="I2028">
        <v>404</v>
      </c>
      <c r="J2028">
        <v>5.69</v>
      </c>
      <c r="K2028">
        <v>467.5</v>
      </c>
      <c r="L2028">
        <v>440</v>
      </c>
      <c r="M2028" s="175">
        <v>0.37</v>
      </c>
      <c r="N2028" t="s">
        <v>4872</v>
      </c>
    </row>
    <row r="2029" spans="1:14">
      <c r="A2029">
        <v>6958</v>
      </c>
      <c r="B2029" t="s">
        <v>2597</v>
      </c>
      <c r="C2029">
        <v>17</v>
      </c>
      <c r="D2029">
        <v>17.2</v>
      </c>
      <c r="E2029" s="178">
        <v>0.25</v>
      </c>
      <c r="F2029" s="176">
        <v>1.47</v>
      </c>
      <c r="G2029" t="s">
        <v>5453</v>
      </c>
      <c r="H2029">
        <v>119</v>
      </c>
      <c r="I2029">
        <v>22</v>
      </c>
      <c r="J2029">
        <v>42.15</v>
      </c>
      <c r="K2029">
        <v>17.3</v>
      </c>
      <c r="L2029">
        <v>16.95</v>
      </c>
      <c r="M2029" s="175">
        <v>0.03</v>
      </c>
      <c r="N2029" t="s">
        <v>4873</v>
      </c>
    </row>
    <row r="2030" spans="1:14">
      <c r="A2030">
        <v>6961</v>
      </c>
      <c r="B2030" t="s">
        <v>3017</v>
      </c>
      <c r="C2030">
        <v>45.5</v>
      </c>
      <c r="D2030">
        <v>45.3</v>
      </c>
      <c r="E2030" s="178">
        <v>-0.2</v>
      </c>
      <c r="F2030" s="176">
        <v>-0.44</v>
      </c>
      <c r="G2030" t="s">
        <v>5796</v>
      </c>
      <c r="H2030">
        <v>23</v>
      </c>
      <c r="I2030">
        <v>15</v>
      </c>
      <c r="J2030">
        <v>2.68</v>
      </c>
      <c r="K2030">
        <v>45.8</v>
      </c>
      <c r="L2030">
        <v>45.3</v>
      </c>
      <c r="M2030" s="175">
        <v>0.09</v>
      </c>
      <c r="N2030" t="s">
        <v>4874</v>
      </c>
    </row>
    <row r="2031" spans="1:14">
      <c r="A2031">
        <v>6962</v>
      </c>
      <c r="B2031" t="s">
        <v>2804</v>
      </c>
      <c r="C2031">
        <v>31.75</v>
      </c>
      <c r="D2031">
        <v>31.55</v>
      </c>
      <c r="E2031" s="178">
        <v>-0.7</v>
      </c>
      <c r="F2031" s="176">
        <v>-2.17</v>
      </c>
      <c r="G2031" t="s">
        <v>6896</v>
      </c>
      <c r="H2031">
        <v>1238</v>
      </c>
      <c r="I2031">
        <v>1094</v>
      </c>
      <c r="J2031">
        <v>49.24</v>
      </c>
      <c r="K2031">
        <v>31.95</v>
      </c>
      <c r="L2031">
        <v>31.4</v>
      </c>
      <c r="M2031" s="175">
        <v>0.25</v>
      </c>
      <c r="N2031" t="s">
        <v>4875</v>
      </c>
    </row>
    <row r="2032" spans="1:14">
      <c r="A2032">
        <v>6965</v>
      </c>
      <c r="B2032" t="s">
        <v>2792</v>
      </c>
      <c r="C2032">
        <v>62.2</v>
      </c>
      <c r="D2032">
        <v>66.7</v>
      </c>
      <c r="E2032" s="178">
        <v>0.3</v>
      </c>
      <c r="F2032" s="176">
        <v>0.45</v>
      </c>
      <c r="G2032" t="s">
        <v>5561</v>
      </c>
      <c r="H2032">
        <v>68</v>
      </c>
      <c r="I2032">
        <v>74</v>
      </c>
      <c r="J2032">
        <v>15.63</v>
      </c>
      <c r="K2032">
        <v>66.900000000000006</v>
      </c>
      <c r="L2032">
        <v>62.2</v>
      </c>
      <c r="M2032" s="175">
        <v>0.04</v>
      </c>
      <c r="N2032" t="s">
        <v>4876</v>
      </c>
    </row>
    <row r="2033" spans="1:14">
      <c r="A2033">
        <v>6967</v>
      </c>
      <c r="B2033" t="s">
        <v>2629</v>
      </c>
      <c r="C2033">
        <v>69.599999999999994</v>
      </c>
      <c r="D2033">
        <v>70</v>
      </c>
      <c r="E2033" s="178">
        <v>-1.7</v>
      </c>
      <c r="F2033" s="176">
        <v>-2.37</v>
      </c>
      <c r="G2033" t="s">
        <v>6482</v>
      </c>
      <c r="H2033">
        <v>68</v>
      </c>
      <c r="I2033">
        <v>79</v>
      </c>
      <c r="J2033">
        <v>3.04</v>
      </c>
      <c r="K2033">
        <v>70.5</v>
      </c>
      <c r="L2033">
        <v>69.599999999999994</v>
      </c>
      <c r="M2033" s="175">
        <v>0.22</v>
      </c>
      <c r="N2033" t="s">
        <v>4877</v>
      </c>
    </row>
    <row r="2034" spans="1:14">
      <c r="A2034">
        <v>6968</v>
      </c>
      <c r="B2034" t="s">
        <v>2590</v>
      </c>
      <c r="C2034">
        <v>41.35</v>
      </c>
      <c r="D2034">
        <v>41.15</v>
      </c>
      <c r="E2034" s="178">
        <v>-0.15</v>
      </c>
      <c r="F2034" s="176">
        <v>-0.36</v>
      </c>
      <c r="G2034" t="s">
        <v>5315</v>
      </c>
      <c r="H2034">
        <v>32</v>
      </c>
      <c r="I2034">
        <v>41</v>
      </c>
      <c r="J2034">
        <v>5.04</v>
      </c>
      <c r="K2034">
        <v>41.35</v>
      </c>
      <c r="L2034">
        <v>41</v>
      </c>
      <c r="M2034" s="175">
        <v>0.06</v>
      </c>
      <c r="N2034" t="s">
        <v>4878</v>
      </c>
    </row>
    <row r="2035" spans="1:14">
      <c r="A2035">
        <v>6971</v>
      </c>
      <c r="B2035" t="s">
        <v>2906</v>
      </c>
      <c r="C2035">
        <v>24.15</v>
      </c>
      <c r="D2035">
        <v>24.6</v>
      </c>
      <c r="E2035" s="178">
        <v>-0.15</v>
      </c>
      <c r="F2035" s="176">
        <v>-0.61</v>
      </c>
      <c r="G2035" t="s">
        <v>6897</v>
      </c>
      <c r="H2035">
        <v>15</v>
      </c>
      <c r="I2035">
        <v>31</v>
      </c>
      <c r="J2035">
        <v>3.87</v>
      </c>
      <c r="K2035">
        <v>24.95</v>
      </c>
      <c r="L2035">
        <v>24.15</v>
      </c>
      <c r="M2035" s="175">
        <v>0.04</v>
      </c>
      <c r="N2035" t="s">
        <v>4879</v>
      </c>
    </row>
    <row r="2036" spans="1:14">
      <c r="A2036">
        <v>6982</v>
      </c>
      <c r="B2036" t="s">
        <v>2699</v>
      </c>
      <c r="C2036">
        <v>44.9</v>
      </c>
      <c r="D2036">
        <v>44</v>
      </c>
      <c r="E2036" s="178">
        <v>-0.2</v>
      </c>
      <c r="F2036" s="176">
        <v>-0.45</v>
      </c>
      <c r="G2036" t="s">
        <v>5275</v>
      </c>
      <c r="H2036">
        <v>28</v>
      </c>
      <c r="I2036">
        <v>21</v>
      </c>
      <c r="J2036">
        <v>4.08</v>
      </c>
      <c r="K2036">
        <v>44.9</v>
      </c>
      <c r="L2036">
        <v>43.6</v>
      </c>
      <c r="M2036" s="175">
        <v>7.0000000000000007E-2</v>
      </c>
      <c r="N2036" t="s">
        <v>4880</v>
      </c>
    </row>
    <row r="2037" spans="1:14">
      <c r="A2037">
        <v>6983</v>
      </c>
      <c r="B2037" t="s">
        <v>3178</v>
      </c>
      <c r="C2037">
        <v>350</v>
      </c>
      <c r="D2037">
        <v>352</v>
      </c>
      <c r="E2037" s="178">
        <v>-9.5</v>
      </c>
      <c r="F2037" s="176">
        <v>-2.63</v>
      </c>
      <c r="G2037" t="s">
        <v>6898</v>
      </c>
      <c r="H2037">
        <v>40</v>
      </c>
      <c r="I2037">
        <v>183</v>
      </c>
      <c r="J2037">
        <v>1.8</v>
      </c>
      <c r="K2037">
        <v>352</v>
      </c>
      <c r="L2037">
        <v>343</v>
      </c>
      <c r="M2037" s="175">
        <v>0.22</v>
      </c>
      <c r="N2037" t="s">
        <v>4881</v>
      </c>
    </row>
    <row r="2038" spans="1:14">
      <c r="A2038">
        <v>6986</v>
      </c>
      <c r="B2038" t="s">
        <v>3198</v>
      </c>
      <c r="C2038">
        <v>44.15</v>
      </c>
      <c r="D2038">
        <v>44</v>
      </c>
      <c r="E2038" s="178">
        <v>-0.15</v>
      </c>
      <c r="F2038" s="176">
        <v>-0.34</v>
      </c>
      <c r="G2038" t="s">
        <v>5608</v>
      </c>
      <c r="H2038">
        <v>73</v>
      </c>
      <c r="I2038">
        <v>46</v>
      </c>
      <c r="J2038">
        <v>5.21</v>
      </c>
      <c r="K2038">
        <v>44.2</v>
      </c>
      <c r="L2038">
        <v>44</v>
      </c>
      <c r="M2038" s="175">
        <v>0.14000000000000001</v>
      </c>
      <c r="N2038" t="s">
        <v>4882</v>
      </c>
    </row>
    <row r="2039" spans="1:14">
      <c r="A2039">
        <v>6994</v>
      </c>
      <c r="B2039" t="s">
        <v>2711</v>
      </c>
      <c r="C2039">
        <v>28.35</v>
      </c>
      <c r="D2039">
        <v>27.2</v>
      </c>
      <c r="E2039" s="178">
        <v>-1.4</v>
      </c>
      <c r="F2039" s="176">
        <v>-4.9000000000000004</v>
      </c>
      <c r="G2039" t="s">
        <v>6899</v>
      </c>
      <c r="H2039">
        <v>538</v>
      </c>
      <c r="I2039">
        <v>509</v>
      </c>
      <c r="J2039">
        <v>7.42</v>
      </c>
      <c r="K2039">
        <v>28.5</v>
      </c>
      <c r="L2039">
        <v>27.2</v>
      </c>
      <c r="M2039" s="175">
        <v>0.73</v>
      </c>
      <c r="N2039" t="s">
        <v>4883</v>
      </c>
    </row>
    <row r="2040" spans="1:14">
      <c r="A2040">
        <v>6996</v>
      </c>
      <c r="B2040" t="s">
        <v>2691</v>
      </c>
      <c r="C2040">
        <v>165.5</v>
      </c>
      <c r="D2040">
        <v>164.5</v>
      </c>
      <c r="E2040" s="178">
        <v>-2</v>
      </c>
      <c r="F2040" s="176">
        <v>-1.2</v>
      </c>
      <c r="G2040" t="s">
        <v>6900</v>
      </c>
      <c r="H2040">
        <v>74</v>
      </c>
      <c r="I2040">
        <v>33</v>
      </c>
      <c r="J2040">
        <v>4.21</v>
      </c>
      <c r="K2040">
        <v>166</v>
      </c>
      <c r="L2040">
        <v>163</v>
      </c>
      <c r="M2040" s="175">
        <v>0.18</v>
      </c>
      <c r="N2040" t="s">
        <v>4884</v>
      </c>
    </row>
    <row r="2041" spans="1:14">
      <c r="A2041">
        <v>6997</v>
      </c>
      <c r="B2041" t="s">
        <v>2696</v>
      </c>
      <c r="C2041">
        <v>66.3</v>
      </c>
      <c r="D2041">
        <v>66.3</v>
      </c>
      <c r="E2041" s="178">
        <v>-0.1</v>
      </c>
      <c r="F2041" s="176">
        <v>-0.15</v>
      </c>
      <c r="G2041" t="s">
        <v>6901</v>
      </c>
      <c r="H2041">
        <v>1</v>
      </c>
      <c r="I2041">
        <v>2</v>
      </c>
      <c r="J2041">
        <v>2.21</v>
      </c>
      <c r="K2041">
        <v>66.3</v>
      </c>
      <c r="L2041">
        <v>66.3</v>
      </c>
      <c r="M2041" s="175">
        <v>0</v>
      </c>
      <c r="N2041" t="s">
        <v>4885</v>
      </c>
    </row>
    <row r="2042" spans="1:14">
      <c r="A2042">
        <v>7402</v>
      </c>
      <c r="B2042" t="s">
        <v>2899</v>
      </c>
      <c r="C2042">
        <v>97</v>
      </c>
      <c r="D2042">
        <v>93.1</v>
      </c>
      <c r="E2042" s="178">
        <v>-4.0999999999999996</v>
      </c>
      <c r="F2042" s="176">
        <v>-4.22</v>
      </c>
      <c r="G2042" t="s">
        <v>6902</v>
      </c>
      <c r="H2042">
        <v>190</v>
      </c>
      <c r="I2042">
        <v>120</v>
      </c>
      <c r="J2042">
        <v>3.53</v>
      </c>
      <c r="K2042">
        <v>97</v>
      </c>
      <c r="L2042">
        <v>93</v>
      </c>
      <c r="M2042" s="175">
        <v>0.54</v>
      </c>
      <c r="N2042" t="s">
        <v>4886</v>
      </c>
    </row>
    <row r="2043" spans="1:14">
      <c r="A2043">
        <v>7547</v>
      </c>
      <c r="B2043" t="s">
        <v>2852</v>
      </c>
      <c r="C2043">
        <v>60.5</v>
      </c>
      <c r="D2043">
        <v>58.5</v>
      </c>
      <c r="E2043" s="178">
        <v>-2</v>
      </c>
      <c r="F2043" s="176">
        <v>-3.31</v>
      </c>
      <c r="G2043" t="s">
        <v>5184</v>
      </c>
      <c r="H2043">
        <v>20</v>
      </c>
      <c r="I2043">
        <v>36</v>
      </c>
      <c r="J2043">
        <v>3.4</v>
      </c>
      <c r="K2043">
        <v>60.5</v>
      </c>
      <c r="L2043">
        <v>58.5</v>
      </c>
      <c r="M2043" s="175">
        <v>0.06</v>
      </c>
      <c r="N2043" t="s">
        <v>4887</v>
      </c>
    </row>
    <row r="2044" spans="1:14">
      <c r="A2044">
        <v>7556</v>
      </c>
      <c r="B2044" t="s">
        <v>2080</v>
      </c>
      <c r="C2044">
        <v>280.5</v>
      </c>
      <c r="D2044">
        <v>286.5</v>
      </c>
      <c r="E2044" s="178">
        <v>0.5</v>
      </c>
      <c r="F2044" s="176">
        <v>0.17</v>
      </c>
      <c r="G2044" t="s">
        <v>6903</v>
      </c>
      <c r="H2044">
        <v>109</v>
      </c>
      <c r="I2044">
        <v>88</v>
      </c>
      <c r="J2044">
        <v>2.92</v>
      </c>
      <c r="K2044">
        <v>292</v>
      </c>
      <c r="L2044">
        <v>280.5</v>
      </c>
      <c r="M2044" s="175">
        <v>0.37</v>
      </c>
      <c r="N2044" t="s">
        <v>4888</v>
      </c>
    </row>
    <row r="2045" spans="1:14">
      <c r="A2045">
        <v>7584</v>
      </c>
      <c r="B2045" t="s">
        <v>2586</v>
      </c>
      <c r="C2045">
        <v>28.9</v>
      </c>
      <c r="D2045">
        <v>28.5</v>
      </c>
      <c r="E2045" s="178">
        <v>0.05</v>
      </c>
      <c r="F2045" s="176">
        <v>0.18</v>
      </c>
      <c r="G2045" t="s">
        <v>6904</v>
      </c>
      <c r="H2045">
        <v>3</v>
      </c>
      <c r="I2045">
        <v>4</v>
      </c>
      <c r="J2045">
        <v>1.71</v>
      </c>
      <c r="K2045">
        <v>28.9</v>
      </c>
      <c r="L2045">
        <v>28.5</v>
      </c>
      <c r="M2045" s="175">
        <v>0.02</v>
      </c>
      <c r="N2045" t="s">
        <v>4889</v>
      </c>
    </row>
    <row r="2046" spans="1:14">
      <c r="A2046">
        <v>7642</v>
      </c>
      <c r="B2046" t="s">
        <v>2834</v>
      </c>
      <c r="C2046">
        <v>64.900000000000006</v>
      </c>
      <c r="D2046">
        <v>64.2</v>
      </c>
      <c r="E2046" s="178">
        <v>-1.2</v>
      </c>
      <c r="F2046" s="176">
        <v>-1.83</v>
      </c>
      <c r="G2046" t="s">
        <v>5507</v>
      </c>
      <c r="H2046">
        <v>48</v>
      </c>
      <c r="I2046">
        <v>24</v>
      </c>
      <c r="J2046">
        <v>3.02</v>
      </c>
      <c r="K2046">
        <v>64.900000000000006</v>
      </c>
      <c r="L2046">
        <v>63.8</v>
      </c>
      <c r="M2046" s="175">
        <v>0.16</v>
      </c>
      <c r="N2046" t="s">
        <v>4890</v>
      </c>
    </row>
    <row r="2047" spans="1:14">
      <c r="A2047">
        <v>7689</v>
      </c>
      <c r="B2047" t="s">
        <v>3230</v>
      </c>
      <c r="C2047">
        <v>142</v>
      </c>
      <c r="D2047">
        <v>139</v>
      </c>
      <c r="E2047" s="178">
        <v>-6</v>
      </c>
      <c r="F2047" s="176">
        <v>-4.1399999999999997</v>
      </c>
      <c r="G2047" t="s">
        <v>6814</v>
      </c>
      <c r="H2047">
        <v>123</v>
      </c>
      <c r="I2047">
        <v>73</v>
      </c>
      <c r="J2047">
        <v>5.85</v>
      </c>
      <c r="K2047">
        <v>142</v>
      </c>
      <c r="L2047">
        <v>137</v>
      </c>
      <c r="M2047" s="175">
        <v>0.21</v>
      </c>
      <c r="N2047" t="s">
        <v>4891</v>
      </c>
    </row>
    <row r="2048" spans="1:14">
      <c r="A2048">
        <v>7703</v>
      </c>
      <c r="B2048" t="s">
        <v>2670</v>
      </c>
      <c r="C2048">
        <v>183</v>
      </c>
      <c r="D2048">
        <v>185</v>
      </c>
      <c r="E2048" s="178">
        <v>-7.5</v>
      </c>
      <c r="F2048" s="176">
        <v>-3.9</v>
      </c>
      <c r="G2048" t="s">
        <v>6905</v>
      </c>
      <c r="H2048">
        <v>64</v>
      </c>
      <c r="I2048">
        <v>71</v>
      </c>
      <c r="J2048">
        <v>3.47</v>
      </c>
      <c r="K2048">
        <v>188</v>
      </c>
      <c r="L2048">
        <v>183</v>
      </c>
      <c r="M2048" s="175">
        <v>0.18</v>
      </c>
      <c r="N2048" t="s">
        <v>4892</v>
      </c>
    </row>
    <row r="2049" spans="1:14">
      <c r="A2049">
        <v>7704</v>
      </c>
      <c r="B2049" t="s">
        <v>2697</v>
      </c>
      <c r="C2049">
        <v>61.5</v>
      </c>
      <c r="D2049">
        <v>60.3</v>
      </c>
      <c r="E2049" s="178">
        <v>-1.3</v>
      </c>
      <c r="F2049" s="176">
        <v>-2.11</v>
      </c>
      <c r="G2049" t="s">
        <v>6906</v>
      </c>
      <c r="H2049">
        <v>55</v>
      </c>
      <c r="I2049">
        <v>56</v>
      </c>
      <c r="J2049">
        <v>3.38</v>
      </c>
      <c r="K2049">
        <v>61.5</v>
      </c>
      <c r="L2049">
        <v>60</v>
      </c>
      <c r="M2049" s="175">
        <v>0.16</v>
      </c>
      <c r="N2049" t="s">
        <v>5235</v>
      </c>
    </row>
    <row r="2050" spans="1:14">
      <c r="A2050">
        <v>7705</v>
      </c>
      <c r="B2050" t="s">
        <v>2677</v>
      </c>
      <c r="C2050">
        <v>29.7</v>
      </c>
      <c r="D2050">
        <v>29.55</v>
      </c>
      <c r="E2050" s="178">
        <v>-0.15</v>
      </c>
      <c r="F2050" s="176">
        <v>-0.51</v>
      </c>
      <c r="G2050" t="s">
        <v>5275</v>
      </c>
      <c r="H2050">
        <v>42</v>
      </c>
      <c r="I2050">
        <v>40</v>
      </c>
      <c r="J2050">
        <v>6.61</v>
      </c>
      <c r="K2050">
        <v>29.7</v>
      </c>
      <c r="L2050">
        <v>29.5</v>
      </c>
      <c r="M2050" s="175">
        <v>0.06</v>
      </c>
      <c r="N2050" t="s">
        <v>4893</v>
      </c>
    </row>
    <row r="2051" spans="1:14">
      <c r="A2051">
        <v>7708</v>
      </c>
      <c r="B2051" t="s">
        <v>2673</v>
      </c>
      <c r="C2051">
        <v>91.1</v>
      </c>
      <c r="D2051">
        <v>91.1</v>
      </c>
      <c r="E2051" s="178">
        <v>0</v>
      </c>
      <c r="F2051" s="176">
        <v>0</v>
      </c>
      <c r="G2051" t="s">
        <v>6134</v>
      </c>
      <c r="H2051">
        <v>9</v>
      </c>
      <c r="I2051">
        <v>10</v>
      </c>
      <c r="J2051">
        <v>2.5499999999999998</v>
      </c>
      <c r="K2051">
        <v>91.1</v>
      </c>
      <c r="L2051">
        <v>90.8</v>
      </c>
      <c r="M2051" s="175">
        <v>0.04</v>
      </c>
      <c r="N2051" t="s">
        <v>4894</v>
      </c>
    </row>
    <row r="2052" spans="1:14">
      <c r="A2052">
        <v>7709</v>
      </c>
      <c r="B2052" t="s">
        <v>2786</v>
      </c>
      <c r="C2052">
        <v>77.3</v>
      </c>
      <c r="D2052">
        <v>73.400000000000006</v>
      </c>
      <c r="E2052" s="178">
        <v>-4</v>
      </c>
      <c r="F2052" s="176">
        <v>-5.17</v>
      </c>
      <c r="G2052" t="s">
        <v>5379</v>
      </c>
      <c r="H2052">
        <v>80</v>
      </c>
      <c r="I2052">
        <v>156</v>
      </c>
      <c r="J2052">
        <v>3.91</v>
      </c>
      <c r="K2052">
        <v>77.3</v>
      </c>
      <c r="L2052">
        <v>73.400000000000006</v>
      </c>
      <c r="M2052" s="175">
        <v>0.2</v>
      </c>
      <c r="N2052" t="s">
        <v>4895</v>
      </c>
    </row>
    <row r="2053" spans="1:14">
      <c r="A2053">
        <v>7711</v>
      </c>
      <c r="B2053" t="s">
        <v>2943</v>
      </c>
      <c r="C2053">
        <v>572</v>
      </c>
      <c r="D2053">
        <v>568</v>
      </c>
      <c r="E2053" s="178">
        <v>-27</v>
      </c>
      <c r="F2053" s="176">
        <v>-4.54</v>
      </c>
      <c r="G2053" t="s">
        <v>6907</v>
      </c>
      <c r="H2053">
        <v>824</v>
      </c>
      <c r="I2053">
        <v>1252</v>
      </c>
      <c r="J2053">
        <v>7.17</v>
      </c>
      <c r="K2053">
        <v>583</v>
      </c>
      <c r="L2053">
        <v>560</v>
      </c>
      <c r="M2053" s="175">
        <v>1.1499999999999999</v>
      </c>
      <c r="N2053" t="s">
        <v>4896</v>
      </c>
    </row>
    <row r="2054" spans="1:14">
      <c r="A2054">
        <v>7712</v>
      </c>
      <c r="B2054" t="s">
        <v>2701</v>
      </c>
      <c r="C2054">
        <v>160</v>
      </c>
      <c r="D2054">
        <v>154</v>
      </c>
      <c r="E2054" s="178">
        <v>-9.5</v>
      </c>
      <c r="F2054" s="176">
        <v>-5.81</v>
      </c>
      <c r="G2054" t="s">
        <v>6908</v>
      </c>
      <c r="H2054">
        <v>267</v>
      </c>
      <c r="I2054">
        <v>434</v>
      </c>
      <c r="J2054">
        <v>3.26</v>
      </c>
      <c r="K2054">
        <v>161</v>
      </c>
      <c r="L2054">
        <v>153</v>
      </c>
      <c r="M2054" s="175">
        <v>0.82</v>
      </c>
      <c r="N2054" t="s">
        <v>4897</v>
      </c>
    </row>
    <row r="2055" spans="1:14">
      <c r="A2055">
        <v>7713</v>
      </c>
      <c r="B2055" t="s">
        <v>2785</v>
      </c>
      <c r="C2055" t="s">
        <v>1555</v>
      </c>
      <c r="D2055" t="s">
        <v>1555</v>
      </c>
      <c r="E2055" s="178" t="s">
        <v>1555</v>
      </c>
      <c r="F2055" s="176" t="s">
        <v>1555</v>
      </c>
      <c r="G2055" t="s">
        <v>1555</v>
      </c>
      <c r="H2055">
        <v>0</v>
      </c>
      <c r="I2055">
        <v>4</v>
      </c>
      <c r="J2055">
        <v>4.55</v>
      </c>
      <c r="K2055" t="s">
        <v>1555</v>
      </c>
      <c r="L2055" t="s">
        <v>1555</v>
      </c>
      <c r="M2055" s="175">
        <v>0</v>
      </c>
      <c r="N2055" t="s">
        <v>4898</v>
      </c>
    </row>
    <row r="2056" spans="1:14">
      <c r="A2056">
        <v>7714</v>
      </c>
      <c r="B2056" t="s">
        <v>2712</v>
      </c>
      <c r="C2056">
        <v>169</v>
      </c>
      <c r="D2056">
        <v>164.5</v>
      </c>
      <c r="E2056" s="178">
        <v>-7</v>
      </c>
      <c r="F2056" s="176">
        <v>-4.08</v>
      </c>
      <c r="G2056" t="s">
        <v>6909</v>
      </c>
      <c r="H2056">
        <v>183</v>
      </c>
      <c r="I2056">
        <v>136</v>
      </c>
      <c r="J2056">
        <v>2.1</v>
      </c>
      <c r="K2056">
        <v>169</v>
      </c>
      <c r="L2056">
        <v>164.5</v>
      </c>
      <c r="M2056" s="175">
        <v>0.87</v>
      </c>
      <c r="N2056" t="s">
        <v>4899</v>
      </c>
    </row>
    <row r="2057" spans="1:14">
      <c r="A2057">
        <v>7715</v>
      </c>
      <c r="B2057" t="s">
        <v>2713</v>
      </c>
      <c r="C2057">
        <v>26.5</v>
      </c>
      <c r="D2057">
        <v>26.25</v>
      </c>
      <c r="E2057" s="178">
        <v>-0.45</v>
      </c>
      <c r="F2057" s="176">
        <v>-1.69</v>
      </c>
      <c r="G2057" t="s">
        <v>6910</v>
      </c>
      <c r="H2057">
        <v>26</v>
      </c>
      <c r="I2057">
        <v>80</v>
      </c>
      <c r="J2057">
        <v>3.29</v>
      </c>
      <c r="K2057">
        <v>26.85</v>
      </c>
      <c r="L2057">
        <v>26.25</v>
      </c>
      <c r="M2057" s="175">
        <v>0.08</v>
      </c>
      <c r="N2057" t="s">
        <v>4900</v>
      </c>
    </row>
    <row r="2058" spans="1:14">
      <c r="A2058">
        <v>7716</v>
      </c>
      <c r="B2058" t="s">
        <v>2931</v>
      </c>
      <c r="C2058">
        <v>24.25</v>
      </c>
      <c r="D2058">
        <v>24.25</v>
      </c>
      <c r="E2058" s="178">
        <v>0</v>
      </c>
      <c r="F2058" s="176">
        <v>0</v>
      </c>
      <c r="G2058" t="s">
        <v>5414</v>
      </c>
      <c r="H2058">
        <v>5</v>
      </c>
      <c r="I2058">
        <v>4</v>
      </c>
      <c r="J2058">
        <v>2.25</v>
      </c>
      <c r="K2058">
        <v>24.25</v>
      </c>
      <c r="L2058">
        <v>24</v>
      </c>
      <c r="M2058" s="175">
        <v>0.02</v>
      </c>
      <c r="N2058" t="s">
        <v>4901</v>
      </c>
    </row>
    <row r="2059" spans="1:14">
      <c r="A2059">
        <v>7717</v>
      </c>
      <c r="B2059" t="s">
        <v>2940</v>
      </c>
      <c r="C2059">
        <v>476.5</v>
      </c>
      <c r="D2059">
        <v>474</v>
      </c>
      <c r="E2059" s="178">
        <v>-30</v>
      </c>
      <c r="F2059" s="176">
        <v>-5.95</v>
      </c>
      <c r="G2059" t="s">
        <v>5541</v>
      </c>
      <c r="H2059">
        <v>341</v>
      </c>
      <c r="I2059">
        <v>704</v>
      </c>
      <c r="J2059">
        <v>2.48</v>
      </c>
      <c r="K2059">
        <v>485</v>
      </c>
      <c r="L2059">
        <v>459.5</v>
      </c>
      <c r="M2059" s="175">
        <v>1.37</v>
      </c>
      <c r="N2059" t="s">
        <v>4902</v>
      </c>
    </row>
    <row r="2060" spans="1:14">
      <c r="A2060">
        <v>7718</v>
      </c>
      <c r="B2060" t="s">
        <v>2797</v>
      </c>
      <c r="C2060">
        <v>46</v>
      </c>
      <c r="D2060">
        <v>45.85</v>
      </c>
      <c r="E2060" s="178">
        <v>0</v>
      </c>
      <c r="F2060" s="176">
        <v>0</v>
      </c>
      <c r="G2060" t="s">
        <v>5490</v>
      </c>
      <c r="H2060">
        <v>26</v>
      </c>
      <c r="I2060">
        <v>22</v>
      </c>
      <c r="J2060">
        <v>4.6399999999999997</v>
      </c>
      <c r="K2060">
        <v>46.1</v>
      </c>
      <c r="L2060">
        <v>45.85</v>
      </c>
      <c r="M2060" s="175">
        <v>0.06</v>
      </c>
      <c r="N2060" t="s">
        <v>4903</v>
      </c>
    </row>
    <row r="2061" spans="1:14">
      <c r="A2061">
        <v>7721</v>
      </c>
      <c r="B2061" t="s">
        <v>2853</v>
      </c>
      <c r="C2061">
        <v>60.4</v>
      </c>
      <c r="D2061">
        <v>60.6</v>
      </c>
      <c r="E2061" s="178">
        <v>-0.2</v>
      </c>
      <c r="F2061" s="176">
        <v>-0.33</v>
      </c>
      <c r="G2061" t="s">
        <v>5247</v>
      </c>
      <c r="H2061">
        <v>44</v>
      </c>
      <c r="I2061">
        <v>45</v>
      </c>
      <c r="J2061">
        <v>5.54</v>
      </c>
      <c r="K2061">
        <v>61.3</v>
      </c>
      <c r="L2061">
        <v>59.7</v>
      </c>
      <c r="M2061" s="175">
        <v>0.09</v>
      </c>
      <c r="N2061" t="s">
        <v>4904</v>
      </c>
    </row>
    <row r="2062" spans="1:14">
      <c r="A2062">
        <v>7722</v>
      </c>
      <c r="B2062" t="s">
        <v>2680</v>
      </c>
      <c r="C2062">
        <v>260.5</v>
      </c>
      <c r="D2062">
        <v>258</v>
      </c>
      <c r="E2062" s="178">
        <v>-2.5</v>
      </c>
      <c r="F2062" s="176">
        <v>-0.96</v>
      </c>
      <c r="G2062" t="s">
        <v>6911</v>
      </c>
      <c r="H2062">
        <v>47</v>
      </c>
      <c r="I2062">
        <v>53</v>
      </c>
      <c r="J2062">
        <v>7.17</v>
      </c>
      <c r="K2062">
        <v>260.5</v>
      </c>
      <c r="L2062">
        <v>258</v>
      </c>
      <c r="M2062" s="175">
        <v>7.0000000000000007E-2</v>
      </c>
      <c r="N2062" t="s">
        <v>4905</v>
      </c>
    </row>
    <row r="2063" spans="1:14">
      <c r="A2063">
        <v>7723</v>
      </c>
      <c r="B2063" t="s">
        <v>2835</v>
      </c>
      <c r="C2063">
        <v>19.5</v>
      </c>
      <c r="D2063">
        <v>18.75</v>
      </c>
      <c r="E2063" s="178">
        <v>-0.75</v>
      </c>
      <c r="F2063" s="176">
        <v>-3.85</v>
      </c>
      <c r="G2063" t="s">
        <v>5859</v>
      </c>
      <c r="H2063">
        <v>212</v>
      </c>
      <c r="I2063">
        <v>572</v>
      </c>
      <c r="J2063">
        <v>4.96</v>
      </c>
      <c r="K2063">
        <v>19.8</v>
      </c>
      <c r="L2063">
        <v>18.75</v>
      </c>
      <c r="M2063" s="175">
        <v>0.43</v>
      </c>
      <c r="N2063" t="s">
        <v>4906</v>
      </c>
    </row>
    <row r="2064" spans="1:14">
      <c r="A2064">
        <v>7728</v>
      </c>
      <c r="B2064" t="s">
        <v>2790</v>
      </c>
      <c r="C2064">
        <v>606</v>
      </c>
      <c r="D2064">
        <v>603</v>
      </c>
      <c r="E2064" s="178">
        <v>-3</v>
      </c>
      <c r="F2064" s="176">
        <v>-0.5</v>
      </c>
      <c r="G2064" t="s">
        <v>6912</v>
      </c>
      <c r="H2064">
        <v>31</v>
      </c>
      <c r="I2064">
        <v>37</v>
      </c>
      <c r="J2064">
        <v>1.4</v>
      </c>
      <c r="K2064">
        <v>606</v>
      </c>
      <c r="L2064">
        <v>578</v>
      </c>
      <c r="M2064" s="175">
        <v>0.22</v>
      </c>
      <c r="N2064" t="s">
        <v>4907</v>
      </c>
    </row>
    <row r="2065" spans="1:14">
      <c r="A2065">
        <v>7732</v>
      </c>
      <c r="B2065" t="s">
        <v>2714</v>
      </c>
      <c r="C2065">
        <v>33.85</v>
      </c>
      <c r="D2065">
        <v>33.799999999999997</v>
      </c>
      <c r="E2065" s="178">
        <v>-0.2</v>
      </c>
      <c r="F2065" s="176">
        <v>-0.59</v>
      </c>
      <c r="G2065" t="s">
        <v>5466</v>
      </c>
      <c r="H2065">
        <v>6</v>
      </c>
      <c r="I2065">
        <v>7</v>
      </c>
      <c r="J2065">
        <v>6.47</v>
      </c>
      <c r="K2065">
        <v>33.85</v>
      </c>
      <c r="L2065">
        <v>32.200000000000003</v>
      </c>
      <c r="M2065" s="175">
        <v>0.01</v>
      </c>
      <c r="N2065" t="s">
        <v>4908</v>
      </c>
    </row>
    <row r="2066" spans="1:14">
      <c r="A2066">
        <v>7734</v>
      </c>
      <c r="B2066" t="s">
        <v>2788</v>
      </c>
      <c r="C2066">
        <v>2565</v>
      </c>
      <c r="D2066">
        <v>2430</v>
      </c>
      <c r="E2066" s="178">
        <v>-270</v>
      </c>
      <c r="F2066" s="176">
        <v>-10</v>
      </c>
      <c r="G2066" t="s">
        <v>6913</v>
      </c>
      <c r="H2066">
        <v>387</v>
      </c>
      <c r="I2066">
        <v>262</v>
      </c>
      <c r="J2066">
        <v>2.8</v>
      </c>
      <c r="K2066">
        <v>2575</v>
      </c>
      <c r="L2066">
        <v>2430</v>
      </c>
      <c r="M2066" s="175">
        <v>1.38</v>
      </c>
      <c r="N2066" t="s">
        <v>4909</v>
      </c>
    </row>
    <row r="2067" spans="1:14">
      <c r="A2067">
        <v>7736</v>
      </c>
      <c r="B2067" t="s">
        <v>2798</v>
      </c>
      <c r="C2067">
        <v>68.5</v>
      </c>
      <c r="D2067">
        <v>68.5</v>
      </c>
      <c r="E2067" s="178">
        <v>-0.4</v>
      </c>
      <c r="F2067" s="176">
        <v>-0.57999999999999996</v>
      </c>
      <c r="G2067" t="s">
        <v>5717</v>
      </c>
      <c r="H2067">
        <v>24</v>
      </c>
      <c r="I2067">
        <v>51</v>
      </c>
      <c r="J2067">
        <v>7.6</v>
      </c>
      <c r="K2067">
        <v>69.2</v>
      </c>
      <c r="L2067">
        <v>68.5</v>
      </c>
      <c r="M2067" s="175">
        <v>0.03</v>
      </c>
      <c r="N2067" t="s">
        <v>4910</v>
      </c>
    </row>
    <row r="2068" spans="1:14">
      <c r="A2068">
        <v>7738</v>
      </c>
      <c r="B2068" t="s">
        <v>2920</v>
      </c>
      <c r="C2068">
        <v>160.5</v>
      </c>
      <c r="D2068">
        <v>161.5</v>
      </c>
      <c r="E2068" s="178">
        <v>0.5</v>
      </c>
      <c r="F2068" s="176">
        <v>0.31</v>
      </c>
      <c r="G2068" t="s">
        <v>6914</v>
      </c>
      <c r="H2068">
        <v>85</v>
      </c>
      <c r="I2068">
        <v>41</v>
      </c>
      <c r="J2068">
        <v>2.74</v>
      </c>
      <c r="K2068">
        <v>163</v>
      </c>
      <c r="L2068">
        <v>158.5</v>
      </c>
      <c r="M2068" s="175">
        <v>0.31</v>
      </c>
      <c r="N2068" t="s">
        <v>4911</v>
      </c>
    </row>
    <row r="2069" spans="1:14">
      <c r="A2069">
        <v>7743</v>
      </c>
      <c r="B2069" t="s">
        <v>2836</v>
      </c>
      <c r="C2069">
        <v>25.3</v>
      </c>
      <c r="D2069">
        <v>24.05</v>
      </c>
      <c r="E2069" s="178">
        <v>-0.45</v>
      </c>
      <c r="F2069" s="176">
        <v>-1.84</v>
      </c>
      <c r="G2069" t="s">
        <v>5275</v>
      </c>
      <c r="H2069">
        <v>51</v>
      </c>
      <c r="I2069">
        <v>443</v>
      </c>
      <c r="J2069">
        <v>3.65</v>
      </c>
      <c r="K2069">
        <v>25.35</v>
      </c>
      <c r="L2069">
        <v>23.9</v>
      </c>
      <c r="M2069" s="175">
        <v>0.14000000000000001</v>
      </c>
      <c r="N2069" t="s">
        <v>4912</v>
      </c>
    </row>
    <row r="2070" spans="1:14">
      <c r="A2070">
        <v>7744</v>
      </c>
      <c r="B2070" t="s">
        <v>2950</v>
      </c>
      <c r="C2070">
        <v>491</v>
      </c>
      <c r="D2070">
        <v>481.5</v>
      </c>
      <c r="E2070" s="178">
        <v>-18</v>
      </c>
      <c r="F2070" s="176">
        <v>-3.6</v>
      </c>
      <c r="G2070" t="s">
        <v>6915</v>
      </c>
      <c r="H2070">
        <v>56</v>
      </c>
      <c r="I2070">
        <v>78</v>
      </c>
      <c r="J2070">
        <v>3.21</v>
      </c>
      <c r="K2070">
        <v>491</v>
      </c>
      <c r="L2070">
        <v>479</v>
      </c>
      <c r="M2070" s="175">
        <v>0.17</v>
      </c>
      <c r="N2070" t="s">
        <v>4913</v>
      </c>
    </row>
    <row r="2071" spans="1:14">
      <c r="A2071">
        <v>7747</v>
      </c>
      <c r="B2071" t="s">
        <v>2841</v>
      </c>
      <c r="C2071">
        <v>111</v>
      </c>
      <c r="D2071">
        <v>109</v>
      </c>
      <c r="E2071" s="178">
        <v>0</v>
      </c>
      <c r="F2071" s="176">
        <v>0</v>
      </c>
      <c r="G2071" t="s">
        <v>6916</v>
      </c>
      <c r="H2071">
        <v>2</v>
      </c>
      <c r="I2071">
        <v>19</v>
      </c>
      <c r="J2071">
        <v>3.02</v>
      </c>
      <c r="K2071">
        <v>111</v>
      </c>
      <c r="L2071">
        <v>109</v>
      </c>
      <c r="M2071" s="175">
        <v>0.01</v>
      </c>
      <c r="N2071" t="s">
        <v>4914</v>
      </c>
    </row>
    <row r="2072" spans="1:14">
      <c r="A2072">
        <v>7749</v>
      </c>
      <c r="B2072" t="s">
        <v>2837</v>
      </c>
      <c r="C2072">
        <v>341.5</v>
      </c>
      <c r="D2072">
        <v>337</v>
      </c>
      <c r="E2072" s="178">
        <v>-8</v>
      </c>
      <c r="F2072" s="176">
        <v>-2.3199999999999998</v>
      </c>
      <c r="G2072" t="s">
        <v>6917</v>
      </c>
      <c r="H2072">
        <v>219</v>
      </c>
      <c r="I2072">
        <v>281</v>
      </c>
      <c r="J2072">
        <v>4.6500000000000004</v>
      </c>
      <c r="K2072">
        <v>344.5</v>
      </c>
      <c r="L2072">
        <v>336</v>
      </c>
      <c r="M2072" s="175">
        <v>0.47</v>
      </c>
      <c r="N2072" t="s">
        <v>4915</v>
      </c>
    </row>
    <row r="2073" spans="1:14">
      <c r="A2073">
        <v>7750</v>
      </c>
      <c r="B2073" t="s">
        <v>2885</v>
      </c>
      <c r="C2073">
        <v>1840</v>
      </c>
      <c r="D2073">
        <v>1800</v>
      </c>
      <c r="E2073" s="178">
        <v>-90</v>
      </c>
      <c r="F2073" s="176">
        <v>-4.76</v>
      </c>
      <c r="G2073" t="s">
        <v>6018</v>
      </c>
      <c r="H2073">
        <v>204</v>
      </c>
      <c r="I2073">
        <v>146</v>
      </c>
      <c r="J2073">
        <v>7.18</v>
      </c>
      <c r="K2073">
        <v>1840</v>
      </c>
      <c r="L2073">
        <v>1760</v>
      </c>
      <c r="M2073" s="175">
        <v>0.28000000000000003</v>
      </c>
      <c r="N2073" t="s">
        <v>4916</v>
      </c>
    </row>
    <row r="2074" spans="1:14">
      <c r="A2074">
        <v>7751</v>
      </c>
      <c r="B2074" t="s">
        <v>2867</v>
      </c>
      <c r="C2074">
        <v>1575</v>
      </c>
      <c r="D2074">
        <v>1560</v>
      </c>
      <c r="E2074" s="178">
        <v>-130</v>
      </c>
      <c r="F2074" s="176">
        <v>-7.69</v>
      </c>
      <c r="G2074" t="s">
        <v>6918</v>
      </c>
      <c r="H2074">
        <v>365</v>
      </c>
      <c r="I2074">
        <v>267</v>
      </c>
      <c r="J2074">
        <v>2.69</v>
      </c>
      <c r="K2074">
        <v>1615</v>
      </c>
      <c r="L2074">
        <v>1525</v>
      </c>
      <c r="M2074" s="175">
        <v>1.36</v>
      </c>
      <c r="N2074" t="s">
        <v>4917</v>
      </c>
    </row>
    <row r="2075" spans="1:14">
      <c r="A2075">
        <v>7753</v>
      </c>
      <c r="B2075" t="s">
        <v>2858</v>
      </c>
      <c r="C2075">
        <v>35.9</v>
      </c>
      <c r="D2075">
        <v>35.65</v>
      </c>
      <c r="E2075" s="178">
        <v>-0.35</v>
      </c>
      <c r="F2075" s="176">
        <v>-0.97</v>
      </c>
      <c r="G2075" t="s">
        <v>5682</v>
      </c>
      <c r="H2075">
        <v>49</v>
      </c>
      <c r="I2075">
        <v>13</v>
      </c>
      <c r="J2075">
        <v>2.5</v>
      </c>
      <c r="K2075">
        <v>36.200000000000003</v>
      </c>
      <c r="L2075">
        <v>35.65</v>
      </c>
      <c r="M2075" s="175">
        <v>0.2</v>
      </c>
      <c r="N2075" t="s">
        <v>4918</v>
      </c>
    </row>
    <row r="2076" spans="1:14">
      <c r="A2076">
        <v>7757</v>
      </c>
      <c r="B2076" t="s">
        <v>2924</v>
      </c>
      <c r="C2076">
        <v>87.3</v>
      </c>
      <c r="D2076">
        <v>87.6</v>
      </c>
      <c r="E2076" s="178">
        <v>-0.3</v>
      </c>
      <c r="F2076" s="176">
        <v>-0.34</v>
      </c>
      <c r="G2076" t="s">
        <v>5644</v>
      </c>
      <c r="H2076">
        <v>5</v>
      </c>
      <c r="I2076">
        <v>10</v>
      </c>
      <c r="J2076">
        <v>2.41</v>
      </c>
      <c r="K2076">
        <v>87.6</v>
      </c>
      <c r="L2076">
        <v>87.3</v>
      </c>
      <c r="M2076" s="175">
        <v>0.02</v>
      </c>
      <c r="N2076" t="s">
        <v>4919</v>
      </c>
    </row>
    <row r="2077" spans="1:14">
      <c r="A2077">
        <v>7760</v>
      </c>
      <c r="B2077" t="s">
        <v>3159</v>
      </c>
      <c r="C2077">
        <v>32.799999999999997</v>
      </c>
      <c r="D2077">
        <v>32.6</v>
      </c>
      <c r="E2077" s="178">
        <v>0.1</v>
      </c>
      <c r="F2077" s="176">
        <v>0.31</v>
      </c>
      <c r="G2077" t="s">
        <v>5188</v>
      </c>
      <c r="H2077">
        <v>31</v>
      </c>
      <c r="I2077">
        <v>42</v>
      </c>
      <c r="J2077">
        <v>6.45</v>
      </c>
      <c r="K2077">
        <v>32.799999999999997</v>
      </c>
      <c r="L2077">
        <v>32.049999999999997</v>
      </c>
      <c r="M2077" s="175">
        <v>0.05</v>
      </c>
      <c r="N2077" t="s">
        <v>4920</v>
      </c>
    </row>
    <row r="2078" spans="1:14">
      <c r="A2078">
        <v>7765</v>
      </c>
      <c r="B2078" t="s">
        <v>2875</v>
      </c>
      <c r="C2078">
        <v>235</v>
      </c>
      <c r="D2078">
        <v>230.5</v>
      </c>
      <c r="E2078" s="178">
        <v>-4.5</v>
      </c>
      <c r="F2078" s="176">
        <v>-1.91</v>
      </c>
      <c r="G2078" t="s">
        <v>6919</v>
      </c>
      <c r="H2078">
        <v>178</v>
      </c>
      <c r="I2078">
        <v>74</v>
      </c>
      <c r="J2078">
        <v>4.07</v>
      </c>
      <c r="K2078">
        <v>236.5</v>
      </c>
      <c r="L2078">
        <v>230.5</v>
      </c>
      <c r="M2078" s="175">
        <v>0.44</v>
      </c>
      <c r="N2078" t="s">
        <v>4921</v>
      </c>
    </row>
    <row r="2079" spans="1:14">
      <c r="A2079">
        <v>7767</v>
      </c>
      <c r="B2079" t="s">
        <v>2956</v>
      </c>
      <c r="C2079">
        <v>45.7</v>
      </c>
      <c r="D2079">
        <v>45.95</v>
      </c>
      <c r="E2079" s="178">
        <v>0.1</v>
      </c>
      <c r="F2079" s="176">
        <v>0.22</v>
      </c>
      <c r="G2079" t="s">
        <v>5397</v>
      </c>
      <c r="H2079">
        <v>20</v>
      </c>
      <c r="I2079">
        <v>12</v>
      </c>
      <c r="J2079">
        <v>3.01</v>
      </c>
      <c r="K2079">
        <v>45.95</v>
      </c>
      <c r="L2079">
        <v>45.7</v>
      </c>
      <c r="M2079" s="175">
        <v>7.0000000000000007E-2</v>
      </c>
      <c r="N2079" t="s">
        <v>4922</v>
      </c>
    </row>
    <row r="2080" spans="1:14">
      <c r="A2080">
        <v>7768</v>
      </c>
      <c r="B2080" t="s">
        <v>3166</v>
      </c>
      <c r="C2080">
        <v>281.5</v>
      </c>
      <c r="D2080">
        <v>286.5</v>
      </c>
      <c r="E2080" s="178">
        <v>-1</v>
      </c>
      <c r="F2080" s="176">
        <v>-0.35</v>
      </c>
      <c r="G2080" t="s">
        <v>6920</v>
      </c>
      <c r="H2080">
        <v>150</v>
      </c>
      <c r="I2080">
        <v>54</v>
      </c>
      <c r="J2080">
        <v>7.01</v>
      </c>
      <c r="K2080">
        <v>286.5</v>
      </c>
      <c r="L2080">
        <v>275.5</v>
      </c>
      <c r="M2080" s="175">
        <v>0.21</v>
      </c>
      <c r="N2080" t="s">
        <v>4923</v>
      </c>
    </row>
    <row r="2081" spans="1:14">
      <c r="A2081">
        <v>7769</v>
      </c>
      <c r="B2081" t="s">
        <v>2951</v>
      </c>
      <c r="C2081">
        <v>5625</v>
      </c>
      <c r="D2081">
        <v>5225</v>
      </c>
      <c r="E2081" s="178">
        <v>-555</v>
      </c>
      <c r="F2081" s="176">
        <v>-9.6</v>
      </c>
      <c r="G2081" t="s">
        <v>6921</v>
      </c>
      <c r="H2081">
        <v>1033</v>
      </c>
      <c r="I2081">
        <v>893</v>
      </c>
      <c r="J2081">
        <v>17.989999999999998</v>
      </c>
      <c r="K2081">
        <v>5625</v>
      </c>
      <c r="L2081">
        <v>5205</v>
      </c>
      <c r="M2081" s="175">
        <v>0.56999999999999995</v>
      </c>
      <c r="N2081" t="s">
        <v>4924</v>
      </c>
    </row>
    <row r="2082" spans="1:14">
      <c r="A2082">
        <v>7770</v>
      </c>
      <c r="B2082" t="s">
        <v>2957</v>
      </c>
      <c r="C2082">
        <v>39</v>
      </c>
      <c r="D2082">
        <v>38.65</v>
      </c>
      <c r="E2082" s="178">
        <v>-0.45</v>
      </c>
      <c r="F2082" s="176">
        <v>-1.1499999999999999</v>
      </c>
      <c r="G2082" t="s">
        <v>6494</v>
      </c>
      <c r="H2082">
        <v>18</v>
      </c>
      <c r="I2082">
        <v>16</v>
      </c>
      <c r="J2082">
        <v>3.01</v>
      </c>
      <c r="K2082">
        <v>39</v>
      </c>
      <c r="L2082">
        <v>38.5</v>
      </c>
      <c r="M2082" s="175">
        <v>0.06</v>
      </c>
      <c r="N2082" t="s">
        <v>4925</v>
      </c>
    </row>
    <row r="2083" spans="1:14">
      <c r="A2083">
        <v>7772</v>
      </c>
      <c r="B2083" t="s">
        <v>3167</v>
      </c>
      <c r="C2083">
        <v>134</v>
      </c>
      <c r="D2083">
        <v>127</v>
      </c>
      <c r="E2083" s="178">
        <v>-10.5</v>
      </c>
      <c r="F2083" s="176">
        <v>-7.64</v>
      </c>
      <c r="G2083" t="s">
        <v>5361</v>
      </c>
      <c r="H2083">
        <v>50</v>
      </c>
      <c r="I2083">
        <v>376</v>
      </c>
      <c r="J2083">
        <v>2.65</v>
      </c>
      <c r="K2083">
        <v>134</v>
      </c>
      <c r="L2083">
        <v>126</v>
      </c>
      <c r="M2083" s="175">
        <v>0.19</v>
      </c>
      <c r="N2083" t="s">
        <v>4926</v>
      </c>
    </row>
    <row r="2084" spans="1:14">
      <c r="A2084">
        <v>7777</v>
      </c>
      <c r="B2084" t="s">
        <v>2968</v>
      </c>
      <c r="C2084">
        <v>35.85</v>
      </c>
      <c r="D2084">
        <v>34.799999999999997</v>
      </c>
      <c r="E2084" s="178">
        <v>-1</v>
      </c>
      <c r="F2084" s="176">
        <v>-2.79</v>
      </c>
      <c r="G2084" t="s">
        <v>6922</v>
      </c>
      <c r="H2084">
        <v>1437</v>
      </c>
      <c r="I2084">
        <v>952</v>
      </c>
      <c r="J2084">
        <v>20.260000000000002</v>
      </c>
      <c r="K2084">
        <v>35.9</v>
      </c>
      <c r="L2084">
        <v>34.75</v>
      </c>
      <c r="M2084" s="175">
        <v>0.71</v>
      </c>
      <c r="N2084" t="s">
        <v>4927</v>
      </c>
    </row>
    <row r="2085" spans="1:14">
      <c r="A2085">
        <v>7780</v>
      </c>
      <c r="B2085" t="s">
        <v>3018</v>
      </c>
      <c r="C2085">
        <v>16.2</v>
      </c>
      <c r="D2085">
        <v>16.05</v>
      </c>
      <c r="E2085" s="178">
        <v>-0.15</v>
      </c>
      <c r="F2085" s="176">
        <v>-0.93</v>
      </c>
      <c r="G2085" t="s">
        <v>6923</v>
      </c>
      <c r="H2085">
        <v>992</v>
      </c>
      <c r="I2085">
        <v>1083</v>
      </c>
      <c r="J2085">
        <v>8.1</v>
      </c>
      <c r="K2085">
        <v>16.2</v>
      </c>
      <c r="L2085">
        <v>15.95</v>
      </c>
      <c r="M2085" s="175">
        <v>0.12</v>
      </c>
      <c r="N2085" t="s">
        <v>4928</v>
      </c>
    </row>
    <row r="2086" spans="1:14">
      <c r="A2086">
        <v>7782</v>
      </c>
      <c r="B2086" t="s">
        <v>2932</v>
      </c>
      <c r="C2086">
        <v>25</v>
      </c>
      <c r="D2086">
        <v>25</v>
      </c>
      <c r="E2086" s="178">
        <v>0</v>
      </c>
      <c r="F2086" s="176">
        <v>0</v>
      </c>
      <c r="G2086" t="s">
        <v>5735</v>
      </c>
      <c r="H2086">
        <v>1</v>
      </c>
      <c r="I2086">
        <v>9</v>
      </c>
      <c r="J2086">
        <v>2.3199999999999998</v>
      </c>
      <c r="K2086">
        <v>25</v>
      </c>
      <c r="L2086">
        <v>25</v>
      </c>
      <c r="M2086" s="175">
        <v>0</v>
      </c>
      <c r="N2086" t="s">
        <v>4929</v>
      </c>
    </row>
    <row r="2087" spans="1:14">
      <c r="A2087">
        <v>7786</v>
      </c>
      <c r="B2087" t="s">
        <v>2941</v>
      </c>
      <c r="C2087">
        <v>117</v>
      </c>
      <c r="D2087">
        <v>115.5</v>
      </c>
      <c r="E2087" s="178">
        <v>-2</v>
      </c>
      <c r="F2087" s="176">
        <v>-1.7</v>
      </c>
      <c r="G2087" t="s">
        <v>6924</v>
      </c>
      <c r="H2087">
        <v>205</v>
      </c>
      <c r="I2087">
        <v>115</v>
      </c>
      <c r="J2087">
        <v>17.600000000000001</v>
      </c>
      <c r="K2087">
        <v>119</v>
      </c>
      <c r="L2087">
        <v>115.5</v>
      </c>
      <c r="M2087" s="175">
        <v>0.12</v>
      </c>
      <c r="N2087" t="s">
        <v>4930</v>
      </c>
    </row>
    <row r="2088" spans="1:14">
      <c r="A2088">
        <v>7788</v>
      </c>
      <c r="B2088" t="s">
        <v>2921</v>
      </c>
      <c r="C2088">
        <v>289.5</v>
      </c>
      <c r="D2088">
        <v>283</v>
      </c>
      <c r="E2088" s="178">
        <v>-21.5</v>
      </c>
      <c r="F2088" s="176">
        <v>-7.06</v>
      </c>
      <c r="G2088" t="s">
        <v>6925</v>
      </c>
      <c r="H2088">
        <v>1850</v>
      </c>
      <c r="I2088">
        <v>2579</v>
      </c>
      <c r="J2088">
        <v>7.97</v>
      </c>
      <c r="K2088">
        <v>298</v>
      </c>
      <c r="L2088">
        <v>282</v>
      </c>
      <c r="M2088" s="175">
        <v>2.3199999999999998</v>
      </c>
      <c r="N2088" t="s">
        <v>4931</v>
      </c>
    </row>
    <row r="2089" spans="1:14">
      <c r="A2089">
        <v>7791</v>
      </c>
      <c r="B2089" t="s">
        <v>2933</v>
      </c>
      <c r="C2089">
        <v>50.1</v>
      </c>
      <c r="D2089">
        <v>50</v>
      </c>
      <c r="E2089" s="178">
        <v>-0.3</v>
      </c>
      <c r="F2089" s="176">
        <v>-0.6</v>
      </c>
      <c r="G2089" t="s">
        <v>6926</v>
      </c>
      <c r="H2089">
        <v>100</v>
      </c>
      <c r="I2089">
        <v>85</v>
      </c>
      <c r="J2089">
        <v>8</v>
      </c>
      <c r="K2089">
        <v>50.7</v>
      </c>
      <c r="L2089">
        <v>49.35</v>
      </c>
      <c r="M2089" s="175">
        <v>0.13</v>
      </c>
      <c r="N2089" t="s">
        <v>4932</v>
      </c>
    </row>
    <row r="2090" spans="1:14">
      <c r="A2090">
        <v>7792</v>
      </c>
      <c r="B2090" t="s">
        <v>3039</v>
      </c>
      <c r="C2090">
        <v>380</v>
      </c>
      <c r="D2090">
        <v>367.5</v>
      </c>
      <c r="E2090" s="178">
        <v>-24.5</v>
      </c>
      <c r="F2090" s="176">
        <v>-6.25</v>
      </c>
      <c r="G2090" t="s">
        <v>6185</v>
      </c>
      <c r="H2090">
        <v>690</v>
      </c>
      <c r="I2090">
        <v>942</v>
      </c>
      <c r="J2090">
        <v>4.67</v>
      </c>
      <c r="K2090">
        <v>383</v>
      </c>
      <c r="L2090">
        <v>367.5</v>
      </c>
      <c r="M2090" s="175">
        <v>1.48</v>
      </c>
      <c r="N2090" t="s">
        <v>4933</v>
      </c>
    </row>
    <row r="2091" spans="1:14">
      <c r="A2091">
        <v>7794</v>
      </c>
      <c r="B2091" t="s">
        <v>3123</v>
      </c>
      <c r="C2091">
        <v>29</v>
      </c>
      <c r="D2091">
        <v>28.7</v>
      </c>
      <c r="E2091" s="178">
        <v>-0.45</v>
      </c>
      <c r="F2091" s="176">
        <v>-1.54</v>
      </c>
      <c r="G2091" t="s">
        <v>5212</v>
      </c>
      <c r="H2091">
        <v>41</v>
      </c>
      <c r="I2091">
        <v>36</v>
      </c>
      <c r="J2091">
        <v>2.8</v>
      </c>
      <c r="K2091">
        <v>29.05</v>
      </c>
      <c r="L2091">
        <v>28.7</v>
      </c>
      <c r="M2091" s="175">
        <v>0.15</v>
      </c>
      <c r="N2091" t="s">
        <v>4934</v>
      </c>
    </row>
    <row r="2092" spans="1:14">
      <c r="A2092">
        <v>7795</v>
      </c>
      <c r="B2092" t="s">
        <v>3019</v>
      </c>
      <c r="C2092">
        <v>510</v>
      </c>
      <c r="D2092">
        <v>486.5</v>
      </c>
      <c r="E2092" s="178">
        <v>-43.5</v>
      </c>
      <c r="F2092" s="176">
        <v>-8.2100000000000009</v>
      </c>
      <c r="G2092" t="s">
        <v>5514</v>
      </c>
      <c r="H2092">
        <v>819</v>
      </c>
      <c r="I2092">
        <v>581</v>
      </c>
      <c r="J2092">
        <v>7.88</v>
      </c>
      <c r="K2092">
        <v>510</v>
      </c>
      <c r="L2092">
        <v>481.5</v>
      </c>
      <c r="M2092" s="175">
        <v>1.04</v>
      </c>
      <c r="N2092" t="s">
        <v>4935</v>
      </c>
    </row>
    <row r="2093" spans="1:14">
      <c r="A2093" s="186">
        <v>7799</v>
      </c>
      <c r="B2093" t="s">
        <v>2882</v>
      </c>
      <c r="C2093">
        <v>472</v>
      </c>
      <c r="D2093">
        <v>447</v>
      </c>
      <c r="E2093" s="178">
        <v>-24</v>
      </c>
      <c r="F2093" s="176">
        <v>-5.0999999999999996</v>
      </c>
      <c r="G2093" t="s">
        <v>5628</v>
      </c>
      <c r="H2093">
        <v>803</v>
      </c>
      <c r="I2093">
        <v>701</v>
      </c>
      <c r="J2093">
        <v>15.97</v>
      </c>
      <c r="K2093">
        <v>473</v>
      </c>
      <c r="L2093">
        <v>440</v>
      </c>
      <c r="M2093" s="175">
        <v>0.51</v>
      </c>
      <c r="N2093" t="s">
        <v>4936</v>
      </c>
    </row>
    <row r="2094" spans="1:14">
      <c r="A2094" s="186">
        <v>7805</v>
      </c>
      <c r="B2094" t="s">
        <v>2969</v>
      </c>
      <c r="C2094">
        <v>475</v>
      </c>
      <c r="D2094">
        <v>468.5</v>
      </c>
      <c r="E2094" s="178">
        <v>-16</v>
      </c>
      <c r="F2094" s="176">
        <v>-3.3</v>
      </c>
      <c r="G2094" t="s">
        <v>6927</v>
      </c>
      <c r="H2094">
        <v>49</v>
      </c>
      <c r="I2094">
        <v>73</v>
      </c>
      <c r="J2094">
        <v>3.98</v>
      </c>
      <c r="K2094">
        <v>476</v>
      </c>
      <c r="L2094">
        <v>468</v>
      </c>
      <c r="M2094" s="175">
        <v>0.12</v>
      </c>
      <c r="N2094" t="s">
        <v>4937</v>
      </c>
    </row>
    <row r="2095" spans="1:14">
      <c r="A2095" s="186">
        <v>7806</v>
      </c>
      <c r="B2095" t="s">
        <v>6928</v>
      </c>
      <c r="C2095">
        <v>56</v>
      </c>
      <c r="D2095">
        <v>56.1</v>
      </c>
      <c r="E2095" s="178">
        <v>1.1000000000000001</v>
      </c>
      <c r="F2095" s="176">
        <v>2</v>
      </c>
      <c r="G2095" t="s">
        <v>6929</v>
      </c>
      <c r="H2095">
        <v>343</v>
      </c>
      <c r="I2095">
        <v>0</v>
      </c>
      <c r="J2095">
        <v>3.23</v>
      </c>
      <c r="K2095">
        <v>58.5</v>
      </c>
      <c r="L2095">
        <v>55.2</v>
      </c>
      <c r="M2095" s="175">
        <v>1.06</v>
      </c>
      <c r="N2095" t="s">
        <v>6930</v>
      </c>
    </row>
    <row r="2096" spans="1:14">
      <c r="A2096" s="186">
        <v>7810</v>
      </c>
      <c r="B2096" t="s">
        <v>2970</v>
      </c>
      <c r="C2096">
        <v>230</v>
      </c>
      <c r="D2096">
        <v>232</v>
      </c>
      <c r="E2096" s="178">
        <v>-2.5</v>
      </c>
      <c r="F2096" s="176">
        <v>-1.07</v>
      </c>
      <c r="G2096" t="s">
        <v>6931</v>
      </c>
      <c r="H2096">
        <v>78</v>
      </c>
      <c r="I2096">
        <v>106</v>
      </c>
      <c r="J2096">
        <v>2.0299999999999998</v>
      </c>
      <c r="K2096">
        <v>232</v>
      </c>
      <c r="L2096">
        <v>228</v>
      </c>
      <c r="M2096" s="175">
        <v>0.39</v>
      </c>
      <c r="N2096" t="s">
        <v>4938</v>
      </c>
    </row>
    <row r="2097" spans="1:14">
      <c r="A2097" s="186">
        <v>7811</v>
      </c>
      <c r="B2097" t="s">
        <v>3087</v>
      </c>
      <c r="C2097">
        <v>73</v>
      </c>
      <c r="D2097">
        <v>73</v>
      </c>
      <c r="E2097" s="178">
        <v>0</v>
      </c>
      <c r="F2097" s="176">
        <v>0</v>
      </c>
      <c r="G2097" t="s">
        <v>5998</v>
      </c>
      <c r="H2097">
        <v>5</v>
      </c>
      <c r="I2097">
        <v>6</v>
      </c>
      <c r="J2097">
        <v>3.34</v>
      </c>
      <c r="K2097">
        <v>73</v>
      </c>
      <c r="L2097">
        <v>73</v>
      </c>
      <c r="M2097" s="175">
        <v>0.01</v>
      </c>
      <c r="N2097" t="s">
        <v>4939</v>
      </c>
    </row>
    <row r="2098" spans="1:14">
      <c r="A2098" s="186">
        <v>7814</v>
      </c>
      <c r="B2098" t="s">
        <v>3215</v>
      </c>
      <c r="C2098">
        <v>28.05</v>
      </c>
      <c r="D2098">
        <v>27.9</v>
      </c>
      <c r="E2098" s="178">
        <v>-0.6</v>
      </c>
      <c r="F2098" s="176">
        <v>-2.11</v>
      </c>
      <c r="G2098" t="s">
        <v>6718</v>
      </c>
      <c r="H2098">
        <v>21</v>
      </c>
      <c r="I2098">
        <v>10</v>
      </c>
      <c r="J2098">
        <v>4.5</v>
      </c>
      <c r="K2098">
        <v>28.05</v>
      </c>
      <c r="L2098">
        <v>27.9</v>
      </c>
      <c r="M2098" s="175">
        <v>0.05</v>
      </c>
      <c r="N2098" t="s">
        <v>4940</v>
      </c>
    </row>
    <row r="2099" spans="1:14">
      <c r="A2099" s="186">
        <v>7818</v>
      </c>
      <c r="B2099" t="s">
        <v>3177</v>
      </c>
      <c r="C2099">
        <v>60</v>
      </c>
      <c r="D2099">
        <v>59.8</v>
      </c>
      <c r="E2099" s="178">
        <v>-0.2</v>
      </c>
      <c r="F2099" s="176">
        <v>-0.33</v>
      </c>
      <c r="G2099" t="s">
        <v>6023</v>
      </c>
      <c r="H2099">
        <v>72</v>
      </c>
      <c r="I2099">
        <v>44</v>
      </c>
      <c r="J2099">
        <v>16.489999999999998</v>
      </c>
      <c r="K2099">
        <v>60</v>
      </c>
      <c r="L2099">
        <v>59</v>
      </c>
      <c r="M2099" s="175">
        <v>0.04</v>
      </c>
      <c r="N2099" t="s">
        <v>4941</v>
      </c>
    </row>
    <row r="2100" spans="1:14">
      <c r="A2100" s="186">
        <v>7819</v>
      </c>
      <c r="B2100" t="s">
        <v>3179</v>
      </c>
      <c r="C2100">
        <v>33.35</v>
      </c>
      <c r="D2100">
        <v>32.9</v>
      </c>
      <c r="E2100" s="178">
        <v>-0.3</v>
      </c>
      <c r="F2100" s="176">
        <v>-0.9</v>
      </c>
      <c r="G2100" t="s">
        <v>6932</v>
      </c>
      <c r="H2100">
        <v>17</v>
      </c>
      <c r="I2100">
        <v>21</v>
      </c>
      <c r="J2100">
        <v>2.5299999999999998</v>
      </c>
      <c r="K2100">
        <v>33.5</v>
      </c>
      <c r="L2100">
        <v>32.65</v>
      </c>
      <c r="M2100" s="175">
        <v>7.0000000000000007E-2</v>
      </c>
      <c r="N2100" t="s">
        <v>4942</v>
      </c>
    </row>
    <row r="2101" spans="1:14">
      <c r="A2101" s="186">
        <v>7820</v>
      </c>
      <c r="B2101" t="s">
        <v>3157</v>
      </c>
      <c r="C2101">
        <v>100.5</v>
      </c>
      <c r="D2101">
        <v>101</v>
      </c>
      <c r="E2101" s="178">
        <v>-3</v>
      </c>
      <c r="F2101" s="176">
        <v>-2.88</v>
      </c>
      <c r="G2101" t="s">
        <v>5306</v>
      </c>
      <c r="H2101">
        <v>20</v>
      </c>
      <c r="I2101">
        <v>12</v>
      </c>
      <c r="J2101">
        <v>3.78</v>
      </c>
      <c r="K2101">
        <v>101</v>
      </c>
      <c r="L2101">
        <v>100</v>
      </c>
      <c r="M2101" s="175">
        <v>0.05</v>
      </c>
      <c r="N2101" t="s">
        <v>5150</v>
      </c>
    </row>
    <row r="2102" spans="1:14">
      <c r="A2102" s="186">
        <v>7821</v>
      </c>
      <c r="B2102" t="s">
        <v>3124</v>
      </c>
      <c r="C2102">
        <v>36.049999999999997</v>
      </c>
      <c r="D2102">
        <v>35.950000000000003</v>
      </c>
      <c r="E2102" s="178">
        <v>-0.4</v>
      </c>
      <c r="F2102" s="176">
        <v>-1.1000000000000001</v>
      </c>
      <c r="G2102" t="s">
        <v>5566</v>
      </c>
      <c r="H2102">
        <v>114</v>
      </c>
      <c r="I2102">
        <v>131</v>
      </c>
      <c r="J2102">
        <v>12.24</v>
      </c>
      <c r="K2102">
        <v>36.25</v>
      </c>
      <c r="L2102">
        <v>35.9</v>
      </c>
      <c r="M2102" s="175">
        <v>0.09</v>
      </c>
      <c r="N2102" t="s">
        <v>4943</v>
      </c>
    </row>
    <row r="2103" spans="1:14">
      <c r="A2103" s="186">
        <v>7822</v>
      </c>
      <c r="B2103" t="s">
        <v>3097</v>
      </c>
      <c r="C2103">
        <v>849</v>
      </c>
      <c r="D2103">
        <v>820</v>
      </c>
      <c r="E2103" s="178">
        <v>-71</v>
      </c>
      <c r="F2103" s="176">
        <v>-7.97</v>
      </c>
      <c r="G2103" t="s">
        <v>6453</v>
      </c>
      <c r="H2103">
        <v>283</v>
      </c>
      <c r="I2103">
        <v>229</v>
      </c>
      <c r="J2103">
        <v>4.5599999999999996</v>
      </c>
      <c r="K2103">
        <v>864</v>
      </c>
      <c r="L2103">
        <v>820</v>
      </c>
      <c r="M2103" s="175">
        <v>0.62</v>
      </c>
      <c r="N2103" t="s">
        <v>4944</v>
      </c>
    </row>
    <row r="2104" spans="1:14">
      <c r="A2104" s="186">
        <v>7825</v>
      </c>
      <c r="B2104" t="s">
        <v>5156</v>
      </c>
      <c r="C2104">
        <v>69.5</v>
      </c>
      <c r="D2104">
        <v>66.8</v>
      </c>
      <c r="E2104" s="178">
        <v>-3.8</v>
      </c>
      <c r="F2104" s="176">
        <v>-5.38</v>
      </c>
      <c r="G2104" t="s">
        <v>5728</v>
      </c>
      <c r="H2104">
        <v>198</v>
      </c>
      <c r="I2104">
        <v>156</v>
      </c>
      <c r="J2104">
        <v>2.56</v>
      </c>
      <c r="K2104">
        <v>69.5</v>
      </c>
      <c r="L2104">
        <v>66</v>
      </c>
      <c r="M2104" s="175">
        <v>0.77</v>
      </c>
      <c r="N2104" t="s">
        <v>5157</v>
      </c>
    </row>
    <row r="2105" spans="1:14">
      <c r="A2105" s="186">
        <v>7828</v>
      </c>
      <c r="B2105" t="s">
        <v>3129</v>
      </c>
      <c r="C2105">
        <v>1600</v>
      </c>
      <c r="D2105">
        <v>1605</v>
      </c>
      <c r="E2105" s="178">
        <v>-105</v>
      </c>
      <c r="F2105" s="176">
        <v>-6.14</v>
      </c>
      <c r="G2105" t="s">
        <v>5333</v>
      </c>
      <c r="H2105">
        <v>162</v>
      </c>
      <c r="I2105">
        <v>209</v>
      </c>
      <c r="J2105">
        <v>4.05</v>
      </c>
      <c r="K2105">
        <v>1650</v>
      </c>
      <c r="L2105">
        <v>1600</v>
      </c>
      <c r="M2105" s="175">
        <v>0.4</v>
      </c>
      <c r="N2105" t="s">
        <v>4945</v>
      </c>
    </row>
    <row r="2106" spans="1:14">
      <c r="A2106" s="186">
        <v>7839</v>
      </c>
      <c r="B2106" t="s">
        <v>3190</v>
      </c>
      <c r="C2106">
        <v>44.25</v>
      </c>
      <c r="D2106">
        <v>44.55</v>
      </c>
      <c r="E2106" s="178">
        <v>0.3</v>
      </c>
      <c r="F2106" s="176">
        <v>0.68</v>
      </c>
      <c r="G2106" t="s">
        <v>5439</v>
      </c>
      <c r="H2106">
        <v>6</v>
      </c>
      <c r="I2106">
        <v>6</v>
      </c>
      <c r="J2106">
        <v>1.51</v>
      </c>
      <c r="K2106">
        <v>44.75</v>
      </c>
      <c r="L2106">
        <v>44.25</v>
      </c>
      <c r="M2106" s="175">
        <v>0.04</v>
      </c>
      <c r="N2106" t="s">
        <v>4946</v>
      </c>
    </row>
    <row r="2107" spans="1:14">
      <c r="A2107" s="186">
        <v>7842</v>
      </c>
      <c r="B2107" t="s">
        <v>3172</v>
      </c>
      <c r="C2107">
        <v>99.7</v>
      </c>
      <c r="D2107">
        <v>96.2</v>
      </c>
      <c r="E2107" s="178">
        <v>-1.8</v>
      </c>
      <c r="F2107" s="176">
        <v>-1.84</v>
      </c>
      <c r="G2107" t="s">
        <v>6033</v>
      </c>
      <c r="H2107">
        <v>8</v>
      </c>
      <c r="I2107">
        <v>9</v>
      </c>
      <c r="J2107">
        <v>1.83</v>
      </c>
      <c r="K2107">
        <v>99.7</v>
      </c>
      <c r="L2107">
        <v>96.2</v>
      </c>
      <c r="M2107" s="175">
        <v>0.04</v>
      </c>
      <c r="N2107" t="s">
        <v>4947</v>
      </c>
    </row>
    <row r="2108" spans="1:14">
      <c r="A2108" s="186">
        <v>7855</v>
      </c>
      <c r="B2108" t="s">
        <v>3250</v>
      </c>
      <c r="C2108">
        <v>41.9</v>
      </c>
      <c r="D2108">
        <v>41.6</v>
      </c>
      <c r="E2108" s="178">
        <v>-0.35</v>
      </c>
      <c r="F2108" s="176">
        <v>-0.83</v>
      </c>
      <c r="G2108" t="s">
        <v>6933</v>
      </c>
      <c r="H2108">
        <v>427</v>
      </c>
      <c r="I2108">
        <v>352</v>
      </c>
      <c r="J2108">
        <v>27.73</v>
      </c>
      <c r="K2108">
        <v>41.95</v>
      </c>
      <c r="L2108">
        <v>41.55</v>
      </c>
      <c r="M2108" s="175">
        <v>0.15</v>
      </c>
      <c r="N2108" t="s">
        <v>4948</v>
      </c>
    </row>
    <row r="2109" spans="1:14">
      <c r="A2109" s="186">
        <v>7856</v>
      </c>
      <c r="B2109" t="s">
        <v>5214</v>
      </c>
      <c r="C2109">
        <v>3570</v>
      </c>
      <c r="D2109">
        <v>3300</v>
      </c>
      <c r="E2109" s="178">
        <v>-365</v>
      </c>
      <c r="F2109" s="176">
        <v>-9.9600000000000009</v>
      </c>
      <c r="G2109" t="s">
        <v>6619</v>
      </c>
      <c r="H2109">
        <v>485</v>
      </c>
      <c r="I2109">
        <v>564</v>
      </c>
      <c r="J2109">
        <v>3.3</v>
      </c>
      <c r="K2109">
        <v>3585</v>
      </c>
      <c r="L2109">
        <v>3300</v>
      </c>
      <c r="M2109" s="175">
        <v>1.47</v>
      </c>
      <c r="N2109" t="s">
        <v>5215</v>
      </c>
    </row>
    <row r="2110" spans="1:14">
      <c r="A2110" s="186">
        <v>8011</v>
      </c>
      <c r="B2110" t="s">
        <v>2081</v>
      </c>
      <c r="C2110">
        <v>16.5</v>
      </c>
      <c r="D2110">
        <v>16.149999999999999</v>
      </c>
      <c r="E2110" s="178">
        <v>-0.4</v>
      </c>
      <c r="F2110" s="176">
        <v>-2.42</v>
      </c>
      <c r="G2110" t="s">
        <v>5603</v>
      </c>
      <c r="H2110">
        <v>370</v>
      </c>
      <c r="I2110">
        <v>654</v>
      </c>
      <c r="J2110">
        <v>16.59</v>
      </c>
      <c r="K2110">
        <v>16.5</v>
      </c>
      <c r="L2110">
        <v>16.05</v>
      </c>
      <c r="M2110" s="175">
        <v>0.22</v>
      </c>
      <c r="N2110" t="s">
        <v>4949</v>
      </c>
    </row>
    <row r="2111" spans="1:14">
      <c r="A2111" s="186">
        <v>8016</v>
      </c>
      <c r="B2111" t="s">
        <v>2082</v>
      </c>
      <c r="C2111">
        <v>296</v>
      </c>
      <c r="D2111">
        <v>298</v>
      </c>
      <c r="E2111" s="178">
        <v>-2</v>
      </c>
      <c r="F2111" s="176">
        <v>-0.67</v>
      </c>
      <c r="G2111" t="s">
        <v>5535</v>
      </c>
      <c r="H2111">
        <v>877</v>
      </c>
      <c r="I2111">
        <v>571</v>
      </c>
      <c r="J2111">
        <v>12.01</v>
      </c>
      <c r="K2111">
        <v>301</v>
      </c>
      <c r="L2111">
        <v>294</v>
      </c>
      <c r="M2111" s="175">
        <v>0.73</v>
      </c>
      <c r="N2111" t="s">
        <v>4950</v>
      </c>
    </row>
    <row r="2112" spans="1:14">
      <c r="A2112" s="186">
        <v>8021</v>
      </c>
      <c r="B2112" t="s">
        <v>2083</v>
      </c>
      <c r="C2112">
        <v>503</v>
      </c>
      <c r="D2112">
        <v>506</v>
      </c>
      <c r="E2112" s="178">
        <v>-31</v>
      </c>
      <c r="F2112" s="176">
        <v>-5.77</v>
      </c>
      <c r="G2112" t="s">
        <v>6934</v>
      </c>
      <c r="H2112">
        <v>1064</v>
      </c>
      <c r="I2112">
        <v>4116</v>
      </c>
      <c r="J2112">
        <v>15.14</v>
      </c>
      <c r="K2112">
        <v>520</v>
      </c>
      <c r="L2112">
        <v>496</v>
      </c>
      <c r="M2112" s="175">
        <v>0.7</v>
      </c>
      <c r="N2112" t="s">
        <v>4951</v>
      </c>
    </row>
    <row r="2113" spans="1:14">
      <c r="A2113" s="186">
        <v>8024</v>
      </c>
      <c r="B2113" t="s">
        <v>2084</v>
      </c>
      <c r="C2113">
        <v>12.5</v>
      </c>
      <c r="D2113">
        <v>12.35</v>
      </c>
      <c r="E2113" s="178">
        <v>-0.35</v>
      </c>
      <c r="F2113" s="176">
        <v>-2.76</v>
      </c>
      <c r="G2113" t="s">
        <v>5544</v>
      </c>
      <c r="H2113">
        <v>47</v>
      </c>
      <c r="I2113">
        <v>137</v>
      </c>
      <c r="J2113">
        <v>4.5199999999999996</v>
      </c>
      <c r="K2113">
        <v>12.5</v>
      </c>
      <c r="L2113">
        <v>12.1</v>
      </c>
      <c r="M2113" s="175">
        <v>0.1</v>
      </c>
      <c r="N2113" t="s">
        <v>4952</v>
      </c>
    </row>
    <row r="2114" spans="1:14">
      <c r="A2114" s="186">
        <v>8027</v>
      </c>
      <c r="B2114" t="s">
        <v>2085</v>
      </c>
      <c r="C2114">
        <v>193</v>
      </c>
      <c r="D2114">
        <v>185</v>
      </c>
      <c r="E2114" s="178">
        <v>-15</v>
      </c>
      <c r="F2114" s="176">
        <v>-7.5</v>
      </c>
      <c r="G2114" t="s">
        <v>6641</v>
      </c>
      <c r="H2114">
        <v>2174</v>
      </c>
      <c r="I2114">
        <v>1980</v>
      </c>
      <c r="J2114">
        <v>11.31</v>
      </c>
      <c r="K2114">
        <v>194.5</v>
      </c>
      <c r="L2114">
        <v>184</v>
      </c>
      <c r="M2114" s="175">
        <v>1.92</v>
      </c>
      <c r="N2114" t="s">
        <v>4953</v>
      </c>
    </row>
    <row r="2115" spans="1:14">
      <c r="A2115" s="186">
        <v>8028</v>
      </c>
      <c r="B2115" t="s">
        <v>2086</v>
      </c>
      <c r="C2115">
        <v>269</v>
      </c>
      <c r="D2115">
        <v>256</v>
      </c>
      <c r="E2115" s="178">
        <v>-22.5</v>
      </c>
      <c r="F2115" s="176">
        <v>-8.08</v>
      </c>
      <c r="G2115" t="s">
        <v>5318</v>
      </c>
      <c r="H2115">
        <v>5135</v>
      </c>
      <c r="I2115">
        <v>3826</v>
      </c>
      <c r="J2115">
        <v>18.48</v>
      </c>
      <c r="K2115">
        <v>272</v>
      </c>
      <c r="L2115">
        <v>253</v>
      </c>
      <c r="M2115" s="175">
        <v>2.8</v>
      </c>
      <c r="N2115" t="s">
        <v>4954</v>
      </c>
    </row>
    <row r="2116" spans="1:14">
      <c r="A2116" s="186">
        <v>8032</v>
      </c>
      <c r="B2116" t="s">
        <v>2087</v>
      </c>
      <c r="C2116">
        <v>34.6</v>
      </c>
      <c r="D2116">
        <v>34.35</v>
      </c>
      <c r="E2116" s="178">
        <v>-0.65</v>
      </c>
      <c r="F2116" s="176">
        <v>-1.86</v>
      </c>
      <c r="G2116" t="s">
        <v>5373</v>
      </c>
      <c r="H2116">
        <v>51</v>
      </c>
      <c r="I2116">
        <v>41</v>
      </c>
      <c r="J2116">
        <v>5.18</v>
      </c>
      <c r="K2116">
        <v>34.85</v>
      </c>
      <c r="L2116">
        <v>34</v>
      </c>
      <c r="M2116" s="175">
        <v>0.1</v>
      </c>
      <c r="N2116" t="s">
        <v>4955</v>
      </c>
    </row>
    <row r="2117" spans="1:14">
      <c r="A2117" s="186">
        <v>8033</v>
      </c>
      <c r="B2117" t="s">
        <v>2088</v>
      </c>
      <c r="C2117">
        <v>164.5</v>
      </c>
      <c r="D2117">
        <v>158</v>
      </c>
      <c r="E2117" s="178">
        <v>-8.5</v>
      </c>
      <c r="F2117" s="176">
        <v>-5.1100000000000003</v>
      </c>
      <c r="G2117" t="s">
        <v>6251</v>
      </c>
      <c r="H2117">
        <v>2534</v>
      </c>
      <c r="I2117">
        <v>1843</v>
      </c>
      <c r="J2117">
        <v>16.46</v>
      </c>
      <c r="K2117">
        <v>165.5</v>
      </c>
      <c r="L2117">
        <v>157.5</v>
      </c>
      <c r="M2117" s="175">
        <v>1.54</v>
      </c>
      <c r="N2117" t="s">
        <v>4956</v>
      </c>
    </row>
    <row r="2118" spans="1:14">
      <c r="A2118" s="186">
        <v>8034</v>
      </c>
      <c r="B2118" t="s">
        <v>2639</v>
      </c>
      <c r="C2118">
        <v>19.2</v>
      </c>
      <c r="D2118">
        <v>19.2</v>
      </c>
      <c r="E2118" s="178">
        <v>-0.1</v>
      </c>
      <c r="F2118" s="176">
        <v>-0.52</v>
      </c>
      <c r="G2118" t="s">
        <v>6935</v>
      </c>
      <c r="H2118">
        <v>47</v>
      </c>
      <c r="I2118">
        <v>69</v>
      </c>
      <c r="J2118">
        <v>5.66</v>
      </c>
      <c r="K2118">
        <v>19.2</v>
      </c>
      <c r="L2118">
        <v>19</v>
      </c>
      <c r="M2118" s="175">
        <v>0.08</v>
      </c>
      <c r="N2118" t="s">
        <v>4957</v>
      </c>
    </row>
    <row r="2119" spans="1:14">
      <c r="A2119" s="186">
        <v>8038</v>
      </c>
      <c r="B2119" t="s">
        <v>2089</v>
      </c>
      <c r="C2119">
        <v>35.200000000000003</v>
      </c>
      <c r="D2119">
        <v>34.5</v>
      </c>
      <c r="E2119" s="178">
        <v>-0.45</v>
      </c>
      <c r="F2119" s="176">
        <v>-1.29</v>
      </c>
      <c r="G2119" t="s">
        <v>5855</v>
      </c>
      <c r="H2119">
        <v>212</v>
      </c>
      <c r="I2119">
        <v>266</v>
      </c>
      <c r="J2119">
        <v>6.23</v>
      </c>
      <c r="K2119">
        <v>35.200000000000003</v>
      </c>
      <c r="L2119">
        <v>33.700000000000003</v>
      </c>
      <c r="M2119" s="175">
        <v>0.34</v>
      </c>
      <c r="N2119" t="s">
        <v>4958</v>
      </c>
    </row>
    <row r="2120" spans="1:14">
      <c r="A2120" s="186">
        <v>8039</v>
      </c>
      <c r="B2120" t="s">
        <v>2090</v>
      </c>
      <c r="C2120">
        <v>307.5</v>
      </c>
      <c r="D2120">
        <v>283.5</v>
      </c>
      <c r="E2120" s="178">
        <v>-19.5</v>
      </c>
      <c r="F2120" s="176">
        <v>-6.44</v>
      </c>
      <c r="G2120" t="s">
        <v>6936</v>
      </c>
      <c r="H2120">
        <v>102543</v>
      </c>
      <c r="I2120">
        <v>25827</v>
      </c>
      <c r="J2120">
        <v>26.39</v>
      </c>
      <c r="K2120">
        <v>326.5</v>
      </c>
      <c r="L2120">
        <v>283.5</v>
      </c>
      <c r="M2120" s="175">
        <v>38.869999999999997</v>
      </c>
      <c r="N2120" t="s">
        <v>4959</v>
      </c>
    </row>
    <row r="2121" spans="1:14">
      <c r="A2121" s="186">
        <v>8040</v>
      </c>
      <c r="B2121" t="s">
        <v>2091</v>
      </c>
      <c r="C2121">
        <v>81.5</v>
      </c>
      <c r="D2121">
        <v>81.099999999999994</v>
      </c>
      <c r="E2121" s="178">
        <v>-5.0999999999999996</v>
      </c>
      <c r="F2121" s="176">
        <v>-5.92</v>
      </c>
      <c r="G2121" t="s">
        <v>6937</v>
      </c>
      <c r="H2121">
        <v>890</v>
      </c>
      <c r="I2121">
        <v>1057</v>
      </c>
      <c r="J2121">
        <v>9.64</v>
      </c>
      <c r="K2121">
        <v>83.4</v>
      </c>
      <c r="L2121">
        <v>80.7</v>
      </c>
      <c r="M2121" s="175">
        <v>0.92</v>
      </c>
      <c r="N2121" t="s">
        <v>4960</v>
      </c>
    </row>
    <row r="2122" spans="1:14">
      <c r="A2122" s="186">
        <v>8042</v>
      </c>
      <c r="B2122" t="s">
        <v>2092</v>
      </c>
      <c r="C2122">
        <v>151</v>
      </c>
      <c r="D2122">
        <v>148</v>
      </c>
      <c r="E2122" s="178">
        <v>-10</v>
      </c>
      <c r="F2122" s="176">
        <v>-6.33</v>
      </c>
      <c r="G2122" t="s">
        <v>6938</v>
      </c>
      <c r="H2122">
        <v>30957</v>
      </c>
      <c r="I2122">
        <v>27608</v>
      </c>
      <c r="J2122">
        <v>14.29</v>
      </c>
      <c r="K2122">
        <v>166</v>
      </c>
      <c r="L2122">
        <v>147</v>
      </c>
      <c r="M2122" s="175">
        <v>21.67</v>
      </c>
      <c r="N2122" t="s">
        <v>4961</v>
      </c>
    </row>
    <row r="2123" spans="1:14">
      <c r="A2123" s="186">
        <v>8043</v>
      </c>
      <c r="B2123" t="s">
        <v>2093</v>
      </c>
      <c r="C2123">
        <v>146.5</v>
      </c>
      <c r="D2123">
        <v>140.5</v>
      </c>
      <c r="E2123" s="178">
        <v>-10</v>
      </c>
      <c r="F2123" s="176">
        <v>-6.64</v>
      </c>
      <c r="G2123" t="s">
        <v>6939</v>
      </c>
      <c r="H2123">
        <v>14195</v>
      </c>
      <c r="I2123">
        <v>4444</v>
      </c>
      <c r="J2123">
        <v>7.99</v>
      </c>
      <c r="K2123">
        <v>156</v>
      </c>
      <c r="L2123">
        <v>140.5</v>
      </c>
      <c r="M2123" s="175">
        <v>17.760000000000002</v>
      </c>
      <c r="N2123" t="s">
        <v>4962</v>
      </c>
    </row>
    <row r="2124" spans="1:14">
      <c r="A2124" s="186">
        <v>8044</v>
      </c>
      <c r="B2124" t="s">
        <v>2094</v>
      </c>
      <c r="C2124">
        <v>25.3</v>
      </c>
      <c r="D2124">
        <v>25.75</v>
      </c>
      <c r="E2124" s="178">
        <v>0.2</v>
      </c>
      <c r="F2124" s="176">
        <v>0.78</v>
      </c>
      <c r="G2124" t="s">
        <v>6940</v>
      </c>
      <c r="H2124">
        <v>1428</v>
      </c>
      <c r="I2124">
        <v>471</v>
      </c>
      <c r="J2124">
        <v>20.48</v>
      </c>
      <c r="K2124">
        <v>26.4</v>
      </c>
      <c r="L2124">
        <v>25.1</v>
      </c>
      <c r="M2124" s="175">
        <v>0.7</v>
      </c>
      <c r="N2124" t="s">
        <v>4963</v>
      </c>
    </row>
    <row r="2125" spans="1:14">
      <c r="A2125" s="186">
        <v>8045</v>
      </c>
      <c r="B2125" t="s">
        <v>2692</v>
      </c>
      <c r="C2125">
        <v>55.5</v>
      </c>
      <c r="D2125">
        <v>54.6</v>
      </c>
      <c r="E2125" s="178">
        <v>-1.5</v>
      </c>
      <c r="F2125" s="176">
        <v>-2.67</v>
      </c>
      <c r="G2125" t="s">
        <v>6023</v>
      </c>
      <c r="H2125">
        <v>78</v>
      </c>
      <c r="I2125">
        <v>105</v>
      </c>
      <c r="J2125">
        <v>9.5</v>
      </c>
      <c r="K2125">
        <v>56</v>
      </c>
      <c r="L2125">
        <v>54.4</v>
      </c>
      <c r="M2125" s="175">
        <v>0.08</v>
      </c>
      <c r="N2125" t="s">
        <v>4964</v>
      </c>
    </row>
    <row r="2126" spans="1:14">
      <c r="A2126" s="186">
        <v>8046</v>
      </c>
      <c r="B2126" t="s">
        <v>2095</v>
      </c>
      <c r="C2126">
        <v>1345</v>
      </c>
      <c r="D2126">
        <v>1345</v>
      </c>
      <c r="E2126" s="178">
        <v>-85</v>
      </c>
      <c r="F2126" s="176">
        <v>-5.94</v>
      </c>
      <c r="G2126" t="s">
        <v>6941</v>
      </c>
      <c r="H2126">
        <v>10203</v>
      </c>
      <c r="I2126">
        <v>7129</v>
      </c>
      <c r="J2126">
        <v>64.62</v>
      </c>
      <c r="K2126">
        <v>1385</v>
      </c>
      <c r="L2126">
        <v>1320</v>
      </c>
      <c r="M2126" s="175">
        <v>1.58</v>
      </c>
      <c r="N2126" t="s">
        <v>4965</v>
      </c>
    </row>
    <row r="2127" spans="1:14">
      <c r="A2127" s="186">
        <v>8048</v>
      </c>
      <c r="B2127" t="s">
        <v>2096</v>
      </c>
      <c r="C2127">
        <v>51</v>
      </c>
      <c r="D2127">
        <v>51.9</v>
      </c>
      <c r="E2127" s="178">
        <v>-0.2</v>
      </c>
      <c r="F2127" s="176">
        <v>-0.38</v>
      </c>
      <c r="G2127" t="s">
        <v>5811</v>
      </c>
      <c r="H2127">
        <v>67</v>
      </c>
      <c r="I2127">
        <v>125</v>
      </c>
      <c r="J2127">
        <v>5.94</v>
      </c>
      <c r="K2127">
        <v>51.9</v>
      </c>
      <c r="L2127">
        <v>50.4</v>
      </c>
      <c r="M2127" s="175">
        <v>0.11</v>
      </c>
      <c r="N2127" t="s">
        <v>4966</v>
      </c>
    </row>
    <row r="2128" spans="1:14">
      <c r="A2128" s="186">
        <v>8049</v>
      </c>
      <c r="B2128" t="s">
        <v>2097</v>
      </c>
      <c r="C2128">
        <v>24.3</v>
      </c>
      <c r="D2128">
        <v>24.2</v>
      </c>
      <c r="E2128" s="178">
        <v>-0.2</v>
      </c>
      <c r="F2128" s="176">
        <v>-0.82</v>
      </c>
      <c r="G2128" t="s">
        <v>6241</v>
      </c>
      <c r="H2128">
        <v>241</v>
      </c>
      <c r="I2128">
        <v>101</v>
      </c>
      <c r="J2128">
        <v>11.83</v>
      </c>
      <c r="K2128">
        <v>24.4</v>
      </c>
      <c r="L2128">
        <v>24.1</v>
      </c>
      <c r="M2128" s="175">
        <v>0.2</v>
      </c>
      <c r="N2128" t="s">
        <v>4967</v>
      </c>
    </row>
    <row r="2129" spans="1:14">
      <c r="A2129" s="186">
        <v>8050</v>
      </c>
      <c r="B2129" t="s">
        <v>2098</v>
      </c>
      <c r="C2129">
        <v>65.5</v>
      </c>
      <c r="D2129">
        <v>65.2</v>
      </c>
      <c r="E2129" s="178">
        <v>-1.9</v>
      </c>
      <c r="F2129" s="176">
        <v>-2.83</v>
      </c>
      <c r="G2129" t="s">
        <v>5718</v>
      </c>
      <c r="H2129">
        <v>4391</v>
      </c>
      <c r="I2129">
        <v>6385</v>
      </c>
      <c r="J2129">
        <v>20.52</v>
      </c>
      <c r="K2129">
        <v>67.7</v>
      </c>
      <c r="L2129">
        <v>64.3</v>
      </c>
      <c r="M2129" s="175">
        <v>2.14</v>
      </c>
      <c r="N2129" t="s">
        <v>4968</v>
      </c>
    </row>
    <row r="2130" spans="1:14">
      <c r="A2130" s="186">
        <v>8054</v>
      </c>
      <c r="B2130" t="s">
        <v>2099</v>
      </c>
      <c r="C2130">
        <v>76.3</v>
      </c>
      <c r="D2130">
        <v>74.099999999999994</v>
      </c>
      <c r="E2130" s="178">
        <v>-4</v>
      </c>
      <c r="F2130" s="176">
        <v>-5.12</v>
      </c>
      <c r="G2130" t="s">
        <v>6540</v>
      </c>
      <c r="H2130">
        <v>1334</v>
      </c>
      <c r="I2130">
        <v>1157</v>
      </c>
      <c r="J2130">
        <v>10.87</v>
      </c>
      <c r="K2130">
        <v>76.900000000000006</v>
      </c>
      <c r="L2130">
        <v>73.599999999999994</v>
      </c>
      <c r="M2130" s="175">
        <v>1.23</v>
      </c>
      <c r="N2130" t="s">
        <v>4969</v>
      </c>
    </row>
    <row r="2131" spans="1:14">
      <c r="A2131" s="186">
        <v>8059</v>
      </c>
      <c r="B2131" t="s">
        <v>5197</v>
      </c>
      <c r="C2131">
        <v>17.5</v>
      </c>
      <c r="D2131">
        <v>17</v>
      </c>
      <c r="E2131" s="178">
        <v>-0.7</v>
      </c>
      <c r="F2131" s="176">
        <v>-3.95</v>
      </c>
      <c r="G2131" t="s">
        <v>5643</v>
      </c>
      <c r="H2131">
        <v>103</v>
      </c>
      <c r="I2131">
        <v>114</v>
      </c>
      <c r="J2131">
        <v>11.65</v>
      </c>
      <c r="K2131">
        <v>17.5</v>
      </c>
      <c r="L2131">
        <v>17</v>
      </c>
      <c r="M2131" s="175">
        <v>0.09</v>
      </c>
      <c r="N2131" t="s">
        <v>5198</v>
      </c>
    </row>
    <row r="2132" spans="1:14">
      <c r="A2132" s="186">
        <v>8064</v>
      </c>
      <c r="B2132" t="s">
        <v>2100</v>
      </c>
      <c r="C2132">
        <v>118.5</v>
      </c>
      <c r="D2132">
        <v>116.5</v>
      </c>
      <c r="E2132" s="178">
        <v>-7</v>
      </c>
      <c r="F2132" s="176">
        <v>-5.67</v>
      </c>
      <c r="G2132" t="s">
        <v>5488</v>
      </c>
      <c r="H2132">
        <v>3296</v>
      </c>
      <c r="I2132">
        <v>3509</v>
      </c>
      <c r="J2132">
        <v>18.48</v>
      </c>
      <c r="K2132">
        <v>120</v>
      </c>
      <c r="L2132">
        <v>114.5</v>
      </c>
      <c r="M2132" s="175">
        <v>1.78</v>
      </c>
      <c r="N2132" t="s">
        <v>4970</v>
      </c>
    </row>
    <row r="2133" spans="1:14">
      <c r="A2133" s="186">
        <v>8066</v>
      </c>
      <c r="B2133" t="s">
        <v>2101</v>
      </c>
      <c r="C2133">
        <v>14.9</v>
      </c>
      <c r="D2133">
        <v>14.9</v>
      </c>
      <c r="E2133" s="178">
        <v>-0.25</v>
      </c>
      <c r="F2133" s="176">
        <v>-1.65</v>
      </c>
      <c r="G2133" t="s">
        <v>6942</v>
      </c>
      <c r="H2133">
        <v>1</v>
      </c>
      <c r="I2133">
        <v>31</v>
      </c>
      <c r="J2133">
        <v>3.66</v>
      </c>
      <c r="K2133">
        <v>14.9</v>
      </c>
      <c r="L2133">
        <v>14.9</v>
      </c>
      <c r="M2133" s="175">
        <v>0</v>
      </c>
      <c r="N2133" t="s">
        <v>4971</v>
      </c>
    </row>
    <row r="2134" spans="1:14">
      <c r="A2134" s="186">
        <v>8067</v>
      </c>
      <c r="B2134" t="s">
        <v>2102</v>
      </c>
      <c r="C2134">
        <v>11.15</v>
      </c>
      <c r="D2134">
        <v>11.1</v>
      </c>
      <c r="E2134" s="178">
        <v>0</v>
      </c>
      <c r="F2134" s="176">
        <v>0</v>
      </c>
      <c r="G2134" t="s">
        <v>6943</v>
      </c>
      <c r="H2134">
        <v>14</v>
      </c>
      <c r="I2134">
        <v>3</v>
      </c>
      <c r="J2134">
        <v>2.0699999999999998</v>
      </c>
      <c r="K2134">
        <v>11.15</v>
      </c>
      <c r="L2134">
        <v>11.05</v>
      </c>
      <c r="M2134" s="175">
        <v>7.0000000000000007E-2</v>
      </c>
      <c r="N2134" t="s">
        <v>4972</v>
      </c>
    </row>
    <row r="2135" spans="1:14">
      <c r="A2135" s="186">
        <v>8068</v>
      </c>
      <c r="B2135" t="s">
        <v>2103</v>
      </c>
      <c r="C2135">
        <v>18.600000000000001</v>
      </c>
      <c r="D2135">
        <v>18.25</v>
      </c>
      <c r="E2135" s="178">
        <v>-0.7</v>
      </c>
      <c r="F2135" s="176">
        <v>-3.69</v>
      </c>
      <c r="G2135" t="s">
        <v>5518</v>
      </c>
      <c r="H2135">
        <v>256</v>
      </c>
      <c r="I2135">
        <v>819</v>
      </c>
      <c r="J2135">
        <v>8.08</v>
      </c>
      <c r="K2135">
        <v>18.600000000000001</v>
      </c>
      <c r="L2135">
        <v>18.05</v>
      </c>
      <c r="M2135" s="175">
        <v>0.32</v>
      </c>
      <c r="N2135" t="s">
        <v>4973</v>
      </c>
    </row>
    <row r="2136" spans="1:14">
      <c r="A2136" s="186">
        <v>8069</v>
      </c>
      <c r="B2136" t="s">
        <v>2104</v>
      </c>
      <c r="C2136">
        <v>148.5</v>
      </c>
      <c r="D2136">
        <v>146.5</v>
      </c>
      <c r="E2136" s="178">
        <v>-5</v>
      </c>
      <c r="F2136" s="176">
        <v>-3.3</v>
      </c>
      <c r="G2136" t="s">
        <v>5527</v>
      </c>
      <c r="H2136">
        <v>7963</v>
      </c>
      <c r="I2136">
        <v>6957</v>
      </c>
      <c r="J2136">
        <v>115.5</v>
      </c>
      <c r="K2136">
        <v>152</v>
      </c>
      <c r="L2136">
        <v>146</v>
      </c>
      <c r="M2136" s="175">
        <v>0.69</v>
      </c>
      <c r="N2136" t="s">
        <v>4974</v>
      </c>
    </row>
    <row r="2137" spans="1:14">
      <c r="A2137" s="186">
        <v>8070</v>
      </c>
      <c r="B2137" t="s">
        <v>2105</v>
      </c>
      <c r="C2137">
        <v>51</v>
      </c>
      <c r="D2137">
        <v>51.5</v>
      </c>
      <c r="E2137" s="178">
        <v>-0.7</v>
      </c>
      <c r="F2137" s="176">
        <v>-1.34</v>
      </c>
      <c r="G2137" t="s">
        <v>5827</v>
      </c>
      <c r="H2137">
        <v>2471</v>
      </c>
      <c r="I2137">
        <v>2829</v>
      </c>
      <c r="J2137">
        <v>7.26</v>
      </c>
      <c r="K2137">
        <v>51.9</v>
      </c>
      <c r="L2137">
        <v>50.7</v>
      </c>
      <c r="M2137" s="175">
        <v>0.34</v>
      </c>
      <c r="N2137" t="s">
        <v>4975</v>
      </c>
    </row>
    <row r="2138" spans="1:14">
      <c r="A2138" s="186">
        <v>8071</v>
      </c>
      <c r="B2138" t="s">
        <v>2106</v>
      </c>
      <c r="C2138">
        <v>21.25</v>
      </c>
      <c r="D2138">
        <v>20.55</v>
      </c>
      <c r="E2138" s="178">
        <v>-0.75</v>
      </c>
      <c r="F2138" s="176">
        <v>-3.52</v>
      </c>
      <c r="G2138" t="s">
        <v>6944</v>
      </c>
      <c r="H2138">
        <v>452</v>
      </c>
      <c r="I2138">
        <v>246</v>
      </c>
      <c r="J2138">
        <v>6.01</v>
      </c>
      <c r="K2138">
        <v>21.25</v>
      </c>
      <c r="L2138">
        <v>20.45</v>
      </c>
      <c r="M2138" s="175">
        <v>0.75</v>
      </c>
      <c r="N2138" t="s">
        <v>4976</v>
      </c>
    </row>
    <row r="2139" spans="1:14">
      <c r="A2139" s="186">
        <v>8072</v>
      </c>
      <c r="B2139" t="s">
        <v>2107</v>
      </c>
      <c r="C2139">
        <v>26.5</v>
      </c>
      <c r="D2139">
        <v>26.55</v>
      </c>
      <c r="E2139" s="178">
        <v>-0.05</v>
      </c>
      <c r="F2139" s="176">
        <v>-0.19</v>
      </c>
      <c r="G2139" t="s">
        <v>5332</v>
      </c>
      <c r="H2139">
        <v>127</v>
      </c>
      <c r="I2139">
        <v>84</v>
      </c>
      <c r="J2139">
        <v>8</v>
      </c>
      <c r="K2139">
        <v>26.6</v>
      </c>
      <c r="L2139">
        <v>26.05</v>
      </c>
      <c r="M2139" s="175">
        <v>0.16</v>
      </c>
      <c r="N2139" t="s">
        <v>4977</v>
      </c>
    </row>
    <row r="2140" spans="1:14">
      <c r="A2140" s="186">
        <v>8074</v>
      </c>
      <c r="B2140" t="s">
        <v>2108</v>
      </c>
      <c r="C2140">
        <v>54.4</v>
      </c>
      <c r="D2140">
        <v>53.2</v>
      </c>
      <c r="E2140" s="178">
        <v>-3.2</v>
      </c>
      <c r="F2140" s="176">
        <v>-5.67</v>
      </c>
      <c r="G2140" t="s">
        <v>5683</v>
      </c>
      <c r="H2140">
        <v>508</v>
      </c>
      <c r="I2140">
        <v>874</v>
      </c>
      <c r="J2140">
        <v>8.6999999999999993</v>
      </c>
      <c r="K2140">
        <v>55.2</v>
      </c>
      <c r="L2140">
        <v>53.2</v>
      </c>
      <c r="M2140" s="175">
        <v>0.57999999999999996</v>
      </c>
      <c r="N2140" t="s">
        <v>4978</v>
      </c>
    </row>
    <row r="2141" spans="1:14">
      <c r="A2141" s="186">
        <v>8076</v>
      </c>
      <c r="B2141" t="s">
        <v>2109</v>
      </c>
      <c r="C2141">
        <v>20.9</v>
      </c>
      <c r="D2141">
        <v>20.5</v>
      </c>
      <c r="E2141" s="178">
        <v>-0.45</v>
      </c>
      <c r="F2141" s="176">
        <v>-2.15</v>
      </c>
      <c r="G2141" t="s">
        <v>5611</v>
      </c>
      <c r="H2141">
        <v>560</v>
      </c>
      <c r="I2141">
        <v>561</v>
      </c>
      <c r="J2141">
        <v>29.22</v>
      </c>
      <c r="K2141">
        <v>20.9</v>
      </c>
      <c r="L2141">
        <v>20.45</v>
      </c>
      <c r="M2141" s="175">
        <v>0.19</v>
      </c>
      <c r="N2141" t="s">
        <v>5316</v>
      </c>
    </row>
    <row r="2142" spans="1:14">
      <c r="A2142" s="186">
        <v>8077</v>
      </c>
      <c r="B2142" t="s">
        <v>2110</v>
      </c>
      <c r="C2142">
        <v>40.549999999999997</v>
      </c>
      <c r="D2142">
        <v>40.549999999999997</v>
      </c>
      <c r="E2142" s="178">
        <v>-0.15</v>
      </c>
      <c r="F2142" s="176">
        <v>-0.37</v>
      </c>
      <c r="G2142" t="s">
        <v>6945</v>
      </c>
      <c r="H2142">
        <v>5</v>
      </c>
      <c r="I2142">
        <v>8</v>
      </c>
      <c r="J2142">
        <v>2.19</v>
      </c>
      <c r="K2142">
        <v>40.700000000000003</v>
      </c>
      <c r="L2142">
        <v>40.549999999999997</v>
      </c>
      <c r="M2142" s="175">
        <v>0.02</v>
      </c>
      <c r="N2142" t="s">
        <v>4979</v>
      </c>
    </row>
    <row r="2143" spans="1:14">
      <c r="A2143" s="186">
        <v>8080</v>
      </c>
      <c r="B2143" t="s">
        <v>2717</v>
      </c>
      <c r="C2143">
        <v>27.8</v>
      </c>
      <c r="D2143">
        <v>27.5</v>
      </c>
      <c r="E2143" s="178">
        <v>-0.25</v>
      </c>
      <c r="F2143" s="176">
        <v>-0.9</v>
      </c>
      <c r="G2143" t="s">
        <v>5210</v>
      </c>
      <c r="H2143">
        <v>55</v>
      </c>
      <c r="I2143">
        <v>33</v>
      </c>
      <c r="J2143">
        <v>6.72</v>
      </c>
      <c r="K2143">
        <v>28</v>
      </c>
      <c r="L2143">
        <v>27.2</v>
      </c>
      <c r="M2143" s="175">
        <v>0.08</v>
      </c>
      <c r="N2143" t="s">
        <v>4980</v>
      </c>
    </row>
    <row r="2144" spans="1:14">
      <c r="A2144" s="186">
        <v>8081</v>
      </c>
      <c r="B2144" t="s">
        <v>2111</v>
      </c>
      <c r="C2144">
        <v>262.5</v>
      </c>
      <c r="D2144">
        <v>262.5</v>
      </c>
      <c r="E2144" s="178">
        <v>-4.5</v>
      </c>
      <c r="F2144" s="176">
        <v>-1.69</v>
      </c>
      <c r="G2144" t="s">
        <v>6735</v>
      </c>
      <c r="H2144">
        <v>922</v>
      </c>
      <c r="I2144">
        <v>440</v>
      </c>
      <c r="J2144">
        <v>8.6199999999999992</v>
      </c>
      <c r="K2144">
        <v>267</v>
      </c>
      <c r="L2144">
        <v>258</v>
      </c>
      <c r="M2144" s="175">
        <v>1.07</v>
      </c>
      <c r="N2144" t="s">
        <v>4981</v>
      </c>
    </row>
    <row r="2145" spans="1:14">
      <c r="A2145" s="186">
        <v>8083</v>
      </c>
      <c r="B2145" t="s">
        <v>2112</v>
      </c>
      <c r="C2145">
        <v>160</v>
      </c>
      <c r="D2145">
        <v>160</v>
      </c>
      <c r="E2145" s="178">
        <v>0</v>
      </c>
      <c r="F2145" s="176">
        <v>0</v>
      </c>
      <c r="G2145" t="s">
        <v>5223</v>
      </c>
      <c r="H2145">
        <v>13</v>
      </c>
      <c r="I2145">
        <v>57</v>
      </c>
      <c r="J2145">
        <v>3.51</v>
      </c>
      <c r="K2145">
        <v>160</v>
      </c>
      <c r="L2145">
        <v>159</v>
      </c>
      <c r="M2145" s="175">
        <v>0.04</v>
      </c>
      <c r="N2145" t="s">
        <v>4982</v>
      </c>
    </row>
    <row r="2146" spans="1:14">
      <c r="A2146" s="186">
        <v>8084</v>
      </c>
      <c r="B2146" t="s">
        <v>2113</v>
      </c>
      <c r="C2146">
        <v>13.9</v>
      </c>
      <c r="D2146">
        <v>13.45</v>
      </c>
      <c r="E2146" s="178">
        <v>-1.1000000000000001</v>
      </c>
      <c r="F2146" s="176">
        <v>-7.56</v>
      </c>
      <c r="G2146" t="s">
        <v>5434</v>
      </c>
      <c r="H2146">
        <v>378</v>
      </c>
      <c r="I2146">
        <v>1476</v>
      </c>
      <c r="J2146">
        <v>6.95</v>
      </c>
      <c r="K2146">
        <v>13.9</v>
      </c>
      <c r="L2146">
        <v>13.4</v>
      </c>
      <c r="M2146" s="175">
        <v>0.54</v>
      </c>
      <c r="N2146" t="s">
        <v>4983</v>
      </c>
    </row>
    <row r="2147" spans="1:14">
      <c r="A2147" s="186">
        <v>8085</v>
      </c>
      <c r="B2147" t="s">
        <v>2114</v>
      </c>
      <c r="C2147">
        <v>14.1</v>
      </c>
      <c r="D2147">
        <v>14.25</v>
      </c>
      <c r="E2147" s="178">
        <v>-0.1</v>
      </c>
      <c r="F2147" s="176">
        <v>-0.7</v>
      </c>
      <c r="G2147" t="s">
        <v>5473</v>
      </c>
      <c r="H2147">
        <v>191</v>
      </c>
      <c r="I2147">
        <v>197</v>
      </c>
      <c r="J2147">
        <v>14</v>
      </c>
      <c r="K2147">
        <v>14.3</v>
      </c>
      <c r="L2147">
        <v>14</v>
      </c>
      <c r="M2147" s="175">
        <v>0.14000000000000001</v>
      </c>
      <c r="N2147" t="s">
        <v>4984</v>
      </c>
    </row>
    <row r="2148" spans="1:14">
      <c r="A2148" s="186">
        <v>8086</v>
      </c>
      <c r="B2148" t="s">
        <v>2115</v>
      </c>
      <c r="C2148">
        <v>132</v>
      </c>
      <c r="D2148">
        <v>130</v>
      </c>
      <c r="E2148" s="178">
        <v>-11</v>
      </c>
      <c r="F2148" s="176">
        <v>-7.8</v>
      </c>
      <c r="G2148" t="s">
        <v>6946</v>
      </c>
      <c r="H2148">
        <v>15533</v>
      </c>
      <c r="I2148">
        <v>25139</v>
      </c>
      <c r="J2148">
        <v>19.649999999999999</v>
      </c>
      <c r="K2148">
        <v>134</v>
      </c>
      <c r="L2148">
        <v>127</v>
      </c>
      <c r="M2148" s="175">
        <v>7.9</v>
      </c>
      <c r="N2148" t="s">
        <v>4985</v>
      </c>
    </row>
    <row r="2149" spans="1:14">
      <c r="A2149" s="186">
        <v>8087</v>
      </c>
      <c r="B2149" t="s">
        <v>2626</v>
      </c>
      <c r="C2149">
        <v>22.6</v>
      </c>
      <c r="D2149">
        <v>23.1</v>
      </c>
      <c r="E2149" s="178">
        <v>-0.4</v>
      </c>
      <c r="F2149" s="176">
        <v>-1.7</v>
      </c>
      <c r="G2149" t="s">
        <v>6947</v>
      </c>
      <c r="H2149">
        <v>43</v>
      </c>
      <c r="I2149">
        <v>13</v>
      </c>
      <c r="J2149">
        <v>3.86</v>
      </c>
      <c r="K2149">
        <v>23.75</v>
      </c>
      <c r="L2149">
        <v>22.6</v>
      </c>
      <c r="M2149" s="175">
        <v>0.11</v>
      </c>
      <c r="N2149" t="s">
        <v>4986</v>
      </c>
    </row>
    <row r="2150" spans="1:14">
      <c r="A2150" s="186">
        <v>8088</v>
      </c>
      <c r="B2150" t="s">
        <v>2116</v>
      </c>
      <c r="C2150">
        <v>43.6</v>
      </c>
      <c r="D2150">
        <v>42</v>
      </c>
      <c r="E2150" s="178">
        <v>-1.9</v>
      </c>
      <c r="F2150" s="176">
        <v>-4.33</v>
      </c>
      <c r="G2150" t="s">
        <v>6948</v>
      </c>
      <c r="H2150">
        <v>411</v>
      </c>
      <c r="I2150">
        <v>405</v>
      </c>
      <c r="J2150">
        <v>6.09</v>
      </c>
      <c r="K2150">
        <v>43.6</v>
      </c>
      <c r="L2150">
        <v>41.95</v>
      </c>
      <c r="M2150" s="175">
        <v>0.67</v>
      </c>
      <c r="N2150" t="s">
        <v>4987</v>
      </c>
    </row>
    <row r="2151" spans="1:14">
      <c r="A2151" s="186">
        <v>8089</v>
      </c>
      <c r="B2151" t="s">
        <v>2117</v>
      </c>
      <c r="C2151">
        <v>20.75</v>
      </c>
      <c r="D2151">
        <v>20</v>
      </c>
      <c r="E2151" s="178">
        <v>-0.75</v>
      </c>
      <c r="F2151" s="176">
        <v>-3.61</v>
      </c>
      <c r="G2151" t="s">
        <v>5553</v>
      </c>
      <c r="H2151">
        <v>216</v>
      </c>
      <c r="I2151">
        <v>275</v>
      </c>
      <c r="J2151">
        <v>6.6</v>
      </c>
      <c r="K2151">
        <v>20.75</v>
      </c>
      <c r="L2151">
        <v>19.95</v>
      </c>
      <c r="M2151" s="175">
        <v>0.33</v>
      </c>
      <c r="N2151" t="s">
        <v>4988</v>
      </c>
    </row>
    <row r="2152" spans="1:14">
      <c r="A2152" s="186">
        <v>8091</v>
      </c>
      <c r="B2152" t="s">
        <v>2118</v>
      </c>
      <c r="C2152">
        <v>217</v>
      </c>
      <c r="D2152">
        <v>210.5</v>
      </c>
      <c r="E2152" s="178">
        <v>-11</v>
      </c>
      <c r="F2152" s="176">
        <v>-4.97</v>
      </c>
      <c r="G2152" t="s">
        <v>5189</v>
      </c>
      <c r="H2152">
        <v>480</v>
      </c>
      <c r="I2152">
        <v>401</v>
      </c>
      <c r="J2152">
        <v>5.75</v>
      </c>
      <c r="K2152">
        <v>217.5</v>
      </c>
      <c r="L2152">
        <v>208.5</v>
      </c>
      <c r="M2152" s="175">
        <v>0.84</v>
      </c>
      <c r="N2152" t="s">
        <v>4989</v>
      </c>
    </row>
    <row r="2153" spans="1:14">
      <c r="A2153" s="186">
        <v>8092</v>
      </c>
      <c r="B2153" t="s">
        <v>2119</v>
      </c>
      <c r="C2153">
        <v>12.65</v>
      </c>
      <c r="D2153">
        <v>12.4</v>
      </c>
      <c r="E2153" s="178">
        <v>-0.25</v>
      </c>
      <c r="F2153" s="176">
        <v>-1.98</v>
      </c>
      <c r="G2153" t="s">
        <v>5625</v>
      </c>
      <c r="H2153">
        <v>40</v>
      </c>
      <c r="I2153">
        <v>176</v>
      </c>
      <c r="J2153">
        <v>5.72</v>
      </c>
      <c r="K2153">
        <v>12.65</v>
      </c>
      <c r="L2153">
        <v>12.4</v>
      </c>
      <c r="M2153" s="175">
        <v>7.0000000000000007E-2</v>
      </c>
      <c r="N2153" t="s">
        <v>4990</v>
      </c>
    </row>
    <row r="2154" spans="1:14">
      <c r="A2154" s="186">
        <v>8093</v>
      </c>
      <c r="B2154" t="s">
        <v>2986</v>
      </c>
      <c r="C2154">
        <v>27.35</v>
      </c>
      <c r="D2154">
        <v>27.45</v>
      </c>
      <c r="E2154" s="178">
        <v>-0.1</v>
      </c>
      <c r="F2154" s="176">
        <v>-0.36</v>
      </c>
      <c r="G2154" t="s">
        <v>5342</v>
      </c>
      <c r="H2154">
        <v>56</v>
      </c>
      <c r="I2154">
        <v>91</v>
      </c>
      <c r="J2154">
        <v>5.66</v>
      </c>
      <c r="K2154">
        <v>27.65</v>
      </c>
      <c r="L2154">
        <v>27</v>
      </c>
      <c r="M2154" s="175">
        <v>0.1</v>
      </c>
      <c r="N2154" t="s">
        <v>4991</v>
      </c>
    </row>
    <row r="2155" spans="1:14">
      <c r="A2155" s="186">
        <v>8096</v>
      </c>
      <c r="B2155" t="s">
        <v>2120</v>
      </c>
      <c r="C2155">
        <v>86.2</v>
      </c>
      <c r="D2155">
        <v>84.5</v>
      </c>
      <c r="E2155" s="178">
        <v>-4.7</v>
      </c>
      <c r="F2155" s="176">
        <v>-5.27</v>
      </c>
      <c r="G2155" t="s">
        <v>5309</v>
      </c>
      <c r="H2155">
        <v>2281</v>
      </c>
      <c r="I2155">
        <v>2192</v>
      </c>
      <c r="J2155">
        <v>14.93</v>
      </c>
      <c r="K2155">
        <v>86.7</v>
      </c>
      <c r="L2155">
        <v>84.5</v>
      </c>
      <c r="M2155" s="175">
        <v>1.53</v>
      </c>
      <c r="N2155" t="s">
        <v>4992</v>
      </c>
    </row>
    <row r="2156" spans="1:14">
      <c r="A2156" s="186">
        <v>8097</v>
      </c>
      <c r="B2156" t="s">
        <v>2121</v>
      </c>
      <c r="C2156">
        <v>48.2</v>
      </c>
      <c r="D2156">
        <v>48.15</v>
      </c>
      <c r="E2156" s="178">
        <v>-0.05</v>
      </c>
      <c r="F2156" s="176">
        <v>-0.1</v>
      </c>
      <c r="G2156" t="s">
        <v>5807</v>
      </c>
      <c r="H2156">
        <v>66</v>
      </c>
      <c r="I2156">
        <v>47</v>
      </c>
      <c r="J2156">
        <v>6.03</v>
      </c>
      <c r="K2156">
        <v>48.3</v>
      </c>
      <c r="L2156">
        <v>47.65</v>
      </c>
      <c r="M2156" s="175">
        <v>0.11</v>
      </c>
      <c r="N2156" t="s">
        <v>4993</v>
      </c>
    </row>
    <row r="2157" spans="1:14">
      <c r="A2157" s="186">
        <v>8099</v>
      </c>
      <c r="B2157" t="s">
        <v>126</v>
      </c>
      <c r="C2157">
        <v>62.6</v>
      </c>
      <c r="D2157">
        <v>64.8</v>
      </c>
      <c r="E2157" s="178">
        <v>1.8</v>
      </c>
      <c r="F2157" s="176">
        <v>2.86</v>
      </c>
      <c r="G2157" t="s">
        <v>6949</v>
      </c>
      <c r="H2157">
        <v>465</v>
      </c>
      <c r="I2157">
        <v>218</v>
      </c>
      <c r="J2157">
        <v>10.01</v>
      </c>
      <c r="K2157">
        <v>65.7</v>
      </c>
      <c r="L2157">
        <v>62.1</v>
      </c>
      <c r="M2157" s="175">
        <v>0.46</v>
      </c>
      <c r="N2157" t="s">
        <v>4994</v>
      </c>
    </row>
    <row r="2158" spans="1:14">
      <c r="A2158" s="186">
        <v>8101</v>
      </c>
      <c r="B2158" t="s">
        <v>2674</v>
      </c>
      <c r="C2158">
        <v>9.3000000000000007</v>
      </c>
      <c r="D2158">
        <v>9.6199999999999992</v>
      </c>
      <c r="E2158" s="178">
        <v>0.1</v>
      </c>
      <c r="F2158" s="176">
        <v>1.05</v>
      </c>
      <c r="G2158" t="s">
        <v>5498</v>
      </c>
      <c r="H2158">
        <v>28</v>
      </c>
      <c r="I2158">
        <v>13</v>
      </c>
      <c r="J2158">
        <v>5.37</v>
      </c>
      <c r="K2158">
        <v>10.1</v>
      </c>
      <c r="L2158">
        <v>9.3000000000000007</v>
      </c>
      <c r="M2158" s="175">
        <v>0.19</v>
      </c>
      <c r="N2158" t="s">
        <v>4995</v>
      </c>
    </row>
    <row r="2159" spans="1:14">
      <c r="A2159" s="186">
        <v>8102</v>
      </c>
      <c r="B2159" t="s">
        <v>2971</v>
      </c>
      <c r="C2159">
        <v>58.2</v>
      </c>
      <c r="D2159">
        <v>57.7</v>
      </c>
      <c r="E2159" s="178">
        <v>-0.5</v>
      </c>
      <c r="F2159" s="176">
        <v>-0.86</v>
      </c>
      <c r="G2159" t="s">
        <v>5721</v>
      </c>
      <c r="H2159">
        <v>4</v>
      </c>
      <c r="I2159">
        <v>9</v>
      </c>
      <c r="J2159">
        <v>2.34</v>
      </c>
      <c r="K2159">
        <v>58.2</v>
      </c>
      <c r="L2159">
        <v>57.7</v>
      </c>
      <c r="M2159" s="175">
        <v>0.02</v>
      </c>
      <c r="N2159" t="s">
        <v>4996</v>
      </c>
    </row>
    <row r="2160" spans="1:14">
      <c r="A2160" s="186">
        <v>8103</v>
      </c>
      <c r="B2160" t="s">
        <v>2952</v>
      </c>
      <c r="C2160">
        <v>108</v>
      </c>
      <c r="D2160">
        <v>103.5</v>
      </c>
      <c r="E2160" s="178">
        <v>-8.5</v>
      </c>
      <c r="F2160" s="176">
        <v>-7.59</v>
      </c>
      <c r="G2160" t="s">
        <v>5684</v>
      </c>
      <c r="H2160">
        <v>2511</v>
      </c>
      <c r="I2160">
        <v>2271</v>
      </c>
      <c r="J2160">
        <v>7.84</v>
      </c>
      <c r="K2160">
        <v>108</v>
      </c>
      <c r="L2160">
        <v>102.5</v>
      </c>
      <c r="M2160" s="175">
        <v>3.2</v>
      </c>
      <c r="N2160" t="s">
        <v>4997</v>
      </c>
    </row>
    <row r="2161" spans="1:14">
      <c r="A2161" s="186">
        <v>8104</v>
      </c>
      <c r="B2161" t="s">
        <v>2122</v>
      </c>
      <c r="C2161">
        <v>30.5</v>
      </c>
      <c r="D2161">
        <v>29.75</v>
      </c>
      <c r="E2161" s="178">
        <v>-0.8</v>
      </c>
      <c r="F2161" s="176">
        <v>-2.62</v>
      </c>
      <c r="G2161" t="s">
        <v>6950</v>
      </c>
      <c r="H2161">
        <v>345</v>
      </c>
      <c r="I2161">
        <v>216</v>
      </c>
      <c r="J2161">
        <v>10.41</v>
      </c>
      <c r="K2161">
        <v>30.5</v>
      </c>
      <c r="L2161">
        <v>29.55</v>
      </c>
      <c r="M2161" s="175">
        <v>0.33</v>
      </c>
      <c r="N2161" t="s">
        <v>4998</v>
      </c>
    </row>
    <row r="2162" spans="1:14">
      <c r="A2162" s="186">
        <v>8105</v>
      </c>
      <c r="B2162" t="s">
        <v>2123</v>
      </c>
      <c r="C2162">
        <v>14.75</v>
      </c>
      <c r="D2162">
        <v>14.55</v>
      </c>
      <c r="E2162" s="178">
        <v>-0.4</v>
      </c>
      <c r="F2162" s="176">
        <v>-2.68</v>
      </c>
      <c r="G2162" t="s">
        <v>6951</v>
      </c>
      <c r="H2162">
        <v>1591</v>
      </c>
      <c r="I2162">
        <v>1373</v>
      </c>
      <c r="J2162">
        <v>44.15</v>
      </c>
      <c r="K2162">
        <v>14.8</v>
      </c>
      <c r="L2162">
        <v>14.4</v>
      </c>
      <c r="M2162" s="175">
        <v>0.36</v>
      </c>
      <c r="N2162" t="s">
        <v>4999</v>
      </c>
    </row>
    <row r="2163" spans="1:14">
      <c r="A2163" s="186">
        <v>8107</v>
      </c>
      <c r="B2163" t="s">
        <v>2124</v>
      </c>
      <c r="C2163">
        <v>11.75</v>
      </c>
      <c r="D2163">
        <v>11.7</v>
      </c>
      <c r="E2163" s="178">
        <v>-0.05</v>
      </c>
      <c r="F2163" s="176">
        <v>-0.43</v>
      </c>
      <c r="G2163" t="s">
        <v>6888</v>
      </c>
      <c r="H2163">
        <v>31</v>
      </c>
      <c r="I2163">
        <v>23</v>
      </c>
      <c r="J2163">
        <v>7.5</v>
      </c>
      <c r="K2163">
        <v>11.8</v>
      </c>
      <c r="L2163">
        <v>11.7</v>
      </c>
      <c r="M2163" s="175">
        <v>0.04</v>
      </c>
      <c r="N2163" t="s">
        <v>5000</v>
      </c>
    </row>
    <row r="2164" spans="1:14">
      <c r="A2164" s="186">
        <v>8109</v>
      </c>
      <c r="B2164" t="s">
        <v>2125</v>
      </c>
      <c r="C2164">
        <v>135</v>
      </c>
      <c r="D2164">
        <v>133.5</v>
      </c>
      <c r="E2164" s="178">
        <v>-3</v>
      </c>
      <c r="F2164" s="176">
        <v>-2.2000000000000002</v>
      </c>
      <c r="G2164" t="s">
        <v>6952</v>
      </c>
      <c r="H2164">
        <v>202</v>
      </c>
      <c r="I2164">
        <v>199</v>
      </c>
      <c r="J2164">
        <v>8.2200000000000006</v>
      </c>
      <c r="K2164">
        <v>136</v>
      </c>
      <c r="L2164">
        <v>133.5</v>
      </c>
      <c r="M2164" s="175">
        <v>0.25</v>
      </c>
      <c r="N2164" t="s">
        <v>5001</v>
      </c>
    </row>
    <row r="2165" spans="1:14">
      <c r="A2165" s="186">
        <v>8110</v>
      </c>
      <c r="B2165" t="s">
        <v>2126</v>
      </c>
      <c r="C2165">
        <v>47</v>
      </c>
      <c r="D2165">
        <v>45.75</v>
      </c>
      <c r="E2165" s="178">
        <v>-2.75</v>
      </c>
      <c r="F2165" s="176">
        <v>-5.67</v>
      </c>
      <c r="G2165" t="s">
        <v>5319</v>
      </c>
      <c r="H2165">
        <v>4114</v>
      </c>
      <c r="I2165">
        <v>4324</v>
      </c>
      <c r="J2165">
        <v>51.77</v>
      </c>
      <c r="K2165">
        <v>47</v>
      </c>
      <c r="L2165">
        <v>45.5</v>
      </c>
      <c r="M2165" s="175">
        <v>0.79</v>
      </c>
      <c r="N2165" t="s">
        <v>5002</v>
      </c>
    </row>
    <row r="2166" spans="1:14">
      <c r="A2166" s="186">
        <v>8111</v>
      </c>
      <c r="B2166" t="s">
        <v>2127</v>
      </c>
      <c r="C2166">
        <v>82.4</v>
      </c>
      <c r="D2166">
        <v>82</v>
      </c>
      <c r="E2166" s="178">
        <v>-4</v>
      </c>
      <c r="F2166" s="176">
        <v>-4.6500000000000004</v>
      </c>
      <c r="G2166" t="s">
        <v>6953</v>
      </c>
      <c r="H2166">
        <v>7504</v>
      </c>
      <c r="I2166">
        <v>14356</v>
      </c>
      <c r="J2166">
        <v>10.91</v>
      </c>
      <c r="K2166">
        <v>86</v>
      </c>
      <c r="L2166">
        <v>81.7</v>
      </c>
      <c r="M2166" s="175">
        <v>6.88</v>
      </c>
      <c r="N2166" t="s">
        <v>5003</v>
      </c>
    </row>
    <row r="2167" spans="1:14">
      <c r="A2167" s="186">
        <v>8112</v>
      </c>
      <c r="B2167" t="s">
        <v>2128</v>
      </c>
      <c r="C2167">
        <v>84.3</v>
      </c>
      <c r="D2167">
        <v>83.7</v>
      </c>
      <c r="E2167" s="178">
        <v>-1.5</v>
      </c>
      <c r="F2167" s="176">
        <v>-1.76</v>
      </c>
      <c r="G2167" t="s">
        <v>6954</v>
      </c>
      <c r="H2167">
        <v>7017</v>
      </c>
      <c r="I2167">
        <v>5972</v>
      </c>
      <c r="J2167">
        <v>56.59</v>
      </c>
      <c r="K2167">
        <v>84.5</v>
      </c>
      <c r="L2167">
        <v>83.5</v>
      </c>
      <c r="M2167" s="175">
        <v>1.24</v>
      </c>
      <c r="N2167" t="s">
        <v>5004</v>
      </c>
    </row>
    <row r="2168" spans="1:14">
      <c r="A2168" s="186">
        <v>8114</v>
      </c>
      <c r="B2168" t="s">
        <v>2129</v>
      </c>
      <c r="C2168">
        <v>181</v>
      </c>
      <c r="D2168">
        <v>178.5</v>
      </c>
      <c r="E2168" s="178">
        <v>-4.5</v>
      </c>
      <c r="F2168" s="176">
        <v>-2.46</v>
      </c>
      <c r="G2168" t="s">
        <v>6955</v>
      </c>
      <c r="H2168">
        <v>316</v>
      </c>
      <c r="I2168">
        <v>373</v>
      </c>
      <c r="J2168">
        <v>10.79</v>
      </c>
      <c r="K2168">
        <v>181</v>
      </c>
      <c r="L2168">
        <v>178.5</v>
      </c>
      <c r="M2168" s="175">
        <v>0.41</v>
      </c>
      <c r="N2168" t="s">
        <v>5005</v>
      </c>
    </row>
    <row r="2169" spans="1:14">
      <c r="A2169" s="186">
        <v>8121</v>
      </c>
      <c r="B2169" t="s">
        <v>2130</v>
      </c>
      <c r="C2169">
        <v>32</v>
      </c>
      <c r="D2169">
        <v>31.1</v>
      </c>
      <c r="E2169" s="178">
        <v>-1.4</v>
      </c>
      <c r="F2169" s="176">
        <v>-4.3099999999999996</v>
      </c>
      <c r="G2169" t="s">
        <v>6956</v>
      </c>
      <c r="H2169">
        <v>820</v>
      </c>
      <c r="I2169">
        <v>1604</v>
      </c>
      <c r="J2169">
        <v>21.3</v>
      </c>
      <c r="K2169">
        <v>32</v>
      </c>
      <c r="L2169">
        <v>30.8</v>
      </c>
      <c r="M2169" s="175">
        <v>0.38</v>
      </c>
      <c r="N2169" t="s">
        <v>5006</v>
      </c>
    </row>
    <row r="2170" spans="1:14">
      <c r="A2170" s="186">
        <v>8131</v>
      </c>
      <c r="B2170" t="s">
        <v>2131</v>
      </c>
      <c r="C2170">
        <v>64.900000000000006</v>
      </c>
      <c r="D2170">
        <v>63</v>
      </c>
      <c r="E2170" s="178">
        <v>-3.9</v>
      </c>
      <c r="F2170" s="176">
        <v>-5.83</v>
      </c>
      <c r="G2170" t="s">
        <v>5284</v>
      </c>
      <c r="H2170">
        <v>3401</v>
      </c>
      <c r="I2170">
        <v>5921</v>
      </c>
      <c r="J2170">
        <v>44.22</v>
      </c>
      <c r="K2170">
        <v>65.099999999999994</v>
      </c>
      <c r="L2170">
        <v>62.2</v>
      </c>
      <c r="M2170" s="175">
        <v>0.77</v>
      </c>
      <c r="N2170" t="s">
        <v>5007</v>
      </c>
    </row>
    <row r="2171" spans="1:14">
      <c r="A2171" s="186">
        <v>8147</v>
      </c>
      <c r="B2171" t="s">
        <v>2132</v>
      </c>
      <c r="C2171">
        <v>139.5</v>
      </c>
      <c r="D2171">
        <v>132</v>
      </c>
      <c r="E2171" s="178">
        <v>-12.5</v>
      </c>
      <c r="F2171" s="176">
        <v>-8.65</v>
      </c>
      <c r="G2171" t="s">
        <v>6957</v>
      </c>
      <c r="H2171">
        <v>499</v>
      </c>
      <c r="I2171">
        <v>317</v>
      </c>
      <c r="J2171">
        <v>4.2300000000000004</v>
      </c>
      <c r="K2171">
        <v>140</v>
      </c>
      <c r="L2171">
        <v>132</v>
      </c>
      <c r="M2171" s="175">
        <v>1.18</v>
      </c>
      <c r="N2171" t="s">
        <v>5008</v>
      </c>
    </row>
    <row r="2172" spans="1:14">
      <c r="A2172" s="186">
        <v>8150</v>
      </c>
      <c r="B2172" t="s">
        <v>2133</v>
      </c>
      <c r="C2172">
        <v>111</v>
      </c>
      <c r="D2172">
        <v>105.5</v>
      </c>
      <c r="E2172" s="178">
        <v>-11.5</v>
      </c>
      <c r="F2172" s="176">
        <v>-9.83</v>
      </c>
      <c r="G2172" t="s">
        <v>6958</v>
      </c>
      <c r="H2172">
        <v>29355</v>
      </c>
      <c r="I2172">
        <v>31841</v>
      </c>
      <c r="J2172">
        <v>70.45</v>
      </c>
      <c r="K2172">
        <v>111</v>
      </c>
      <c r="L2172">
        <v>105.5</v>
      </c>
      <c r="M2172" s="175">
        <v>4.17</v>
      </c>
      <c r="N2172" t="s">
        <v>5009</v>
      </c>
    </row>
    <row r="2173" spans="1:14">
      <c r="A2173" s="186">
        <v>8155</v>
      </c>
      <c r="B2173" t="s">
        <v>2134</v>
      </c>
      <c r="C2173">
        <v>311.5</v>
      </c>
      <c r="D2173">
        <v>304</v>
      </c>
      <c r="E2173" s="178">
        <v>-16.5</v>
      </c>
      <c r="F2173" s="176">
        <v>-5.15</v>
      </c>
      <c r="G2173" t="s">
        <v>5384</v>
      </c>
      <c r="H2173">
        <v>645</v>
      </c>
      <c r="I2173">
        <v>568</v>
      </c>
      <c r="J2173">
        <v>6.29</v>
      </c>
      <c r="K2173">
        <v>313</v>
      </c>
      <c r="L2173">
        <v>301.5</v>
      </c>
      <c r="M2173" s="175">
        <v>1.03</v>
      </c>
      <c r="N2173" t="s">
        <v>5010</v>
      </c>
    </row>
    <row r="2174" spans="1:14">
      <c r="A2174" s="186">
        <v>8163</v>
      </c>
      <c r="B2174" t="s">
        <v>259</v>
      </c>
      <c r="C2174">
        <v>29.15</v>
      </c>
      <c r="D2174">
        <v>28.9</v>
      </c>
      <c r="E2174" s="178">
        <v>-0.65</v>
      </c>
      <c r="F2174" s="176">
        <v>-2.2000000000000002</v>
      </c>
      <c r="G2174" t="s">
        <v>6959</v>
      </c>
      <c r="H2174">
        <v>768</v>
      </c>
      <c r="I2174">
        <v>765</v>
      </c>
      <c r="J2174">
        <v>28</v>
      </c>
      <c r="K2174">
        <v>29.25</v>
      </c>
      <c r="L2174">
        <v>28.85</v>
      </c>
      <c r="M2174" s="175">
        <v>0.27</v>
      </c>
      <c r="N2174" t="s">
        <v>3612</v>
      </c>
    </row>
    <row r="2175" spans="1:14">
      <c r="A2175" s="186">
        <v>8171</v>
      </c>
      <c r="B2175" t="s">
        <v>312</v>
      </c>
      <c r="C2175">
        <v>21.55</v>
      </c>
      <c r="D2175">
        <v>21.3</v>
      </c>
      <c r="E2175" s="178">
        <v>-0.5</v>
      </c>
      <c r="F2175" s="176">
        <v>-2.29</v>
      </c>
      <c r="G2175" t="s">
        <v>5380</v>
      </c>
      <c r="H2175">
        <v>297</v>
      </c>
      <c r="I2175">
        <v>324</v>
      </c>
      <c r="J2175">
        <v>11.29</v>
      </c>
      <c r="K2175">
        <v>22.3</v>
      </c>
      <c r="L2175">
        <v>21.2</v>
      </c>
      <c r="M2175" s="175">
        <v>0.26</v>
      </c>
      <c r="N2175" t="s">
        <v>5011</v>
      </c>
    </row>
    <row r="2176" spans="1:14">
      <c r="A2176" s="186">
        <v>8176</v>
      </c>
      <c r="B2176" t="s">
        <v>2135</v>
      </c>
      <c r="C2176">
        <v>9.61</v>
      </c>
      <c r="D2176">
        <v>9.6</v>
      </c>
      <c r="E2176" s="178">
        <v>-0.01</v>
      </c>
      <c r="F2176" s="176">
        <v>-0.1</v>
      </c>
      <c r="G2176" t="s">
        <v>5732</v>
      </c>
      <c r="H2176">
        <v>145</v>
      </c>
      <c r="I2176">
        <v>97</v>
      </c>
      <c r="J2176">
        <v>7.17</v>
      </c>
      <c r="K2176">
        <v>9.6199999999999992</v>
      </c>
      <c r="L2176">
        <v>9.4700000000000006</v>
      </c>
      <c r="M2176" s="175">
        <v>0.2</v>
      </c>
      <c r="N2176" t="s">
        <v>5012</v>
      </c>
    </row>
    <row r="2177" spans="1:14">
      <c r="A2177" s="186">
        <v>8182</v>
      </c>
      <c r="B2177" t="s">
        <v>2136</v>
      </c>
      <c r="C2177">
        <v>40.799999999999997</v>
      </c>
      <c r="D2177">
        <v>39.700000000000003</v>
      </c>
      <c r="E2177" s="178">
        <v>-2.5</v>
      </c>
      <c r="F2177" s="176">
        <v>-5.92</v>
      </c>
      <c r="G2177" t="s">
        <v>6960</v>
      </c>
      <c r="H2177">
        <v>898</v>
      </c>
      <c r="I2177">
        <v>1486</v>
      </c>
      <c r="J2177">
        <v>10.7</v>
      </c>
      <c r="K2177">
        <v>41.9</v>
      </c>
      <c r="L2177">
        <v>39.700000000000003</v>
      </c>
      <c r="M2177" s="175">
        <v>0.84</v>
      </c>
      <c r="N2177" t="s">
        <v>5013</v>
      </c>
    </row>
    <row r="2178" spans="1:14">
      <c r="A2178" s="186">
        <v>8201</v>
      </c>
      <c r="B2178" t="s">
        <v>2137</v>
      </c>
      <c r="C2178">
        <v>15.8</v>
      </c>
      <c r="D2178">
        <v>14.95</v>
      </c>
      <c r="E2178" s="178">
        <v>-1.2</v>
      </c>
      <c r="F2178" s="176">
        <v>-7.43</v>
      </c>
      <c r="G2178" t="s">
        <v>6539</v>
      </c>
      <c r="H2178">
        <v>348</v>
      </c>
      <c r="I2178">
        <v>382</v>
      </c>
      <c r="J2178">
        <v>6.24</v>
      </c>
      <c r="K2178">
        <v>15.85</v>
      </c>
      <c r="L2178">
        <v>14.8</v>
      </c>
      <c r="M2178" s="175">
        <v>0.56000000000000005</v>
      </c>
      <c r="N2178" t="s">
        <v>5014</v>
      </c>
    </row>
    <row r="2179" spans="1:14">
      <c r="A2179" s="186">
        <v>8210</v>
      </c>
      <c r="B2179" t="s">
        <v>2138</v>
      </c>
      <c r="C2179">
        <v>835</v>
      </c>
      <c r="D2179">
        <v>833</v>
      </c>
      <c r="E2179" s="178">
        <v>-20</v>
      </c>
      <c r="F2179" s="176">
        <v>-2.34</v>
      </c>
      <c r="G2179" t="s">
        <v>6961</v>
      </c>
      <c r="H2179">
        <v>1589</v>
      </c>
      <c r="I2179">
        <v>1773</v>
      </c>
      <c r="J2179">
        <v>12.56</v>
      </c>
      <c r="K2179">
        <v>846</v>
      </c>
      <c r="L2179">
        <v>829</v>
      </c>
      <c r="M2179" s="175">
        <v>1.26</v>
      </c>
      <c r="N2179" t="s">
        <v>5015</v>
      </c>
    </row>
    <row r="2180" spans="1:14">
      <c r="A2180" s="186">
        <v>8213</v>
      </c>
      <c r="B2180" t="s">
        <v>2139</v>
      </c>
      <c r="C2180">
        <v>39.799999999999997</v>
      </c>
      <c r="D2180">
        <v>39</v>
      </c>
      <c r="E2180" s="178">
        <v>-1.65</v>
      </c>
      <c r="F2180" s="176">
        <v>-4.0599999999999996</v>
      </c>
      <c r="G2180" t="s">
        <v>5173</v>
      </c>
      <c r="H2180">
        <v>2928</v>
      </c>
      <c r="I2180">
        <v>4611</v>
      </c>
      <c r="J2180">
        <v>27.12</v>
      </c>
      <c r="K2180">
        <v>40</v>
      </c>
      <c r="L2180">
        <v>38.85</v>
      </c>
      <c r="M2180" s="175">
        <v>1.08</v>
      </c>
      <c r="N2180" t="s">
        <v>5016</v>
      </c>
    </row>
    <row r="2181" spans="1:14">
      <c r="A2181" s="186">
        <v>8215</v>
      </c>
      <c r="B2181" t="s">
        <v>2140</v>
      </c>
      <c r="C2181">
        <v>28.05</v>
      </c>
      <c r="D2181">
        <v>27.6</v>
      </c>
      <c r="E2181" s="178">
        <v>-0.85</v>
      </c>
      <c r="F2181" s="176">
        <v>-2.99</v>
      </c>
      <c r="G2181" t="s">
        <v>6962</v>
      </c>
      <c r="H2181">
        <v>772</v>
      </c>
      <c r="I2181">
        <v>766</v>
      </c>
      <c r="J2181">
        <v>32.07</v>
      </c>
      <c r="K2181">
        <v>28.15</v>
      </c>
      <c r="L2181">
        <v>27.45</v>
      </c>
      <c r="M2181" s="175">
        <v>0.24</v>
      </c>
      <c r="N2181" t="s">
        <v>5017</v>
      </c>
    </row>
    <row r="2182" spans="1:14">
      <c r="A2182" s="186">
        <v>8222</v>
      </c>
      <c r="B2182" t="s">
        <v>2141</v>
      </c>
      <c r="C2182">
        <v>34.65</v>
      </c>
      <c r="D2182">
        <v>34.450000000000003</v>
      </c>
      <c r="E2182" s="178">
        <v>-0.7</v>
      </c>
      <c r="F2182" s="176">
        <v>-1.99</v>
      </c>
      <c r="G2182" t="s">
        <v>6963</v>
      </c>
      <c r="H2182">
        <v>278</v>
      </c>
      <c r="I2182">
        <v>139</v>
      </c>
      <c r="J2182">
        <v>6.86</v>
      </c>
      <c r="K2182">
        <v>34.9</v>
      </c>
      <c r="L2182">
        <v>34.299999999999997</v>
      </c>
      <c r="M2182" s="175">
        <v>0.41</v>
      </c>
      <c r="N2182" t="s">
        <v>5018</v>
      </c>
    </row>
    <row r="2183" spans="1:14">
      <c r="A2183" s="186">
        <v>8227</v>
      </c>
      <c r="B2183" t="s">
        <v>2142</v>
      </c>
      <c r="C2183">
        <v>294.5</v>
      </c>
      <c r="D2183">
        <v>282.5</v>
      </c>
      <c r="E2183" s="178">
        <v>-30</v>
      </c>
      <c r="F2183" s="176">
        <v>-9.6</v>
      </c>
      <c r="G2183" t="s">
        <v>6964</v>
      </c>
      <c r="H2183">
        <v>3390</v>
      </c>
      <c r="I2183">
        <v>2856</v>
      </c>
      <c r="J2183">
        <v>3.95</v>
      </c>
      <c r="K2183">
        <v>305</v>
      </c>
      <c r="L2183">
        <v>281.5</v>
      </c>
      <c r="M2183" s="175">
        <v>8.57</v>
      </c>
      <c r="N2183" t="s">
        <v>5019</v>
      </c>
    </row>
    <row r="2184" spans="1:14">
      <c r="A2184" s="186">
        <v>8234</v>
      </c>
      <c r="B2184" t="s">
        <v>2143</v>
      </c>
      <c r="C2184">
        <v>63.8</v>
      </c>
      <c r="D2184">
        <v>62.3</v>
      </c>
      <c r="E2184" s="178">
        <v>-1.9</v>
      </c>
      <c r="F2184" s="176">
        <v>-2.96</v>
      </c>
      <c r="G2184" t="s">
        <v>6965</v>
      </c>
      <c r="H2184">
        <v>333</v>
      </c>
      <c r="I2184">
        <v>424</v>
      </c>
      <c r="J2184">
        <v>14.12</v>
      </c>
      <c r="K2184">
        <v>63.8</v>
      </c>
      <c r="L2184">
        <v>62.1</v>
      </c>
      <c r="M2184" s="175">
        <v>0.24</v>
      </c>
      <c r="N2184" t="s">
        <v>5020</v>
      </c>
    </row>
    <row r="2185" spans="1:14">
      <c r="A2185" s="186">
        <v>8240</v>
      </c>
      <c r="B2185" t="s">
        <v>2144</v>
      </c>
      <c r="C2185">
        <v>51.5</v>
      </c>
      <c r="D2185">
        <v>50</v>
      </c>
      <c r="E2185" s="178">
        <v>-2.9</v>
      </c>
      <c r="F2185" s="176">
        <v>-5.48</v>
      </c>
      <c r="G2185" t="s">
        <v>6966</v>
      </c>
      <c r="H2185">
        <v>835</v>
      </c>
      <c r="I2185">
        <v>422</v>
      </c>
      <c r="J2185">
        <v>10</v>
      </c>
      <c r="K2185">
        <v>51.6</v>
      </c>
      <c r="L2185">
        <v>50</v>
      </c>
      <c r="M2185" s="175">
        <v>0.83</v>
      </c>
      <c r="N2185" t="s">
        <v>5021</v>
      </c>
    </row>
    <row r="2186" spans="1:14">
      <c r="A2186" s="186">
        <v>8249</v>
      </c>
      <c r="B2186" t="s">
        <v>2646</v>
      </c>
      <c r="C2186">
        <v>40.35</v>
      </c>
      <c r="D2186">
        <v>39.6</v>
      </c>
      <c r="E2186" s="178">
        <v>-0.75</v>
      </c>
      <c r="F2186" s="176">
        <v>-1.86</v>
      </c>
      <c r="G2186" t="s">
        <v>6967</v>
      </c>
      <c r="H2186">
        <v>161</v>
      </c>
      <c r="I2186">
        <v>142</v>
      </c>
      <c r="J2186">
        <v>13.78</v>
      </c>
      <c r="K2186">
        <v>40.35</v>
      </c>
      <c r="L2186">
        <v>39.4</v>
      </c>
      <c r="M2186" s="175">
        <v>0.12</v>
      </c>
      <c r="N2186" t="s">
        <v>5022</v>
      </c>
    </row>
    <row r="2187" spans="1:14">
      <c r="A2187" s="186">
        <v>8255</v>
      </c>
      <c r="B2187" t="s">
        <v>106</v>
      </c>
      <c r="C2187">
        <v>142</v>
      </c>
      <c r="D2187">
        <v>140</v>
      </c>
      <c r="E2187" s="178">
        <v>-4</v>
      </c>
      <c r="F2187" s="176">
        <v>-2.78</v>
      </c>
      <c r="G2187" t="s">
        <v>6968</v>
      </c>
      <c r="H2187">
        <v>325</v>
      </c>
      <c r="I2187">
        <v>254</v>
      </c>
      <c r="J2187">
        <v>10.199999999999999</v>
      </c>
      <c r="K2187">
        <v>143.5</v>
      </c>
      <c r="L2187">
        <v>140</v>
      </c>
      <c r="M2187" s="175">
        <v>0.32</v>
      </c>
      <c r="N2187" t="s">
        <v>5023</v>
      </c>
    </row>
    <row r="2188" spans="1:14">
      <c r="A2188" s="186">
        <v>8261</v>
      </c>
      <c r="B2188" t="s">
        <v>2145</v>
      </c>
      <c r="C2188">
        <v>164</v>
      </c>
      <c r="D2188">
        <v>160</v>
      </c>
      <c r="E2188" s="178">
        <v>-10</v>
      </c>
      <c r="F2188" s="176">
        <v>-5.88</v>
      </c>
      <c r="G2188" t="s">
        <v>5586</v>
      </c>
      <c r="H2188">
        <v>2729</v>
      </c>
      <c r="I2188">
        <v>3782</v>
      </c>
      <c r="J2188">
        <v>11.89</v>
      </c>
      <c r="K2188">
        <v>165</v>
      </c>
      <c r="L2188">
        <v>158.5</v>
      </c>
      <c r="M2188" s="175">
        <v>2.2999999999999998</v>
      </c>
      <c r="N2188" t="s">
        <v>5024</v>
      </c>
    </row>
    <row r="2189" spans="1:14">
      <c r="A2189" s="186">
        <v>8271</v>
      </c>
      <c r="B2189" t="s">
        <v>2146</v>
      </c>
      <c r="C2189">
        <v>186.5</v>
      </c>
      <c r="D2189">
        <v>183.5</v>
      </c>
      <c r="E2189" s="178">
        <v>-8</v>
      </c>
      <c r="F2189" s="176">
        <v>-4.18</v>
      </c>
      <c r="G2189" t="s">
        <v>6555</v>
      </c>
      <c r="H2189">
        <v>1354</v>
      </c>
      <c r="I2189">
        <v>1193</v>
      </c>
      <c r="J2189">
        <v>12.96</v>
      </c>
      <c r="K2189">
        <v>187.5</v>
      </c>
      <c r="L2189">
        <v>181.5</v>
      </c>
      <c r="M2189" s="175">
        <v>1.1000000000000001</v>
      </c>
      <c r="N2189" t="s">
        <v>5025</v>
      </c>
    </row>
    <row r="2190" spans="1:14">
      <c r="A2190" s="186">
        <v>8272</v>
      </c>
      <c r="B2190" t="s">
        <v>2649</v>
      </c>
      <c r="C2190">
        <v>62</v>
      </c>
      <c r="D2190">
        <v>61.6</v>
      </c>
      <c r="E2190" s="178">
        <v>-1.1000000000000001</v>
      </c>
      <c r="F2190" s="176">
        <v>-1.75</v>
      </c>
      <c r="G2190" t="s">
        <v>5813</v>
      </c>
      <c r="H2190">
        <v>25</v>
      </c>
      <c r="I2190">
        <v>7</v>
      </c>
      <c r="J2190">
        <v>1.9</v>
      </c>
      <c r="K2190">
        <v>63.4</v>
      </c>
      <c r="L2190">
        <v>61</v>
      </c>
      <c r="M2190" s="175">
        <v>0.13</v>
      </c>
      <c r="N2190" t="s">
        <v>5026</v>
      </c>
    </row>
    <row r="2191" spans="1:14">
      <c r="A2191" s="186">
        <v>8277</v>
      </c>
      <c r="B2191" t="s">
        <v>5199</v>
      </c>
      <c r="C2191">
        <v>15.5</v>
      </c>
      <c r="D2191">
        <v>15.4</v>
      </c>
      <c r="E2191" s="178">
        <v>0</v>
      </c>
      <c r="F2191" s="176">
        <v>0</v>
      </c>
      <c r="G2191" t="s">
        <v>5645</v>
      </c>
      <c r="H2191">
        <v>61</v>
      </c>
      <c r="I2191">
        <v>57</v>
      </c>
      <c r="J2191">
        <v>3.95</v>
      </c>
      <c r="K2191">
        <v>15.5</v>
      </c>
      <c r="L2191">
        <v>14.9</v>
      </c>
      <c r="M2191" s="175">
        <v>0.15</v>
      </c>
      <c r="N2191" t="s">
        <v>5200</v>
      </c>
    </row>
    <row r="2192" spans="1:14">
      <c r="A2192" s="186">
        <v>8279</v>
      </c>
      <c r="B2192" t="s">
        <v>127</v>
      </c>
      <c r="C2192">
        <v>80.599999999999994</v>
      </c>
      <c r="D2192">
        <v>80.900000000000006</v>
      </c>
      <c r="E2192" s="178">
        <v>0.2</v>
      </c>
      <c r="F2192" s="176">
        <v>0.25</v>
      </c>
      <c r="G2192" t="s">
        <v>5208</v>
      </c>
      <c r="H2192">
        <v>23</v>
      </c>
      <c r="I2192">
        <v>21</v>
      </c>
      <c r="J2192">
        <v>2.71</v>
      </c>
      <c r="K2192">
        <v>80.900000000000006</v>
      </c>
      <c r="L2192">
        <v>79.8</v>
      </c>
      <c r="M2192" s="175">
        <v>0.08</v>
      </c>
      <c r="N2192" t="s">
        <v>5027</v>
      </c>
    </row>
    <row r="2193" spans="1:14">
      <c r="A2193" s="186">
        <v>8284</v>
      </c>
      <c r="B2193" t="s">
        <v>131</v>
      </c>
      <c r="C2193">
        <v>68.099999999999994</v>
      </c>
      <c r="D2193">
        <v>68.099999999999994</v>
      </c>
      <c r="E2193" s="178">
        <v>-0.2</v>
      </c>
      <c r="F2193" s="176">
        <v>-0.28999999999999998</v>
      </c>
      <c r="G2193" t="s">
        <v>6969</v>
      </c>
      <c r="H2193">
        <v>1</v>
      </c>
      <c r="I2193">
        <v>7</v>
      </c>
      <c r="J2193">
        <v>4.7300000000000004</v>
      </c>
      <c r="K2193">
        <v>68.099999999999994</v>
      </c>
      <c r="L2193">
        <v>68.099999999999994</v>
      </c>
      <c r="M2193" s="175">
        <v>0</v>
      </c>
      <c r="N2193" t="s">
        <v>5028</v>
      </c>
    </row>
    <row r="2194" spans="1:14">
      <c r="A2194" s="186">
        <v>8289</v>
      </c>
      <c r="B2194" t="s">
        <v>2147</v>
      </c>
      <c r="C2194">
        <v>56.7</v>
      </c>
      <c r="D2194">
        <v>53</v>
      </c>
      <c r="E2194" s="178">
        <v>-5.5</v>
      </c>
      <c r="F2194" s="176">
        <v>-9.4</v>
      </c>
      <c r="G2194" t="s">
        <v>5282</v>
      </c>
      <c r="H2194">
        <v>2101</v>
      </c>
      <c r="I2194">
        <v>4026</v>
      </c>
      <c r="J2194">
        <v>6.83</v>
      </c>
      <c r="K2194">
        <v>57.2</v>
      </c>
      <c r="L2194">
        <v>53</v>
      </c>
      <c r="M2194" s="175">
        <v>3.07</v>
      </c>
      <c r="N2194" t="s">
        <v>5029</v>
      </c>
    </row>
    <row r="2195" spans="1:14">
      <c r="A2195" s="186">
        <v>8291</v>
      </c>
      <c r="B2195" t="s">
        <v>3069</v>
      </c>
      <c r="C2195">
        <v>25.1</v>
      </c>
      <c r="D2195">
        <v>23.15</v>
      </c>
      <c r="E2195" s="178">
        <v>-1.35</v>
      </c>
      <c r="F2195" s="176">
        <v>-5.51</v>
      </c>
      <c r="G2195" t="s">
        <v>5833</v>
      </c>
      <c r="H2195">
        <v>18</v>
      </c>
      <c r="I2195">
        <v>26</v>
      </c>
      <c r="J2195">
        <v>1.75</v>
      </c>
      <c r="K2195">
        <v>25.1</v>
      </c>
      <c r="L2195">
        <v>23.1</v>
      </c>
      <c r="M2195" s="175">
        <v>0.1</v>
      </c>
      <c r="N2195" t="s">
        <v>5030</v>
      </c>
    </row>
    <row r="2196" spans="1:14">
      <c r="A2196" s="186">
        <v>8299</v>
      </c>
      <c r="B2196" t="s">
        <v>2148</v>
      </c>
      <c r="C2196">
        <v>1865</v>
      </c>
      <c r="D2196">
        <v>1830</v>
      </c>
      <c r="E2196" s="178">
        <v>-135</v>
      </c>
      <c r="F2196" s="176">
        <v>-6.87</v>
      </c>
      <c r="G2196" t="s">
        <v>6970</v>
      </c>
      <c r="H2196">
        <v>4889</v>
      </c>
      <c r="I2196">
        <v>2640</v>
      </c>
      <c r="J2196">
        <v>22.14</v>
      </c>
      <c r="K2196">
        <v>1895</v>
      </c>
      <c r="L2196">
        <v>1800</v>
      </c>
      <c r="M2196" s="175">
        <v>2.21</v>
      </c>
      <c r="N2196" t="s">
        <v>5031</v>
      </c>
    </row>
    <row r="2197" spans="1:14">
      <c r="A2197" s="186">
        <v>8341</v>
      </c>
      <c r="B2197" t="s">
        <v>2149</v>
      </c>
      <c r="C2197">
        <v>74.3</v>
      </c>
      <c r="D2197">
        <v>74.099999999999994</v>
      </c>
      <c r="E2197" s="178">
        <v>-0.3</v>
      </c>
      <c r="F2197" s="176">
        <v>-0.4</v>
      </c>
      <c r="G2197" t="s">
        <v>6971</v>
      </c>
      <c r="H2197">
        <v>213</v>
      </c>
      <c r="I2197">
        <v>126</v>
      </c>
      <c r="J2197">
        <v>13</v>
      </c>
      <c r="K2197">
        <v>74.3</v>
      </c>
      <c r="L2197">
        <v>73.8</v>
      </c>
      <c r="M2197" s="175">
        <v>0.16</v>
      </c>
      <c r="N2197" t="s">
        <v>5032</v>
      </c>
    </row>
    <row r="2198" spans="1:14">
      <c r="A2198" s="186">
        <v>8342</v>
      </c>
      <c r="B2198" t="s">
        <v>2150</v>
      </c>
      <c r="C2198">
        <v>86.7</v>
      </c>
      <c r="D2198">
        <v>86.6</v>
      </c>
      <c r="E2198" s="178">
        <v>2.1</v>
      </c>
      <c r="F2198" s="176">
        <v>2.4900000000000002</v>
      </c>
      <c r="G2198" t="s">
        <v>6972</v>
      </c>
      <c r="H2198">
        <v>10</v>
      </c>
      <c r="I2198">
        <v>5</v>
      </c>
      <c r="J2198">
        <v>3.35</v>
      </c>
      <c r="K2198">
        <v>86.8</v>
      </c>
      <c r="L2198">
        <v>84.8</v>
      </c>
      <c r="M2198" s="175">
        <v>0.03</v>
      </c>
      <c r="N2198" t="s">
        <v>5033</v>
      </c>
    </row>
    <row r="2199" spans="1:14">
      <c r="A2199" s="186">
        <v>8349</v>
      </c>
      <c r="B2199" t="s">
        <v>2151</v>
      </c>
      <c r="C2199">
        <v>40</v>
      </c>
      <c r="D2199">
        <v>40</v>
      </c>
      <c r="E2199" s="178">
        <v>-0.5</v>
      </c>
      <c r="F2199" s="176">
        <v>-1.23</v>
      </c>
      <c r="G2199" t="s">
        <v>6973</v>
      </c>
      <c r="H2199">
        <v>142</v>
      </c>
      <c r="I2199">
        <v>103</v>
      </c>
      <c r="J2199">
        <v>20.88</v>
      </c>
      <c r="K2199">
        <v>40.4</v>
      </c>
      <c r="L2199">
        <v>39.5</v>
      </c>
      <c r="M2199" s="175">
        <v>7.0000000000000007E-2</v>
      </c>
      <c r="N2199" t="s">
        <v>5034</v>
      </c>
    </row>
    <row r="2200" spans="1:14">
      <c r="A2200" s="186">
        <v>8354</v>
      </c>
      <c r="B2200" t="s">
        <v>2152</v>
      </c>
      <c r="C2200">
        <v>17.5</v>
      </c>
      <c r="D2200">
        <v>17.2</v>
      </c>
      <c r="E2200" s="178">
        <v>-0.4</v>
      </c>
      <c r="F2200" s="176">
        <v>-2.27</v>
      </c>
      <c r="G2200" t="s">
        <v>5227</v>
      </c>
      <c r="H2200">
        <v>97</v>
      </c>
      <c r="I2200">
        <v>77</v>
      </c>
      <c r="J2200">
        <v>7.85</v>
      </c>
      <c r="K2200">
        <v>17.5</v>
      </c>
      <c r="L2200">
        <v>17.100000000000001</v>
      </c>
      <c r="M2200" s="175">
        <v>0.12</v>
      </c>
      <c r="N2200" t="s">
        <v>5035</v>
      </c>
    </row>
    <row r="2201" spans="1:14">
      <c r="A2201" s="186">
        <v>8358</v>
      </c>
      <c r="B2201" t="s">
        <v>2153</v>
      </c>
      <c r="C2201">
        <v>468.5</v>
      </c>
      <c r="D2201">
        <v>461.5</v>
      </c>
      <c r="E2201" s="178">
        <v>-40.5</v>
      </c>
      <c r="F2201" s="176">
        <v>-8.07</v>
      </c>
      <c r="G2201" t="s">
        <v>6974</v>
      </c>
      <c r="H2201">
        <v>3291</v>
      </c>
      <c r="I2201">
        <v>6571</v>
      </c>
      <c r="J2201">
        <v>25.26</v>
      </c>
      <c r="K2201">
        <v>478</v>
      </c>
      <c r="L2201">
        <v>453</v>
      </c>
      <c r="M2201" s="175">
        <v>1.3</v>
      </c>
      <c r="N2201" t="s">
        <v>5036</v>
      </c>
    </row>
    <row r="2202" spans="1:14">
      <c r="A2202" s="186">
        <v>8367</v>
      </c>
      <c r="B2202" t="s">
        <v>2154</v>
      </c>
      <c r="C2202">
        <v>41.8</v>
      </c>
      <c r="D2202">
        <v>41.45</v>
      </c>
      <c r="E2202" s="178">
        <v>-0.4</v>
      </c>
      <c r="F2202" s="176">
        <v>-0.96</v>
      </c>
      <c r="G2202" t="s">
        <v>6975</v>
      </c>
      <c r="H2202">
        <v>20</v>
      </c>
      <c r="I2202">
        <v>21</v>
      </c>
      <c r="J2202">
        <v>9.2200000000000006</v>
      </c>
      <c r="K2202">
        <v>41.8</v>
      </c>
      <c r="L2202">
        <v>40.75</v>
      </c>
      <c r="M2202" s="175">
        <v>0.02</v>
      </c>
      <c r="N2202" t="s">
        <v>5037</v>
      </c>
    </row>
    <row r="2203" spans="1:14">
      <c r="A2203" s="186">
        <v>8374</v>
      </c>
      <c r="B2203" t="s">
        <v>2155</v>
      </c>
      <c r="C2203">
        <v>73</v>
      </c>
      <c r="D2203">
        <v>71.099999999999994</v>
      </c>
      <c r="E2203" s="178">
        <v>-2.7</v>
      </c>
      <c r="F2203" s="176">
        <v>-3.66</v>
      </c>
      <c r="G2203" t="s">
        <v>6976</v>
      </c>
      <c r="H2203">
        <v>235</v>
      </c>
      <c r="I2203">
        <v>142</v>
      </c>
      <c r="J2203">
        <v>11.26</v>
      </c>
      <c r="K2203">
        <v>73</v>
      </c>
      <c r="L2203">
        <v>71</v>
      </c>
      <c r="M2203" s="175">
        <v>0.26</v>
      </c>
      <c r="N2203" t="s">
        <v>5038</v>
      </c>
    </row>
    <row r="2204" spans="1:14">
      <c r="A2204" s="186">
        <v>8383</v>
      </c>
      <c r="B2204" t="s">
        <v>2156</v>
      </c>
      <c r="C2204">
        <v>68</v>
      </c>
      <c r="D2204">
        <v>67.3</v>
      </c>
      <c r="E2204" s="178">
        <v>-1.5</v>
      </c>
      <c r="F2204" s="176">
        <v>-2.1800000000000002</v>
      </c>
      <c r="G2204" t="s">
        <v>6977</v>
      </c>
      <c r="H2204">
        <v>840</v>
      </c>
      <c r="I2204">
        <v>775</v>
      </c>
      <c r="J2204">
        <v>11.38</v>
      </c>
      <c r="K2204">
        <v>68.400000000000006</v>
      </c>
      <c r="L2204">
        <v>66.8</v>
      </c>
      <c r="M2204" s="175">
        <v>0.74</v>
      </c>
      <c r="N2204" t="s">
        <v>5039</v>
      </c>
    </row>
    <row r="2205" spans="1:14">
      <c r="A2205" s="186">
        <v>8390</v>
      </c>
      <c r="B2205" t="s">
        <v>2157</v>
      </c>
      <c r="C2205">
        <v>90.2</v>
      </c>
      <c r="D2205">
        <v>89.9</v>
      </c>
      <c r="E2205" s="178">
        <v>-1.7</v>
      </c>
      <c r="F2205" s="176">
        <v>-1.86</v>
      </c>
      <c r="G2205" t="s">
        <v>6978</v>
      </c>
      <c r="H2205">
        <v>326</v>
      </c>
      <c r="I2205">
        <v>327</v>
      </c>
      <c r="J2205">
        <v>9.61</v>
      </c>
      <c r="K2205">
        <v>90.5</v>
      </c>
      <c r="L2205">
        <v>89.5</v>
      </c>
      <c r="M2205" s="175">
        <v>0.34</v>
      </c>
      <c r="N2205" t="s">
        <v>5040</v>
      </c>
    </row>
    <row r="2206" spans="1:14">
      <c r="A2206" s="186">
        <v>8401</v>
      </c>
      <c r="B2206" t="s">
        <v>2158</v>
      </c>
      <c r="C2206">
        <v>23</v>
      </c>
      <c r="D2206">
        <v>22.7</v>
      </c>
      <c r="E2206" s="178">
        <v>-0.3</v>
      </c>
      <c r="F2206" s="176">
        <v>-1.3</v>
      </c>
      <c r="G2206" t="s">
        <v>6517</v>
      </c>
      <c r="H2206">
        <v>18</v>
      </c>
      <c r="I2206">
        <v>34</v>
      </c>
      <c r="J2206">
        <v>7.07</v>
      </c>
      <c r="K2206">
        <v>23</v>
      </c>
      <c r="L2206">
        <v>22.6</v>
      </c>
      <c r="M2206" s="175">
        <v>0.03</v>
      </c>
      <c r="N2206" t="s">
        <v>5041</v>
      </c>
    </row>
    <row r="2207" spans="1:14">
      <c r="A2207" s="186">
        <v>8403</v>
      </c>
      <c r="B2207" t="s">
        <v>2159</v>
      </c>
      <c r="C2207">
        <v>19</v>
      </c>
      <c r="D2207">
        <v>19.05</v>
      </c>
      <c r="E2207" s="178">
        <v>-0.05</v>
      </c>
      <c r="F2207" s="176">
        <v>-0.26</v>
      </c>
      <c r="G2207" t="s">
        <v>5181</v>
      </c>
      <c r="H2207">
        <v>82</v>
      </c>
      <c r="I2207">
        <v>148</v>
      </c>
      <c r="J2207">
        <v>13.76</v>
      </c>
      <c r="K2207">
        <v>19.149999999999999</v>
      </c>
      <c r="L2207">
        <v>19</v>
      </c>
      <c r="M2207" s="175">
        <v>0.06</v>
      </c>
      <c r="N2207" t="s">
        <v>5042</v>
      </c>
    </row>
    <row r="2208" spans="1:14">
      <c r="A2208" s="186">
        <v>8404</v>
      </c>
      <c r="B2208" t="s">
        <v>2160</v>
      </c>
      <c r="C2208">
        <v>13.3</v>
      </c>
      <c r="D2208">
        <v>13.3</v>
      </c>
      <c r="E2208" s="178">
        <v>-0.15</v>
      </c>
      <c r="F2208" s="176">
        <v>-1.1200000000000001</v>
      </c>
      <c r="G2208" t="s">
        <v>6979</v>
      </c>
      <c r="H2208">
        <v>324</v>
      </c>
      <c r="I2208">
        <v>277</v>
      </c>
      <c r="J2208">
        <v>41.99</v>
      </c>
      <c r="K2208">
        <v>13.6</v>
      </c>
      <c r="L2208">
        <v>13.3</v>
      </c>
      <c r="M2208" s="175">
        <v>0.08</v>
      </c>
      <c r="N2208" t="s">
        <v>5043</v>
      </c>
    </row>
    <row r="2209" spans="1:14">
      <c r="A2209" s="186">
        <v>8409</v>
      </c>
      <c r="B2209" t="s">
        <v>313</v>
      </c>
      <c r="C2209">
        <v>18.3</v>
      </c>
      <c r="D2209">
        <v>18.399999999999999</v>
      </c>
      <c r="E2209" s="178">
        <v>0.35</v>
      </c>
      <c r="F2209" s="176">
        <v>1.94</v>
      </c>
      <c r="G2209" t="s">
        <v>5722</v>
      </c>
      <c r="H2209">
        <v>10</v>
      </c>
      <c r="I2209">
        <v>9</v>
      </c>
      <c r="J2209">
        <v>3.2</v>
      </c>
      <c r="K2209">
        <v>18.45</v>
      </c>
      <c r="L2209">
        <v>18.3</v>
      </c>
      <c r="M2209" s="175">
        <v>0.03</v>
      </c>
      <c r="N2209" t="s">
        <v>5044</v>
      </c>
    </row>
    <row r="2210" spans="1:14">
      <c r="A2210" s="186">
        <v>8410</v>
      </c>
      <c r="B2210" t="s">
        <v>2161</v>
      </c>
      <c r="C2210">
        <v>26.7</v>
      </c>
      <c r="D2210">
        <v>26.65</v>
      </c>
      <c r="E2210" s="178">
        <v>-0.3</v>
      </c>
      <c r="F2210" s="176">
        <v>-1.1100000000000001</v>
      </c>
      <c r="G2210" t="s">
        <v>6980</v>
      </c>
      <c r="H2210">
        <v>10</v>
      </c>
      <c r="I2210">
        <v>67</v>
      </c>
      <c r="J2210">
        <v>3.66</v>
      </c>
      <c r="K2210">
        <v>26.85</v>
      </c>
      <c r="L2210">
        <v>26.45</v>
      </c>
      <c r="M2210" s="175">
        <v>0.03</v>
      </c>
      <c r="N2210" t="s">
        <v>5045</v>
      </c>
    </row>
    <row r="2211" spans="1:14">
      <c r="A2211" s="186">
        <v>8411</v>
      </c>
      <c r="B2211" t="s">
        <v>2162</v>
      </c>
      <c r="C2211">
        <v>11.45</v>
      </c>
      <c r="D2211">
        <v>11.45</v>
      </c>
      <c r="E2211" s="178">
        <v>0</v>
      </c>
      <c r="F2211" s="176">
        <v>0</v>
      </c>
      <c r="G2211" t="s">
        <v>5353</v>
      </c>
      <c r="H2211">
        <v>253</v>
      </c>
      <c r="I2211">
        <v>153</v>
      </c>
      <c r="J2211">
        <v>22.11</v>
      </c>
      <c r="K2211">
        <v>11.45</v>
      </c>
      <c r="L2211">
        <v>11.15</v>
      </c>
      <c r="M2211" s="175">
        <v>0.12</v>
      </c>
      <c r="N2211" t="s">
        <v>5046</v>
      </c>
    </row>
    <row r="2212" spans="1:14">
      <c r="A2212" s="186">
        <v>8415</v>
      </c>
      <c r="B2212" t="s">
        <v>2163</v>
      </c>
      <c r="C2212">
        <v>36.799999999999997</v>
      </c>
      <c r="D2212">
        <v>37.15</v>
      </c>
      <c r="E2212" s="178">
        <v>0.2</v>
      </c>
      <c r="F2212" s="176">
        <v>0.54</v>
      </c>
      <c r="G2212" t="s">
        <v>6981</v>
      </c>
      <c r="H2212">
        <v>606</v>
      </c>
      <c r="I2212">
        <v>408</v>
      </c>
      <c r="J2212">
        <v>103.15</v>
      </c>
      <c r="K2212">
        <v>37.799999999999997</v>
      </c>
      <c r="L2212">
        <v>36.799999999999997</v>
      </c>
      <c r="M2212" s="175">
        <v>0.06</v>
      </c>
      <c r="N2212" t="s">
        <v>5047</v>
      </c>
    </row>
    <row r="2213" spans="1:14">
      <c r="A2213" s="186">
        <v>8416</v>
      </c>
      <c r="B2213" t="s">
        <v>2164</v>
      </c>
      <c r="C2213">
        <v>170</v>
      </c>
      <c r="D2213">
        <v>170</v>
      </c>
      <c r="E2213" s="178">
        <v>-2.5</v>
      </c>
      <c r="F2213" s="176">
        <v>-1.45</v>
      </c>
      <c r="G2213" t="s">
        <v>6982</v>
      </c>
      <c r="H2213">
        <v>5</v>
      </c>
      <c r="I2213">
        <v>2</v>
      </c>
      <c r="J2213">
        <v>2.82</v>
      </c>
      <c r="K2213">
        <v>170</v>
      </c>
      <c r="L2213">
        <v>169.5</v>
      </c>
      <c r="M2213" s="175">
        <v>0.02</v>
      </c>
      <c r="N2213" t="s">
        <v>5048</v>
      </c>
    </row>
    <row r="2214" spans="1:14">
      <c r="A2214" s="186">
        <v>8421</v>
      </c>
      <c r="B2214" t="s">
        <v>2165</v>
      </c>
      <c r="C2214">
        <v>13.6</v>
      </c>
      <c r="D2214">
        <v>13.75</v>
      </c>
      <c r="E2214" s="178">
        <v>0.15</v>
      </c>
      <c r="F2214" s="176">
        <v>1.1000000000000001</v>
      </c>
      <c r="G2214" t="s">
        <v>6659</v>
      </c>
      <c r="H2214">
        <v>277</v>
      </c>
      <c r="I2214">
        <v>124</v>
      </c>
      <c r="J2214">
        <v>6.38</v>
      </c>
      <c r="K2214">
        <v>13.9</v>
      </c>
      <c r="L2214">
        <v>13.5</v>
      </c>
      <c r="M2214" s="175">
        <v>0.43</v>
      </c>
      <c r="N2214" t="s">
        <v>5049</v>
      </c>
    </row>
    <row r="2215" spans="1:14">
      <c r="A2215" s="186">
        <v>8422</v>
      </c>
      <c r="B2215" t="s">
        <v>2942</v>
      </c>
      <c r="C2215">
        <v>25.3</v>
      </c>
      <c r="D2215">
        <v>25.1</v>
      </c>
      <c r="E2215" s="178">
        <v>-0.2</v>
      </c>
      <c r="F2215" s="176">
        <v>-0.79</v>
      </c>
      <c r="G2215" t="s">
        <v>5203</v>
      </c>
      <c r="H2215">
        <v>4817</v>
      </c>
      <c r="I2215">
        <v>3703</v>
      </c>
      <c r="J2215">
        <v>13.6</v>
      </c>
      <c r="K2215">
        <v>25.3</v>
      </c>
      <c r="L2215">
        <v>25</v>
      </c>
      <c r="M2215" s="175">
        <v>0.35</v>
      </c>
      <c r="N2215" t="s">
        <v>5050</v>
      </c>
    </row>
    <row r="2216" spans="1:14">
      <c r="A2216" s="186">
        <v>8423</v>
      </c>
      <c r="B2216" t="s">
        <v>2166</v>
      </c>
      <c r="C2216">
        <v>17.850000000000001</v>
      </c>
      <c r="D2216">
        <v>18.149999999999999</v>
      </c>
      <c r="E2216" s="178">
        <v>0.3</v>
      </c>
      <c r="F2216" s="176">
        <v>1.68</v>
      </c>
      <c r="G2216" t="s">
        <v>6301</v>
      </c>
      <c r="H2216">
        <v>7</v>
      </c>
      <c r="I2216">
        <v>12</v>
      </c>
      <c r="J2216">
        <v>4.17</v>
      </c>
      <c r="K2216">
        <v>18.5</v>
      </c>
      <c r="L2216">
        <v>17.850000000000001</v>
      </c>
      <c r="M2216" s="175">
        <v>0.02</v>
      </c>
      <c r="N2216" t="s">
        <v>5051</v>
      </c>
    </row>
    <row r="2217" spans="1:14">
      <c r="A2217" s="186">
        <v>8424</v>
      </c>
      <c r="B2217" t="s">
        <v>2167</v>
      </c>
      <c r="C2217">
        <v>68.5</v>
      </c>
      <c r="D2217">
        <v>68.8</v>
      </c>
      <c r="E2217" s="178">
        <v>0</v>
      </c>
      <c r="F2217" s="176">
        <v>0</v>
      </c>
      <c r="G2217" t="s">
        <v>5213</v>
      </c>
      <c r="H2217">
        <v>17</v>
      </c>
      <c r="I2217">
        <v>11</v>
      </c>
      <c r="J2217">
        <v>3.61</v>
      </c>
      <c r="K2217">
        <v>68.8</v>
      </c>
      <c r="L2217">
        <v>68.5</v>
      </c>
      <c r="M2217" s="175">
        <v>0.05</v>
      </c>
      <c r="N2217" t="s">
        <v>5052</v>
      </c>
    </row>
    <row r="2218" spans="1:14">
      <c r="A2218" s="186">
        <v>8426</v>
      </c>
      <c r="B2218" t="s">
        <v>2168</v>
      </c>
      <c r="C2218">
        <v>20.3</v>
      </c>
      <c r="D2218">
        <v>20.6</v>
      </c>
      <c r="E2218" s="178">
        <v>0</v>
      </c>
      <c r="F2218" s="176">
        <v>0</v>
      </c>
      <c r="G2218" t="s">
        <v>5290</v>
      </c>
      <c r="H2218">
        <v>50</v>
      </c>
      <c r="I2218">
        <v>22</v>
      </c>
      <c r="J2218">
        <v>5.0199999999999996</v>
      </c>
      <c r="K2218">
        <v>20.6</v>
      </c>
      <c r="L2218">
        <v>20</v>
      </c>
      <c r="M2218" s="175">
        <v>0.1</v>
      </c>
      <c r="N2218" t="s">
        <v>5053</v>
      </c>
    </row>
    <row r="2219" spans="1:14">
      <c r="A2219" s="186">
        <v>8429</v>
      </c>
      <c r="B2219" t="s">
        <v>2169</v>
      </c>
      <c r="C2219">
        <v>5.89</v>
      </c>
      <c r="D2219">
        <v>5.88</v>
      </c>
      <c r="E2219" s="178">
        <v>0</v>
      </c>
      <c r="F2219" s="176">
        <v>0</v>
      </c>
      <c r="G2219" t="s">
        <v>5534</v>
      </c>
      <c r="H2219">
        <v>70</v>
      </c>
      <c r="I2219">
        <v>110</v>
      </c>
      <c r="J2219">
        <v>18.57</v>
      </c>
      <c r="K2219">
        <v>5.89</v>
      </c>
      <c r="L2219">
        <v>5.82</v>
      </c>
      <c r="M2219" s="175">
        <v>0.04</v>
      </c>
      <c r="N2219" t="s">
        <v>5054</v>
      </c>
    </row>
    <row r="2220" spans="1:14">
      <c r="A2220" s="186">
        <v>8431</v>
      </c>
      <c r="B2220" t="s">
        <v>2170</v>
      </c>
      <c r="C2220">
        <v>65.2</v>
      </c>
      <c r="D2220">
        <v>68</v>
      </c>
      <c r="E2220" s="178">
        <v>0.7</v>
      </c>
      <c r="F2220" s="176">
        <v>1.04</v>
      </c>
      <c r="G2220" t="s">
        <v>5409</v>
      </c>
      <c r="H2220">
        <v>2684</v>
      </c>
      <c r="I2220">
        <v>3549</v>
      </c>
      <c r="J2220">
        <v>4.88</v>
      </c>
      <c r="K2220">
        <v>68.7</v>
      </c>
      <c r="L2220">
        <v>64.900000000000006</v>
      </c>
      <c r="M2220" s="175">
        <v>5.5</v>
      </c>
      <c r="N2220" t="s">
        <v>5055</v>
      </c>
    </row>
    <row r="2221" spans="1:14">
      <c r="A2221" s="186">
        <v>8432</v>
      </c>
      <c r="B2221" t="s">
        <v>2171</v>
      </c>
      <c r="C2221">
        <v>55.4</v>
      </c>
      <c r="D2221">
        <v>54.7</v>
      </c>
      <c r="E2221" s="178">
        <v>-0.9</v>
      </c>
      <c r="F2221" s="176">
        <v>-1.62</v>
      </c>
      <c r="G2221" t="s">
        <v>5581</v>
      </c>
      <c r="H2221">
        <v>80</v>
      </c>
      <c r="I2221">
        <v>100</v>
      </c>
      <c r="J2221">
        <v>3.84</v>
      </c>
      <c r="K2221">
        <v>55.4</v>
      </c>
      <c r="L2221">
        <v>54.1</v>
      </c>
      <c r="M2221" s="175">
        <v>0.21</v>
      </c>
      <c r="N2221" t="s">
        <v>5056</v>
      </c>
    </row>
    <row r="2222" spans="1:14">
      <c r="A2222" s="186">
        <v>8433</v>
      </c>
      <c r="B2222" t="s">
        <v>2172</v>
      </c>
      <c r="C2222">
        <v>51.9</v>
      </c>
      <c r="D2222">
        <v>51.9</v>
      </c>
      <c r="E2222" s="178">
        <v>0</v>
      </c>
      <c r="F2222" s="176">
        <v>0</v>
      </c>
      <c r="G2222" t="s">
        <v>5709</v>
      </c>
      <c r="H2222">
        <v>17</v>
      </c>
      <c r="I2222">
        <v>20</v>
      </c>
      <c r="J2222">
        <v>5.45</v>
      </c>
      <c r="K2222">
        <v>51.9</v>
      </c>
      <c r="L2222">
        <v>51.6</v>
      </c>
      <c r="M2222" s="175">
        <v>0.03</v>
      </c>
      <c r="N2222" t="s">
        <v>5057</v>
      </c>
    </row>
    <row r="2223" spans="1:14">
      <c r="A2223" s="186">
        <v>8435</v>
      </c>
      <c r="B2223" t="s">
        <v>94</v>
      </c>
      <c r="C2223">
        <v>53</v>
      </c>
      <c r="D2223">
        <v>53</v>
      </c>
      <c r="E2223" s="178">
        <v>-0.1</v>
      </c>
      <c r="F2223" s="176">
        <v>-0.19</v>
      </c>
      <c r="G2223" t="s">
        <v>5202</v>
      </c>
      <c r="H2223">
        <v>22</v>
      </c>
      <c r="I2223">
        <v>34</v>
      </c>
      <c r="J2223">
        <v>3.52</v>
      </c>
      <c r="K2223">
        <v>53</v>
      </c>
      <c r="L2223">
        <v>52.7</v>
      </c>
      <c r="M2223" s="175">
        <v>0.06</v>
      </c>
      <c r="N2223" t="s">
        <v>5058</v>
      </c>
    </row>
    <row r="2224" spans="1:14">
      <c r="A2224" s="186">
        <v>8436</v>
      </c>
      <c r="B2224" t="s">
        <v>2173</v>
      </c>
      <c r="C2224">
        <v>101.5</v>
      </c>
      <c r="D2224">
        <v>100</v>
      </c>
      <c r="E2224" s="178">
        <v>-1.5</v>
      </c>
      <c r="F2224" s="176">
        <v>-1.48</v>
      </c>
      <c r="G2224" t="s">
        <v>6983</v>
      </c>
      <c r="H2224">
        <v>672</v>
      </c>
      <c r="I2224">
        <v>363</v>
      </c>
      <c r="J2224">
        <v>11.77</v>
      </c>
      <c r="K2224">
        <v>101.5</v>
      </c>
      <c r="L2224">
        <v>100</v>
      </c>
      <c r="M2224" s="175">
        <v>0.56999999999999995</v>
      </c>
      <c r="N2224" t="s">
        <v>5059</v>
      </c>
    </row>
    <row r="2225" spans="1:14">
      <c r="A2225" s="186">
        <v>8437</v>
      </c>
      <c r="B2225" t="s">
        <v>2174</v>
      </c>
      <c r="C2225">
        <v>13.15</v>
      </c>
      <c r="D2225">
        <v>13.55</v>
      </c>
      <c r="E2225" s="178">
        <v>1.2</v>
      </c>
      <c r="F2225" s="176">
        <v>9.7200000000000006</v>
      </c>
      <c r="G2225" t="s">
        <v>5646</v>
      </c>
      <c r="H2225">
        <v>825</v>
      </c>
      <c r="I2225">
        <v>104</v>
      </c>
      <c r="J2225">
        <v>4.7</v>
      </c>
      <c r="K2225">
        <v>13.55</v>
      </c>
      <c r="L2225">
        <v>12.8</v>
      </c>
      <c r="M2225" s="175">
        <v>1.75</v>
      </c>
      <c r="N2225" t="s">
        <v>5060</v>
      </c>
    </row>
    <row r="2226" spans="1:14">
      <c r="A2226" s="186">
        <v>8438</v>
      </c>
      <c r="B2226" t="s">
        <v>2175</v>
      </c>
      <c r="C2226">
        <v>76.599999999999994</v>
      </c>
      <c r="D2226">
        <v>73.2</v>
      </c>
      <c r="E2226" s="178">
        <v>-3.4</v>
      </c>
      <c r="F2226" s="176">
        <v>-4.4400000000000004</v>
      </c>
      <c r="G2226" t="s">
        <v>6984</v>
      </c>
      <c r="H2226">
        <v>293</v>
      </c>
      <c r="I2226">
        <v>267</v>
      </c>
      <c r="J2226">
        <v>6.99</v>
      </c>
      <c r="K2226">
        <v>76.599999999999994</v>
      </c>
      <c r="L2226">
        <v>72.5</v>
      </c>
      <c r="M2226" s="175">
        <v>0.42</v>
      </c>
      <c r="N2226" t="s">
        <v>5061</v>
      </c>
    </row>
    <row r="2227" spans="1:14">
      <c r="A2227" s="186">
        <v>8440</v>
      </c>
      <c r="B2227" t="s">
        <v>2176</v>
      </c>
      <c r="C2227">
        <v>20.100000000000001</v>
      </c>
      <c r="D2227">
        <v>19.95</v>
      </c>
      <c r="E2227" s="178">
        <v>-0.25</v>
      </c>
      <c r="F2227" s="176">
        <v>-1.24</v>
      </c>
      <c r="G2227" t="s">
        <v>6985</v>
      </c>
      <c r="H2227">
        <v>40</v>
      </c>
      <c r="I2227">
        <v>52</v>
      </c>
      <c r="J2227">
        <v>5.03</v>
      </c>
      <c r="K2227">
        <v>20.100000000000001</v>
      </c>
      <c r="L2227">
        <v>19.899999999999999</v>
      </c>
      <c r="M2227" s="175">
        <v>0.08</v>
      </c>
      <c r="N2227" t="s">
        <v>5062</v>
      </c>
    </row>
    <row r="2228" spans="1:14">
      <c r="A2228" s="186">
        <v>8442</v>
      </c>
      <c r="B2228" t="s">
        <v>2177</v>
      </c>
      <c r="C2228">
        <v>49.2</v>
      </c>
      <c r="D2228">
        <v>48.6</v>
      </c>
      <c r="E2228" s="178">
        <v>-0.3</v>
      </c>
      <c r="F2228" s="176">
        <v>-0.61</v>
      </c>
      <c r="G2228" t="s">
        <v>5210</v>
      </c>
      <c r="H2228">
        <v>31</v>
      </c>
      <c r="I2228">
        <v>130</v>
      </c>
      <c r="J2228">
        <v>7.02</v>
      </c>
      <c r="K2228">
        <v>49.2</v>
      </c>
      <c r="L2228">
        <v>48.4</v>
      </c>
      <c r="M2228" s="175">
        <v>0.04</v>
      </c>
      <c r="N2228" t="s">
        <v>5063</v>
      </c>
    </row>
    <row r="2229" spans="1:14">
      <c r="A2229" s="186">
        <v>8443</v>
      </c>
      <c r="B2229" t="s">
        <v>2178</v>
      </c>
      <c r="C2229">
        <v>11.05</v>
      </c>
      <c r="D2229">
        <v>11.15</v>
      </c>
      <c r="E2229" s="178">
        <v>0</v>
      </c>
      <c r="F2229" s="176">
        <v>0</v>
      </c>
      <c r="G2229" t="s">
        <v>6943</v>
      </c>
      <c r="H2229">
        <v>14</v>
      </c>
      <c r="I2229">
        <v>22</v>
      </c>
      <c r="J2229">
        <v>6.68</v>
      </c>
      <c r="K2229">
        <v>11.15</v>
      </c>
      <c r="L2229">
        <v>11</v>
      </c>
      <c r="M2229" s="175">
        <v>0.02</v>
      </c>
      <c r="N2229" t="s">
        <v>5064</v>
      </c>
    </row>
    <row r="2230" spans="1:14">
      <c r="A2230" s="186">
        <v>8444</v>
      </c>
      <c r="B2230" t="s">
        <v>2179</v>
      </c>
      <c r="C2230">
        <v>3.29</v>
      </c>
      <c r="D2230">
        <v>3.12</v>
      </c>
      <c r="E2230" s="178">
        <v>-0.19</v>
      </c>
      <c r="F2230" s="176">
        <v>-5.74</v>
      </c>
      <c r="G2230" t="s">
        <v>6986</v>
      </c>
      <c r="H2230">
        <v>10</v>
      </c>
      <c r="I2230">
        <v>81</v>
      </c>
      <c r="J2230">
        <v>12.51</v>
      </c>
      <c r="K2230">
        <v>3.29</v>
      </c>
      <c r="L2230">
        <v>3.05</v>
      </c>
      <c r="M2230" s="175">
        <v>0.01</v>
      </c>
      <c r="N2230" t="s">
        <v>5065</v>
      </c>
    </row>
    <row r="2231" spans="1:14">
      <c r="A2231" s="186">
        <v>8446</v>
      </c>
      <c r="B2231" t="s">
        <v>2180</v>
      </c>
      <c r="C2231">
        <v>86.3</v>
      </c>
      <c r="D2231">
        <v>85.9</v>
      </c>
      <c r="E2231" s="178">
        <v>-0.3</v>
      </c>
      <c r="F2231" s="176">
        <v>-0.35</v>
      </c>
      <c r="G2231" t="s">
        <v>5281</v>
      </c>
      <c r="H2231">
        <v>48</v>
      </c>
      <c r="I2231">
        <v>22</v>
      </c>
      <c r="J2231">
        <v>5.29</v>
      </c>
      <c r="K2231">
        <v>86.3</v>
      </c>
      <c r="L2231">
        <v>85.3</v>
      </c>
      <c r="M2231" s="175">
        <v>0.09</v>
      </c>
      <c r="N2231" t="s">
        <v>5066</v>
      </c>
    </row>
    <row r="2232" spans="1:14">
      <c r="A2232" s="186">
        <v>8450</v>
      </c>
      <c r="B2232" t="s">
        <v>2181</v>
      </c>
      <c r="C2232">
        <v>14</v>
      </c>
      <c r="D2232">
        <v>14</v>
      </c>
      <c r="E2232" s="178">
        <v>-0.05</v>
      </c>
      <c r="F2232" s="176">
        <v>-0.36</v>
      </c>
      <c r="G2232" t="s">
        <v>6987</v>
      </c>
      <c r="H2232">
        <v>23</v>
      </c>
      <c r="I2232">
        <v>28</v>
      </c>
      <c r="J2232">
        <v>5.13</v>
      </c>
      <c r="K2232">
        <v>14.05</v>
      </c>
      <c r="L2232">
        <v>13.8</v>
      </c>
      <c r="M2232" s="175">
        <v>0.04</v>
      </c>
      <c r="N2232" t="s">
        <v>5067</v>
      </c>
    </row>
    <row r="2233" spans="1:14">
      <c r="A2233" s="186">
        <v>8454</v>
      </c>
      <c r="B2233" t="s">
        <v>2182</v>
      </c>
      <c r="C2233">
        <v>247</v>
      </c>
      <c r="D2233">
        <v>250</v>
      </c>
      <c r="E2233" s="178">
        <v>1.5</v>
      </c>
      <c r="F2233" s="176">
        <v>0.6</v>
      </c>
      <c r="G2233" t="s">
        <v>5403</v>
      </c>
      <c r="H2233">
        <v>612</v>
      </c>
      <c r="I2233">
        <v>239</v>
      </c>
      <c r="J2233">
        <v>26.5</v>
      </c>
      <c r="K2233">
        <v>255</v>
      </c>
      <c r="L2233">
        <v>246.5</v>
      </c>
      <c r="M2233" s="175">
        <v>0.23</v>
      </c>
      <c r="N2233" t="s">
        <v>5068</v>
      </c>
    </row>
    <row r="2234" spans="1:14">
      <c r="A2234" s="186">
        <v>8455</v>
      </c>
      <c r="B2234" t="s">
        <v>2183</v>
      </c>
      <c r="C2234" t="s">
        <v>1555</v>
      </c>
      <c r="D2234" t="s">
        <v>1555</v>
      </c>
      <c r="E2234" s="178" t="s">
        <v>1555</v>
      </c>
      <c r="F2234" s="176" t="s">
        <v>1555</v>
      </c>
      <c r="G2234" t="s">
        <v>1555</v>
      </c>
      <c r="H2234">
        <v>0</v>
      </c>
      <c r="I2234">
        <v>17</v>
      </c>
      <c r="J2234">
        <v>2.52</v>
      </c>
      <c r="K2234" t="s">
        <v>1555</v>
      </c>
      <c r="L2234" t="s">
        <v>1555</v>
      </c>
      <c r="M2234" s="175">
        <v>0</v>
      </c>
      <c r="N2234" t="s">
        <v>5069</v>
      </c>
    </row>
    <row r="2235" spans="1:14">
      <c r="A2235" s="186">
        <v>8462</v>
      </c>
      <c r="B2235" t="s">
        <v>2184</v>
      </c>
      <c r="C2235">
        <v>154.5</v>
      </c>
      <c r="D2235">
        <v>155</v>
      </c>
      <c r="E2235" s="178">
        <v>1</v>
      </c>
      <c r="F2235" s="176">
        <v>0.65</v>
      </c>
      <c r="G2235" t="s">
        <v>6489</v>
      </c>
      <c r="H2235">
        <v>81</v>
      </c>
      <c r="I2235">
        <v>103</v>
      </c>
      <c r="J2235">
        <v>8.0399999999999991</v>
      </c>
      <c r="K2235">
        <v>155</v>
      </c>
      <c r="L2235">
        <v>152.5</v>
      </c>
      <c r="M2235" s="175">
        <v>0.1</v>
      </c>
      <c r="N2235" t="s">
        <v>5070</v>
      </c>
    </row>
    <row r="2236" spans="1:14">
      <c r="A2236" s="186">
        <v>8463</v>
      </c>
      <c r="B2236" t="s">
        <v>2185</v>
      </c>
      <c r="C2236">
        <v>21.25</v>
      </c>
      <c r="D2236">
        <v>21.4</v>
      </c>
      <c r="E2236" s="178">
        <v>0</v>
      </c>
      <c r="F2236" s="176">
        <v>0</v>
      </c>
      <c r="G2236" t="s">
        <v>6988</v>
      </c>
      <c r="H2236">
        <v>41</v>
      </c>
      <c r="I2236">
        <v>19</v>
      </c>
      <c r="J2236">
        <v>15</v>
      </c>
      <c r="K2236">
        <v>21.4</v>
      </c>
      <c r="L2236">
        <v>21.2</v>
      </c>
      <c r="M2236" s="175">
        <v>0.03</v>
      </c>
      <c r="N2236" t="s">
        <v>5071</v>
      </c>
    </row>
    <row r="2237" spans="1:14">
      <c r="A2237" s="186">
        <v>8464</v>
      </c>
      <c r="B2237" t="s">
        <v>2186</v>
      </c>
      <c r="C2237">
        <v>368</v>
      </c>
      <c r="D2237">
        <v>373</v>
      </c>
      <c r="E2237" s="178">
        <v>6</v>
      </c>
      <c r="F2237" s="176">
        <v>1.63</v>
      </c>
      <c r="G2237" t="s">
        <v>6436</v>
      </c>
      <c r="H2237">
        <v>871</v>
      </c>
      <c r="I2237">
        <v>465</v>
      </c>
      <c r="J2237">
        <v>29.3</v>
      </c>
      <c r="K2237">
        <v>376.5</v>
      </c>
      <c r="L2237">
        <v>366.5</v>
      </c>
      <c r="M2237" s="175">
        <v>0.3</v>
      </c>
      <c r="N2237" t="s">
        <v>5072</v>
      </c>
    </row>
    <row r="2238" spans="1:14">
      <c r="A2238" s="186">
        <v>8466</v>
      </c>
      <c r="B2238" t="s">
        <v>2187</v>
      </c>
      <c r="C2238">
        <v>15.15</v>
      </c>
      <c r="D2238">
        <v>14.95</v>
      </c>
      <c r="E2238" s="178">
        <v>-0.15</v>
      </c>
      <c r="F2238" s="176">
        <v>-0.99</v>
      </c>
      <c r="G2238" t="s">
        <v>6989</v>
      </c>
      <c r="H2238">
        <v>17</v>
      </c>
      <c r="I2238">
        <v>10</v>
      </c>
      <c r="J2238">
        <v>7.94</v>
      </c>
      <c r="K2238">
        <v>15.25</v>
      </c>
      <c r="L2238">
        <v>14.95</v>
      </c>
      <c r="M2238" s="175">
        <v>0.02</v>
      </c>
      <c r="N2238" t="s">
        <v>5073</v>
      </c>
    </row>
    <row r="2239" spans="1:14">
      <c r="A2239" s="186">
        <v>8467</v>
      </c>
      <c r="B2239" t="s">
        <v>2188</v>
      </c>
      <c r="C2239">
        <v>107</v>
      </c>
      <c r="D2239">
        <v>100.5</v>
      </c>
      <c r="E2239" s="178">
        <v>-11</v>
      </c>
      <c r="F2239" s="176">
        <v>-9.8699999999999992</v>
      </c>
      <c r="G2239" t="s">
        <v>6367</v>
      </c>
      <c r="H2239">
        <v>161</v>
      </c>
      <c r="I2239">
        <v>59</v>
      </c>
      <c r="J2239">
        <v>4.84</v>
      </c>
      <c r="K2239">
        <v>107</v>
      </c>
      <c r="L2239">
        <v>100.5</v>
      </c>
      <c r="M2239" s="175">
        <v>0.33</v>
      </c>
      <c r="N2239" t="s">
        <v>5074</v>
      </c>
    </row>
    <row r="2240" spans="1:14">
      <c r="A2240" s="186">
        <v>8472</v>
      </c>
      <c r="B2240" t="s">
        <v>5160</v>
      </c>
      <c r="C2240">
        <v>65.8</v>
      </c>
      <c r="D2240">
        <v>65</v>
      </c>
      <c r="E2240" s="178">
        <v>-0.2</v>
      </c>
      <c r="F2240" s="176">
        <v>-0.31</v>
      </c>
      <c r="G2240" t="s">
        <v>6990</v>
      </c>
      <c r="H2240">
        <v>7</v>
      </c>
      <c r="I2240">
        <v>5</v>
      </c>
      <c r="J2240">
        <v>1.77</v>
      </c>
      <c r="K2240">
        <v>65.8</v>
      </c>
      <c r="L2240">
        <v>65</v>
      </c>
      <c r="M2240" s="175">
        <v>0.04</v>
      </c>
      <c r="N2240" t="s">
        <v>5158</v>
      </c>
    </row>
    <row r="2241" spans="1:14">
      <c r="A2241" s="186">
        <v>8473</v>
      </c>
      <c r="B2241" t="s">
        <v>2189</v>
      </c>
      <c r="C2241">
        <v>38.549999999999997</v>
      </c>
      <c r="D2241">
        <v>38.450000000000003</v>
      </c>
      <c r="E2241" s="178">
        <v>-0.3</v>
      </c>
      <c r="F2241" s="176">
        <v>-0.77</v>
      </c>
      <c r="G2241" t="s">
        <v>6991</v>
      </c>
      <c r="H2241">
        <v>423</v>
      </c>
      <c r="I2241">
        <v>375</v>
      </c>
      <c r="J2241">
        <v>20.84</v>
      </c>
      <c r="K2241">
        <v>38.9</v>
      </c>
      <c r="L2241">
        <v>38.1</v>
      </c>
      <c r="M2241" s="175">
        <v>0.21</v>
      </c>
      <c r="N2241" t="s">
        <v>5075</v>
      </c>
    </row>
    <row r="2242" spans="1:14">
      <c r="A2242" s="186">
        <v>8476</v>
      </c>
      <c r="B2242" t="s">
        <v>2669</v>
      </c>
      <c r="C2242">
        <v>21.25</v>
      </c>
      <c r="D2242">
        <v>20.8</v>
      </c>
      <c r="E2242" s="178">
        <v>-0.3</v>
      </c>
      <c r="F2242" s="176">
        <v>-1.42</v>
      </c>
      <c r="G2242" t="s">
        <v>6992</v>
      </c>
      <c r="H2242">
        <v>297</v>
      </c>
      <c r="I2242">
        <v>448</v>
      </c>
      <c r="J2242">
        <v>8.42</v>
      </c>
      <c r="K2242">
        <v>21.45</v>
      </c>
      <c r="L2242">
        <v>20.8</v>
      </c>
      <c r="M2242" s="175">
        <v>0.18</v>
      </c>
      <c r="N2242" t="s">
        <v>5076</v>
      </c>
    </row>
    <row r="2243" spans="1:14">
      <c r="A2243" s="186">
        <v>8477</v>
      </c>
      <c r="B2243" t="s">
        <v>2190</v>
      </c>
      <c r="C2243">
        <v>13.5</v>
      </c>
      <c r="D2243">
        <v>13.85</v>
      </c>
      <c r="E2243" s="178">
        <v>0.05</v>
      </c>
      <c r="F2243" s="176">
        <v>0.36</v>
      </c>
      <c r="G2243" t="s">
        <v>6993</v>
      </c>
      <c r="H2243">
        <v>23</v>
      </c>
      <c r="I2243">
        <v>26</v>
      </c>
      <c r="J2243">
        <v>8.42</v>
      </c>
      <c r="K2243">
        <v>13.85</v>
      </c>
      <c r="L2243">
        <v>13.45</v>
      </c>
      <c r="M2243" s="175">
        <v>0.03</v>
      </c>
      <c r="N2243" t="s">
        <v>5077</v>
      </c>
    </row>
    <row r="2244" spans="1:14">
      <c r="A2244" s="186">
        <v>8478</v>
      </c>
      <c r="B2244" t="s">
        <v>2191</v>
      </c>
      <c r="C2244">
        <v>139.5</v>
      </c>
      <c r="D2244">
        <v>138</v>
      </c>
      <c r="E2244" s="178">
        <v>-1.5</v>
      </c>
      <c r="F2244" s="176">
        <v>-1.08</v>
      </c>
      <c r="G2244" t="s">
        <v>6994</v>
      </c>
      <c r="H2244">
        <v>121</v>
      </c>
      <c r="I2244">
        <v>59</v>
      </c>
      <c r="J2244">
        <v>9.4</v>
      </c>
      <c r="K2244">
        <v>139.5</v>
      </c>
      <c r="L2244">
        <v>137.5</v>
      </c>
      <c r="M2244" s="175">
        <v>0.13</v>
      </c>
      <c r="N2244" t="s">
        <v>5078</v>
      </c>
    </row>
    <row r="2245" spans="1:14">
      <c r="A2245" s="186">
        <v>8481</v>
      </c>
      <c r="B2245" t="s">
        <v>2192</v>
      </c>
      <c r="C2245">
        <v>40.799999999999997</v>
      </c>
      <c r="D2245">
        <v>40.65</v>
      </c>
      <c r="E2245" s="178">
        <v>0.05</v>
      </c>
      <c r="F2245" s="176">
        <v>0.12</v>
      </c>
      <c r="G2245" t="s">
        <v>5738</v>
      </c>
      <c r="H2245">
        <v>9</v>
      </c>
      <c r="I2245">
        <v>10</v>
      </c>
      <c r="J2245">
        <v>6.66</v>
      </c>
      <c r="K2245">
        <v>40.799999999999997</v>
      </c>
      <c r="L2245">
        <v>40.5</v>
      </c>
      <c r="M2245" s="175">
        <v>0.01</v>
      </c>
      <c r="N2245" t="s">
        <v>5079</v>
      </c>
    </row>
    <row r="2246" spans="1:14">
      <c r="A2246" s="186">
        <v>8482</v>
      </c>
      <c r="B2246" t="s">
        <v>2193</v>
      </c>
      <c r="C2246">
        <v>48.7</v>
      </c>
      <c r="D2246">
        <v>49.75</v>
      </c>
      <c r="E2246" s="178">
        <v>-1.25</v>
      </c>
      <c r="F2246" s="176">
        <v>-2.4500000000000002</v>
      </c>
      <c r="G2246" t="s">
        <v>6995</v>
      </c>
      <c r="H2246">
        <v>3</v>
      </c>
      <c r="I2246">
        <v>4</v>
      </c>
      <c r="J2246">
        <v>10.74</v>
      </c>
      <c r="K2246">
        <v>49.8</v>
      </c>
      <c r="L2246">
        <v>48.7</v>
      </c>
      <c r="M2246" s="175">
        <v>0</v>
      </c>
      <c r="N2246" t="s">
        <v>5080</v>
      </c>
    </row>
    <row r="2247" spans="1:14">
      <c r="A2247" s="186">
        <v>8488</v>
      </c>
      <c r="B2247" t="s">
        <v>2194</v>
      </c>
      <c r="C2247">
        <v>9.61</v>
      </c>
      <c r="D2247">
        <v>9.5500000000000007</v>
      </c>
      <c r="E2247" s="178">
        <v>-0.02</v>
      </c>
      <c r="F2247" s="176">
        <v>-0.21</v>
      </c>
      <c r="G2247" t="s">
        <v>6996</v>
      </c>
      <c r="H2247">
        <v>15</v>
      </c>
      <c r="I2247">
        <v>27</v>
      </c>
      <c r="J2247">
        <v>7.35</v>
      </c>
      <c r="K2247">
        <v>9.61</v>
      </c>
      <c r="L2247">
        <v>9.5</v>
      </c>
      <c r="M2247" s="175">
        <v>0.02</v>
      </c>
      <c r="N2247" t="s">
        <v>5081</v>
      </c>
    </row>
    <row r="2248" spans="1:14">
      <c r="A2248" s="186">
        <v>8489</v>
      </c>
      <c r="B2248" t="s">
        <v>2195</v>
      </c>
      <c r="C2248">
        <v>21.7</v>
      </c>
      <c r="D2248">
        <v>21.95</v>
      </c>
      <c r="E2248" s="178">
        <v>-0.05</v>
      </c>
      <c r="F2248" s="176">
        <v>-0.23</v>
      </c>
      <c r="G2248" t="s">
        <v>6997</v>
      </c>
      <c r="H2248">
        <v>46</v>
      </c>
      <c r="I2248">
        <v>65</v>
      </c>
      <c r="J2248">
        <v>5.99</v>
      </c>
      <c r="K2248">
        <v>21.95</v>
      </c>
      <c r="L2248">
        <v>21.7</v>
      </c>
      <c r="M2248" s="175">
        <v>0.08</v>
      </c>
      <c r="N2248" t="s">
        <v>5082</v>
      </c>
    </row>
    <row r="2249" spans="1:14">
      <c r="A2249" s="186">
        <v>8499</v>
      </c>
      <c r="B2249" t="s">
        <v>2196</v>
      </c>
      <c r="C2249">
        <v>245</v>
      </c>
      <c r="D2249">
        <v>240.5</v>
      </c>
      <c r="E2249" s="178">
        <v>-8.5</v>
      </c>
      <c r="F2249" s="176">
        <v>-3.41</v>
      </c>
      <c r="G2249" t="s">
        <v>5530</v>
      </c>
      <c r="H2249">
        <v>23</v>
      </c>
      <c r="I2249">
        <v>13</v>
      </c>
      <c r="J2249">
        <v>4.12</v>
      </c>
      <c r="K2249">
        <v>245</v>
      </c>
      <c r="L2249">
        <v>236.5</v>
      </c>
      <c r="M2249" s="175">
        <v>0.06</v>
      </c>
      <c r="N2249" t="s">
        <v>5083</v>
      </c>
    </row>
    <row r="2250" spans="1:14">
      <c r="A2250" s="186">
        <v>8905</v>
      </c>
      <c r="B2250" t="s">
        <v>2197</v>
      </c>
      <c r="C2250">
        <v>34.85</v>
      </c>
      <c r="D2250">
        <v>34.85</v>
      </c>
      <c r="E2250" s="178">
        <v>0.6</v>
      </c>
      <c r="F2250" s="176">
        <v>1.75</v>
      </c>
      <c r="G2250" t="s">
        <v>5664</v>
      </c>
      <c r="H2250">
        <v>3</v>
      </c>
      <c r="I2250">
        <v>10</v>
      </c>
      <c r="J2250">
        <v>11.94</v>
      </c>
      <c r="K2250">
        <v>34.85</v>
      </c>
      <c r="L2250">
        <v>34.85</v>
      </c>
      <c r="M2250" s="175">
        <v>0</v>
      </c>
      <c r="N2250" t="s">
        <v>5084</v>
      </c>
    </row>
    <row r="2251" spans="1:14">
      <c r="A2251" s="186">
        <v>8906</v>
      </c>
      <c r="B2251" t="s">
        <v>2198</v>
      </c>
      <c r="C2251">
        <v>27.85</v>
      </c>
      <c r="D2251">
        <v>28.15</v>
      </c>
      <c r="E2251" s="178">
        <v>-0.05</v>
      </c>
      <c r="F2251" s="176">
        <v>-0.18</v>
      </c>
      <c r="G2251" t="s">
        <v>6998</v>
      </c>
      <c r="H2251">
        <v>32</v>
      </c>
      <c r="I2251">
        <v>12</v>
      </c>
      <c r="J2251">
        <v>4.4000000000000004</v>
      </c>
      <c r="K2251">
        <v>28.15</v>
      </c>
      <c r="L2251">
        <v>27.5</v>
      </c>
      <c r="M2251" s="175">
        <v>7.0000000000000007E-2</v>
      </c>
      <c r="N2251" t="s">
        <v>5085</v>
      </c>
    </row>
    <row r="2252" spans="1:14">
      <c r="A2252" s="186">
        <v>8908</v>
      </c>
      <c r="B2252" t="s">
        <v>2199</v>
      </c>
      <c r="C2252">
        <v>39.5</v>
      </c>
      <c r="D2252">
        <v>39.799999999999997</v>
      </c>
      <c r="E2252" s="178">
        <v>0.2</v>
      </c>
      <c r="F2252" s="176">
        <v>0.51</v>
      </c>
      <c r="G2252" t="s">
        <v>6536</v>
      </c>
      <c r="H2252">
        <v>126</v>
      </c>
      <c r="I2252">
        <v>36</v>
      </c>
      <c r="J2252">
        <v>32.479999999999997</v>
      </c>
      <c r="K2252">
        <v>39.799999999999997</v>
      </c>
      <c r="L2252">
        <v>38.799999999999997</v>
      </c>
      <c r="M2252" s="175">
        <v>0.04</v>
      </c>
      <c r="N2252" t="s">
        <v>5086</v>
      </c>
    </row>
    <row r="2253" spans="1:14">
      <c r="A2253" s="186">
        <v>8916</v>
      </c>
      <c r="B2253" t="s">
        <v>83</v>
      </c>
      <c r="C2253">
        <v>40.450000000000003</v>
      </c>
      <c r="D2253">
        <v>40.1</v>
      </c>
      <c r="E2253" s="178">
        <v>-0.35</v>
      </c>
      <c r="F2253" s="176">
        <v>-0.87</v>
      </c>
      <c r="G2253" t="s">
        <v>6999</v>
      </c>
      <c r="H2253">
        <v>146</v>
      </c>
      <c r="I2253">
        <v>48</v>
      </c>
      <c r="J2253">
        <v>14.86</v>
      </c>
      <c r="K2253">
        <v>40.450000000000003</v>
      </c>
      <c r="L2253">
        <v>40</v>
      </c>
      <c r="M2253" s="175">
        <v>0.1</v>
      </c>
      <c r="N2253" t="s">
        <v>5087</v>
      </c>
    </row>
    <row r="2254" spans="1:14">
      <c r="A2254" s="186">
        <v>8917</v>
      </c>
      <c r="B2254" t="s">
        <v>2200</v>
      </c>
      <c r="C2254">
        <v>52.5</v>
      </c>
      <c r="D2254">
        <v>52.3</v>
      </c>
      <c r="E2254" s="178">
        <v>-0.3</v>
      </c>
      <c r="F2254" s="176">
        <v>-0.56999999999999995</v>
      </c>
      <c r="G2254" t="s">
        <v>7000</v>
      </c>
      <c r="H2254">
        <v>8</v>
      </c>
      <c r="I2254">
        <v>4</v>
      </c>
      <c r="J2254">
        <v>16.27</v>
      </c>
      <c r="K2254">
        <v>52.5</v>
      </c>
      <c r="L2254">
        <v>52.3</v>
      </c>
      <c r="M2254" s="175">
        <v>0</v>
      </c>
      <c r="N2254" t="s">
        <v>5088</v>
      </c>
    </row>
    <row r="2255" spans="1:14">
      <c r="A2255" s="186">
        <v>8921</v>
      </c>
      <c r="B2255" t="s">
        <v>2201</v>
      </c>
      <c r="C2255">
        <v>16.95</v>
      </c>
      <c r="D2255">
        <v>16.95</v>
      </c>
      <c r="E2255" s="178">
        <v>0.15</v>
      </c>
      <c r="F2255" s="176">
        <v>0.89</v>
      </c>
      <c r="G2255" t="s">
        <v>7001</v>
      </c>
      <c r="H2255">
        <v>1</v>
      </c>
      <c r="I2255">
        <v>1</v>
      </c>
      <c r="J2255">
        <v>4.66</v>
      </c>
      <c r="K2255">
        <v>16.95</v>
      </c>
      <c r="L2255">
        <v>16.95</v>
      </c>
      <c r="M2255" s="175">
        <v>0</v>
      </c>
      <c r="N2255" t="s">
        <v>5089</v>
      </c>
    </row>
    <row r="2256" spans="1:14">
      <c r="A2256" s="186">
        <v>8923</v>
      </c>
      <c r="B2256" t="s">
        <v>2202</v>
      </c>
      <c r="C2256" t="s">
        <v>1555</v>
      </c>
      <c r="D2256" t="s">
        <v>1555</v>
      </c>
      <c r="E2256" s="178" t="s">
        <v>1555</v>
      </c>
      <c r="F2256" s="176" t="s">
        <v>1555</v>
      </c>
      <c r="G2256" t="s">
        <v>1555</v>
      </c>
      <c r="H2256">
        <v>0</v>
      </c>
      <c r="I2256">
        <v>0</v>
      </c>
      <c r="J2256">
        <v>3.04</v>
      </c>
      <c r="K2256" t="s">
        <v>1555</v>
      </c>
      <c r="L2256" t="s">
        <v>1555</v>
      </c>
      <c r="M2256" s="175">
        <v>0</v>
      </c>
      <c r="N2256" t="s">
        <v>5090</v>
      </c>
    </row>
    <row r="2257" spans="1:14">
      <c r="A2257" s="186">
        <v>8924</v>
      </c>
      <c r="B2257" t="s">
        <v>2203</v>
      </c>
      <c r="C2257">
        <v>49</v>
      </c>
      <c r="D2257">
        <v>48.8</v>
      </c>
      <c r="E2257" s="178">
        <v>-0.2</v>
      </c>
      <c r="F2257" s="176">
        <v>-0.41</v>
      </c>
      <c r="G2257" t="s">
        <v>5393</v>
      </c>
      <c r="H2257">
        <v>75</v>
      </c>
      <c r="I2257">
        <v>95</v>
      </c>
      <c r="J2257">
        <v>8.3800000000000008</v>
      </c>
      <c r="K2257">
        <v>49</v>
      </c>
      <c r="L2257">
        <v>48.75</v>
      </c>
      <c r="M2257" s="175">
        <v>0.09</v>
      </c>
      <c r="N2257" t="s">
        <v>5091</v>
      </c>
    </row>
    <row r="2258" spans="1:14">
      <c r="A2258" s="186">
        <v>8926</v>
      </c>
      <c r="B2258" t="s">
        <v>2204</v>
      </c>
      <c r="C2258">
        <v>58.6</v>
      </c>
      <c r="D2258">
        <v>58.8</v>
      </c>
      <c r="E2258" s="178">
        <v>-0.4</v>
      </c>
      <c r="F2258" s="176">
        <v>-0.68</v>
      </c>
      <c r="G2258" t="s">
        <v>5203</v>
      </c>
      <c r="H2258">
        <v>2059</v>
      </c>
      <c r="I2258">
        <v>3106</v>
      </c>
      <c r="J2258">
        <v>83.03</v>
      </c>
      <c r="K2258">
        <v>59.2</v>
      </c>
      <c r="L2258">
        <v>58.5</v>
      </c>
      <c r="M2258" s="175">
        <v>0.25</v>
      </c>
      <c r="N2258" t="s">
        <v>5092</v>
      </c>
    </row>
    <row r="2259" spans="1:14">
      <c r="A2259" s="186">
        <v>8927</v>
      </c>
      <c r="B2259" t="s">
        <v>2205</v>
      </c>
      <c r="C2259">
        <v>17.75</v>
      </c>
      <c r="D2259">
        <v>17.399999999999999</v>
      </c>
      <c r="E2259" s="178">
        <v>-0.4</v>
      </c>
      <c r="F2259" s="176">
        <v>-2.25</v>
      </c>
      <c r="G2259" t="s">
        <v>5246</v>
      </c>
      <c r="H2259">
        <v>171</v>
      </c>
      <c r="I2259">
        <v>141</v>
      </c>
      <c r="J2259">
        <v>41.91</v>
      </c>
      <c r="K2259">
        <v>17.899999999999999</v>
      </c>
      <c r="L2259">
        <v>17.399999999999999</v>
      </c>
      <c r="M2259" s="175">
        <v>0.04</v>
      </c>
      <c r="N2259" t="s">
        <v>5093</v>
      </c>
    </row>
    <row r="2260" spans="1:14">
      <c r="A2260" s="186">
        <v>8928</v>
      </c>
      <c r="B2260" t="s">
        <v>2206</v>
      </c>
      <c r="C2260">
        <v>21.3</v>
      </c>
      <c r="D2260">
        <v>21.55</v>
      </c>
      <c r="E2260" s="178">
        <v>0.3</v>
      </c>
      <c r="F2260" s="176">
        <v>1.41</v>
      </c>
      <c r="G2260" t="s">
        <v>7002</v>
      </c>
      <c r="H2260">
        <v>23</v>
      </c>
      <c r="I2260">
        <v>36</v>
      </c>
      <c r="J2260">
        <v>5.09</v>
      </c>
      <c r="K2260">
        <v>21.65</v>
      </c>
      <c r="L2260">
        <v>21.05</v>
      </c>
      <c r="M2260" s="175">
        <v>0.05</v>
      </c>
      <c r="N2260" t="s">
        <v>5091</v>
      </c>
    </row>
    <row r="2261" spans="1:14">
      <c r="A2261" s="186">
        <v>8929</v>
      </c>
      <c r="B2261" t="s">
        <v>2207</v>
      </c>
      <c r="C2261">
        <v>12.75</v>
      </c>
      <c r="D2261">
        <v>12.85</v>
      </c>
      <c r="E2261" s="178">
        <v>-0.1</v>
      </c>
      <c r="F2261" s="176">
        <v>-0.77</v>
      </c>
      <c r="G2261" t="s">
        <v>7003</v>
      </c>
      <c r="H2261">
        <v>13</v>
      </c>
      <c r="I2261">
        <v>15</v>
      </c>
      <c r="J2261">
        <v>5.0599999999999996</v>
      </c>
      <c r="K2261">
        <v>13.05</v>
      </c>
      <c r="L2261">
        <v>12.75</v>
      </c>
      <c r="M2261" s="175">
        <v>0.03</v>
      </c>
      <c r="N2261" t="s">
        <v>5094</v>
      </c>
    </row>
    <row r="2262" spans="1:14">
      <c r="A2262" s="186">
        <v>8930</v>
      </c>
      <c r="B2262" t="s">
        <v>2208</v>
      </c>
      <c r="C2262">
        <v>28.1</v>
      </c>
      <c r="D2262">
        <v>28.05</v>
      </c>
      <c r="E2262" s="178">
        <v>0</v>
      </c>
      <c r="F2262" s="176">
        <v>0</v>
      </c>
      <c r="G2262" t="s">
        <v>5221</v>
      </c>
      <c r="H2262">
        <v>45</v>
      </c>
      <c r="I2262">
        <v>28</v>
      </c>
      <c r="J2262">
        <v>8.18</v>
      </c>
      <c r="K2262">
        <v>28.1</v>
      </c>
      <c r="L2262">
        <v>27.9</v>
      </c>
      <c r="M2262" s="175">
        <v>0.06</v>
      </c>
      <c r="N2262" t="s">
        <v>5095</v>
      </c>
    </row>
    <row r="2263" spans="1:14">
      <c r="A2263" s="186">
        <v>8931</v>
      </c>
      <c r="B2263" t="s">
        <v>2209</v>
      </c>
      <c r="C2263">
        <v>43.15</v>
      </c>
      <c r="D2263">
        <v>43</v>
      </c>
      <c r="E2263" s="178">
        <v>0.05</v>
      </c>
      <c r="F2263" s="176">
        <v>0.12</v>
      </c>
      <c r="G2263" t="s">
        <v>5176</v>
      </c>
      <c r="H2263">
        <v>45</v>
      </c>
      <c r="I2263">
        <v>54</v>
      </c>
      <c r="J2263">
        <v>12.23</v>
      </c>
      <c r="K2263">
        <v>43.4</v>
      </c>
      <c r="L2263">
        <v>42.65</v>
      </c>
      <c r="M2263" s="175">
        <v>0.04</v>
      </c>
      <c r="N2263" t="s">
        <v>5096</v>
      </c>
    </row>
    <row r="2264" spans="1:14">
      <c r="A2264" s="186">
        <v>8932</v>
      </c>
      <c r="B2264" t="s">
        <v>3070</v>
      </c>
      <c r="C2264">
        <v>93.4</v>
      </c>
      <c r="D2264">
        <v>91.6</v>
      </c>
      <c r="E2264" s="178">
        <v>-2.9</v>
      </c>
      <c r="F2264" s="176">
        <v>-3.07</v>
      </c>
      <c r="G2264" t="s">
        <v>6610</v>
      </c>
      <c r="H2264">
        <v>2076</v>
      </c>
      <c r="I2264">
        <v>1735</v>
      </c>
      <c r="J2264">
        <v>10.65</v>
      </c>
      <c r="K2264">
        <v>93.4</v>
      </c>
      <c r="L2264">
        <v>90.7</v>
      </c>
      <c r="M2264" s="175">
        <v>0.49</v>
      </c>
      <c r="N2264" t="s">
        <v>5097</v>
      </c>
    </row>
    <row r="2265" spans="1:14">
      <c r="A2265" s="186">
        <v>8933</v>
      </c>
      <c r="B2265" t="s">
        <v>2210</v>
      </c>
      <c r="C2265">
        <v>4.59</v>
      </c>
      <c r="D2265">
        <v>4.51</v>
      </c>
      <c r="E2265" s="178">
        <v>-0.08</v>
      </c>
      <c r="F2265" s="176">
        <v>-1.74</v>
      </c>
      <c r="G2265" t="s">
        <v>7004</v>
      </c>
      <c r="H2265">
        <v>31</v>
      </c>
      <c r="I2265">
        <v>97</v>
      </c>
      <c r="J2265">
        <v>32.67</v>
      </c>
      <c r="K2265">
        <v>4.5999999999999996</v>
      </c>
      <c r="L2265">
        <v>4.5</v>
      </c>
      <c r="M2265" s="175">
        <v>0.01</v>
      </c>
      <c r="N2265" t="s">
        <v>5098</v>
      </c>
    </row>
    <row r="2266" spans="1:14">
      <c r="A2266" s="186">
        <v>8935</v>
      </c>
      <c r="B2266" t="s">
        <v>2211</v>
      </c>
      <c r="C2266">
        <v>18.3</v>
      </c>
      <c r="D2266">
        <v>18.399999999999999</v>
      </c>
      <c r="E2266" s="178">
        <v>-0.3</v>
      </c>
      <c r="F2266" s="176">
        <v>-1.6</v>
      </c>
      <c r="G2266" t="s">
        <v>5612</v>
      </c>
      <c r="H2266">
        <v>25</v>
      </c>
      <c r="I2266">
        <v>57</v>
      </c>
      <c r="J2266">
        <v>11.35</v>
      </c>
      <c r="K2266">
        <v>18.399999999999999</v>
      </c>
      <c r="L2266">
        <v>18.3</v>
      </c>
      <c r="M2266" s="175">
        <v>0.02</v>
      </c>
      <c r="N2266" t="s">
        <v>5099</v>
      </c>
    </row>
    <row r="2267" spans="1:14">
      <c r="A2267" s="186">
        <v>8936</v>
      </c>
      <c r="B2267" t="s">
        <v>2212</v>
      </c>
      <c r="C2267">
        <v>52.3</v>
      </c>
      <c r="D2267">
        <v>51.7</v>
      </c>
      <c r="E2267" s="178">
        <v>-0.6</v>
      </c>
      <c r="F2267" s="176">
        <v>-1.1499999999999999</v>
      </c>
      <c r="G2267" t="s">
        <v>7005</v>
      </c>
      <c r="H2267">
        <v>1255</v>
      </c>
      <c r="I2267">
        <v>1244</v>
      </c>
      <c r="J2267">
        <v>24.81</v>
      </c>
      <c r="K2267">
        <v>52.3</v>
      </c>
      <c r="L2267">
        <v>51.6</v>
      </c>
      <c r="M2267" s="175">
        <v>0.51</v>
      </c>
      <c r="N2267" t="s">
        <v>5100</v>
      </c>
    </row>
    <row r="2268" spans="1:14">
      <c r="A2268" s="186">
        <v>8937</v>
      </c>
      <c r="B2268" t="s">
        <v>3104</v>
      </c>
      <c r="C2268">
        <v>25.65</v>
      </c>
      <c r="D2268">
        <v>24.6</v>
      </c>
      <c r="E2268" s="178">
        <v>-0.3</v>
      </c>
      <c r="F2268" s="176">
        <v>-1.2</v>
      </c>
      <c r="G2268" t="s">
        <v>5301</v>
      </c>
      <c r="H2268">
        <v>61</v>
      </c>
      <c r="I2268">
        <v>71</v>
      </c>
      <c r="J2268">
        <v>11.04</v>
      </c>
      <c r="K2268">
        <v>25.65</v>
      </c>
      <c r="L2268">
        <v>24.05</v>
      </c>
      <c r="M2268" s="175">
        <v>0.01</v>
      </c>
      <c r="N2268" t="s">
        <v>5101</v>
      </c>
    </row>
    <row r="2269" spans="1:14">
      <c r="A2269" s="186">
        <v>8938</v>
      </c>
      <c r="B2269" t="s">
        <v>2213</v>
      </c>
      <c r="C2269">
        <v>50.8</v>
      </c>
      <c r="D2269">
        <v>50.5</v>
      </c>
      <c r="E2269" s="178">
        <v>-0.3</v>
      </c>
      <c r="F2269" s="176">
        <v>-0.59</v>
      </c>
      <c r="G2269" t="s">
        <v>6806</v>
      </c>
      <c r="H2269">
        <v>99</v>
      </c>
      <c r="I2269">
        <v>111</v>
      </c>
      <c r="J2269">
        <v>15.7</v>
      </c>
      <c r="K2269">
        <v>50.9</v>
      </c>
      <c r="L2269">
        <v>50.4</v>
      </c>
      <c r="M2269" s="175">
        <v>0.06</v>
      </c>
      <c r="N2269" t="s">
        <v>5091</v>
      </c>
    </row>
    <row r="2270" spans="1:14">
      <c r="A2270" s="186">
        <v>8940</v>
      </c>
      <c r="B2270" t="s">
        <v>2214</v>
      </c>
      <c r="C2270">
        <v>15.25</v>
      </c>
      <c r="D2270">
        <v>14.85</v>
      </c>
      <c r="E2270" s="178">
        <v>-0.4</v>
      </c>
      <c r="F2270" s="176">
        <v>-2.62</v>
      </c>
      <c r="G2270" t="s">
        <v>7006</v>
      </c>
      <c r="H2270">
        <v>34</v>
      </c>
      <c r="I2270">
        <v>22</v>
      </c>
      <c r="J2270">
        <v>6.75</v>
      </c>
      <c r="K2270">
        <v>15.25</v>
      </c>
      <c r="L2270">
        <v>14.8</v>
      </c>
      <c r="M2270" s="175">
        <v>0.05</v>
      </c>
      <c r="N2270" t="s">
        <v>5102</v>
      </c>
    </row>
    <row r="2271" spans="1:14">
      <c r="A2271" s="186">
        <v>8941</v>
      </c>
      <c r="B2271" t="s">
        <v>2215</v>
      </c>
      <c r="C2271">
        <v>43.2</v>
      </c>
      <c r="D2271">
        <v>43.4</v>
      </c>
      <c r="E2271" s="178">
        <v>0.1</v>
      </c>
      <c r="F2271" s="176">
        <v>0.23</v>
      </c>
      <c r="G2271" t="s">
        <v>7007</v>
      </c>
      <c r="H2271">
        <v>4</v>
      </c>
      <c r="I2271">
        <v>10</v>
      </c>
      <c r="J2271">
        <v>3.5</v>
      </c>
      <c r="K2271">
        <v>43.4</v>
      </c>
      <c r="L2271">
        <v>43.2</v>
      </c>
      <c r="M2271" s="175">
        <v>0.01</v>
      </c>
      <c r="N2271" t="s">
        <v>5103</v>
      </c>
    </row>
    <row r="2272" spans="1:14">
      <c r="A2272" s="186">
        <v>8942</v>
      </c>
      <c r="B2272" t="s">
        <v>2216</v>
      </c>
      <c r="C2272">
        <v>40.299999999999997</v>
      </c>
      <c r="D2272">
        <v>40.1</v>
      </c>
      <c r="E2272" s="178">
        <v>-0.2</v>
      </c>
      <c r="F2272" s="176">
        <v>-0.5</v>
      </c>
      <c r="G2272" t="s">
        <v>7008</v>
      </c>
      <c r="H2272">
        <v>169</v>
      </c>
      <c r="I2272">
        <v>156</v>
      </c>
      <c r="J2272">
        <v>19.88</v>
      </c>
      <c r="K2272">
        <v>40.299999999999997</v>
      </c>
      <c r="L2272">
        <v>39.85</v>
      </c>
      <c r="M2272" s="175">
        <v>0.08</v>
      </c>
      <c r="N2272" t="s">
        <v>5104</v>
      </c>
    </row>
    <row r="2273" spans="1:14">
      <c r="A2273" s="186">
        <v>8996</v>
      </c>
      <c r="B2273" t="s">
        <v>2217</v>
      </c>
      <c r="C2273">
        <v>1565</v>
      </c>
      <c r="D2273">
        <v>1520</v>
      </c>
      <c r="E2273" s="178">
        <v>-165</v>
      </c>
      <c r="F2273" s="176">
        <v>-9.7899999999999991</v>
      </c>
      <c r="G2273" t="s">
        <v>7009</v>
      </c>
      <c r="H2273">
        <v>4396</v>
      </c>
      <c r="I2273">
        <v>2735</v>
      </c>
      <c r="J2273">
        <v>9.36</v>
      </c>
      <c r="K2273">
        <v>1605</v>
      </c>
      <c r="L2273">
        <v>1520</v>
      </c>
      <c r="M2273" s="175">
        <v>4.7</v>
      </c>
      <c r="N2273" t="s">
        <v>5105</v>
      </c>
    </row>
    <row r="2274" spans="1:14">
      <c r="A2274" s="186">
        <v>9802</v>
      </c>
      <c r="B2274" t="s">
        <v>2218</v>
      </c>
      <c r="C2274">
        <v>66.5</v>
      </c>
      <c r="D2274">
        <v>66.5</v>
      </c>
      <c r="E2274" s="178">
        <v>0.1</v>
      </c>
      <c r="F2274" s="176">
        <v>0.15</v>
      </c>
      <c r="G2274" t="s">
        <v>7010</v>
      </c>
      <c r="H2274">
        <v>636</v>
      </c>
      <c r="I2274">
        <v>419</v>
      </c>
      <c r="J2274">
        <v>20.100000000000001</v>
      </c>
      <c r="K2274">
        <v>66.7</v>
      </c>
      <c r="L2274">
        <v>66.099999999999994</v>
      </c>
      <c r="M2274" s="175">
        <v>0.32</v>
      </c>
      <c r="N2274" t="s">
        <v>5106</v>
      </c>
    </row>
    <row r="2275" spans="1:14">
      <c r="A2275" s="186">
        <v>9902</v>
      </c>
      <c r="B2275" t="s">
        <v>2219</v>
      </c>
      <c r="C2275">
        <v>13.15</v>
      </c>
      <c r="D2275">
        <v>13.1</v>
      </c>
      <c r="E2275" s="178">
        <v>-0.1</v>
      </c>
      <c r="F2275" s="176">
        <v>-0.76</v>
      </c>
      <c r="G2275" t="s">
        <v>7011</v>
      </c>
      <c r="H2275">
        <v>72</v>
      </c>
      <c r="I2275">
        <v>111</v>
      </c>
      <c r="J2275">
        <v>9.8000000000000007</v>
      </c>
      <c r="K2275">
        <v>13.25</v>
      </c>
      <c r="L2275">
        <v>13.05</v>
      </c>
      <c r="M2275" s="175">
        <v>7.0000000000000007E-2</v>
      </c>
      <c r="N2275" t="s">
        <v>5107</v>
      </c>
    </row>
    <row r="2276" spans="1:14">
      <c r="A2276" s="186">
        <v>9904</v>
      </c>
      <c r="B2276" t="s">
        <v>2220</v>
      </c>
      <c r="C2276">
        <v>26.05</v>
      </c>
      <c r="D2276">
        <v>26.25</v>
      </c>
      <c r="E2276" s="178">
        <v>0.15</v>
      </c>
      <c r="F2276" s="176">
        <v>0.56999999999999995</v>
      </c>
      <c r="G2276" t="s">
        <v>5765</v>
      </c>
      <c r="H2276">
        <v>21376</v>
      </c>
      <c r="I2276">
        <v>17815</v>
      </c>
      <c r="J2276">
        <v>294.68</v>
      </c>
      <c r="K2276">
        <v>26.25</v>
      </c>
      <c r="L2276">
        <v>26</v>
      </c>
      <c r="M2276" s="175">
        <v>0.73</v>
      </c>
      <c r="N2276" t="s">
        <v>5108</v>
      </c>
    </row>
    <row r="2277" spans="1:14">
      <c r="A2277" s="186">
        <v>9905</v>
      </c>
      <c r="B2277" t="s">
        <v>2221</v>
      </c>
      <c r="C2277">
        <v>21.3</v>
      </c>
      <c r="D2277">
        <v>21.3</v>
      </c>
      <c r="E2277" s="178">
        <v>0</v>
      </c>
      <c r="F2277" s="176">
        <v>0</v>
      </c>
      <c r="G2277" t="s">
        <v>5649</v>
      </c>
      <c r="H2277">
        <v>200</v>
      </c>
      <c r="I2277">
        <v>103</v>
      </c>
      <c r="J2277">
        <v>30.5</v>
      </c>
      <c r="K2277">
        <v>21.3</v>
      </c>
      <c r="L2277">
        <v>21.15</v>
      </c>
      <c r="M2277" s="175">
        <v>7.0000000000000007E-2</v>
      </c>
      <c r="N2277" t="s">
        <v>5109</v>
      </c>
    </row>
    <row r="2278" spans="1:14">
      <c r="A2278" s="186">
        <v>9906</v>
      </c>
      <c r="B2278" t="s">
        <v>2222</v>
      </c>
      <c r="C2278">
        <v>40.049999999999997</v>
      </c>
      <c r="D2278">
        <v>39.799999999999997</v>
      </c>
      <c r="E2278" s="178">
        <v>-0.15</v>
      </c>
      <c r="F2278" s="176">
        <v>-0.38</v>
      </c>
      <c r="G2278" t="s">
        <v>6877</v>
      </c>
      <c r="H2278">
        <v>71</v>
      </c>
      <c r="I2278">
        <v>104</v>
      </c>
      <c r="J2278">
        <v>9.11</v>
      </c>
      <c r="K2278">
        <v>40.049999999999997</v>
      </c>
      <c r="L2278">
        <v>38.799999999999997</v>
      </c>
      <c r="M2278" s="175">
        <v>0.08</v>
      </c>
      <c r="N2278" t="s">
        <v>5110</v>
      </c>
    </row>
    <row r="2279" spans="1:14">
      <c r="A2279" s="186">
        <v>9907</v>
      </c>
      <c r="B2279" t="s">
        <v>2223</v>
      </c>
      <c r="C2279">
        <v>15</v>
      </c>
      <c r="D2279">
        <v>15</v>
      </c>
      <c r="E2279" s="178">
        <v>0.15</v>
      </c>
      <c r="F2279" s="176">
        <v>1.01</v>
      </c>
      <c r="G2279" t="s">
        <v>7012</v>
      </c>
      <c r="H2279">
        <v>1699</v>
      </c>
      <c r="I2279">
        <v>1011</v>
      </c>
      <c r="J2279">
        <v>157.91</v>
      </c>
      <c r="K2279">
        <v>15</v>
      </c>
      <c r="L2279">
        <v>14.85</v>
      </c>
      <c r="M2279" s="175">
        <v>0.11</v>
      </c>
      <c r="N2279" t="s">
        <v>5111</v>
      </c>
    </row>
    <row r="2280" spans="1:14">
      <c r="A2280" s="186">
        <v>9908</v>
      </c>
      <c r="B2280" t="s">
        <v>2224</v>
      </c>
      <c r="C2280">
        <v>29.15</v>
      </c>
      <c r="D2280">
        <v>29.1</v>
      </c>
      <c r="E2280" s="178">
        <v>0</v>
      </c>
      <c r="F2280" s="176">
        <v>0</v>
      </c>
      <c r="G2280" t="s">
        <v>6806</v>
      </c>
      <c r="H2280">
        <v>173</v>
      </c>
      <c r="I2280">
        <v>146</v>
      </c>
      <c r="J2280">
        <v>51.64</v>
      </c>
      <c r="K2280">
        <v>29.2</v>
      </c>
      <c r="L2280">
        <v>28.95</v>
      </c>
      <c r="M2280" s="175">
        <v>0.03</v>
      </c>
      <c r="N2280" t="s">
        <v>5112</v>
      </c>
    </row>
    <row r="2281" spans="1:14">
      <c r="A2281" s="186">
        <v>9910</v>
      </c>
      <c r="B2281" t="s">
        <v>2225</v>
      </c>
      <c r="C2281">
        <v>67.7</v>
      </c>
      <c r="D2281">
        <v>68.099999999999994</v>
      </c>
      <c r="E2281" s="178">
        <v>0.6</v>
      </c>
      <c r="F2281" s="176">
        <v>0.89</v>
      </c>
      <c r="G2281" t="s">
        <v>6343</v>
      </c>
      <c r="H2281">
        <v>1687</v>
      </c>
      <c r="I2281">
        <v>1031</v>
      </c>
      <c r="J2281">
        <v>98.75</v>
      </c>
      <c r="K2281">
        <v>68.400000000000006</v>
      </c>
      <c r="L2281">
        <v>67.400000000000006</v>
      </c>
      <c r="M2281" s="175">
        <v>0.17</v>
      </c>
      <c r="N2281" t="s">
        <v>5113</v>
      </c>
    </row>
    <row r="2282" spans="1:14">
      <c r="A2282" s="186">
        <v>9911</v>
      </c>
      <c r="B2282" t="s">
        <v>2226</v>
      </c>
      <c r="C2282">
        <v>81.3</v>
      </c>
      <c r="D2282">
        <v>81.099999999999994</v>
      </c>
      <c r="E2282" s="178">
        <v>-0.2</v>
      </c>
      <c r="F2282" s="176">
        <v>-0.25</v>
      </c>
      <c r="G2282" t="s">
        <v>7013</v>
      </c>
      <c r="H2282">
        <v>304</v>
      </c>
      <c r="I2282">
        <v>177</v>
      </c>
      <c r="J2282">
        <v>22.23</v>
      </c>
      <c r="K2282">
        <v>81.400000000000006</v>
      </c>
      <c r="L2282">
        <v>81.099999999999994</v>
      </c>
      <c r="M2282" s="175">
        <v>0.14000000000000001</v>
      </c>
      <c r="N2282" t="s">
        <v>5114</v>
      </c>
    </row>
    <row r="2283" spans="1:14">
      <c r="A2283" s="186">
        <v>9912</v>
      </c>
      <c r="B2283" t="s">
        <v>2227</v>
      </c>
      <c r="C2283">
        <v>12.8</v>
      </c>
      <c r="D2283">
        <v>12.9</v>
      </c>
      <c r="E2283" s="178">
        <v>-0.05</v>
      </c>
      <c r="F2283" s="176">
        <v>-0.39</v>
      </c>
      <c r="G2283" t="s">
        <v>7014</v>
      </c>
      <c r="H2283">
        <v>61</v>
      </c>
      <c r="I2283">
        <v>11</v>
      </c>
      <c r="J2283">
        <v>5.38</v>
      </c>
      <c r="K2283">
        <v>13.05</v>
      </c>
      <c r="L2283">
        <v>12.6</v>
      </c>
      <c r="M2283" s="175">
        <v>0.11</v>
      </c>
      <c r="N2283" t="s">
        <v>5115</v>
      </c>
    </row>
    <row r="2284" spans="1:14">
      <c r="A2284" s="186">
        <v>9914</v>
      </c>
      <c r="B2284" t="s">
        <v>2228</v>
      </c>
      <c r="C2284">
        <v>67.2</v>
      </c>
      <c r="D2284">
        <v>68.599999999999994</v>
      </c>
      <c r="E2284" s="178">
        <v>1.9</v>
      </c>
      <c r="F2284" s="176">
        <v>2.85</v>
      </c>
      <c r="G2284" t="s">
        <v>5340</v>
      </c>
      <c r="H2284">
        <v>3346</v>
      </c>
      <c r="I2284">
        <v>1501</v>
      </c>
      <c r="J2284">
        <v>29.9</v>
      </c>
      <c r="K2284">
        <v>70.5</v>
      </c>
      <c r="L2284">
        <v>67</v>
      </c>
      <c r="M2284" s="175">
        <v>1.1200000000000001</v>
      </c>
      <c r="N2284" t="s">
        <v>5116</v>
      </c>
    </row>
    <row r="2285" spans="1:14">
      <c r="A2285" s="186">
        <v>9917</v>
      </c>
      <c r="B2285" t="s">
        <v>2229</v>
      </c>
      <c r="C2285">
        <v>108</v>
      </c>
      <c r="D2285">
        <v>108</v>
      </c>
      <c r="E2285" s="178">
        <v>0.5</v>
      </c>
      <c r="F2285" s="176">
        <v>0.47</v>
      </c>
      <c r="G2285" t="s">
        <v>7015</v>
      </c>
      <c r="H2285">
        <v>429</v>
      </c>
      <c r="I2285">
        <v>293</v>
      </c>
      <c r="J2285">
        <v>47.38</v>
      </c>
      <c r="K2285">
        <v>108</v>
      </c>
      <c r="L2285">
        <v>107</v>
      </c>
      <c r="M2285" s="175">
        <v>0.09</v>
      </c>
      <c r="N2285" t="s">
        <v>5117</v>
      </c>
    </row>
    <row r="2286" spans="1:14">
      <c r="A2286" s="186">
        <v>9918</v>
      </c>
      <c r="B2286" t="s">
        <v>2230</v>
      </c>
      <c r="C2286">
        <v>43.2</v>
      </c>
      <c r="D2286">
        <v>43.05</v>
      </c>
      <c r="E2286" s="178">
        <v>-0.15</v>
      </c>
      <c r="F2286" s="176">
        <v>-0.35</v>
      </c>
      <c r="G2286" t="s">
        <v>5205</v>
      </c>
      <c r="H2286">
        <v>29</v>
      </c>
      <c r="I2286">
        <v>10</v>
      </c>
      <c r="J2286">
        <v>18.05</v>
      </c>
      <c r="K2286">
        <v>43.25</v>
      </c>
      <c r="L2286">
        <v>42.85</v>
      </c>
      <c r="M2286" s="175">
        <v>0.02</v>
      </c>
      <c r="N2286" t="s">
        <v>5118</v>
      </c>
    </row>
    <row r="2287" spans="1:14">
      <c r="A2287" s="186">
        <v>9919</v>
      </c>
      <c r="B2287" t="s">
        <v>2231</v>
      </c>
      <c r="C2287">
        <v>15.45</v>
      </c>
      <c r="D2287">
        <v>15.4</v>
      </c>
      <c r="E2287" s="178">
        <v>0</v>
      </c>
      <c r="F2287" s="176">
        <v>0</v>
      </c>
      <c r="G2287" t="s">
        <v>7016</v>
      </c>
      <c r="H2287">
        <v>1085</v>
      </c>
      <c r="I2287">
        <v>4179</v>
      </c>
      <c r="J2287">
        <v>19.54</v>
      </c>
      <c r="K2287">
        <v>16</v>
      </c>
      <c r="L2287">
        <v>15.25</v>
      </c>
      <c r="M2287" s="175">
        <v>0.56000000000000005</v>
      </c>
      <c r="N2287" t="s">
        <v>5119</v>
      </c>
    </row>
    <row r="2288" spans="1:14">
      <c r="A2288" s="186">
        <v>9921</v>
      </c>
      <c r="B2288" t="s">
        <v>2232</v>
      </c>
      <c r="C2288">
        <v>92.8</v>
      </c>
      <c r="D2288">
        <v>93.4</v>
      </c>
      <c r="E2288" s="178">
        <v>1.3</v>
      </c>
      <c r="F2288" s="176">
        <v>1.41</v>
      </c>
      <c r="G2288" t="s">
        <v>5739</v>
      </c>
      <c r="H2288">
        <v>2134</v>
      </c>
      <c r="I2288">
        <v>897</v>
      </c>
      <c r="J2288">
        <v>39.21</v>
      </c>
      <c r="K2288">
        <v>95.9</v>
      </c>
      <c r="L2288">
        <v>92.3</v>
      </c>
      <c r="M2288" s="175">
        <v>0.54</v>
      </c>
      <c r="N2288" t="s">
        <v>5120</v>
      </c>
    </row>
    <row r="2289" spans="1:14">
      <c r="A2289" s="186">
        <v>9924</v>
      </c>
      <c r="B2289" t="s">
        <v>2911</v>
      </c>
      <c r="C2289">
        <v>39.25</v>
      </c>
      <c r="D2289">
        <v>38.299999999999997</v>
      </c>
      <c r="E2289" s="178">
        <v>0.1</v>
      </c>
      <c r="F2289" s="176">
        <v>0.26</v>
      </c>
      <c r="G2289" t="s">
        <v>5230</v>
      </c>
      <c r="H2289">
        <v>95</v>
      </c>
      <c r="I2289">
        <v>87</v>
      </c>
      <c r="J2289">
        <v>15.08</v>
      </c>
      <c r="K2289">
        <v>39.25</v>
      </c>
      <c r="L2289">
        <v>38.25</v>
      </c>
      <c r="M2289" s="175">
        <v>0.06</v>
      </c>
      <c r="N2289" t="s">
        <v>5121</v>
      </c>
    </row>
    <row r="2290" spans="1:14">
      <c r="A2290" s="186">
        <v>9925</v>
      </c>
      <c r="B2290" t="s">
        <v>2233</v>
      </c>
      <c r="C2290">
        <v>39.5</v>
      </c>
      <c r="D2290">
        <v>39.6</v>
      </c>
      <c r="E2290" s="178">
        <v>0.15</v>
      </c>
      <c r="F2290" s="176">
        <v>0.38</v>
      </c>
      <c r="G2290" t="s">
        <v>7017</v>
      </c>
      <c r="H2290">
        <v>631</v>
      </c>
      <c r="I2290">
        <v>260</v>
      </c>
      <c r="J2290">
        <v>38.75</v>
      </c>
      <c r="K2290">
        <v>39.65</v>
      </c>
      <c r="L2290">
        <v>39.4</v>
      </c>
      <c r="M2290" s="175">
        <v>0.16</v>
      </c>
      <c r="N2290" t="s">
        <v>5122</v>
      </c>
    </row>
    <row r="2291" spans="1:14">
      <c r="A2291" s="186">
        <v>9926</v>
      </c>
      <c r="B2291" t="s">
        <v>2234</v>
      </c>
      <c r="C2291">
        <v>49.15</v>
      </c>
      <c r="D2291">
        <v>49</v>
      </c>
      <c r="E2291" s="178">
        <v>-0.15</v>
      </c>
      <c r="F2291" s="176">
        <v>-0.31</v>
      </c>
      <c r="G2291" t="s">
        <v>5310</v>
      </c>
      <c r="H2291">
        <v>23</v>
      </c>
      <c r="I2291">
        <v>5</v>
      </c>
      <c r="J2291">
        <v>17.95</v>
      </c>
      <c r="K2291">
        <v>49.4</v>
      </c>
      <c r="L2291">
        <v>48.6</v>
      </c>
      <c r="M2291" s="175">
        <v>0.01</v>
      </c>
      <c r="N2291" t="s">
        <v>5123</v>
      </c>
    </row>
    <row r="2292" spans="1:14">
      <c r="A2292" s="186">
        <v>9927</v>
      </c>
      <c r="B2292" t="s">
        <v>2235</v>
      </c>
      <c r="C2292">
        <v>60.5</v>
      </c>
      <c r="D2292">
        <v>60.1</v>
      </c>
      <c r="E2292" s="178">
        <v>-0.6</v>
      </c>
      <c r="F2292" s="176">
        <v>-0.99</v>
      </c>
      <c r="G2292" t="s">
        <v>7018</v>
      </c>
      <c r="H2292">
        <v>384</v>
      </c>
      <c r="I2292">
        <v>246</v>
      </c>
      <c r="J2292">
        <v>12</v>
      </c>
      <c r="K2292">
        <v>60.5</v>
      </c>
      <c r="L2292">
        <v>60</v>
      </c>
      <c r="M2292" s="175">
        <v>0.32</v>
      </c>
      <c r="N2292" t="s">
        <v>5124</v>
      </c>
    </row>
    <row r="2293" spans="1:14">
      <c r="A2293" s="186">
        <v>9928</v>
      </c>
      <c r="B2293" t="s">
        <v>2236</v>
      </c>
      <c r="C2293">
        <v>17.649999999999999</v>
      </c>
      <c r="D2293">
        <v>17.7</v>
      </c>
      <c r="E2293" s="178">
        <v>0</v>
      </c>
      <c r="F2293" s="176">
        <v>0</v>
      </c>
      <c r="G2293" t="s">
        <v>5750</v>
      </c>
      <c r="H2293">
        <v>99</v>
      </c>
      <c r="I2293">
        <v>27</v>
      </c>
      <c r="J2293">
        <v>7.07</v>
      </c>
      <c r="K2293">
        <v>17.7</v>
      </c>
      <c r="L2293">
        <v>17.5</v>
      </c>
      <c r="M2293" s="175">
        <v>0.14000000000000001</v>
      </c>
      <c r="N2293" t="s">
        <v>5125</v>
      </c>
    </row>
    <row r="2294" spans="1:14">
      <c r="A2294" s="186">
        <v>9929</v>
      </c>
      <c r="B2294" t="s">
        <v>2237</v>
      </c>
      <c r="C2294">
        <v>11</v>
      </c>
      <c r="D2294">
        <v>11.1</v>
      </c>
      <c r="E2294" s="178">
        <v>0.05</v>
      </c>
      <c r="F2294" s="176">
        <v>0.45</v>
      </c>
      <c r="G2294" t="s">
        <v>5889</v>
      </c>
      <c r="H2294">
        <v>17</v>
      </c>
      <c r="I2294">
        <v>142</v>
      </c>
      <c r="J2294">
        <v>10.130000000000001</v>
      </c>
      <c r="K2294">
        <v>11.2</v>
      </c>
      <c r="L2294">
        <v>11</v>
      </c>
      <c r="M2294" s="175">
        <v>0.02</v>
      </c>
      <c r="N2294" t="s">
        <v>5126</v>
      </c>
    </row>
    <row r="2295" spans="1:14">
      <c r="A2295" s="186">
        <v>9930</v>
      </c>
      <c r="B2295" t="s">
        <v>2238</v>
      </c>
      <c r="C2295">
        <v>59.9</v>
      </c>
      <c r="D2295">
        <v>59.8</v>
      </c>
      <c r="E2295" s="178">
        <v>0</v>
      </c>
      <c r="F2295" s="176">
        <v>0</v>
      </c>
      <c r="G2295" t="s">
        <v>6275</v>
      </c>
      <c r="H2295">
        <v>90</v>
      </c>
      <c r="I2295">
        <v>142</v>
      </c>
      <c r="J2295">
        <v>24.85</v>
      </c>
      <c r="K2295">
        <v>60.4</v>
      </c>
      <c r="L2295">
        <v>59.5</v>
      </c>
      <c r="M2295" s="175">
        <v>0.04</v>
      </c>
      <c r="N2295" t="s">
        <v>5127</v>
      </c>
    </row>
    <row r="2296" spans="1:14">
      <c r="A2296" s="186">
        <v>9931</v>
      </c>
      <c r="B2296" t="s">
        <v>2239</v>
      </c>
      <c r="C2296">
        <v>33.85</v>
      </c>
      <c r="D2296">
        <v>34.15</v>
      </c>
      <c r="E2296" s="178">
        <v>0.05</v>
      </c>
      <c r="F2296" s="176">
        <v>0.15</v>
      </c>
      <c r="G2296" t="s">
        <v>5231</v>
      </c>
      <c r="H2296">
        <v>48</v>
      </c>
      <c r="I2296">
        <v>19</v>
      </c>
      <c r="J2296">
        <v>12.04</v>
      </c>
      <c r="K2296">
        <v>34.15</v>
      </c>
      <c r="L2296">
        <v>33.799999999999997</v>
      </c>
      <c r="M2296" s="175">
        <v>0.04</v>
      </c>
      <c r="N2296" t="s">
        <v>5128</v>
      </c>
    </row>
    <row r="2297" spans="1:14">
      <c r="A2297" s="186">
        <v>9933</v>
      </c>
      <c r="B2297" t="s">
        <v>2240</v>
      </c>
      <c r="C2297">
        <v>42</v>
      </c>
      <c r="D2297">
        <v>42.4</v>
      </c>
      <c r="E2297" s="178">
        <v>-0.15</v>
      </c>
      <c r="F2297" s="176">
        <v>-0.35</v>
      </c>
      <c r="G2297" t="s">
        <v>6182</v>
      </c>
      <c r="H2297">
        <v>4769</v>
      </c>
      <c r="I2297">
        <v>4383</v>
      </c>
      <c r="J2297">
        <v>96.2</v>
      </c>
      <c r="K2297">
        <v>43.65</v>
      </c>
      <c r="L2297">
        <v>42</v>
      </c>
      <c r="M2297" s="175">
        <v>0.5</v>
      </c>
      <c r="N2297" t="s">
        <v>5129</v>
      </c>
    </row>
    <row r="2298" spans="1:14">
      <c r="A2298" s="186">
        <v>9934</v>
      </c>
      <c r="B2298" t="s">
        <v>2241</v>
      </c>
      <c r="C2298">
        <v>9.83</v>
      </c>
      <c r="D2298">
        <v>9.82</v>
      </c>
      <c r="E2298" s="178">
        <v>-0.01</v>
      </c>
      <c r="F2298" s="176">
        <v>-0.1</v>
      </c>
      <c r="G2298" t="s">
        <v>6651</v>
      </c>
      <c r="H2298">
        <v>558</v>
      </c>
      <c r="I2298">
        <v>404</v>
      </c>
      <c r="J2298">
        <v>41.1</v>
      </c>
      <c r="K2298">
        <v>9.84</v>
      </c>
      <c r="L2298">
        <v>9.77</v>
      </c>
      <c r="M2298" s="175">
        <v>0.14000000000000001</v>
      </c>
      <c r="N2298" t="s">
        <v>5130</v>
      </c>
    </row>
    <row r="2299" spans="1:14">
      <c r="A2299" s="186">
        <v>9935</v>
      </c>
      <c r="B2299" t="s">
        <v>2242</v>
      </c>
      <c r="C2299">
        <v>18.75</v>
      </c>
      <c r="D2299">
        <v>18.649999999999999</v>
      </c>
      <c r="E2299" s="178">
        <v>-0.2</v>
      </c>
      <c r="F2299" s="176">
        <v>-1.06</v>
      </c>
      <c r="G2299" t="s">
        <v>5723</v>
      </c>
      <c r="H2299">
        <v>126</v>
      </c>
      <c r="I2299">
        <v>341</v>
      </c>
      <c r="J2299">
        <v>17.78</v>
      </c>
      <c r="K2299">
        <v>18.75</v>
      </c>
      <c r="L2299">
        <v>18.55</v>
      </c>
      <c r="M2299" s="175">
        <v>7.0000000000000007E-2</v>
      </c>
      <c r="N2299" t="s">
        <v>5131</v>
      </c>
    </row>
    <row r="2300" spans="1:14">
      <c r="A2300" s="186">
        <v>9937</v>
      </c>
      <c r="B2300" t="s">
        <v>2243</v>
      </c>
      <c r="C2300">
        <v>55</v>
      </c>
      <c r="D2300">
        <v>55.1</v>
      </c>
      <c r="E2300" s="178">
        <v>0.2</v>
      </c>
      <c r="F2300" s="176">
        <v>0.36</v>
      </c>
      <c r="G2300" t="s">
        <v>5253</v>
      </c>
      <c r="H2300">
        <v>34</v>
      </c>
      <c r="I2300">
        <v>9</v>
      </c>
      <c r="J2300">
        <v>30.9</v>
      </c>
      <c r="K2300">
        <v>55.3</v>
      </c>
      <c r="L2300">
        <v>54.6</v>
      </c>
      <c r="M2300" s="175">
        <v>0.01</v>
      </c>
      <c r="N2300" t="s">
        <v>5132</v>
      </c>
    </row>
    <row r="2301" spans="1:14">
      <c r="A2301" s="186">
        <v>9938</v>
      </c>
      <c r="B2301" t="s">
        <v>2244</v>
      </c>
      <c r="C2301">
        <v>39.5</v>
      </c>
      <c r="D2301">
        <v>39.15</v>
      </c>
      <c r="E2301" s="178">
        <v>-0.3</v>
      </c>
      <c r="F2301" s="176">
        <v>-0.76</v>
      </c>
      <c r="G2301" t="s">
        <v>7019</v>
      </c>
      <c r="H2301">
        <v>757</v>
      </c>
      <c r="I2301">
        <v>816</v>
      </c>
      <c r="J2301">
        <v>29.8</v>
      </c>
      <c r="K2301">
        <v>39.549999999999997</v>
      </c>
      <c r="L2301">
        <v>39.1</v>
      </c>
      <c r="M2301" s="175">
        <v>0.25</v>
      </c>
      <c r="N2301" t="s">
        <v>5043</v>
      </c>
    </row>
    <row r="2302" spans="1:14">
      <c r="A2302" s="186">
        <v>9939</v>
      </c>
      <c r="B2302" t="s">
        <v>2245</v>
      </c>
      <c r="C2302">
        <v>127</v>
      </c>
      <c r="D2302">
        <v>128.5</v>
      </c>
      <c r="E2302" s="178">
        <v>1.5</v>
      </c>
      <c r="F2302" s="176">
        <v>1.18</v>
      </c>
      <c r="G2302" t="s">
        <v>5512</v>
      </c>
      <c r="H2302">
        <v>1098</v>
      </c>
      <c r="I2302">
        <v>556</v>
      </c>
      <c r="J2302">
        <v>29.58</v>
      </c>
      <c r="K2302">
        <v>129.5</v>
      </c>
      <c r="L2302">
        <v>126.5</v>
      </c>
      <c r="M2302" s="175">
        <v>0.37</v>
      </c>
      <c r="N2302" t="s">
        <v>5133</v>
      </c>
    </row>
    <row r="2303" spans="1:14">
      <c r="A2303" s="186">
        <v>9940</v>
      </c>
      <c r="B2303" t="s">
        <v>2246</v>
      </c>
      <c r="C2303">
        <v>20.149999999999999</v>
      </c>
      <c r="D2303">
        <v>20</v>
      </c>
      <c r="E2303" s="178">
        <v>-0.1</v>
      </c>
      <c r="F2303" s="176">
        <v>-0.5</v>
      </c>
      <c r="G2303" t="s">
        <v>5626</v>
      </c>
      <c r="H2303">
        <v>732</v>
      </c>
      <c r="I2303">
        <v>233</v>
      </c>
      <c r="J2303">
        <v>73.680000000000007</v>
      </c>
      <c r="K2303">
        <v>20.149999999999999</v>
      </c>
      <c r="L2303">
        <v>19.899999999999999</v>
      </c>
      <c r="M2303" s="175">
        <v>0.1</v>
      </c>
      <c r="N2303" t="s">
        <v>5134</v>
      </c>
    </row>
    <row r="2304" spans="1:14">
      <c r="A2304" s="186">
        <v>9941</v>
      </c>
      <c r="B2304" t="s">
        <v>2247</v>
      </c>
      <c r="C2304">
        <v>77.900000000000006</v>
      </c>
      <c r="D2304">
        <v>78.099999999999994</v>
      </c>
      <c r="E2304" s="178">
        <v>0.2</v>
      </c>
      <c r="F2304" s="176">
        <v>0.26</v>
      </c>
      <c r="G2304" t="s">
        <v>7020</v>
      </c>
      <c r="H2304">
        <v>1280</v>
      </c>
      <c r="I2304">
        <v>742</v>
      </c>
      <c r="J2304">
        <v>58.71</v>
      </c>
      <c r="K2304">
        <v>78.400000000000006</v>
      </c>
      <c r="L2304">
        <v>77.7</v>
      </c>
      <c r="M2304" s="175">
        <v>0.22</v>
      </c>
      <c r="N2304" t="s">
        <v>5135</v>
      </c>
    </row>
    <row r="2305" spans="1:14">
      <c r="A2305" s="186">
        <v>9942</v>
      </c>
      <c r="B2305" t="s">
        <v>2248</v>
      </c>
      <c r="C2305">
        <v>113.5</v>
      </c>
      <c r="D2305">
        <v>114</v>
      </c>
      <c r="E2305" s="178">
        <v>0.5</v>
      </c>
      <c r="F2305" s="176">
        <v>0.44</v>
      </c>
      <c r="G2305" t="s">
        <v>5681</v>
      </c>
      <c r="H2305">
        <v>69</v>
      </c>
      <c r="I2305">
        <v>42</v>
      </c>
      <c r="J2305">
        <v>8.32</v>
      </c>
      <c r="K2305">
        <v>114.5</v>
      </c>
      <c r="L2305">
        <v>113</v>
      </c>
      <c r="M2305" s="175">
        <v>0.08</v>
      </c>
      <c r="N2305" t="s">
        <v>5136</v>
      </c>
    </row>
    <row r="2306" spans="1:14">
      <c r="A2306" s="186">
        <v>9943</v>
      </c>
      <c r="B2306" t="s">
        <v>2249</v>
      </c>
      <c r="C2306">
        <v>50.9</v>
      </c>
      <c r="D2306">
        <v>50.9</v>
      </c>
      <c r="E2306" s="178">
        <v>0</v>
      </c>
      <c r="F2306" s="176">
        <v>0</v>
      </c>
      <c r="G2306" t="s">
        <v>5303</v>
      </c>
      <c r="H2306">
        <v>94</v>
      </c>
      <c r="I2306">
        <v>235</v>
      </c>
      <c r="J2306">
        <v>12.52</v>
      </c>
      <c r="K2306">
        <v>50.9</v>
      </c>
      <c r="L2306">
        <v>50.5</v>
      </c>
      <c r="M2306" s="175">
        <v>0.08</v>
      </c>
      <c r="N2306" t="s">
        <v>5137</v>
      </c>
    </row>
    <row r="2307" spans="1:14">
      <c r="A2307" s="186">
        <v>9944</v>
      </c>
      <c r="B2307" t="s">
        <v>2250</v>
      </c>
      <c r="C2307">
        <v>17.149999999999999</v>
      </c>
      <c r="D2307">
        <v>17.5</v>
      </c>
      <c r="E2307" s="178">
        <v>0.2</v>
      </c>
      <c r="F2307" s="176">
        <v>1.1599999999999999</v>
      </c>
      <c r="G2307" t="s">
        <v>5374</v>
      </c>
      <c r="H2307">
        <v>30</v>
      </c>
      <c r="I2307">
        <v>36</v>
      </c>
      <c r="J2307">
        <v>10.59</v>
      </c>
      <c r="K2307">
        <v>17.5</v>
      </c>
      <c r="L2307">
        <v>17.149999999999999</v>
      </c>
      <c r="M2307" s="175">
        <v>0.03</v>
      </c>
      <c r="N2307" t="s">
        <v>5138</v>
      </c>
    </row>
    <row r="2308" spans="1:14">
      <c r="A2308" s="186">
        <v>9945</v>
      </c>
      <c r="B2308" t="s">
        <v>2251</v>
      </c>
      <c r="C2308">
        <v>29.35</v>
      </c>
      <c r="D2308">
        <v>29.5</v>
      </c>
      <c r="E2308" s="178">
        <v>0.15</v>
      </c>
      <c r="F2308" s="176">
        <v>0.51</v>
      </c>
      <c r="G2308" t="s">
        <v>5425</v>
      </c>
      <c r="H2308">
        <v>6684</v>
      </c>
      <c r="I2308">
        <v>6017</v>
      </c>
      <c r="J2308">
        <v>284.42</v>
      </c>
      <c r="K2308">
        <v>29.75</v>
      </c>
      <c r="L2308">
        <v>29.2</v>
      </c>
      <c r="M2308" s="175">
        <v>0.24</v>
      </c>
      <c r="N2308" t="s">
        <v>5139</v>
      </c>
    </row>
    <row r="2309" spans="1:14">
      <c r="A2309" s="186">
        <v>9946</v>
      </c>
      <c r="B2309" t="s">
        <v>2252</v>
      </c>
      <c r="C2309">
        <v>16.7</v>
      </c>
      <c r="D2309">
        <v>16.649999999999999</v>
      </c>
      <c r="E2309" s="178">
        <v>0</v>
      </c>
      <c r="F2309" s="176">
        <v>0</v>
      </c>
      <c r="G2309" t="s">
        <v>5372</v>
      </c>
      <c r="H2309">
        <v>307</v>
      </c>
      <c r="I2309">
        <v>190</v>
      </c>
      <c r="J2309">
        <v>32.659999999999997</v>
      </c>
      <c r="K2309">
        <v>16.75</v>
      </c>
      <c r="L2309">
        <v>16.5</v>
      </c>
      <c r="M2309" s="175">
        <v>0.09</v>
      </c>
      <c r="N2309" t="s">
        <v>5140</v>
      </c>
    </row>
    <row r="2310" spans="1:14">
      <c r="A2310" s="186">
        <v>9949</v>
      </c>
      <c r="B2310" t="s">
        <v>2253</v>
      </c>
      <c r="C2310">
        <v>24.5</v>
      </c>
      <c r="D2310">
        <v>24.2</v>
      </c>
      <c r="E2310" s="178">
        <v>-0.55000000000000004</v>
      </c>
      <c r="F2310" s="176">
        <v>-2.2200000000000002</v>
      </c>
      <c r="G2310" t="s">
        <v>7021</v>
      </c>
      <c r="H2310">
        <v>1506</v>
      </c>
      <c r="I2310">
        <v>14</v>
      </c>
      <c r="J2310">
        <v>4.49</v>
      </c>
      <c r="K2310">
        <v>27.2</v>
      </c>
      <c r="L2310">
        <v>23.7</v>
      </c>
      <c r="M2310" s="175">
        <v>3.36</v>
      </c>
      <c r="N2310" t="s">
        <v>5141</v>
      </c>
    </row>
    <row r="2311" spans="1:14">
      <c r="A2311" s="186">
        <v>9950</v>
      </c>
      <c r="B2311" t="s">
        <v>2254</v>
      </c>
      <c r="C2311">
        <v>10.9</v>
      </c>
      <c r="D2311">
        <v>10.4</v>
      </c>
      <c r="E2311" s="178">
        <v>0.1</v>
      </c>
      <c r="F2311" s="176">
        <v>0.97</v>
      </c>
      <c r="G2311" t="s">
        <v>5821</v>
      </c>
      <c r="H2311">
        <v>46</v>
      </c>
      <c r="I2311">
        <v>18</v>
      </c>
      <c r="J2311">
        <v>16.77</v>
      </c>
      <c r="K2311">
        <v>10.9</v>
      </c>
      <c r="L2311">
        <v>10.1</v>
      </c>
      <c r="M2311" s="175">
        <v>0.03</v>
      </c>
      <c r="N2311" t="s">
        <v>5142</v>
      </c>
    </row>
    <row r="2312" spans="1:14">
      <c r="A2312" s="186">
        <v>9951</v>
      </c>
      <c r="B2312" t="s">
        <v>2255</v>
      </c>
      <c r="C2312">
        <v>47</v>
      </c>
      <c r="D2312">
        <v>46.9</v>
      </c>
      <c r="E2312" s="178">
        <v>-0.3</v>
      </c>
      <c r="F2312" s="176">
        <v>-0.64</v>
      </c>
      <c r="G2312" t="s">
        <v>5475</v>
      </c>
      <c r="H2312">
        <v>10</v>
      </c>
      <c r="I2312">
        <v>43</v>
      </c>
      <c r="J2312">
        <v>7.33</v>
      </c>
      <c r="K2312">
        <v>47.2</v>
      </c>
      <c r="L2312">
        <v>46.9</v>
      </c>
      <c r="M2312" s="175">
        <v>0.01</v>
      </c>
      <c r="N2312" t="s">
        <v>5143</v>
      </c>
    </row>
    <row r="2313" spans="1:14">
      <c r="A2313" s="186">
        <v>9955</v>
      </c>
      <c r="B2313" t="s">
        <v>2256</v>
      </c>
      <c r="C2313">
        <v>23.05</v>
      </c>
      <c r="D2313">
        <v>22.7</v>
      </c>
      <c r="E2313" s="178">
        <v>-0.4</v>
      </c>
      <c r="F2313" s="176">
        <v>-1.73</v>
      </c>
      <c r="G2313" t="s">
        <v>5753</v>
      </c>
      <c r="H2313">
        <v>238</v>
      </c>
      <c r="I2313">
        <v>268</v>
      </c>
      <c r="J2313">
        <v>11.94</v>
      </c>
      <c r="K2313">
        <v>23.05</v>
      </c>
      <c r="L2313">
        <v>22.7</v>
      </c>
      <c r="M2313" s="175">
        <v>0.2</v>
      </c>
      <c r="N2313" t="s">
        <v>5144</v>
      </c>
    </row>
    <row r="2314" spans="1:14">
      <c r="A2314" s="186">
        <v>9958</v>
      </c>
      <c r="B2314" t="s">
        <v>2257</v>
      </c>
      <c r="C2314">
        <v>90.6</v>
      </c>
      <c r="D2314">
        <v>88.5</v>
      </c>
      <c r="E2314" s="178">
        <v>-2</v>
      </c>
      <c r="F2314" s="176">
        <v>-2.21</v>
      </c>
      <c r="G2314" t="s">
        <v>7022</v>
      </c>
      <c r="H2314">
        <v>2095</v>
      </c>
      <c r="I2314">
        <v>722</v>
      </c>
      <c r="J2314">
        <v>26.69</v>
      </c>
      <c r="K2314">
        <v>90.7</v>
      </c>
      <c r="L2314">
        <v>87.9</v>
      </c>
      <c r="M2314" s="175">
        <v>0.85</v>
      </c>
      <c r="N2314" t="s">
        <v>5145</v>
      </c>
    </row>
    <row r="2315" spans="1:14">
      <c r="A2315" s="186">
        <v>9960</v>
      </c>
      <c r="B2315" t="s">
        <v>2258</v>
      </c>
      <c r="C2315">
        <v>41.15</v>
      </c>
      <c r="D2315">
        <v>40.65</v>
      </c>
      <c r="E2315" s="178">
        <v>0.5</v>
      </c>
      <c r="F2315" s="176">
        <v>1.25</v>
      </c>
      <c r="G2315" t="s">
        <v>6044</v>
      </c>
      <c r="H2315">
        <v>7</v>
      </c>
      <c r="I2315">
        <v>43</v>
      </c>
      <c r="J2315">
        <v>3.36</v>
      </c>
      <c r="K2315">
        <v>41.15</v>
      </c>
      <c r="L2315">
        <v>40.4</v>
      </c>
      <c r="M2315" s="175">
        <v>0.02</v>
      </c>
      <c r="N2315" t="s">
        <v>5146</v>
      </c>
    </row>
    <row r="2316" spans="1:14">
      <c r="A2316" s="186">
        <v>9962</v>
      </c>
      <c r="B2316" t="s">
        <v>2259</v>
      </c>
      <c r="C2316">
        <v>10.199999999999999</v>
      </c>
      <c r="D2316">
        <v>10.15</v>
      </c>
      <c r="E2316" s="178">
        <v>0.05</v>
      </c>
      <c r="F2316" s="176">
        <v>0.5</v>
      </c>
      <c r="G2316" t="s">
        <v>5469</v>
      </c>
      <c r="H2316">
        <v>22</v>
      </c>
      <c r="I2316">
        <v>89</v>
      </c>
      <c r="J2316">
        <v>9.02</v>
      </c>
      <c r="K2316">
        <v>10.199999999999999</v>
      </c>
      <c r="L2316">
        <v>10.050000000000001</v>
      </c>
      <c r="M2316" s="175">
        <v>0.02</v>
      </c>
      <c r="N2316" t="s">
        <v>5147</v>
      </c>
    </row>
  </sheetData>
  <phoneticPr fontId="74" type="noConversion"/>
  <conditionalFormatting sqref="E2:E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C47D-972B-46B8-A178-C8521A16AE0E}">
  <sheetPr codeName="工作表3"/>
  <dimension ref="A1:K22"/>
  <sheetViews>
    <sheetView workbookViewId="0">
      <selection activeCell="L20" sqref="L20"/>
    </sheetView>
  </sheetViews>
  <sheetFormatPr defaultRowHeight="16.5"/>
  <cols>
    <col min="2" max="2" width="27.75" bestFit="1" customWidth="1"/>
    <col min="3" max="6" width="8.5" bestFit="1" customWidth="1"/>
    <col min="7" max="7" width="8" bestFit="1" customWidth="1"/>
    <col min="8" max="8" width="11.875" bestFit="1" customWidth="1"/>
    <col min="9" max="9" width="11.625" bestFit="1" customWidth="1"/>
    <col min="10" max="10" width="13.375" bestFit="1" customWidth="1"/>
    <col min="11" max="11" width="12.75" bestFit="1" customWidth="1"/>
    <col min="12" max="12" width="77" bestFit="1" customWidth="1"/>
  </cols>
  <sheetData>
    <row r="1" spans="1:11">
      <c r="A1" t="s">
        <v>3024</v>
      </c>
      <c r="B1" t="s">
        <v>3023</v>
      </c>
      <c r="C1" t="s">
        <v>3025</v>
      </c>
      <c r="D1" t="s">
        <v>3026</v>
      </c>
      <c r="E1" t="s">
        <v>2615</v>
      </c>
      <c r="F1" t="s">
        <v>2616</v>
      </c>
      <c r="G1" t="s">
        <v>3027</v>
      </c>
      <c r="H1" t="s">
        <v>3028</v>
      </c>
      <c r="I1" t="s">
        <v>1500</v>
      </c>
      <c r="J1" t="s">
        <v>3029</v>
      </c>
      <c r="K1" s="226" t="s">
        <v>2561</v>
      </c>
    </row>
    <row r="2" spans="1:11">
      <c r="A2" s="65" t="s">
        <v>5757</v>
      </c>
      <c r="B2" s="65" t="s">
        <v>5759</v>
      </c>
      <c r="C2" s="65">
        <v>192.16</v>
      </c>
      <c r="D2" s="65">
        <v>193.68</v>
      </c>
      <c r="E2" s="65">
        <v>194.14</v>
      </c>
      <c r="F2" s="65">
        <v>192.08</v>
      </c>
      <c r="G2" s="65">
        <v>-0.96</v>
      </c>
      <c r="H2" s="381">
        <v>-5.0000000000000001E-3</v>
      </c>
      <c r="I2" s="132">
        <v>97518</v>
      </c>
      <c r="J2" s="399">
        <v>0.92331018518518515</v>
      </c>
    </row>
    <row r="3" spans="1:11">
      <c r="A3" s="65" t="s">
        <v>3161</v>
      </c>
      <c r="B3" s="65" t="s">
        <v>3162</v>
      </c>
      <c r="C3" s="65">
        <v>158.32</v>
      </c>
      <c r="D3" s="65">
        <v>158.66</v>
      </c>
      <c r="E3" s="65">
        <v>158.88999999999999</v>
      </c>
      <c r="F3" s="65">
        <v>158.19999999999999</v>
      </c>
      <c r="G3" s="65">
        <v>-1.44</v>
      </c>
      <c r="H3" s="381">
        <v>-8.9999999999999993E-3</v>
      </c>
      <c r="I3" s="132">
        <v>1951376</v>
      </c>
      <c r="J3" s="399">
        <v>0.92321759259259262</v>
      </c>
      <c r="K3" s="226" t="s">
        <v>3020</v>
      </c>
    </row>
    <row r="4" spans="1:11">
      <c r="A4" s="65" t="s">
        <v>3037</v>
      </c>
      <c r="B4" s="65" t="s">
        <v>3038</v>
      </c>
      <c r="C4" s="65">
        <v>41.57</v>
      </c>
      <c r="D4" s="65">
        <v>40.619999999999997</v>
      </c>
      <c r="E4" s="65">
        <v>42.12</v>
      </c>
      <c r="F4" s="65">
        <v>40.619999999999997</v>
      </c>
      <c r="G4" s="65">
        <v>0.3</v>
      </c>
      <c r="H4" s="381">
        <v>7.1000000000000004E-3</v>
      </c>
      <c r="I4" s="132">
        <v>379008</v>
      </c>
      <c r="J4" s="399">
        <v>0.92336805555555557</v>
      </c>
    </row>
    <row r="5" spans="1:11">
      <c r="A5" s="65" t="s">
        <v>5760</v>
      </c>
      <c r="B5" s="65" t="s">
        <v>2541</v>
      </c>
      <c r="C5" s="65">
        <v>125.77</v>
      </c>
      <c r="D5" s="65">
        <v>126.15</v>
      </c>
      <c r="E5" s="65">
        <v>126.22</v>
      </c>
      <c r="F5" s="65">
        <v>125.28</v>
      </c>
      <c r="G5" s="65">
        <v>0.12</v>
      </c>
      <c r="H5" s="381">
        <v>1E-3</v>
      </c>
      <c r="I5" s="132">
        <v>363933</v>
      </c>
      <c r="J5" s="399">
        <v>0.92342592592592587</v>
      </c>
      <c r="K5" s="226" t="s">
        <v>3022</v>
      </c>
    </row>
    <row r="6" spans="1:11">
      <c r="A6" s="65" t="s">
        <v>2546</v>
      </c>
      <c r="B6" s="65" t="s">
        <v>2547</v>
      </c>
      <c r="C6" s="65">
        <v>88.07</v>
      </c>
      <c r="D6" s="65">
        <v>88.29</v>
      </c>
      <c r="E6" s="65">
        <v>88.47</v>
      </c>
      <c r="F6" s="65">
        <v>87.4</v>
      </c>
      <c r="G6" s="65">
        <v>-0.04</v>
      </c>
      <c r="H6" s="381">
        <v>-5.0000000000000001E-4</v>
      </c>
      <c r="I6" s="132">
        <v>652896</v>
      </c>
      <c r="J6" s="399">
        <v>0.92343750000000002</v>
      </c>
    </row>
    <row r="7" spans="1:11">
      <c r="A7" s="65" t="s">
        <v>2544</v>
      </c>
      <c r="B7" s="65" t="s">
        <v>2545</v>
      </c>
      <c r="C7" s="65">
        <v>43.53</v>
      </c>
      <c r="D7" s="65">
        <v>43.75</v>
      </c>
      <c r="E7" s="65">
        <v>43.77</v>
      </c>
      <c r="F7" s="65">
        <v>43.25</v>
      </c>
      <c r="G7" s="65">
        <v>0</v>
      </c>
      <c r="H7" s="381">
        <v>0</v>
      </c>
      <c r="I7" s="132">
        <v>2428018</v>
      </c>
      <c r="J7" s="399">
        <v>0.92342592592592587</v>
      </c>
    </row>
    <row r="8" spans="1:11">
      <c r="A8" s="65" t="s">
        <v>3031</v>
      </c>
      <c r="B8" s="65" t="s">
        <v>3030</v>
      </c>
      <c r="C8" s="65">
        <v>35.9</v>
      </c>
      <c r="D8" s="65">
        <v>36.07</v>
      </c>
      <c r="E8" s="65">
        <v>36.130000000000003</v>
      </c>
      <c r="F8" s="65">
        <v>35.82</v>
      </c>
      <c r="G8" s="65">
        <v>-0.14000000000000001</v>
      </c>
      <c r="H8" s="381">
        <v>-3.8999999999999998E-3</v>
      </c>
      <c r="I8" s="132">
        <v>533699</v>
      </c>
      <c r="J8" s="399">
        <v>0.92342592592592587</v>
      </c>
    </row>
    <row r="9" spans="1:11">
      <c r="A9" s="65" t="s">
        <v>2871</v>
      </c>
      <c r="B9" s="65" t="s">
        <v>2872</v>
      </c>
      <c r="C9" s="65">
        <v>47.43</v>
      </c>
      <c r="D9" s="65">
        <v>47.59</v>
      </c>
      <c r="E9" s="65">
        <v>47.81</v>
      </c>
      <c r="F9" s="65">
        <v>47.31</v>
      </c>
      <c r="G9" s="65">
        <v>-0.03</v>
      </c>
      <c r="H9" s="381">
        <v>-6.9999999999999999E-4</v>
      </c>
      <c r="I9" s="132">
        <v>392429</v>
      </c>
      <c r="J9" s="399">
        <v>0.92331018518518515</v>
      </c>
    </row>
    <row r="10" spans="1:11">
      <c r="A10" s="65" t="s">
        <v>2539</v>
      </c>
      <c r="B10" s="65" t="s">
        <v>2540</v>
      </c>
      <c r="C10" s="65">
        <v>54.68</v>
      </c>
      <c r="D10" s="65">
        <v>54.84</v>
      </c>
      <c r="E10" s="65">
        <v>55.13</v>
      </c>
      <c r="F10" s="65">
        <v>54.49</v>
      </c>
      <c r="G10" s="65">
        <v>-0.31</v>
      </c>
      <c r="H10" s="381">
        <v>-5.5999999999999999E-3</v>
      </c>
      <c r="I10" s="132">
        <v>938549</v>
      </c>
      <c r="J10" s="399">
        <v>0.92334490740740738</v>
      </c>
    </row>
    <row r="11" spans="1:11">
      <c r="A11" s="65" t="s">
        <v>2548</v>
      </c>
      <c r="B11" s="65" t="s">
        <v>2549</v>
      </c>
      <c r="C11" s="65">
        <v>72.39</v>
      </c>
      <c r="D11" s="65">
        <v>72.150000000000006</v>
      </c>
      <c r="E11" s="65">
        <v>72.69</v>
      </c>
      <c r="F11" s="65">
        <v>72.150000000000006</v>
      </c>
      <c r="G11" s="65">
        <v>0.83</v>
      </c>
      <c r="H11" s="381">
        <v>1.1599999999999999E-2</v>
      </c>
      <c r="I11" s="132">
        <v>762205</v>
      </c>
      <c r="J11" s="399">
        <v>0.9234606481481481</v>
      </c>
    </row>
    <row r="12" spans="1:11">
      <c r="A12" s="65" t="s">
        <v>5761</v>
      </c>
      <c r="B12" s="65" t="s">
        <v>2556</v>
      </c>
      <c r="C12" s="65">
        <v>485.87</v>
      </c>
      <c r="D12" s="65">
        <v>492.99</v>
      </c>
      <c r="E12" s="65">
        <v>495.83</v>
      </c>
      <c r="F12" s="65">
        <v>482.66</v>
      </c>
      <c r="G12" s="65">
        <v>-8.64</v>
      </c>
      <c r="H12" s="381">
        <v>-1.7500000000000002E-2</v>
      </c>
      <c r="I12" s="132">
        <v>308831</v>
      </c>
      <c r="J12" s="399">
        <v>0.92318287037037039</v>
      </c>
    </row>
    <row r="13" spans="1:11">
      <c r="A13" s="65" t="s">
        <v>2557</v>
      </c>
      <c r="B13" s="65" t="s">
        <v>2558</v>
      </c>
      <c r="C13" s="65">
        <v>331.93</v>
      </c>
      <c r="D13" s="65">
        <v>333.27</v>
      </c>
      <c r="E13" s="65">
        <v>335.96</v>
      </c>
      <c r="F13" s="65">
        <v>331.62</v>
      </c>
      <c r="G13" s="65">
        <v>-2.2799999999999998</v>
      </c>
      <c r="H13" s="381">
        <v>-6.7999999999999996E-3</v>
      </c>
      <c r="I13" s="132">
        <v>231079</v>
      </c>
      <c r="J13" s="399">
        <v>0.92339120370370376</v>
      </c>
    </row>
    <row r="14" spans="1:11">
      <c r="A14" s="65" t="s">
        <v>3036</v>
      </c>
      <c r="B14" s="65" t="s">
        <v>3032</v>
      </c>
      <c r="C14" s="65">
        <v>736.9</v>
      </c>
      <c r="D14" s="65">
        <v>738</v>
      </c>
      <c r="E14" s="65">
        <v>740.53</v>
      </c>
      <c r="F14" s="65">
        <v>735.9</v>
      </c>
      <c r="G14" s="65">
        <v>-6.67</v>
      </c>
      <c r="H14" s="381">
        <v>-8.9999999999999993E-3</v>
      </c>
      <c r="I14" s="132">
        <v>7778473</v>
      </c>
      <c r="J14" s="399">
        <v>0.92311342592592593</v>
      </c>
    </row>
    <row r="15" spans="1:11">
      <c r="A15" s="65" t="s">
        <v>2559</v>
      </c>
      <c r="B15" s="65" t="s">
        <v>3033</v>
      </c>
      <c r="C15" s="382">
        <v>182.56</v>
      </c>
      <c r="D15" s="382">
        <v>180.26</v>
      </c>
      <c r="E15" s="382">
        <v>183.45</v>
      </c>
      <c r="F15" s="382">
        <v>180</v>
      </c>
      <c r="G15" s="65">
        <v>-1.44</v>
      </c>
      <c r="H15" s="381">
        <v>-7.7999999999999996E-3</v>
      </c>
      <c r="I15" s="132">
        <v>1014423</v>
      </c>
      <c r="J15" s="399">
        <v>0.92344907407407406</v>
      </c>
    </row>
    <row r="16" spans="1:11">
      <c r="A16" s="65" t="s">
        <v>2550</v>
      </c>
      <c r="B16" s="65" t="s">
        <v>2551</v>
      </c>
      <c r="C16" s="65">
        <v>1210.29</v>
      </c>
      <c r="D16" s="65">
        <v>1175.72</v>
      </c>
      <c r="E16" s="65">
        <v>1214.8900000000001</v>
      </c>
      <c r="F16" s="65">
        <v>1174.24</v>
      </c>
      <c r="G16" s="65">
        <v>43.78</v>
      </c>
      <c r="H16" s="381">
        <v>3.7499999999999999E-2</v>
      </c>
      <c r="I16" s="132">
        <v>580547</v>
      </c>
      <c r="J16" s="399">
        <v>0.92318287037037039</v>
      </c>
    </row>
    <row r="17" spans="1:10">
      <c r="A17" s="65" t="s">
        <v>2553</v>
      </c>
      <c r="B17" s="65" t="s">
        <v>2904</v>
      </c>
      <c r="C17" s="65">
        <v>366.29</v>
      </c>
      <c r="D17" s="65">
        <v>371.1</v>
      </c>
      <c r="E17" s="65">
        <v>371.39</v>
      </c>
      <c r="F17" s="65">
        <v>364.44</v>
      </c>
      <c r="G17" s="65">
        <v>-8.94</v>
      </c>
      <c r="H17" s="381">
        <v>-2.3800000000000002E-2</v>
      </c>
      <c r="I17" s="132">
        <v>6786162</v>
      </c>
      <c r="J17" s="399">
        <v>0.92325231481481485</v>
      </c>
    </row>
    <row r="18" spans="1:10">
      <c r="A18" s="65" t="s">
        <v>2542</v>
      </c>
      <c r="B18" s="65" t="s">
        <v>2543</v>
      </c>
      <c r="C18" s="65">
        <v>493.2</v>
      </c>
      <c r="D18" s="65">
        <v>490.45</v>
      </c>
      <c r="E18" s="65">
        <v>495.65</v>
      </c>
      <c r="F18" s="65">
        <v>487.54</v>
      </c>
      <c r="G18" s="65">
        <v>7.98</v>
      </c>
      <c r="H18" s="381">
        <v>1.6400000000000001E-2</v>
      </c>
      <c r="I18" s="132">
        <v>211829</v>
      </c>
      <c r="J18" s="399">
        <v>0.92322916666666666</v>
      </c>
    </row>
    <row r="19" spans="1:10">
      <c r="A19" s="65" t="s">
        <v>2838</v>
      </c>
      <c r="B19" s="65" t="s">
        <v>2839</v>
      </c>
      <c r="C19" s="382">
        <v>252.78</v>
      </c>
      <c r="D19" s="382">
        <v>253.99</v>
      </c>
      <c r="E19" s="382">
        <v>255.32</v>
      </c>
      <c r="F19" s="382">
        <v>248.49</v>
      </c>
      <c r="G19" s="65">
        <v>-8.43</v>
      </c>
      <c r="H19" s="381">
        <v>-3.2300000000000002E-2</v>
      </c>
      <c r="I19" s="132">
        <v>2544424</v>
      </c>
      <c r="J19" s="399">
        <v>0.92342592592592587</v>
      </c>
    </row>
    <row r="20" spans="1:10">
      <c r="A20" s="65" t="s">
        <v>3034</v>
      </c>
      <c r="B20" s="65" t="s">
        <v>3034</v>
      </c>
      <c r="C20" s="65">
        <v>1719.13</v>
      </c>
      <c r="D20" s="65">
        <v>1678.28</v>
      </c>
      <c r="E20" s="65">
        <v>1733.25</v>
      </c>
      <c r="F20" s="65">
        <v>1677.41</v>
      </c>
      <c r="G20" s="65">
        <v>1.37</v>
      </c>
      <c r="H20" s="381">
        <v>8.0000000000000004E-4</v>
      </c>
      <c r="I20" s="132">
        <v>851249</v>
      </c>
      <c r="J20" s="399">
        <v>0.92318287037037039</v>
      </c>
    </row>
    <row r="21" spans="1:10">
      <c r="A21" s="65" t="s">
        <v>2554</v>
      </c>
      <c r="B21" s="65" t="s">
        <v>2555</v>
      </c>
      <c r="C21" s="65">
        <v>540.09</v>
      </c>
      <c r="D21" s="65">
        <v>545.29</v>
      </c>
      <c r="E21" s="65">
        <v>545.74</v>
      </c>
      <c r="F21" s="65">
        <v>539.4</v>
      </c>
      <c r="G21" s="65">
        <v>-3.37</v>
      </c>
      <c r="H21" s="381">
        <v>-6.1999999999999998E-3</v>
      </c>
      <c r="I21" s="132">
        <v>3062467</v>
      </c>
      <c r="J21" s="399">
        <v>0.9233217592592593</v>
      </c>
    </row>
    <row r="22" spans="1:10">
      <c r="A22" s="65" t="s">
        <v>2552</v>
      </c>
      <c r="B22" s="65" t="s">
        <v>3035</v>
      </c>
      <c r="C22" s="65">
        <v>224.95</v>
      </c>
      <c r="D22" s="65">
        <v>225.42</v>
      </c>
      <c r="E22" s="65">
        <v>226</v>
      </c>
      <c r="F22" s="65">
        <v>224.24</v>
      </c>
      <c r="G22" s="65">
        <v>-3.57</v>
      </c>
      <c r="H22" s="381">
        <v>-1.5599999999999999E-2</v>
      </c>
      <c r="I22" s="132">
        <v>16755959</v>
      </c>
      <c r="J22" s="399">
        <v>0.92327546296296292</v>
      </c>
    </row>
  </sheetData>
  <phoneticPr fontId="74" type="noConversion"/>
  <hyperlinks>
    <hyperlink ref="K5" r:id="rId1" xr:uid="{D0196C69-7AB3-451D-862E-78A1E027E077}"/>
    <hyperlink ref="K3" r:id="rId2" xr:uid="{7456B6FA-490F-4BC3-A959-DA88F7B73B66}"/>
    <hyperlink ref="K1" r:id="rId3" xr:uid="{9E4B66DC-98E4-4E6A-AD54-DA712D32928F}"/>
  </hyperlinks>
  <pageMargins left="0.7" right="0.7" top="0.75" bottom="0.75" header="0.3" footer="0.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05DF-1E14-4428-9FA3-A2E400882A56}">
  <sheetPr codeName="工作表4"/>
  <dimension ref="A1:M610"/>
  <sheetViews>
    <sheetView workbookViewId="0">
      <selection activeCell="A3" sqref="A3:G25"/>
    </sheetView>
  </sheetViews>
  <sheetFormatPr defaultRowHeight="16.5"/>
  <cols>
    <col min="1" max="1" width="16.125" bestFit="1" customWidth="1"/>
    <col min="2" max="3" width="8" bestFit="1" customWidth="1"/>
    <col min="4" max="5" width="7.5" bestFit="1" customWidth="1"/>
    <col min="6" max="7" width="10.125" bestFit="1" customWidth="1"/>
    <col min="9" max="9" width="12.125" bestFit="1" customWidth="1"/>
    <col min="10" max="12" width="8.875" bestFit="1" customWidth="1"/>
    <col min="13" max="13" width="8.625" bestFit="1" customWidth="1"/>
  </cols>
  <sheetData>
    <row r="1" spans="1:13" ht="17.25" thickBot="1">
      <c r="A1" s="241" t="s">
        <v>2612</v>
      </c>
      <c r="B1" s="240"/>
      <c r="C1" s="240"/>
      <c r="D1" s="240"/>
      <c r="E1" s="240"/>
      <c r="F1" s="240"/>
      <c r="G1" s="240"/>
      <c r="I1" s="226" t="s">
        <v>2912</v>
      </c>
    </row>
    <row r="2" spans="1:13" ht="29.25" thickBot="1">
      <c r="A2" t="s">
        <v>2587</v>
      </c>
      <c r="B2" t="s">
        <v>2613</v>
      </c>
      <c r="C2" t="s">
        <v>2614</v>
      </c>
      <c r="D2" t="s">
        <v>2615</v>
      </c>
      <c r="E2" t="s">
        <v>2616</v>
      </c>
      <c r="F2" t="s">
        <v>2617</v>
      </c>
      <c r="G2" t="s">
        <v>2618</v>
      </c>
      <c r="J2" s="346" t="s">
        <v>2580</v>
      </c>
      <c r="K2" s="346" t="s">
        <v>2581</v>
      </c>
      <c r="L2" s="346" t="s">
        <v>2582</v>
      </c>
      <c r="M2" s="346" t="s">
        <v>2583</v>
      </c>
    </row>
    <row r="3" spans="1:13" ht="17.25" thickBot="1">
      <c r="A3" s="347">
        <v>46269</v>
      </c>
      <c r="B3">
        <v>31.635999999999999</v>
      </c>
      <c r="C3">
        <v>31.73</v>
      </c>
      <c r="D3">
        <v>31.74</v>
      </c>
      <c r="E3">
        <v>31.579000000000001</v>
      </c>
      <c r="G3" s="175">
        <v>-3.0000000000000001E-3</v>
      </c>
      <c r="I3" s="229">
        <v>46057</v>
      </c>
      <c r="J3" s="230">
        <v>31.164999999999999</v>
      </c>
      <c r="K3" s="230">
        <v>31.835000000000001</v>
      </c>
      <c r="L3" s="230">
        <v>31.515000000000001</v>
      </c>
      <c r="M3" s="231">
        <v>31.614999999999998</v>
      </c>
    </row>
    <row r="4" spans="1:13" ht="17.25" thickBot="1">
      <c r="A4" s="347">
        <v>46268</v>
      </c>
      <c r="B4">
        <v>31.73</v>
      </c>
      <c r="C4">
        <v>31.754000000000001</v>
      </c>
      <c r="D4">
        <v>31.783999999999999</v>
      </c>
      <c r="E4">
        <v>31.675999999999998</v>
      </c>
      <c r="G4" s="175">
        <v>-8.0000000000000004E-4</v>
      </c>
      <c r="I4" s="229">
        <v>46056</v>
      </c>
      <c r="J4" s="230">
        <v>31.155000000000001</v>
      </c>
      <c r="K4" s="230">
        <v>31.824999999999999</v>
      </c>
      <c r="L4" s="230">
        <v>31.504999999999999</v>
      </c>
      <c r="M4" s="231">
        <v>31.605</v>
      </c>
    </row>
    <row r="5" spans="1:13" ht="17.25" thickBot="1">
      <c r="A5" s="347">
        <v>46267</v>
      </c>
      <c r="B5">
        <v>31.754000000000001</v>
      </c>
      <c r="C5">
        <v>31.706</v>
      </c>
      <c r="D5">
        <v>31.818000000000001</v>
      </c>
      <c r="E5">
        <v>31.658000000000001</v>
      </c>
      <c r="G5" s="175">
        <v>1.5E-3</v>
      </c>
      <c r="I5" s="229">
        <v>46055</v>
      </c>
      <c r="J5" s="230">
        <v>31.2</v>
      </c>
      <c r="K5" s="230">
        <v>31.87</v>
      </c>
      <c r="L5" s="230">
        <v>31.55</v>
      </c>
      <c r="M5" s="231">
        <v>31.65</v>
      </c>
    </row>
    <row r="6" spans="1:13" ht="17.25" thickBot="1">
      <c r="A6" s="347">
        <v>46266</v>
      </c>
      <c r="B6">
        <v>31.707000000000001</v>
      </c>
      <c r="C6">
        <v>31.704000000000001</v>
      </c>
      <c r="D6">
        <v>31.734999999999999</v>
      </c>
      <c r="E6">
        <v>31.599</v>
      </c>
      <c r="G6" s="175">
        <v>1E-4</v>
      </c>
      <c r="I6" s="229">
        <v>46052</v>
      </c>
      <c r="J6" s="230">
        <v>31.065000000000001</v>
      </c>
      <c r="K6" s="230">
        <v>31.734999999999999</v>
      </c>
      <c r="L6" s="230">
        <v>31.414999999999999</v>
      </c>
      <c r="M6" s="231">
        <v>31.515000000000001</v>
      </c>
    </row>
    <row r="7" spans="1:13" ht="17.25" thickBot="1">
      <c r="A7" s="347">
        <v>46265</v>
      </c>
      <c r="B7">
        <v>31.704999999999998</v>
      </c>
      <c r="C7">
        <v>31.643999999999998</v>
      </c>
      <c r="D7">
        <v>31.736000000000001</v>
      </c>
      <c r="E7">
        <v>31.617999999999999</v>
      </c>
      <c r="G7" s="175">
        <v>1.9E-3</v>
      </c>
      <c r="I7" s="229">
        <v>46051</v>
      </c>
      <c r="J7" s="230">
        <v>30.9</v>
      </c>
      <c r="K7" s="230">
        <v>31.57</v>
      </c>
      <c r="L7" s="230">
        <v>31.25</v>
      </c>
      <c r="M7" s="231">
        <v>31.35</v>
      </c>
    </row>
    <row r="8" spans="1:13" ht="17.25" thickBot="1">
      <c r="A8" s="347">
        <v>46262</v>
      </c>
      <c r="B8">
        <v>31.643999999999998</v>
      </c>
      <c r="C8">
        <v>31.690999999999999</v>
      </c>
      <c r="D8">
        <v>31.710999999999999</v>
      </c>
      <c r="E8">
        <v>31.545999999999999</v>
      </c>
      <c r="G8" s="175">
        <v>-1.5E-3</v>
      </c>
      <c r="I8" s="229">
        <v>46050</v>
      </c>
      <c r="J8" s="230">
        <v>30.89</v>
      </c>
      <c r="K8" s="230">
        <v>31.56</v>
      </c>
      <c r="L8" s="230">
        <v>31.24</v>
      </c>
      <c r="M8" s="231">
        <v>31.34</v>
      </c>
    </row>
    <row r="9" spans="1:13" ht="17.25" thickBot="1">
      <c r="A9" s="347">
        <v>46261</v>
      </c>
      <c r="B9">
        <v>31.69</v>
      </c>
      <c r="C9">
        <v>31.856999999999999</v>
      </c>
      <c r="D9">
        <v>31.861999999999998</v>
      </c>
      <c r="E9">
        <v>31.667999999999999</v>
      </c>
      <c r="G9" s="175">
        <v>-5.1999999999999998E-3</v>
      </c>
      <c r="I9" s="229">
        <v>46049</v>
      </c>
      <c r="J9" s="230">
        <v>31.03</v>
      </c>
      <c r="K9" s="230">
        <v>31.7</v>
      </c>
      <c r="L9" s="230">
        <v>31.38</v>
      </c>
      <c r="M9" s="231">
        <v>31.48</v>
      </c>
    </row>
    <row r="10" spans="1:13" ht="17.25" thickBot="1">
      <c r="A10" s="347">
        <v>46260</v>
      </c>
      <c r="B10">
        <v>31.856999999999999</v>
      </c>
      <c r="C10">
        <v>31.849</v>
      </c>
      <c r="D10">
        <v>31.893000000000001</v>
      </c>
      <c r="E10">
        <v>31.77</v>
      </c>
      <c r="G10" s="175">
        <v>2.9999999999999997E-4</v>
      </c>
      <c r="I10" s="229">
        <v>46048</v>
      </c>
      <c r="J10" s="230">
        <v>31.094999999999999</v>
      </c>
      <c r="K10" s="230">
        <v>31.765000000000001</v>
      </c>
      <c r="L10" s="230">
        <v>31.445</v>
      </c>
      <c r="M10" s="231">
        <v>31.545000000000002</v>
      </c>
    </row>
    <row r="11" spans="1:13" ht="17.25" thickBot="1">
      <c r="A11" s="347">
        <v>46259</v>
      </c>
      <c r="B11">
        <v>31.849</v>
      </c>
      <c r="C11">
        <v>31.844000000000001</v>
      </c>
      <c r="D11">
        <v>31.911999999999999</v>
      </c>
      <c r="E11">
        <v>31.805</v>
      </c>
      <c r="G11" s="175">
        <v>1E-4</v>
      </c>
      <c r="I11" s="229">
        <v>46045</v>
      </c>
      <c r="J11" s="230">
        <v>31.15</v>
      </c>
      <c r="K11" s="230">
        <v>31.82</v>
      </c>
      <c r="L11" s="230">
        <v>31.5</v>
      </c>
      <c r="M11" s="231">
        <v>31.6</v>
      </c>
    </row>
    <row r="12" spans="1:13" ht="17.25" thickBot="1">
      <c r="A12" s="347">
        <v>46258</v>
      </c>
      <c r="B12">
        <v>31.844999999999999</v>
      </c>
      <c r="C12">
        <v>31.837</v>
      </c>
      <c r="D12">
        <v>31.873000000000001</v>
      </c>
      <c r="E12">
        <v>31.748999999999999</v>
      </c>
      <c r="G12" s="175">
        <v>2.0000000000000001E-4</v>
      </c>
      <c r="I12" s="229">
        <v>46044</v>
      </c>
      <c r="J12" s="230">
        <v>31.2</v>
      </c>
      <c r="K12" s="230">
        <v>31.87</v>
      </c>
      <c r="L12" s="230">
        <v>31.55</v>
      </c>
      <c r="M12" s="231">
        <v>31.65</v>
      </c>
    </row>
    <row r="13" spans="1:13" ht="17.25" thickBot="1">
      <c r="A13" s="347">
        <v>46255</v>
      </c>
      <c r="B13">
        <v>31.84</v>
      </c>
      <c r="C13">
        <v>31.875</v>
      </c>
      <c r="D13">
        <v>31.905999999999999</v>
      </c>
      <c r="E13">
        <v>31.765000000000001</v>
      </c>
      <c r="G13" s="175">
        <v>-1E-3</v>
      </c>
      <c r="I13" s="229">
        <v>46043</v>
      </c>
      <c r="J13" s="230">
        <v>31.24</v>
      </c>
      <c r="K13" s="230">
        <v>31.91</v>
      </c>
      <c r="L13" s="230">
        <v>31.59</v>
      </c>
      <c r="M13" s="231">
        <v>31.69</v>
      </c>
    </row>
    <row r="14" spans="1:13" ht="17.25" thickBot="1">
      <c r="A14" s="347">
        <v>46254</v>
      </c>
      <c r="B14">
        <v>31.873000000000001</v>
      </c>
      <c r="C14">
        <v>31.855</v>
      </c>
      <c r="D14">
        <v>31.945</v>
      </c>
      <c r="E14">
        <v>31.782</v>
      </c>
      <c r="G14" s="175">
        <v>5.9999999999999995E-4</v>
      </c>
      <c r="I14" s="229">
        <v>46042</v>
      </c>
      <c r="J14" s="230">
        <v>31.204999999999998</v>
      </c>
      <c r="K14" s="230">
        <v>31.875</v>
      </c>
      <c r="L14" s="230">
        <v>31.555</v>
      </c>
      <c r="M14" s="231">
        <v>31.655000000000001</v>
      </c>
    </row>
    <row r="15" spans="1:13" ht="17.25" thickBot="1">
      <c r="A15" s="347">
        <v>46253</v>
      </c>
      <c r="B15">
        <v>31.855</v>
      </c>
      <c r="C15">
        <v>31.94</v>
      </c>
      <c r="D15">
        <v>32.005000000000003</v>
      </c>
      <c r="E15">
        <v>31.837</v>
      </c>
      <c r="G15" s="175">
        <v>-2.7000000000000001E-3</v>
      </c>
      <c r="I15" s="229">
        <v>46041</v>
      </c>
      <c r="J15" s="230">
        <v>31.195</v>
      </c>
      <c r="K15" s="230">
        <v>31.864999999999998</v>
      </c>
      <c r="L15" s="230">
        <v>31.545000000000002</v>
      </c>
      <c r="M15" s="231">
        <v>31.645</v>
      </c>
    </row>
    <row r="16" spans="1:13" ht="17.25" thickBot="1">
      <c r="A16" s="347">
        <v>46252</v>
      </c>
      <c r="B16">
        <v>31.94</v>
      </c>
      <c r="C16">
        <v>31.87</v>
      </c>
      <c r="D16">
        <v>31.948</v>
      </c>
      <c r="E16">
        <v>31.759</v>
      </c>
      <c r="G16" s="175">
        <v>2.2000000000000001E-3</v>
      </c>
      <c r="I16" s="229">
        <v>46038</v>
      </c>
      <c r="J16" s="230">
        <v>31.16</v>
      </c>
      <c r="K16" s="230">
        <v>31.83</v>
      </c>
      <c r="L16" s="230">
        <v>31.51</v>
      </c>
      <c r="M16" s="231">
        <v>31.61</v>
      </c>
    </row>
    <row r="17" spans="1:13" ht="17.25" thickBot="1">
      <c r="A17" s="347">
        <v>46251</v>
      </c>
      <c r="B17">
        <v>31.87</v>
      </c>
      <c r="C17">
        <v>32.021999999999998</v>
      </c>
      <c r="D17">
        <v>32.031999999999996</v>
      </c>
      <c r="E17">
        <v>31.742000000000001</v>
      </c>
      <c r="G17" s="175">
        <v>-4.7000000000000002E-3</v>
      </c>
      <c r="I17" s="229">
        <v>46037</v>
      </c>
      <c r="J17" s="230">
        <v>31.175000000000001</v>
      </c>
      <c r="K17" s="230">
        <v>31.844999999999999</v>
      </c>
      <c r="L17" s="230">
        <v>31.524999999999999</v>
      </c>
      <c r="M17" s="231">
        <v>31.625</v>
      </c>
    </row>
    <row r="18" spans="1:13" ht="17.25" thickBot="1">
      <c r="A18" s="347">
        <v>46248</v>
      </c>
      <c r="B18">
        <v>32.021999999999998</v>
      </c>
      <c r="C18">
        <v>32.143000000000001</v>
      </c>
      <c r="D18">
        <v>32.152000000000001</v>
      </c>
      <c r="E18">
        <v>31.923999999999999</v>
      </c>
      <c r="G18" s="175">
        <v>-3.7000000000000002E-3</v>
      </c>
      <c r="I18" s="229">
        <v>46036</v>
      </c>
      <c r="J18" s="230">
        <v>31.23</v>
      </c>
      <c r="K18" s="230">
        <v>31.9</v>
      </c>
      <c r="L18" s="230">
        <v>31.58</v>
      </c>
      <c r="M18" s="231">
        <v>31.68</v>
      </c>
    </row>
    <row r="19" spans="1:13" ht="17.25" thickBot="1">
      <c r="A19" s="347">
        <v>46247</v>
      </c>
      <c r="B19">
        <v>32.142000000000003</v>
      </c>
      <c r="C19">
        <v>32.231999999999999</v>
      </c>
      <c r="D19">
        <v>32.235999999999997</v>
      </c>
      <c r="E19">
        <v>32.076000000000001</v>
      </c>
      <c r="G19" s="175">
        <v>-2.8E-3</v>
      </c>
      <c r="I19" s="229">
        <v>46035</v>
      </c>
      <c r="J19" s="230">
        <v>31.25</v>
      </c>
      <c r="K19" s="230">
        <v>31.92</v>
      </c>
      <c r="L19" s="230">
        <v>31.6</v>
      </c>
      <c r="M19" s="231">
        <v>31.7</v>
      </c>
    </row>
    <row r="20" spans="1:13" ht="17.25" thickBot="1">
      <c r="A20" s="347">
        <v>46246</v>
      </c>
      <c r="B20">
        <v>32.231999999999999</v>
      </c>
      <c r="C20">
        <v>32.241999999999997</v>
      </c>
      <c r="D20">
        <v>32.268999999999998</v>
      </c>
      <c r="E20">
        <v>32.162999999999997</v>
      </c>
      <c r="G20" s="175">
        <v>-4.0000000000000002E-4</v>
      </c>
      <c r="I20" s="229">
        <v>46034</v>
      </c>
      <c r="J20" s="230">
        <v>31.24</v>
      </c>
      <c r="K20" s="230">
        <v>31.91</v>
      </c>
      <c r="L20" s="230">
        <v>31.59</v>
      </c>
      <c r="M20" s="231">
        <v>31.69</v>
      </c>
    </row>
    <row r="21" spans="1:13" ht="17.25" thickBot="1">
      <c r="A21" s="347">
        <v>46245</v>
      </c>
      <c r="B21">
        <v>32.244</v>
      </c>
      <c r="C21">
        <v>32.256</v>
      </c>
      <c r="D21">
        <v>32.307000000000002</v>
      </c>
      <c r="E21">
        <v>32.197000000000003</v>
      </c>
      <c r="G21" s="175">
        <v>-4.0000000000000002E-4</v>
      </c>
      <c r="I21" s="229">
        <v>46031</v>
      </c>
      <c r="J21" s="230">
        <v>31.2</v>
      </c>
      <c r="K21" s="230">
        <v>31.87</v>
      </c>
      <c r="L21" s="230">
        <v>31.55</v>
      </c>
      <c r="M21" s="231">
        <v>31.65</v>
      </c>
    </row>
    <row r="22" spans="1:13" ht="17.25" thickBot="1">
      <c r="A22" s="347">
        <v>46244</v>
      </c>
      <c r="B22">
        <v>32.256</v>
      </c>
      <c r="C22">
        <v>32.250999999999998</v>
      </c>
      <c r="D22">
        <v>32.289000000000001</v>
      </c>
      <c r="E22">
        <v>32.173999999999999</v>
      </c>
      <c r="G22" s="175">
        <v>2.0000000000000001E-4</v>
      </c>
      <c r="I22" s="229">
        <v>46030</v>
      </c>
      <c r="J22" s="230">
        <v>31.175000000000001</v>
      </c>
      <c r="K22" s="230">
        <v>31.844999999999999</v>
      </c>
      <c r="L22" s="230">
        <v>31.524999999999999</v>
      </c>
      <c r="M22" s="231">
        <v>31.625</v>
      </c>
    </row>
    <row r="23" spans="1:13" ht="17.25" thickBot="1">
      <c r="A23" s="347">
        <v>46241</v>
      </c>
      <c r="B23">
        <v>32.250999999999998</v>
      </c>
      <c r="C23">
        <v>32.25</v>
      </c>
      <c r="D23">
        <v>32.314999999999998</v>
      </c>
      <c r="E23">
        <v>32.162999999999997</v>
      </c>
      <c r="G23" s="175">
        <v>0</v>
      </c>
      <c r="I23" s="229">
        <v>46029</v>
      </c>
      <c r="J23" s="230">
        <v>31.11</v>
      </c>
      <c r="K23" s="230">
        <v>31.78</v>
      </c>
      <c r="L23" s="230">
        <v>31.46</v>
      </c>
      <c r="M23" s="231">
        <v>31.56</v>
      </c>
    </row>
    <row r="24" spans="1:13" ht="17.25" thickBot="1">
      <c r="A24" s="347">
        <v>46240</v>
      </c>
      <c r="B24">
        <v>32.25</v>
      </c>
      <c r="C24">
        <v>32.277000000000001</v>
      </c>
      <c r="D24">
        <v>32.317999999999998</v>
      </c>
      <c r="E24">
        <v>32.155999999999999</v>
      </c>
      <c r="G24" s="175">
        <v>-8.0000000000000004E-4</v>
      </c>
      <c r="I24" s="229">
        <v>46028</v>
      </c>
      <c r="J24" s="230">
        <v>31.12</v>
      </c>
      <c r="K24" s="230">
        <v>31.79</v>
      </c>
      <c r="L24" s="230">
        <v>31.47</v>
      </c>
      <c r="M24" s="231">
        <v>31.57</v>
      </c>
    </row>
    <row r="25" spans="1:13" ht="17.25" thickBot="1">
      <c r="A25" s="347">
        <v>46239</v>
      </c>
      <c r="B25">
        <v>32.277000000000001</v>
      </c>
      <c r="C25">
        <v>32.414999999999999</v>
      </c>
      <c r="D25">
        <v>32.417999999999999</v>
      </c>
      <c r="E25">
        <v>32.195999999999998</v>
      </c>
      <c r="G25" s="175">
        <v>-4.1999999999999997E-3</v>
      </c>
      <c r="I25" s="229">
        <v>46027</v>
      </c>
      <c r="J25" s="230">
        <v>31.14</v>
      </c>
      <c r="K25" s="230">
        <v>31.81</v>
      </c>
      <c r="L25" s="230">
        <v>31.49</v>
      </c>
      <c r="M25" s="231">
        <v>31.59</v>
      </c>
    </row>
    <row r="26" spans="1:13" ht="17.25" thickBot="1">
      <c r="A26" s="347">
        <v>46027</v>
      </c>
      <c r="B26">
        <v>31.466999999999999</v>
      </c>
      <c r="C26">
        <v>31.373999999999999</v>
      </c>
      <c r="D26">
        <v>31.571999999999999</v>
      </c>
      <c r="E26">
        <v>31.346</v>
      </c>
      <c r="G26" s="175">
        <v>3.0000000000000001E-3</v>
      </c>
      <c r="I26" s="229">
        <v>46024</v>
      </c>
      <c r="J26" s="230">
        <v>31.02</v>
      </c>
      <c r="K26" s="230">
        <v>31.69</v>
      </c>
      <c r="L26" s="230">
        <v>31.37</v>
      </c>
      <c r="M26" s="231">
        <v>31.47</v>
      </c>
    </row>
    <row r="27" spans="1:13" ht="17.25" thickBot="1">
      <c r="I27" s="229">
        <v>46022</v>
      </c>
      <c r="J27" s="230">
        <v>31.03</v>
      </c>
      <c r="K27" s="230">
        <v>31.7</v>
      </c>
      <c r="L27" s="230">
        <v>31.38</v>
      </c>
      <c r="M27" s="231">
        <v>31.48</v>
      </c>
    </row>
    <row r="28" spans="1:13" ht="17.25" thickBot="1">
      <c r="I28" s="229">
        <v>46021</v>
      </c>
      <c r="J28" s="230">
        <v>30.975000000000001</v>
      </c>
      <c r="K28" s="230">
        <v>31.645</v>
      </c>
      <c r="L28" s="230">
        <v>31.324999999999999</v>
      </c>
      <c r="M28" s="231">
        <v>31.425000000000001</v>
      </c>
    </row>
    <row r="29" spans="1:13" ht="17.25" thickBot="1">
      <c r="I29" s="229">
        <v>46020</v>
      </c>
      <c r="J29" s="230">
        <v>31.04</v>
      </c>
      <c r="K29" s="230">
        <v>31.71</v>
      </c>
      <c r="L29" s="230">
        <v>31.39</v>
      </c>
      <c r="M29" s="231">
        <v>31.49</v>
      </c>
    </row>
    <row r="30" spans="1:13" ht="17.25" thickBot="1">
      <c r="I30" s="229">
        <v>46017</v>
      </c>
      <c r="J30" s="230">
        <v>31.045000000000002</v>
      </c>
      <c r="K30" s="230">
        <v>31.715</v>
      </c>
      <c r="L30" s="230">
        <v>31.395</v>
      </c>
      <c r="M30" s="231">
        <v>31.495000000000001</v>
      </c>
    </row>
    <row r="31" spans="1:13" ht="17.25" thickBot="1">
      <c r="I31" s="235">
        <v>46015</v>
      </c>
      <c r="J31" s="236">
        <v>31.074999999999999</v>
      </c>
      <c r="K31" s="236">
        <v>31.745000000000001</v>
      </c>
      <c r="L31" s="236">
        <v>31.425000000000001</v>
      </c>
      <c r="M31" s="237">
        <v>31.524999999999999</v>
      </c>
    </row>
    <row r="32" spans="1:13" ht="17.25" thickBot="1">
      <c r="I32" s="232">
        <v>46014</v>
      </c>
      <c r="J32" s="233">
        <v>31.12</v>
      </c>
      <c r="K32" s="233">
        <v>31.79</v>
      </c>
      <c r="L32" s="233">
        <v>31.47</v>
      </c>
      <c r="M32" s="234">
        <v>31.57</v>
      </c>
    </row>
    <row r="33" spans="9:13" ht="17.25" thickBot="1">
      <c r="I33" s="229">
        <v>46013</v>
      </c>
      <c r="J33" s="230">
        <v>31.13</v>
      </c>
      <c r="K33" s="230">
        <v>31.8</v>
      </c>
      <c r="L33" s="230">
        <v>31.48</v>
      </c>
      <c r="M33" s="231">
        <v>31.58</v>
      </c>
    </row>
    <row r="34" spans="9:13" ht="17.25" thickBot="1">
      <c r="I34" s="229">
        <v>46010</v>
      </c>
      <c r="J34" s="230">
        <v>31.135000000000002</v>
      </c>
      <c r="K34" s="230">
        <v>31.805</v>
      </c>
      <c r="L34" s="230">
        <v>31.484999999999999</v>
      </c>
      <c r="M34" s="231">
        <v>31.585000000000001</v>
      </c>
    </row>
    <row r="35" spans="9:13" ht="17.25" thickBot="1">
      <c r="I35" s="229">
        <v>46009</v>
      </c>
      <c r="J35" s="230">
        <v>31.12</v>
      </c>
      <c r="K35" s="230">
        <v>31.79</v>
      </c>
      <c r="L35" s="230">
        <v>31.47</v>
      </c>
      <c r="M35" s="231">
        <v>31.57</v>
      </c>
    </row>
    <row r="36" spans="9:13" ht="17.25" thickBot="1">
      <c r="I36" s="229">
        <v>46008</v>
      </c>
      <c r="J36" s="230">
        <v>31.135000000000002</v>
      </c>
      <c r="K36" s="230">
        <v>31.805</v>
      </c>
      <c r="L36" s="230">
        <v>31.484999999999999</v>
      </c>
      <c r="M36" s="231">
        <v>31.585000000000001</v>
      </c>
    </row>
    <row r="37" spans="9:13" ht="17.25" thickBot="1">
      <c r="I37" s="229">
        <v>46007</v>
      </c>
      <c r="J37" s="230">
        <v>31.07</v>
      </c>
      <c r="K37" s="230">
        <v>31.74</v>
      </c>
      <c r="L37" s="230">
        <v>31.42</v>
      </c>
      <c r="M37" s="231">
        <v>31.52</v>
      </c>
    </row>
    <row r="38" spans="9:13" ht="17.25" thickBot="1">
      <c r="I38" s="229">
        <v>46006</v>
      </c>
      <c r="J38" s="230">
        <v>30.98</v>
      </c>
      <c r="K38" s="230">
        <v>31.65</v>
      </c>
      <c r="L38" s="230">
        <v>31.33</v>
      </c>
      <c r="M38" s="231">
        <v>31.43</v>
      </c>
    </row>
    <row r="39" spans="9:13" ht="17.25" thickBot="1">
      <c r="I39" s="229">
        <v>46003</v>
      </c>
      <c r="J39" s="230">
        <v>30.76</v>
      </c>
      <c r="K39" s="230">
        <v>31.43</v>
      </c>
      <c r="L39" s="230">
        <v>31.11</v>
      </c>
      <c r="M39" s="231">
        <v>31.21</v>
      </c>
    </row>
    <row r="40" spans="9:13" ht="17.25" thickBot="1">
      <c r="I40" s="229">
        <v>46002</v>
      </c>
      <c r="J40" s="230">
        <v>30.855</v>
      </c>
      <c r="K40" s="230">
        <v>31.524999999999999</v>
      </c>
      <c r="L40" s="230">
        <v>31.204999999999998</v>
      </c>
      <c r="M40" s="231">
        <v>31.305</v>
      </c>
    </row>
    <row r="41" spans="9:13" ht="17.25" thickBot="1">
      <c r="I41" s="229">
        <v>46001</v>
      </c>
      <c r="J41" s="230">
        <v>30.79</v>
      </c>
      <c r="K41" s="230">
        <v>31.46</v>
      </c>
      <c r="L41" s="230">
        <v>31.14</v>
      </c>
      <c r="M41" s="231">
        <v>31.24</v>
      </c>
    </row>
    <row r="42" spans="9:13" ht="17.25" thickBot="1">
      <c r="I42" s="229">
        <v>46000</v>
      </c>
      <c r="J42" s="230">
        <v>30.795000000000002</v>
      </c>
      <c r="K42" s="230">
        <v>31.465</v>
      </c>
      <c r="L42" s="230">
        <v>31.145</v>
      </c>
      <c r="M42" s="231">
        <v>31.245000000000001</v>
      </c>
    </row>
    <row r="43" spans="9:13" ht="17.25" thickBot="1">
      <c r="I43" s="229">
        <v>45999</v>
      </c>
      <c r="J43" s="230">
        <v>30.79</v>
      </c>
      <c r="K43" s="230">
        <v>31.46</v>
      </c>
      <c r="L43" s="230">
        <v>31.14</v>
      </c>
      <c r="M43" s="231">
        <v>31.24</v>
      </c>
    </row>
    <row r="44" spans="9:13" ht="17.25" thickBot="1">
      <c r="I44" s="229">
        <v>45996</v>
      </c>
      <c r="J44" s="230">
        <v>30.84</v>
      </c>
      <c r="K44" s="230">
        <v>31.51</v>
      </c>
      <c r="L44" s="230">
        <v>31.19</v>
      </c>
      <c r="M44" s="231">
        <v>31.29</v>
      </c>
    </row>
    <row r="45" spans="9:13" ht="17.25" thickBot="1">
      <c r="I45" s="229">
        <v>45995</v>
      </c>
      <c r="J45" s="230">
        <v>30.925000000000001</v>
      </c>
      <c r="K45" s="230">
        <v>31.594999999999999</v>
      </c>
      <c r="L45" s="230">
        <v>31.274999999999999</v>
      </c>
      <c r="M45" s="231">
        <v>31.375</v>
      </c>
    </row>
    <row r="46" spans="9:13" ht="17.25" thickBot="1">
      <c r="I46" s="229">
        <v>45994</v>
      </c>
      <c r="J46" s="230">
        <v>30.92</v>
      </c>
      <c r="K46" s="230">
        <v>31.59</v>
      </c>
      <c r="L46" s="230">
        <v>31.27</v>
      </c>
      <c r="M46" s="231">
        <v>31.37</v>
      </c>
    </row>
    <row r="47" spans="9:13" ht="17.25" thickBot="1">
      <c r="I47" s="229">
        <v>45993</v>
      </c>
      <c r="J47" s="230">
        <v>31.01</v>
      </c>
      <c r="K47" s="230">
        <v>31.68</v>
      </c>
      <c r="L47" s="230">
        <v>31.36</v>
      </c>
      <c r="M47" s="231">
        <v>31.46</v>
      </c>
    </row>
    <row r="48" spans="9:13" ht="17.25" thickBot="1">
      <c r="I48" s="229">
        <v>45992</v>
      </c>
      <c r="J48" s="230">
        <v>31.03</v>
      </c>
      <c r="K48" s="230">
        <v>31.7</v>
      </c>
      <c r="L48" s="230">
        <v>31.38</v>
      </c>
      <c r="M48" s="231">
        <v>31.48</v>
      </c>
    </row>
    <row r="49" spans="9:13" ht="17.25" thickBot="1">
      <c r="I49" s="229">
        <v>45989</v>
      </c>
      <c r="J49" s="230">
        <v>31</v>
      </c>
      <c r="K49" s="230">
        <v>31.67</v>
      </c>
      <c r="L49" s="230">
        <v>31.35</v>
      </c>
      <c r="M49" s="231">
        <v>31.45</v>
      </c>
    </row>
    <row r="50" spans="9:13" ht="17.25" thickBot="1">
      <c r="I50" s="229">
        <v>45988</v>
      </c>
      <c r="J50" s="230">
        <v>30.925000000000001</v>
      </c>
      <c r="K50" s="230">
        <v>31.594999999999999</v>
      </c>
      <c r="L50" s="230">
        <v>31.274999999999999</v>
      </c>
      <c r="M50" s="231">
        <v>31.375</v>
      </c>
    </row>
    <row r="51" spans="9:13" ht="17.25" thickBot="1">
      <c r="I51" s="229">
        <v>45987</v>
      </c>
      <c r="J51" s="230">
        <v>30.94</v>
      </c>
      <c r="K51" s="230">
        <v>31.61</v>
      </c>
      <c r="L51" s="230">
        <v>31.29</v>
      </c>
      <c r="M51" s="231">
        <v>31.39</v>
      </c>
    </row>
    <row r="52" spans="9:13" ht="17.25" thickBot="1">
      <c r="I52" s="229">
        <v>45986</v>
      </c>
      <c r="J52" s="230">
        <v>31.04</v>
      </c>
      <c r="K52" s="230">
        <v>31.71</v>
      </c>
      <c r="L52" s="230">
        <v>31.39</v>
      </c>
      <c r="M52" s="231">
        <v>31.49</v>
      </c>
    </row>
    <row r="53" spans="9:13" ht="17.25" thickBot="1">
      <c r="I53" s="229">
        <v>45985</v>
      </c>
      <c r="J53" s="230">
        <v>31.035</v>
      </c>
      <c r="K53" s="230">
        <v>31.704999999999998</v>
      </c>
      <c r="L53" s="230">
        <v>31.385000000000002</v>
      </c>
      <c r="M53" s="231">
        <v>31.484999999999999</v>
      </c>
    </row>
    <row r="54" spans="9:13" ht="17.25" thickBot="1">
      <c r="I54" s="229">
        <v>45982</v>
      </c>
      <c r="J54" s="230">
        <v>31.02</v>
      </c>
      <c r="K54" s="230">
        <v>31.69</v>
      </c>
      <c r="L54" s="230">
        <v>31.37</v>
      </c>
      <c r="M54" s="231">
        <v>31.47</v>
      </c>
    </row>
    <row r="55" spans="9:13" ht="17.25" thickBot="1">
      <c r="I55" s="229">
        <v>45981</v>
      </c>
      <c r="J55" s="230">
        <v>30.89</v>
      </c>
      <c r="K55" s="230">
        <v>31.56</v>
      </c>
      <c r="L55" s="230">
        <v>31.24</v>
      </c>
      <c r="M55" s="231">
        <v>31.34</v>
      </c>
    </row>
    <row r="56" spans="9:13" ht="17.25" thickBot="1">
      <c r="I56" s="229">
        <v>45980</v>
      </c>
      <c r="J56" s="230">
        <v>30.84</v>
      </c>
      <c r="K56" s="230">
        <v>31.51</v>
      </c>
      <c r="L56" s="230">
        <v>31.19</v>
      </c>
      <c r="M56" s="231">
        <v>31.29</v>
      </c>
    </row>
    <row r="57" spans="9:13" ht="17.25" thickBot="1">
      <c r="I57" s="229">
        <v>45979</v>
      </c>
      <c r="J57" s="230">
        <v>30.79</v>
      </c>
      <c r="K57" s="230">
        <v>31.46</v>
      </c>
      <c r="L57" s="230">
        <v>31.14</v>
      </c>
      <c r="M57" s="231">
        <v>31.24</v>
      </c>
    </row>
    <row r="58" spans="9:13" ht="17.25" thickBot="1">
      <c r="I58" s="229">
        <v>45978</v>
      </c>
      <c r="J58" s="230">
        <v>30.76</v>
      </c>
      <c r="K58" s="230">
        <v>31.43</v>
      </c>
      <c r="L58" s="230">
        <v>31.11</v>
      </c>
      <c r="M58" s="231">
        <v>31.21</v>
      </c>
    </row>
    <row r="59" spans="9:13" ht="17.25" thickBot="1">
      <c r="I59" s="229">
        <v>45975</v>
      </c>
      <c r="J59" s="230">
        <v>30.74</v>
      </c>
      <c r="K59" s="230">
        <v>31.41</v>
      </c>
      <c r="L59" s="230">
        <v>31.09</v>
      </c>
      <c r="M59" s="231">
        <v>31.19</v>
      </c>
    </row>
    <row r="60" spans="9:13" ht="17.25" thickBot="1">
      <c r="I60" s="229">
        <v>45974</v>
      </c>
      <c r="J60" s="230">
        <v>30.66</v>
      </c>
      <c r="K60" s="230">
        <v>31.33</v>
      </c>
      <c r="L60" s="230">
        <v>31.01</v>
      </c>
      <c r="M60" s="231">
        <v>31.11</v>
      </c>
    </row>
    <row r="61" spans="9:13" ht="17.25" thickBot="1">
      <c r="I61" s="229">
        <v>45973</v>
      </c>
      <c r="J61" s="230">
        <v>30.655000000000001</v>
      </c>
      <c r="K61" s="230">
        <v>31.324999999999999</v>
      </c>
      <c r="L61" s="230">
        <v>31.004999999999999</v>
      </c>
      <c r="M61" s="231">
        <v>31.105</v>
      </c>
    </row>
    <row r="62" spans="9:13" ht="17.25" thickBot="1">
      <c r="I62" s="317">
        <v>45972</v>
      </c>
      <c r="J62" s="318">
        <v>30.64</v>
      </c>
      <c r="K62" s="318">
        <v>31.31</v>
      </c>
      <c r="L62" s="318">
        <v>30.99</v>
      </c>
      <c r="M62" s="319">
        <v>31.09</v>
      </c>
    </row>
    <row r="63" spans="9:13" ht="17.25" thickBot="1">
      <c r="I63" s="229">
        <v>45971</v>
      </c>
      <c r="J63" s="230">
        <v>30.6</v>
      </c>
      <c r="K63" s="230">
        <v>31.27</v>
      </c>
      <c r="L63" s="230">
        <v>30.95</v>
      </c>
      <c r="M63" s="231">
        <v>31.05</v>
      </c>
    </row>
    <row r="64" spans="9:13" ht="17.25" thickBot="1">
      <c r="I64" s="229">
        <v>45968</v>
      </c>
      <c r="J64" s="230">
        <v>30.63</v>
      </c>
      <c r="K64" s="230">
        <v>31.3</v>
      </c>
      <c r="L64" s="230">
        <v>30.98</v>
      </c>
      <c r="M64" s="231">
        <v>31.08</v>
      </c>
    </row>
    <row r="65" spans="9:13" ht="17.25" thickBot="1">
      <c r="I65" s="229">
        <v>45967</v>
      </c>
      <c r="J65" s="230">
        <v>30.545000000000002</v>
      </c>
      <c r="K65" s="230">
        <v>31.215</v>
      </c>
      <c r="L65" s="230">
        <v>30.895</v>
      </c>
      <c r="M65" s="231">
        <v>30.995000000000001</v>
      </c>
    </row>
    <row r="66" spans="9:13" ht="17.25" thickBot="1">
      <c r="I66" s="229">
        <v>45966</v>
      </c>
      <c r="J66" s="230">
        <v>30.535</v>
      </c>
      <c r="K66" s="230">
        <v>31.204999999999998</v>
      </c>
      <c r="L66" s="230">
        <v>30.885000000000002</v>
      </c>
      <c r="M66" s="231">
        <v>30.984999999999999</v>
      </c>
    </row>
    <row r="67" spans="9:13" ht="17.25" thickBot="1">
      <c r="I67" s="229">
        <v>45965</v>
      </c>
      <c r="J67" s="230">
        <v>30.495000000000001</v>
      </c>
      <c r="K67" s="230">
        <v>31.164999999999999</v>
      </c>
      <c r="L67" s="230">
        <v>30.844999999999999</v>
      </c>
      <c r="M67" s="231">
        <v>30.945</v>
      </c>
    </row>
    <row r="68" spans="9:13" ht="17.25" thickBot="1">
      <c r="I68" s="229">
        <v>45964</v>
      </c>
      <c r="J68" s="230">
        <v>30.43</v>
      </c>
      <c r="K68" s="230">
        <v>31.1</v>
      </c>
      <c r="L68" s="230">
        <v>30.78</v>
      </c>
      <c r="M68" s="231">
        <v>30.88</v>
      </c>
    </row>
    <row r="69" spans="9:13" ht="17.25" thickBot="1">
      <c r="I69" s="229">
        <v>45961</v>
      </c>
      <c r="J69" s="230">
        <v>30.33</v>
      </c>
      <c r="K69" s="230">
        <v>31</v>
      </c>
      <c r="L69" s="230">
        <v>30.68</v>
      </c>
      <c r="M69" s="231">
        <v>30.78</v>
      </c>
    </row>
    <row r="70" spans="9:13" ht="17.25" thickBot="1">
      <c r="I70" s="229">
        <v>45960</v>
      </c>
      <c r="J70" s="230">
        <v>30.29</v>
      </c>
      <c r="K70" s="230">
        <v>30.96</v>
      </c>
      <c r="L70" s="230">
        <v>30.64</v>
      </c>
      <c r="M70" s="231">
        <v>30.74</v>
      </c>
    </row>
    <row r="71" spans="9:13" ht="17.25" thickBot="1">
      <c r="I71" s="229">
        <v>45959</v>
      </c>
      <c r="J71" s="230">
        <v>30.215</v>
      </c>
      <c r="K71" s="230">
        <v>30.885000000000002</v>
      </c>
      <c r="L71" s="230">
        <v>30.565000000000001</v>
      </c>
      <c r="M71" s="231">
        <v>30.664999999999999</v>
      </c>
    </row>
    <row r="72" spans="9:13" ht="17.25" thickBot="1">
      <c r="I72" s="229">
        <v>45958</v>
      </c>
      <c r="J72" s="230">
        <v>30.22</v>
      </c>
      <c r="K72" s="230">
        <v>30.89</v>
      </c>
      <c r="L72" s="230">
        <v>30.57</v>
      </c>
      <c r="M72" s="231">
        <v>30.67</v>
      </c>
    </row>
    <row r="73" spans="9:13" ht="17.25" thickBot="1">
      <c r="I73" s="229">
        <v>45957</v>
      </c>
      <c r="J73" s="230">
        <v>30.3</v>
      </c>
      <c r="K73" s="230">
        <v>30.97</v>
      </c>
      <c r="L73" s="230">
        <v>30.65</v>
      </c>
      <c r="M73" s="231">
        <v>30.75</v>
      </c>
    </row>
    <row r="74" spans="9:13" ht="17.25" thickBot="1">
      <c r="I74" s="229">
        <v>45953</v>
      </c>
      <c r="J74" s="230">
        <v>30.405000000000001</v>
      </c>
      <c r="K74" s="230">
        <v>31.074999999999999</v>
      </c>
      <c r="L74" s="230">
        <v>30.754999999999999</v>
      </c>
      <c r="M74" s="231">
        <v>30.855</v>
      </c>
    </row>
    <row r="75" spans="9:13" ht="17.25" thickBot="1">
      <c r="I75" s="229">
        <v>45952</v>
      </c>
      <c r="J75" s="230">
        <v>30.32</v>
      </c>
      <c r="K75" s="230">
        <v>30.99</v>
      </c>
      <c r="L75" s="230">
        <v>30.67</v>
      </c>
      <c r="M75" s="231">
        <v>30.77</v>
      </c>
    </row>
    <row r="76" spans="9:13" ht="17.25" thickBot="1">
      <c r="I76" s="229">
        <v>45951</v>
      </c>
      <c r="J76" s="230">
        <v>30.274999999999999</v>
      </c>
      <c r="K76" s="230">
        <v>30.945</v>
      </c>
      <c r="L76" s="230">
        <v>30.625</v>
      </c>
      <c r="M76" s="231">
        <v>30.725000000000001</v>
      </c>
    </row>
    <row r="77" spans="9:13" ht="17.25" thickBot="1">
      <c r="I77" s="229">
        <v>45950</v>
      </c>
      <c r="J77" s="230">
        <v>30.225000000000001</v>
      </c>
      <c r="K77" s="230">
        <v>30.895</v>
      </c>
      <c r="L77" s="230">
        <v>30.574999999999999</v>
      </c>
      <c r="M77" s="231">
        <v>30.675000000000001</v>
      </c>
    </row>
    <row r="78" spans="9:13" ht="17.25" thickBot="1">
      <c r="I78" s="229">
        <v>45947</v>
      </c>
      <c r="J78" s="230">
        <v>30.26</v>
      </c>
      <c r="K78" s="230">
        <v>30.93</v>
      </c>
      <c r="L78" s="230">
        <v>30.61</v>
      </c>
      <c r="M78" s="231">
        <v>30.71</v>
      </c>
    </row>
    <row r="79" spans="9:13" ht="17.25" thickBot="1">
      <c r="I79" s="229">
        <v>45946</v>
      </c>
      <c r="J79" s="230">
        <v>30.234999999999999</v>
      </c>
      <c r="K79" s="230">
        <v>30.905000000000001</v>
      </c>
      <c r="L79" s="230">
        <v>30.585000000000001</v>
      </c>
      <c r="M79" s="231">
        <v>30.684999999999999</v>
      </c>
    </row>
    <row r="80" spans="9:13" ht="17.25" thickBot="1">
      <c r="I80" s="229">
        <v>45945</v>
      </c>
      <c r="J80" s="230">
        <v>30.225000000000001</v>
      </c>
      <c r="K80" s="230">
        <v>30.895</v>
      </c>
      <c r="L80" s="230">
        <v>30.574999999999999</v>
      </c>
      <c r="M80" s="231">
        <v>30.675000000000001</v>
      </c>
    </row>
    <row r="81" spans="9:13" ht="17.25" thickBot="1">
      <c r="I81" s="229">
        <v>45944</v>
      </c>
      <c r="J81" s="230">
        <v>30.355</v>
      </c>
      <c r="K81" s="230">
        <v>31.024999999999999</v>
      </c>
      <c r="L81" s="230">
        <v>30.704999999999998</v>
      </c>
      <c r="M81" s="231">
        <v>30.805</v>
      </c>
    </row>
    <row r="82" spans="9:13" ht="17.25" thickBot="1">
      <c r="I82" s="229">
        <v>45943</v>
      </c>
      <c r="J82" s="230">
        <v>30.295000000000002</v>
      </c>
      <c r="K82" s="230">
        <v>30.965</v>
      </c>
      <c r="L82" s="230">
        <v>30.645</v>
      </c>
      <c r="M82" s="231">
        <v>30.745000000000001</v>
      </c>
    </row>
    <row r="83" spans="9:13" ht="17.25" thickBot="1">
      <c r="I83" s="229">
        <v>45939</v>
      </c>
      <c r="J83" s="230">
        <v>30.13</v>
      </c>
      <c r="K83" s="230">
        <v>30.8</v>
      </c>
      <c r="L83" s="230">
        <v>30.48</v>
      </c>
      <c r="M83" s="231">
        <v>30.58</v>
      </c>
    </row>
    <row r="84" spans="9:13" ht="17.25" thickBot="1">
      <c r="I84" s="229">
        <v>45938</v>
      </c>
      <c r="J84" s="230">
        <v>30.13</v>
      </c>
      <c r="K84" s="230">
        <v>30.8</v>
      </c>
      <c r="L84" s="230">
        <v>30.48</v>
      </c>
      <c r="M84" s="231">
        <v>30.58</v>
      </c>
    </row>
    <row r="85" spans="9:13" ht="17.25" thickBot="1">
      <c r="I85" s="229">
        <v>45937</v>
      </c>
      <c r="J85" s="230">
        <v>30.114999999999998</v>
      </c>
      <c r="K85" s="230">
        <v>30.785</v>
      </c>
      <c r="L85" s="230">
        <v>30.465</v>
      </c>
      <c r="M85" s="231">
        <v>30.565000000000001</v>
      </c>
    </row>
    <row r="86" spans="9:13" ht="17.25" thickBot="1">
      <c r="I86" s="229">
        <v>45933</v>
      </c>
      <c r="J86" s="230">
        <v>29.96</v>
      </c>
      <c r="K86" s="230">
        <v>30.63</v>
      </c>
      <c r="L86" s="230">
        <v>30.31</v>
      </c>
      <c r="M86" s="231">
        <v>30.41</v>
      </c>
    </row>
    <row r="87" spans="9:13" ht="17.25" thickBot="1">
      <c r="I87" s="229">
        <v>45932</v>
      </c>
      <c r="J87" s="230">
        <v>30.01</v>
      </c>
      <c r="K87" s="230">
        <v>30.68</v>
      </c>
      <c r="L87" s="230">
        <v>30.36</v>
      </c>
      <c r="M87" s="231">
        <v>30.46</v>
      </c>
    </row>
    <row r="88" spans="9:13" ht="17.25" thickBot="1">
      <c r="I88" s="229">
        <v>45931</v>
      </c>
      <c r="J88" s="230">
        <v>30.04</v>
      </c>
      <c r="K88" s="230">
        <v>30.71</v>
      </c>
      <c r="L88" s="230">
        <v>30.39</v>
      </c>
      <c r="M88" s="231">
        <v>30.49</v>
      </c>
    </row>
    <row r="89" spans="9:13" ht="17.25" thickBot="1">
      <c r="I89" s="229">
        <v>45930</v>
      </c>
      <c r="J89" s="230">
        <v>30.045000000000002</v>
      </c>
      <c r="K89" s="230">
        <v>30.715</v>
      </c>
      <c r="L89" s="230">
        <v>30.395</v>
      </c>
      <c r="M89" s="231">
        <v>30.495000000000001</v>
      </c>
    </row>
    <row r="90" spans="9:13" ht="17.25" thickBot="1">
      <c r="I90" s="229">
        <v>45926</v>
      </c>
      <c r="J90" s="230">
        <v>30.114999999999998</v>
      </c>
      <c r="K90" s="230">
        <v>30.785</v>
      </c>
      <c r="L90" s="230">
        <v>30.465</v>
      </c>
      <c r="M90" s="231">
        <v>30.565000000000001</v>
      </c>
    </row>
    <row r="91" spans="9:13" ht="17.25" thickBot="1">
      <c r="I91" s="229">
        <v>45925</v>
      </c>
      <c r="J91" s="230">
        <v>30.03</v>
      </c>
      <c r="K91" s="230">
        <v>30.7</v>
      </c>
      <c r="L91" s="230">
        <v>30.38</v>
      </c>
      <c r="M91" s="231">
        <v>30.48</v>
      </c>
    </row>
    <row r="92" spans="9:13" ht="17.25" thickBot="1">
      <c r="I92" s="317">
        <v>45924</v>
      </c>
      <c r="J92" s="318">
        <v>29.91</v>
      </c>
      <c r="K92" s="318">
        <v>30.58</v>
      </c>
      <c r="L92" s="318">
        <v>30.26</v>
      </c>
      <c r="M92" s="319">
        <v>30.36</v>
      </c>
    </row>
    <row r="93" spans="9:13" ht="17.25" thickBot="1">
      <c r="I93" s="229">
        <v>45923</v>
      </c>
      <c r="J93" s="230">
        <v>29.88</v>
      </c>
      <c r="K93" s="230">
        <v>30.55</v>
      </c>
      <c r="L93" s="230">
        <v>30.23</v>
      </c>
      <c r="M93" s="231">
        <v>30.33</v>
      </c>
    </row>
    <row r="94" spans="9:13" ht="17.25" thickBot="1">
      <c r="I94" s="229">
        <v>45922</v>
      </c>
      <c r="J94" s="230">
        <v>29.844999999999999</v>
      </c>
      <c r="K94" s="230">
        <v>30.515000000000001</v>
      </c>
      <c r="L94" s="230">
        <v>30.195</v>
      </c>
      <c r="M94" s="231">
        <v>30.295000000000002</v>
      </c>
    </row>
    <row r="95" spans="9:13" ht="17.25" thickBot="1">
      <c r="I95" s="229">
        <v>45919</v>
      </c>
      <c r="J95" s="230">
        <v>29.81</v>
      </c>
      <c r="K95" s="230">
        <v>30.48</v>
      </c>
      <c r="L95" s="230">
        <v>30.16</v>
      </c>
      <c r="M95" s="231">
        <v>30.26</v>
      </c>
    </row>
    <row r="96" spans="9:13" ht="17.25" thickBot="1">
      <c r="I96" s="229">
        <v>45918</v>
      </c>
      <c r="J96" s="230">
        <v>29.675000000000001</v>
      </c>
      <c r="K96" s="230">
        <v>30.344999999999999</v>
      </c>
      <c r="L96" s="230">
        <v>30.024999999999999</v>
      </c>
      <c r="M96" s="231">
        <v>30.125</v>
      </c>
    </row>
    <row r="97" spans="9:13" ht="17.25" thickBot="1">
      <c r="I97" s="229">
        <v>45917</v>
      </c>
      <c r="J97" s="230">
        <v>29.64</v>
      </c>
      <c r="K97" s="230">
        <v>30.31</v>
      </c>
      <c r="L97" s="230">
        <v>29.99</v>
      </c>
      <c r="M97" s="231">
        <v>30.09</v>
      </c>
    </row>
    <row r="98" spans="9:13" ht="17.25" thickBot="1">
      <c r="I98" s="229">
        <v>45916</v>
      </c>
      <c r="J98" s="230">
        <v>29.664999999999999</v>
      </c>
      <c r="K98" s="230">
        <v>30.335000000000001</v>
      </c>
      <c r="L98" s="230">
        <v>30.015000000000001</v>
      </c>
      <c r="M98" s="231">
        <v>30.114999999999998</v>
      </c>
    </row>
    <row r="99" spans="9:13" ht="17.25" thickBot="1">
      <c r="I99" s="229">
        <v>45915</v>
      </c>
      <c r="J99" s="230">
        <v>29.805</v>
      </c>
      <c r="K99" s="230">
        <v>30.475000000000001</v>
      </c>
      <c r="L99" s="230">
        <v>30.155000000000001</v>
      </c>
      <c r="M99" s="231">
        <v>30.254999999999999</v>
      </c>
    </row>
    <row r="100" spans="9:13" ht="17.25" thickBot="1">
      <c r="I100" s="229">
        <v>45912</v>
      </c>
      <c r="J100" s="230">
        <v>29.815000000000001</v>
      </c>
      <c r="K100" s="230">
        <v>30.484999999999999</v>
      </c>
      <c r="L100" s="230">
        <v>30.164999999999999</v>
      </c>
      <c r="M100" s="231">
        <v>30.265000000000001</v>
      </c>
    </row>
    <row r="101" spans="9:13" ht="17.25" thickBot="1">
      <c r="I101" s="229">
        <v>45911</v>
      </c>
      <c r="J101" s="230">
        <v>29.905000000000001</v>
      </c>
      <c r="K101" s="230">
        <v>30.574999999999999</v>
      </c>
      <c r="L101" s="230">
        <v>30.254999999999999</v>
      </c>
      <c r="M101" s="231">
        <v>30.355</v>
      </c>
    </row>
    <row r="102" spans="9:13" ht="17.25" thickBot="1">
      <c r="I102" s="229">
        <v>45910</v>
      </c>
      <c r="J102" s="230">
        <v>29.87</v>
      </c>
      <c r="K102" s="230">
        <v>30.54</v>
      </c>
      <c r="L102" s="230">
        <v>30.22</v>
      </c>
      <c r="M102" s="231">
        <v>30.32</v>
      </c>
    </row>
    <row r="103" spans="9:13" ht="17.25" thickBot="1">
      <c r="I103" s="229">
        <v>45909</v>
      </c>
      <c r="J103" s="230">
        <v>29.95</v>
      </c>
      <c r="K103" s="230">
        <v>30.62</v>
      </c>
      <c r="L103" s="230">
        <v>30.3</v>
      </c>
      <c r="M103" s="231">
        <v>30.4</v>
      </c>
    </row>
    <row r="104" spans="9:13" ht="17.25" thickBot="1">
      <c r="I104" s="229">
        <v>45908</v>
      </c>
      <c r="J104" s="230">
        <v>30.094999999999999</v>
      </c>
      <c r="K104" s="230">
        <v>30.765000000000001</v>
      </c>
      <c r="L104" s="230">
        <v>30.445</v>
      </c>
      <c r="M104" s="231">
        <v>30.545000000000002</v>
      </c>
    </row>
    <row r="105" spans="9:13" ht="17.25" thickBot="1">
      <c r="I105" s="229">
        <v>45905</v>
      </c>
      <c r="J105" s="230">
        <v>30.164999999999999</v>
      </c>
      <c r="K105" s="230">
        <v>30.835000000000001</v>
      </c>
      <c r="L105" s="230">
        <v>30.515000000000001</v>
      </c>
      <c r="M105" s="231">
        <v>30.614999999999998</v>
      </c>
    </row>
    <row r="106" spans="9:13" ht="17.25" thickBot="1">
      <c r="I106" s="229">
        <v>45904</v>
      </c>
      <c r="J106" s="230">
        <v>30.295000000000002</v>
      </c>
      <c r="K106" s="230">
        <v>30.965</v>
      </c>
      <c r="L106" s="230">
        <v>30.645</v>
      </c>
      <c r="M106" s="231">
        <v>30.745000000000001</v>
      </c>
    </row>
    <row r="107" spans="9:13" ht="17.25" thickBot="1">
      <c r="I107" s="229">
        <v>45903</v>
      </c>
      <c r="J107" s="230">
        <v>30.315000000000001</v>
      </c>
      <c r="K107" s="230">
        <v>30.984999999999999</v>
      </c>
      <c r="L107" s="230">
        <v>30.664999999999999</v>
      </c>
      <c r="M107" s="231">
        <v>30.765000000000001</v>
      </c>
    </row>
    <row r="108" spans="9:13" ht="17.25" thickBot="1">
      <c r="I108" s="229">
        <v>45902</v>
      </c>
      <c r="J108" s="230">
        <v>30.274999999999999</v>
      </c>
      <c r="K108" s="230">
        <v>30.945</v>
      </c>
      <c r="L108" s="230">
        <v>30.625</v>
      </c>
      <c r="M108" s="231">
        <v>30.725000000000001</v>
      </c>
    </row>
    <row r="109" spans="9:13" ht="17.25" thickBot="1">
      <c r="I109" s="229">
        <v>45901</v>
      </c>
      <c r="J109" s="230">
        <v>30.215</v>
      </c>
      <c r="K109" s="230">
        <v>30.885000000000002</v>
      </c>
      <c r="L109" s="230">
        <v>30.565000000000001</v>
      </c>
      <c r="M109" s="231">
        <v>30.664999999999999</v>
      </c>
    </row>
    <row r="110" spans="9:13" ht="17.25" thickBot="1">
      <c r="I110" s="229">
        <v>45898</v>
      </c>
      <c r="J110" s="230">
        <v>30.19</v>
      </c>
      <c r="K110" s="230">
        <v>30.86</v>
      </c>
      <c r="L110" s="230">
        <v>30.54</v>
      </c>
      <c r="M110" s="231">
        <v>30.64</v>
      </c>
    </row>
    <row r="111" spans="9:13" ht="17.25" thickBot="1">
      <c r="I111" s="229">
        <v>45897</v>
      </c>
      <c r="J111" s="230">
        <v>30.18</v>
      </c>
      <c r="K111" s="230">
        <v>30.85</v>
      </c>
      <c r="L111" s="230">
        <v>30.53</v>
      </c>
      <c r="M111" s="231">
        <v>30.63</v>
      </c>
    </row>
    <row r="112" spans="9:13" ht="17.25" thickBot="1">
      <c r="I112" s="229">
        <v>45896</v>
      </c>
      <c r="J112" s="230">
        <v>30.17</v>
      </c>
      <c r="K112" s="230">
        <v>30.84</v>
      </c>
      <c r="L112" s="230">
        <v>30.52</v>
      </c>
      <c r="M112" s="231">
        <v>30.62</v>
      </c>
    </row>
    <row r="113" spans="9:13" ht="17.25" thickBot="1">
      <c r="I113" s="229">
        <v>45895</v>
      </c>
      <c r="J113" s="230">
        <v>30.14</v>
      </c>
      <c r="K113" s="230">
        <v>30.81</v>
      </c>
      <c r="L113" s="230">
        <v>30.49</v>
      </c>
      <c r="M113" s="231">
        <v>30.59</v>
      </c>
    </row>
    <row r="114" spans="9:13" ht="17.25" thickBot="1">
      <c r="I114" s="229">
        <v>45894</v>
      </c>
      <c r="J114" s="230">
        <v>30.035</v>
      </c>
      <c r="K114" s="230">
        <v>30.704999999999998</v>
      </c>
      <c r="L114" s="230">
        <v>30.385000000000002</v>
      </c>
      <c r="M114" s="231">
        <v>30.484999999999999</v>
      </c>
    </row>
    <row r="115" spans="9:13" ht="17.25" thickBot="1">
      <c r="I115" s="229">
        <v>45891</v>
      </c>
      <c r="J115" s="230">
        <v>30.184999999999999</v>
      </c>
      <c r="K115" s="230">
        <v>30.855</v>
      </c>
      <c r="L115" s="230">
        <v>30.535</v>
      </c>
      <c r="M115" s="231">
        <v>30.635000000000002</v>
      </c>
    </row>
    <row r="116" spans="9:13" ht="17.25" thickBot="1">
      <c r="I116" s="229">
        <v>45890</v>
      </c>
      <c r="J116" s="230">
        <v>30.1</v>
      </c>
      <c r="K116" s="230">
        <v>30.77</v>
      </c>
      <c r="L116" s="230">
        <v>30.45</v>
      </c>
      <c r="M116" s="231">
        <v>30.55</v>
      </c>
    </row>
    <row r="117" spans="9:13" ht="17.25" thickBot="1">
      <c r="I117" s="229">
        <v>45889</v>
      </c>
      <c r="J117" s="230">
        <v>29.9</v>
      </c>
      <c r="K117" s="230">
        <v>30.57</v>
      </c>
      <c r="L117" s="230">
        <v>30.25</v>
      </c>
      <c r="M117" s="231">
        <v>30.35</v>
      </c>
    </row>
    <row r="118" spans="9:13" ht="17.25" thickBot="1">
      <c r="I118" s="229">
        <v>45888</v>
      </c>
      <c r="J118" s="230">
        <v>29.71</v>
      </c>
      <c r="K118" s="230">
        <v>30.38</v>
      </c>
      <c r="L118" s="230">
        <v>30.06</v>
      </c>
      <c r="M118" s="231">
        <v>30.16</v>
      </c>
    </row>
    <row r="119" spans="9:13" ht="17.25" thickBot="1">
      <c r="I119" s="229">
        <v>45887</v>
      </c>
      <c r="J119" s="230">
        <v>29.645</v>
      </c>
      <c r="K119" s="230">
        <v>30.315000000000001</v>
      </c>
      <c r="L119" s="230">
        <v>29.995000000000001</v>
      </c>
      <c r="M119" s="231">
        <v>30.094999999999999</v>
      </c>
    </row>
    <row r="120" spans="9:13" ht="17.25" thickBot="1">
      <c r="I120" s="229">
        <v>45884</v>
      </c>
      <c r="J120" s="230">
        <v>29.59</v>
      </c>
      <c r="K120" s="230">
        <v>30.26</v>
      </c>
      <c r="L120" s="230">
        <v>29.94</v>
      </c>
      <c r="M120" s="231">
        <v>30.04</v>
      </c>
    </row>
    <row r="121" spans="9:13" ht="17.25" thickBot="1">
      <c r="I121" s="229">
        <v>45883</v>
      </c>
      <c r="J121" s="230">
        <v>29.574999999999999</v>
      </c>
      <c r="K121" s="230">
        <v>30.245000000000001</v>
      </c>
      <c r="L121" s="230">
        <v>29.925000000000001</v>
      </c>
      <c r="M121" s="231">
        <v>30.024999999999999</v>
      </c>
    </row>
    <row r="122" spans="9:13" ht="17.25" thickBot="1">
      <c r="I122" s="317">
        <v>45882</v>
      </c>
      <c r="J122" s="318">
        <v>29.545000000000002</v>
      </c>
      <c r="K122" s="318">
        <v>30.215</v>
      </c>
      <c r="L122" s="318">
        <v>29.895</v>
      </c>
      <c r="M122" s="319">
        <v>29.995000000000001</v>
      </c>
    </row>
    <row r="123" spans="9:13" ht="17.25" thickBot="1">
      <c r="I123" s="229">
        <v>45763</v>
      </c>
      <c r="J123" s="230">
        <v>32.11</v>
      </c>
      <c r="K123" s="230">
        <v>32.78</v>
      </c>
      <c r="L123" s="230">
        <v>32.46</v>
      </c>
      <c r="M123" s="231">
        <v>32.56</v>
      </c>
    </row>
    <row r="124" spans="9:13" ht="17.25" thickBot="1">
      <c r="I124" s="229">
        <v>45762</v>
      </c>
      <c r="J124" s="230">
        <v>32.1</v>
      </c>
      <c r="K124" s="230">
        <v>32.770000000000003</v>
      </c>
      <c r="L124" s="230">
        <v>32.450000000000003</v>
      </c>
      <c r="M124" s="231">
        <v>32.549999999999997</v>
      </c>
    </row>
    <row r="125" spans="9:13" ht="17.25" thickBot="1">
      <c r="I125" s="229">
        <v>45761</v>
      </c>
      <c r="J125" s="230">
        <v>32.085000000000001</v>
      </c>
      <c r="K125" s="230">
        <v>32.755000000000003</v>
      </c>
      <c r="L125" s="230">
        <v>32.435000000000002</v>
      </c>
      <c r="M125" s="231">
        <v>32.534999999999997</v>
      </c>
    </row>
    <row r="126" spans="9:13" ht="17.25" thickBot="1">
      <c r="I126" s="229">
        <v>45758</v>
      </c>
      <c r="J126" s="230">
        <v>32.270000000000003</v>
      </c>
      <c r="K126" s="230">
        <v>32.94</v>
      </c>
      <c r="L126" s="230">
        <v>32.619999999999997</v>
      </c>
      <c r="M126" s="231">
        <v>32.72</v>
      </c>
    </row>
    <row r="127" spans="9:13" ht="17.25" thickBot="1">
      <c r="I127" s="229">
        <v>45757</v>
      </c>
      <c r="J127" s="230">
        <v>32.465000000000003</v>
      </c>
      <c r="K127" s="230">
        <v>33.134999999999998</v>
      </c>
      <c r="L127" s="230">
        <v>32.814999999999998</v>
      </c>
      <c r="M127" s="231">
        <v>32.914999999999999</v>
      </c>
    </row>
    <row r="128" spans="9:13" ht="17.25" thickBot="1">
      <c r="I128" s="229">
        <v>45756</v>
      </c>
      <c r="J128" s="230">
        <v>32.61</v>
      </c>
      <c r="K128" s="230">
        <v>33.28</v>
      </c>
      <c r="L128" s="230">
        <v>32.96</v>
      </c>
      <c r="M128" s="231">
        <v>33.06</v>
      </c>
    </row>
    <row r="129" spans="9:13" ht="17.25" thickBot="1">
      <c r="I129" s="229">
        <v>45755</v>
      </c>
      <c r="J129" s="230">
        <v>32.604999999999997</v>
      </c>
      <c r="K129" s="230">
        <v>33.274999999999999</v>
      </c>
      <c r="L129" s="230">
        <v>32.954999999999998</v>
      </c>
      <c r="M129" s="231">
        <v>33.055</v>
      </c>
    </row>
    <row r="130" spans="9:13" ht="17.25" thickBot="1">
      <c r="I130" s="229">
        <v>45754</v>
      </c>
      <c r="J130" s="230">
        <v>32.65</v>
      </c>
      <c r="K130" s="230">
        <v>33.32</v>
      </c>
      <c r="L130" s="230">
        <v>33</v>
      </c>
      <c r="M130" s="231">
        <v>33.1</v>
      </c>
    </row>
    <row r="131" spans="9:13" ht="17.25" thickBot="1">
      <c r="I131" s="229">
        <v>45749</v>
      </c>
      <c r="J131" s="230">
        <v>32.69</v>
      </c>
      <c r="K131" s="230">
        <v>33.36</v>
      </c>
      <c r="L131" s="230">
        <v>33.04</v>
      </c>
      <c r="M131" s="231">
        <v>33.14</v>
      </c>
    </row>
    <row r="132" spans="9:13" ht="17.25" thickBot="1">
      <c r="I132" s="229">
        <v>45748</v>
      </c>
      <c r="J132" s="230">
        <v>32.799999999999997</v>
      </c>
      <c r="K132" s="230">
        <v>33.47</v>
      </c>
      <c r="L132" s="230">
        <v>33.15</v>
      </c>
      <c r="M132" s="231">
        <v>33.25</v>
      </c>
    </row>
    <row r="133" spans="9:13" ht="17.25" thickBot="1">
      <c r="I133" s="229">
        <v>45747</v>
      </c>
      <c r="J133" s="230">
        <v>32.805</v>
      </c>
      <c r="K133" s="230">
        <v>33.475000000000001</v>
      </c>
      <c r="L133" s="230">
        <v>33.155000000000001</v>
      </c>
      <c r="M133" s="231">
        <v>33.255000000000003</v>
      </c>
    </row>
    <row r="134" spans="9:13" ht="17.25" thickBot="1">
      <c r="I134" s="229">
        <v>45744</v>
      </c>
      <c r="J134" s="230">
        <v>32.700000000000003</v>
      </c>
      <c r="K134" s="230">
        <v>33.369999999999997</v>
      </c>
      <c r="L134" s="230">
        <v>33.049999999999997</v>
      </c>
      <c r="M134" s="231">
        <v>33.15</v>
      </c>
    </row>
    <row r="135" spans="9:13" ht="17.25" thickBot="1">
      <c r="I135" s="229">
        <v>45743</v>
      </c>
      <c r="J135" s="230">
        <v>32.71</v>
      </c>
      <c r="K135" s="230">
        <v>33.380000000000003</v>
      </c>
      <c r="L135" s="230">
        <v>33.06</v>
      </c>
      <c r="M135" s="231">
        <v>33.159999999999997</v>
      </c>
    </row>
    <row r="136" spans="9:13" ht="17.25" thickBot="1">
      <c r="I136" s="229">
        <v>45742</v>
      </c>
      <c r="J136" s="230">
        <v>32.695</v>
      </c>
      <c r="K136" s="230">
        <v>33.365000000000002</v>
      </c>
      <c r="L136" s="230">
        <v>33.045000000000002</v>
      </c>
      <c r="M136" s="231">
        <v>33.145000000000003</v>
      </c>
    </row>
    <row r="137" spans="9:13" ht="17.25" thickBot="1">
      <c r="I137" s="229">
        <v>45741</v>
      </c>
      <c r="J137" s="230">
        <v>32.68</v>
      </c>
      <c r="K137" s="230">
        <v>33.35</v>
      </c>
      <c r="L137" s="230">
        <v>33.03</v>
      </c>
      <c r="M137" s="231">
        <v>33.130000000000003</v>
      </c>
    </row>
    <row r="138" spans="9:13" ht="17.25" thickBot="1">
      <c r="I138" s="229">
        <v>45740</v>
      </c>
      <c r="J138" s="230">
        <v>32.634999999999998</v>
      </c>
      <c r="K138" s="230">
        <v>33.305</v>
      </c>
      <c r="L138" s="230">
        <v>32.984999999999999</v>
      </c>
      <c r="M138" s="231">
        <v>33.085000000000001</v>
      </c>
    </row>
    <row r="139" spans="9:13" ht="17.25" thickBot="1">
      <c r="I139" s="229">
        <v>45737</v>
      </c>
      <c r="J139" s="230">
        <v>32.6</v>
      </c>
      <c r="K139" s="230">
        <v>33.270000000000003</v>
      </c>
      <c r="L139" s="230">
        <v>32.950000000000003</v>
      </c>
      <c r="M139" s="231">
        <v>33.049999999999997</v>
      </c>
    </row>
    <row r="140" spans="9:13" ht="17.25" thickBot="1">
      <c r="I140" s="229">
        <v>45736</v>
      </c>
      <c r="J140" s="230">
        <v>32.61</v>
      </c>
      <c r="K140" s="230">
        <v>33.28</v>
      </c>
      <c r="L140" s="230">
        <v>32.96</v>
      </c>
      <c r="M140" s="231">
        <v>33.06</v>
      </c>
    </row>
    <row r="141" spans="9:13" ht="17.25" thickBot="1">
      <c r="I141" s="229">
        <v>45735</v>
      </c>
      <c r="J141" s="230">
        <v>32.645000000000003</v>
      </c>
      <c r="K141" s="230">
        <v>33.314999999999998</v>
      </c>
      <c r="L141" s="230">
        <v>32.994999999999997</v>
      </c>
      <c r="M141" s="231">
        <v>33.094999999999999</v>
      </c>
    </row>
    <row r="142" spans="9:13" ht="17.25" thickBot="1">
      <c r="I142" s="229">
        <v>45734</v>
      </c>
      <c r="J142" s="230">
        <v>32.6</v>
      </c>
      <c r="K142" s="230">
        <v>33.270000000000003</v>
      </c>
      <c r="L142" s="230">
        <v>32.950000000000003</v>
      </c>
      <c r="M142" s="231">
        <v>33.049999999999997</v>
      </c>
    </row>
    <row r="143" spans="9:13" ht="17.25" thickBot="1">
      <c r="I143" s="229">
        <v>45733</v>
      </c>
      <c r="J143" s="230">
        <v>32.615000000000002</v>
      </c>
      <c r="K143" s="230">
        <v>33.284999999999997</v>
      </c>
      <c r="L143" s="230">
        <v>32.965000000000003</v>
      </c>
      <c r="M143" s="231">
        <v>33.064999999999998</v>
      </c>
    </row>
    <row r="144" spans="9:13" ht="17.25" thickBot="1">
      <c r="I144" s="229">
        <v>45730</v>
      </c>
      <c r="J144" s="230">
        <v>32.56</v>
      </c>
      <c r="K144" s="230">
        <v>33.229999999999997</v>
      </c>
      <c r="L144" s="230">
        <v>32.909999999999997</v>
      </c>
      <c r="M144" s="231">
        <v>33.01</v>
      </c>
    </row>
    <row r="145" spans="9:13" ht="17.25" thickBot="1">
      <c r="I145" s="229">
        <v>45729</v>
      </c>
      <c r="J145" s="230">
        <v>32.57</v>
      </c>
      <c r="K145" s="230">
        <v>33.24</v>
      </c>
      <c r="L145" s="230">
        <v>32.92</v>
      </c>
      <c r="M145" s="231">
        <v>33.020000000000003</v>
      </c>
    </row>
    <row r="146" spans="9:13" ht="17.25" thickBot="1">
      <c r="I146" s="229">
        <v>45728</v>
      </c>
      <c r="J146" s="230">
        <v>32.56</v>
      </c>
      <c r="K146" s="230">
        <v>33.229999999999997</v>
      </c>
      <c r="L146" s="230">
        <v>32.909999999999997</v>
      </c>
      <c r="M146" s="231">
        <v>33.01</v>
      </c>
    </row>
    <row r="147" spans="9:13" ht="17.25" thickBot="1">
      <c r="I147" s="229">
        <v>45727</v>
      </c>
      <c r="J147" s="230">
        <v>32.49</v>
      </c>
      <c r="K147" s="230">
        <v>33.159999999999997</v>
      </c>
      <c r="L147" s="230">
        <v>32.840000000000003</v>
      </c>
      <c r="M147" s="231">
        <v>32.94</v>
      </c>
    </row>
    <row r="148" spans="9:13" ht="17.25" thickBot="1">
      <c r="I148" s="229">
        <v>45726</v>
      </c>
      <c r="J148" s="230">
        <v>32.520000000000003</v>
      </c>
      <c r="K148" s="230">
        <v>33.19</v>
      </c>
      <c r="L148" s="230">
        <v>32.869999999999997</v>
      </c>
      <c r="M148" s="231">
        <v>32.97</v>
      </c>
    </row>
    <row r="149" spans="9:13" ht="17.25" thickBot="1">
      <c r="I149" s="229">
        <v>45723</v>
      </c>
      <c r="J149" s="230">
        <v>32.44</v>
      </c>
      <c r="K149" s="230">
        <v>33.11</v>
      </c>
      <c r="L149" s="230">
        <v>32.79</v>
      </c>
      <c r="M149" s="231">
        <v>32.89</v>
      </c>
    </row>
    <row r="150" spans="9:13" ht="17.25" thickBot="1">
      <c r="I150" s="229">
        <v>45722</v>
      </c>
      <c r="J150" s="230">
        <v>32.454999999999998</v>
      </c>
      <c r="K150" s="230">
        <v>33.125</v>
      </c>
      <c r="L150" s="230">
        <v>32.805</v>
      </c>
      <c r="M150" s="231">
        <v>32.905000000000001</v>
      </c>
    </row>
    <row r="151" spans="9:13" ht="17.25" thickBot="1">
      <c r="I151" s="235">
        <v>45721</v>
      </c>
      <c r="J151" s="236">
        <v>32.424999999999997</v>
      </c>
      <c r="K151" s="236">
        <v>33.094999999999999</v>
      </c>
      <c r="L151" s="236">
        <v>32.774999999999999</v>
      </c>
      <c r="M151" s="237">
        <v>32.875</v>
      </c>
    </row>
    <row r="152" spans="9:13" ht="17.25" thickBot="1">
      <c r="I152" s="232">
        <v>45720</v>
      </c>
      <c r="J152" s="233">
        <v>32.515000000000001</v>
      </c>
      <c r="K152" s="233">
        <v>33.185000000000002</v>
      </c>
      <c r="L152" s="233">
        <v>32.865000000000002</v>
      </c>
      <c r="M152" s="234">
        <v>32.965000000000003</v>
      </c>
    </row>
    <row r="153" spans="9:13" ht="17.25" thickBot="1">
      <c r="I153" s="229">
        <v>45719</v>
      </c>
      <c r="J153" s="230">
        <v>32.524999999999999</v>
      </c>
      <c r="K153" s="230">
        <v>33.195</v>
      </c>
      <c r="L153" s="230">
        <v>32.875</v>
      </c>
      <c r="M153" s="231">
        <v>32.975000000000001</v>
      </c>
    </row>
    <row r="154" spans="9:13" ht="17.25" thickBot="1">
      <c r="I154" s="229">
        <v>45715</v>
      </c>
      <c r="J154" s="230">
        <v>32.42</v>
      </c>
      <c r="K154" s="230">
        <v>33.090000000000003</v>
      </c>
      <c r="L154" s="230">
        <v>32.770000000000003</v>
      </c>
      <c r="M154" s="231">
        <v>32.869999999999997</v>
      </c>
    </row>
    <row r="155" spans="9:13" ht="17.25" thickBot="1">
      <c r="I155" s="229">
        <v>45714</v>
      </c>
      <c r="J155" s="230">
        <v>32.395000000000003</v>
      </c>
      <c r="K155" s="230">
        <v>33.064999999999998</v>
      </c>
      <c r="L155" s="230">
        <v>32.744999999999997</v>
      </c>
      <c r="M155" s="231">
        <v>32.844999999999999</v>
      </c>
    </row>
    <row r="156" spans="9:13" ht="17.25" thickBot="1">
      <c r="I156" s="229">
        <v>45713</v>
      </c>
      <c r="J156" s="230">
        <v>32.405000000000001</v>
      </c>
      <c r="K156" s="230">
        <v>33.075000000000003</v>
      </c>
      <c r="L156" s="230">
        <v>32.755000000000003</v>
      </c>
      <c r="M156" s="231">
        <v>32.854999999999997</v>
      </c>
    </row>
    <row r="157" spans="9:13" ht="17.25" thickBot="1">
      <c r="I157" s="229">
        <v>45712</v>
      </c>
      <c r="J157" s="230">
        <v>32.314999999999998</v>
      </c>
      <c r="K157" s="230">
        <v>32.984999999999999</v>
      </c>
      <c r="L157" s="230">
        <v>32.664999999999999</v>
      </c>
      <c r="M157" s="231">
        <v>32.765000000000001</v>
      </c>
    </row>
    <row r="158" spans="9:13" ht="17.25" thickBot="1">
      <c r="I158" s="229">
        <v>45709</v>
      </c>
      <c r="J158" s="230">
        <v>32.35</v>
      </c>
      <c r="K158" s="230">
        <v>33.020000000000003</v>
      </c>
      <c r="L158" s="230">
        <v>32.700000000000003</v>
      </c>
      <c r="M158" s="231">
        <v>32.799999999999997</v>
      </c>
    </row>
    <row r="159" spans="9:13" ht="17.25" thickBot="1">
      <c r="I159" s="229">
        <v>45708</v>
      </c>
      <c r="J159" s="230">
        <v>32.395000000000003</v>
      </c>
      <c r="K159" s="230">
        <v>33.064999999999998</v>
      </c>
      <c r="L159" s="230">
        <v>32.744999999999997</v>
      </c>
      <c r="M159" s="231">
        <v>32.844999999999999</v>
      </c>
    </row>
    <row r="160" spans="9:13" ht="17.25" thickBot="1">
      <c r="I160" s="229">
        <v>45707</v>
      </c>
      <c r="J160" s="230">
        <v>32.35</v>
      </c>
      <c r="K160" s="230">
        <v>33.020000000000003</v>
      </c>
      <c r="L160" s="230">
        <v>32.700000000000003</v>
      </c>
      <c r="M160" s="231">
        <v>32.799999999999997</v>
      </c>
    </row>
    <row r="161" spans="9:13" ht="17.25" thickBot="1">
      <c r="I161" s="229">
        <v>45706</v>
      </c>
      <c r="J161" s="230">
        <v>32.369999999999997</v>
      </c>
      <c r="K161" s="230">
        <v>33.04</v>
      </c>
      <c r="L161" s="230">
        <v>32.72</v>
      </c>
      <c r="M161" s="231">
        <v>32.82</v>
      </c>
    </row>
    <row r="162" spans="9:13" ht="17.25" thickBot="1">
      <c r="I162" s="229">
        <v>45705</v>
      </c>
      <c r="J162" s="230">
        <v>32.305</v>
      </c>
      <c r="K162" s="230">
        <v>32.975000000000001</v>
      </c>
      <c r="L162" s="230">
        <v>32.655000000000001</v>
      </c>
      <c r="M162" s="231">
        <v>32.755000000000003</v>
      </c>
    </row>
    <row r="163" spans="9:13" ht="17.25" thickBot="1">
      <c r="I163" s="229">
        <v>45702</v>
      </c>
      <c r="J163" s="230">
        <v>32.384999999999998</v>
      </c>
      <c r="K163" s="230">
        <v>33.055</v>
      </c>
      <c r="L163" s="230">
        <v>32.734999999999999</v>
      </c>
      <c r="M163" s="231">
        <v>32.835000000000001</v>
      </c>
    </row>
    <row r="164" spans="9:13" ht="17.25" thickBot="1">
      <c r="I164" s="229">
        <v>45701</v>
      </c>
      <c r="J164" s="230">
        <v>32.409999999999997</v>
      </c>
      <c r="K164" s="230">
        <v>33.08</v>
      </c>
      <c r="L164" s="230">
        <v>32.76</v>
      </c>
      <c r="M164" s="231">
        <v>32.86</v>
      </c>
    </row>
    <row r="165" spans="9:13" ht="17.25" thickBot="1">
      <c r="I165" s="229">
        <v>45700</v>
      </c>
      <c r="J165" s="230">
        <v>32.46</v>
      </c>
      <c r="K165" s="230">
        <v>33.130000000000003</v>
      </c>
      <c r="L165" s="230">
        <v>32.81</v>
      </c>
      <c r="M165" s="231">
        <v>32.909999999999997</v>
      </c>
    </row>
    <row r="166" spans="9:13" ht="17.25" thickBot="1">
      <c r="I166" s="229">
        <v>45699</v>
      </c>
      <c r="J166" s="230">
        <v>32.445</v>
      </c>
      <c r="K166" s="230">
        <v>33.115000000000002</v>
      </c>
      <c r="L166" s="230">
        <v>32.795000000000002</v>
      </c>
      <c r="M166" s="231">
        <v>32.895000000000003</v>
      </c>
    </row>
    <row r="167" spans="9:13" ht="17.25" thickBot="1">
      <c r="I167" s="229">
        <v>45698</v>
      </c>
      <c r="J167" s="230">
        <v>32.445</v>
      </c>
      <c r="K167" s="230">
        <v>33.115000000000002</v>
      </c>
      <c r="L167" s="230">
        <v>32.795000000000002</v>
      </c>
      <c r="M167" s="231">
        <v>32.895000000000003</v>
      </c>
    </row>
    <row r="168" spans="9:13" ht="17.25" thickBot="1">
      <c r="I168" s="229">
        <v>45696</v>
      </c>
      <c r="J168" s="230">
        <v>32.39</v>
      </c>
      <c r="K168" s="230">
        <v>33.06</v>
      </c>
      <c r="L168" s="230">
        <v>32.74</v>
      </c>
      <c r="M168" s="231">
        <v>32.840000000000003</v>
      </c>
    </row>
    <row r="169" spans="9:13" ht="17.25" thickBot="1">
      <c r="I169" s="229">
        <v>45695</v>
      </c>
      <c r="J169" s="230">
        <v>32.354999999999997</v>
      </c>
      <c r="K169" s="230">
        <v>33.024999999999999</v>
      </c>
      <c r="L169" s="230">
        <v>32.704999999999998</v>
      </c>
      <c r="M169" s="231">
        <v>32.805</v>
      </c>
    </row>
    <row r="170" spans="9:13" ht="17.25" thickBot="1">
      <c r="I170" s="229">
        <v>45694</v>
      </c>
      <c r="J170" s="230">
        <v>32.43</v>
      </c>
      <c r="K170" s="230">
        <v>33.1</v>
      </c>
      <c r="L170" s="230">
        <v>32.78</v>
      </c>
      <c r="M170" s="231">
        <v>32.880000000000003</v>
      </c>
    </row>
    <row r="171" spans="9:13" ht="17.25" thickBot="1">
      <c r="I171" s="229">
        <v>45693</v>
      </c>
      <c r="J171" s="230">
        <v>32.450000000000003</v>
      </c>
      <c r="K171" s="230">
        <v>33.119999999999997</v>
      </c>
      <c r="L171" s="230">
        <v>32.799999999999997</v>
      </c>
      <c r="M171" s="231">
        <v>32.9</v>
      </c>
    </row>
    <row r="172" spans="9:13" ht="17.25" thickBot="1">
      <c r="I172" s="229">
        <v>45692</v>
      </c>
      <c r="J172" s="230">
        <v>32.585000000000001</v>
      </c>
      <c r="K172" s="230">
        <v>33.255000000000003</v>
      </c>
      <c r="L172" s="230">
        <v>32.935000000000002</v>
      </c>
      <c r="M172" s="231">
        <v>33.034999999999997</v>
      </c>
    </row>
    <row r="173" spans="9:13" ht="17.25" thickBot="1">
      <c r="I173" s="229">
        <v>45691</v>
      </c>
      <c r="J173" s="230">
        <v>32.57</v>
      </c>
      <c r="K173" s="230">
        <v>33.24</v>
      </c>
      <c r="L173" s="230">
        <v>32.92</v>
      </c>
      <c r="M173" s="231">
        <v>33.020000000000003</v>
      </c>
    </row>
    <row r="174" spans="9:13" ht="17.25" thickBot="1">
      <c r="I174" s="229">
        <v>45681</v>
      </c>
      <c r="J174" s="230">
        <v>32.284999999999997</v>
      </c>
      <c r="K174" s="230">
        <v>32.954999999999998</v>
      </c>
      <c r="L174" s="230">
        <v>32.634999999999998</v>
      </c>
      <c r="M174" s="231">
        <v>32.734999999999999</v>
      </c>
    </row>
    <row r="175" spans="9:13" ht="17.25" thickBot="1">
      <c r="I175" s="229">
        <v>45680</v>
      </c>
      <c r="J175" s="230">
        <v>32.369999999999997</v>
      </c>
      <c r="K175" s="230">
        <v>33.04</v>
      </c>
      <c r="L175" s="230">
        <v>32.72</v>
      </c>
      <c r="M175" s="231">
        <v>32.82</v>
      </c>
    </row>
    <row r="176" spans="9:13" ht="17.25" thickBot="1">
      <c r="I176" s="229">
        <v>45679</v>
      </c>
      <c r="J176" s="230">
        <v>32.375</v>
      </c>
      <c r="K176" s="230">
        <v>33.045000000000002</v>
      </c>
      <c r="L176" s="230">
        <v>32.725000000000001</v>
      </c>
      <c r="M176" s="231">
        <v>32.825000000000003</v>
      </c>
    </row>
    <row r="177" spans="9:13" ht="17.25" thickBot="1">
      <c r="I177" s="229">
        <v>45678</v>
      </c>
      <c r="J177" s="230">
        <v>32.380000000000003</v>
      </c>
      <c r="K177" s="230">
        <v>33.049999999999997</v>
      </c>
      <c r="L177" s="230">
        <v>32.729999999999997</v>
      </c>
      <c r="M177" s="231">
        <v>32.83</v>
      </c>
    </row>
    <row r="178" spans="9:13" ht="17.25" thickBot="1">
      <c r="I178" s="229">
        <v>45677</v>
      </c>
      <c r="J178" s="230">
        <v>32.405000000000001</v>
      </c>
      <c r="K178" s="230">
        <v>33.075000000000003</v>
      </c>
      <c r="L178" s="230">
        <v>32.755000000000003</v>
      </c>
      <c r="M178" s="231">
        <v>32.854999999999997</v>
      </c>
    </row>
    <row r="179" spans="9:13" ht="17.25" thickBot="1">
      <c r="I179" s="229">
        <v>45674</v>
      </c>
      <c r="J179" s="230">
        <v>32.53</v>
      </c>
      <c r="K179" s="230">
        <v>33.200000000000003</v>
      </c>
      <c r="L179" s="230">
        <v>32.880000000000003</v>
      </c>
      <c r="M179" s="231">
        <v>32.979999999999997</v>
      </c>
    </row>
    <row r="180" spans="9:13" ht="17.25" thickBot="1">
      <c r="I180" s="229">
        <v>45673</v>
      </c>
      <c r="J180" s="230">
        <v>32.53</v>
      </c>
      <c r="K180" s="230">
        <v>33.200000000000003</v>
      </c>
      <c r="L180" s="230">
        <v>32.880000000000003</v>
      </c>
      <c r="M180" s="231">
        <v>32.979999999999997</v>
      </c>
    </row>
    <row r="181" spans="9:13" ht="17.25" thickBot="1">
      <c r="I181" s="229">
        <v>45672</v>
      </c>
      <c r="J181" s="230">
        <v>32.664999999999999</v>
      </c>
      <c r="K181" s="230">
        <v>33.335000000000001</v>
      </c>
      <c r="L181" s="230">
        <v>33.015000000000001</v>
      </c>
      <c r="M181" s="231">
        <v>33.115000000000002</v>
      </c>
    </row>
    <row r="182" spans="9:13" ht="17.25" thickBot="1">
      <c r="I182" s="317">
        <v>45671</v>
      </c>
      <c r="J182" s="318">
        <v>32.57</v>
      </c>
      <c r="K182" s="318">
        <v>33.24</v>
      </c>
      <c r="L182" s="318">
        <v>32.92</v>
      </c>
      <c r="M182" s="319">
        <v>33.020000000000003</v>
      </c>
    </row>
    <row r="183" spans="9:13" ht="17.25" thickBot="1">
      <c r="I183" s="229">
        <v>45670</v>
      </c>
      <c r="J183" s="230">
        <v>32.72</v>
      </c>
      <c r="K183" s="230">
        <v>33.39</v>
      </c>
      <c r="L183" s="230">
        <v>33.07</v>
      </c>
      <c r="M183" s="231">
        <v>33.17</v>
      </c>
    </row>
    <row r="184" spans="9:13" ht="17.25" thickBot="1">
      <c r="I184" s="229">
        <v>45667</v>
      </c>
      <c r="J184" s="230">
        <v>32.564999999999998</v>
      </c>
      <c r="K184" s="230">
        <v>33.234999999999999</v>
      </c>
      <c r="L184" s="230">
        <v>32.914999999999999</v>
      </c>
      <c r="M184" s="231">
        <v>33.015000000000001</v>
      </c>
    </row>
    <row r="185" spans="9:13" ht="17.25" thickBot="1">
      <c r="I185" s="229">
        <v>45666</v>
      </c>
      <c r="J185" s="230">
        <v>32.549999999999997</v>
      </c>
      <c r="K185" s="230">
        <v>33.22</v>
      </c>
      <c r="L185" s="230">
        <v>32.9</v>
      </c>
      <c r="M185" s="231">
        <v>33</v>
      </c>
    </row>
    <row r="186" spans="9:13" ht="17.25" thickBot="1">
      <c r="I186" s="229">
        <v>45665</v>
      </c>
      <c r="J186" s="230">
        <v>32.49</v>
      </c>
      <c r="K186" s="230">
        <v>33.159999999999997</v>
      </c>
      <c r="L186" s="230">
        <v>32.840000000000003</v>
      </c>
      <c r="M186" s="231">
        <v>32.94</v>
      </c>
    </row>
    <row r="187" spans="9:13" ht="17.25" thickBot="1">
      <c r="I187" s="229">
        <v>45664</v>
      </c>
      <c r="J187" s="230">
        <v>32.335000000000001</v>
      </c>
      <c r="K187" s="230">
        <v>33.005000000000003</v>
      </c>
      <c r="L187" s="230">
        <v>32.685000000000002</v>
      </c>
      <c r="M187" s="231">
        <v>32.784999999999997</v>
      </c>
    </row>
    <row r="188" spans="9:13" ht="17.25" thickBot="1">
      <c r="I188" s="229">
        <v>45663</v>
      </c>
      <c r="J188" s="230">
        <v>32.465000000000003</v>
      </c>
      <c r="K188" s="230">
        <v>33.134999999999998</v>
      </c>
      <c r="L188" s="230">
        <v>32.814999999999998</v>
      </c>
      <c r="M188" s="231">
        <v>32.914999999999999</v>
      </c>
    </row>
    <row r="189" spans="9:13" ht="17.25" thickBot="1">
      <c r="I189" s="229">
        <v>45660</v>
      </c>
      <c r="J189" s="230">
        <v>32.515000000000001</v>
      </c>
      <c r="K189" s="230">
        <v>33.185000000000002</v>
      </c>
      <c r="L189" s="230">
        <v>32.865000000000002</v>
      </c>
      <c r="M189" s="231">
        <v>32.965000000000003</v>
      </c>
    </row>
    <row r="190" spans="9:13" ht="17.25" thickBot="1">
      <c r="I190" s="229">
        <v>45659</v>
      </c>
      <c r="J190" s="230">
        <v>32.479999999999997</v>
      </c>
      <c r="K190" s="230">
        <v>33.15</v>
      </c>
      <c r="L190" s="230">
        <v>32.83</v>
      </c>
      <c r="M190" s="231">
        <v>32.93</v>
      </c>
    </row>
    <row r="191" spans="9:13" ht="17.25" thickBot="1">
      <c r="I191" s="229">
        <v>45657</v>
      </c>
      <c r="J191" s="230">
        <v>32.384999999999998</v>
      </c>
      <c r="K191" s="230">
        <v>33.055</v>
      </c>
      <c r="L191" s="230">
        <v>32.734999999999999</v>
      </c>
      <c r="M191" s="231">
        <v>32.835000000000001</v>
      </c>
    </row>
    <row r="192" spans="9:13" ht="17.25" thickBot="1">
      <c r="I192" s="229">
        <v>45656</v>
      </c>
      <c r="J192" s="230">
        <v>32.325000000000003</v>
      </c>
      <c r="K192" s="230">
        <v>32.994999999999997</v>
      </c>
      <c r="L192" s="230">
        <v>32.674999999999997</v>
      </c>
      <c r="M192" s="231">
        <v>32.774999999999999</v>
      </c>
    </row>
    <row r="193" spans="9:13" ht="17.25" thickBot="1">
      <c r="I193" s="229">
        <v>45653</v>
      </c>
      <c r="J193" s="230">
        <v>32.32</v>
      </c>
      <c r="K193" s="230">
        <v>32.99</v>
      </c>
      <c r="L193" s="230">
        <v>32.67</v>
      </c>
      <c r="M193" s="231">
        <v>32.770000000000003</v>
      </c>
    </row>
    <row r="194" spans="9:13" ht="17.25" thickBot="1">
      <c r="I194" s="229">
        <v>45652</v>
      </c>
      <c r="J194" s="230">
        <v>32.299999999999997</v>
      </c>
      <c r="K194" s="230">
        <v>32.97</v>
      </c>
      <c r="L194" s="230">
        <v>32.65</v>
      </c>
      <c r="M194" s="231">
        <v>32.75</v>
      </c>
    </row>
    <row r="195" spans="9:13" ht="17.25" thickBot="1">
      <c r="I195" s="229">
        <v>45651</v>
      </c>
      <c r="J195" s="230">
        <v>32.274999999999999</v>
      </c>
      <c r="K195" s="230">
        <v>32.945</v>
      </c>
      <c r="L195" s="230">
        <v>32.625</v>
      </c>
      <c r="M195" s="231">
        <v>32.725000000000001</v>
      </c>
    </row>
    <row r="196" spans="9:13" ht="17.25" thickBot="1">
      <c r="I196" s="229">
        <v>45650</v>
      </c>
      <c r="J196" s="230">
        <v>32.28</v>
      </c>
      <c r="K196" s="230">
        <v>32.950000000000003</v>
      </c>
      <c r="L196" s="230">
        <v>32.630000000000003</v>
      </c>
      <c r="M196" s="231">
        <v>32.729999999999997</v>
      </c>
    </row>
    <row r="197" spans="9:13" ht="17.25" thickBot="1">
      <c r="I197" s="229">
        <v>45649</v>
      </c>
      <c r="J197" s="230">
        <v>32.29</v>
      </c>
      <c r="K197" s="230">
        <v>32.96</v>
      </c>
      <c r="L197" s="230">
        <v>32.64</v>
      </c>
      <c r="M197" s="231">
        <v>32.74</v>
      </c>
    </row>
    <row r="198" spans="9:13" ht="17.25" thickBot="1">
      <c r="I198" s="229">
        <v>45646</v>
      </c>
      <c r="J198" s="230">
        <v>32.295000000000002</v>
      </c>
      <c r="K198" s="230">
        <v>32.965000000000003</v>
      </c>
      <c r="L198" s="230">
        <v>32.645000000000003</v>
      </c>
      <c r="M198" s="231">
        <v>32.744999999999997</v>
      </c>
    </row>
    <row r="199" spans="9:13" ht="17.25" thickBot="1">
      <c r="I199" s="229">
        <v>45645</v>
      </c>
      <c r="J199" s="230">
        <v>32.270000000000003</v>
      </c>
      <c r="K199" s="230">
        <v>32.94</v>
      </c>
      <c r="L199" s="230">
        <v>32.619999999999997</v>
      </c>
      <c r="M199" s="231">
        <v>32.72</v>
      </c>
    </row>
    <row r="200" spans="9:13" ht="17.25" thickBot="1">
      <c r="I200" s="229">
        <v>45644</v>
      </c>
      <c r="J200" s="230">
        <v>32.090000000000003</v>
      </c>
      <c r="K200" s="230">
        <v>32.76</v>
      </c>
      <c r="L200" s="230">
        <v>32.44</v>
      </c>
      <c r="M200" s="231">
        <v>32.54</v>
      </c>
    </row>
    <row r="201" spans="9:13" ht="17.25" thickBot="1">
      <c r="I201" s="229">
        <v>45643</v>
      </c>
      <c r="J201" s="230">
        <v>32.115000000000002</v>
      </c>
      <c r="K201" s="230">
        <v>32.784999999999997</v>
      </c>
      <c r="L201" s="230">
        <v>32.465000000000003</v>
      </c>
      <c r="M201" s="231">
        <v>32.564999999999998</v>
      </c>
    </row>
    <row r="202" spans="9:13" ht="17.25" thickBot="1">
      <c r="I202" s="229">
        <v>45642</v>
      </c>
      <c r="J202" s="230">
        <v>32.085000000000001</v>
      </c>
      <c r="K202" s="230">
        <v>32.755000000000003</v>
      </c>
      <c r="L202" s="230">
        <v>32.435000000000002</v>
      </c>
      <c r="M202" s="231">
        <v>32.534999999999997</v>
      </c>
    </row>
    <row r="203" spans="9:13" ht="17.25" thickBot="1">
      <c r="I203" s="229">
        <v>45639</v>
      </c>
      <c r="J203" s="230">
        <v>32.104999999999997</v>
      </c>
      <c r="K203" s="230">
        <v>32.774999999999999</v>
      </c>
      <c r="L203" s="230">
        <v>32.454999999999998</v>
      </c>
      <c r="M203" s="231">
        <v>32.555</v>
      </c>
    </row>
    <row r="204" spans="9:13" ht="17.25" thickBot="1">
      <c r="I204" s="229">
        <v>45638</v>
      </c>
      <c r="J204" s="230">
        <v>32.090000000000003</v>
      </c>
      <c r="K204" s="230">
        <v>32.76</v>
      </c>
      <c r="L204" s="230">
        <v>32.44</v>
      </c>
      <c r="M204" s="231">
        <v>32.54</v>
      </c>
    </row>
    <row r="205" spans="9:13" ht="17.25" thickBot="1">
      <c r="I205" s="229">
        <v>45637</v>
      </c>
      <c r="J205" s="230">
        <v>32.11</v>
      </c>
      <c r="K205" s="230">
        <v>32.78</v>
      </c>
      <c r="L205" s="230">
        <v>32.46</v>
      </c>
      <c r="M205" s="231">
        <v>32.56</v>
      </c>
    </row>
    <row r="206" spans="9:13" ht="17.25" thickBot="1">
      <c r="I206" s="229">
        <v>45636</v>
      </c>
      <c r="J206" s="230">
        <v>32.045000000000002</v>
      </c>
      <c r="K206" s="230">
        <v>32.715000000000003</v>
      </c>
      <c r="L206" s="230">
        <v>32.395000000000003</v>
      </c>
      <c r="M206" s="231">
        <v>32.494999999999997</v>
      </c>
    </row>
    <row r="207" spans="9:13" ht="17.25" thickBot="1">
      <c r="I207" s="229">
        <v>45635</v>
      </c>
      <c r="J207" s="230">
        <v>32.075000000000003</v>
      </c>
      <c r="K207" s="230">
        <v>32.744999999999997</v>
      </c>
      <c r="L207" s="230">
        <v>32.424999999999997</v>
      </c>
      <c r="M207" s="231">
        <v>32.524999999999999</v>
      </c>
    </row>
    <row r="208" spans="9:13" ht="17.25" thickBot="1">
      <c r="I208" s="229">
        <v>45632</v>
      </c>
      <c r="J208" s="230">
        <v>32.005000000000003</v>
      </c>
      <c r="K208" s="230">
        <v>32.674999999999997</v>
      </c>
      <c r="L208" s="230">
        <v>32.354999999999997</v>
      </c>
      <c r="M208" s="231">
        <v>32.454999999999998</v>
      </c>
    </row>
    <row r="209" spans="9:13" ht="17.25" thickBot="1">
      <c r="I209" s="229">
        <v>45631</v>
      </c>
      <c r="J209" s="230">
        <v>32.04</v>
      </c>
      <c r="K209" s="230">
        <v>32.71</v>
      </c>
      <c r="L209" s="230">
        <v>32.39</v>
      </c>
      <c r="M209" s="231">
        <v>32.49</v>
      </c>
    </row>
    <row r="210" spans="9:13" ht="17.25" thickBot="1">
      <c r="I210" s="229">
        <v>45630</v>
      </c>
      <c r="J210" s="230">
        <v>32.034999999999997</v>
      </c>
      <c r="K210" s="230">
        <v>32.704999999999998</v>
      </c>
      <c r="L210" s="230">
        <v>32.384999999999998</v>
      </c>
      <c r="M210" s="231">
        <v>32.484999999999999</v>
      </c>
    </row>
    <row r="211" spans="9:13" ht="17.25" thickBot="1">
      <c r="I211" s="229">
        <v>45629</v>
      </c>
      <c r="J211" s="230">
        <v>32.14</v>
      </c>
      <c r="K211" s="230">
        <v>32.81</v>
      </c>
      <c r="L211" s="230">
        <v>32.49</v>
      </c>
      <c r="M211" s="231">
        <v>32.590000000000003</v>
      </c>
    </row>
    <row r="212" spans="9:13" ht="17.25" thickBot="1">
      <c r="I212" s="317">
        <v>45628</v>
      </c>
      <c r="J212" s="318">
        <v>32.200000000000003</v>
      </c>
      <c r="K212" s="318">
        <v>32.869999999999997</v>
      </c>
      <c r="L212" s="318">
        <v>32.549999999999997</v>
      </c>
      <c r="M212" s="319">
        <v>32.65</v>
      </c>
    </row>
    <row r="213" spans="9:13" ht="17.25" thickBot="1">
      <c r="I213" s="229">
        <v>45625</v>
      </c>
      <c r="J213" s="230">
        <v>32.07</v>
      </c>
      <c r="K213" s="230">
        <v>32.74</v>
      </c>
      <c r="L213" s="230">
        <v>32.42</v>
      </c>
      <c r="M213" s="231">
        <v>32.520000000000003</v>
      </c>
    </row>
    <row r="214" spans="9:13" ht="17.25" thickBot="1">
      <c r="I214" s="229">
        <v>45624</v>
      </c>
      <c r="J214" s="230">
        <v>32.130000000000003</v>
      </c>
      <c r="K214" s="230">
        <v>32.799999999999997</v>
      </c>
      <c r="L214" s="230">
        <v>32.479999999999997</v>
      </c>
      <c r="M214" s="231">
        <v>32.58</v>
      </c>
    </row>
    <row r="215" spans="9:13" ht="17.25" thickBot="1">
      <c r="I215" s="229">
        <v>45623</v>
      </c>
      <c r="J215" s="230">
        <v>32.134999999999998</v>
      </c>
      <c r="K215" s="230">
        <v>32.805</v>
      </c>
      <c r="L215" s="230">
        <v>32.484999999999999</v>
      </c>
      <c r="M215" s="231">
        <v>32.585000000000001</v>
      </c>
    </row>
    <row r="216" spans="9:13" ht="17.25" thickBot="1">
      <c r="I216" s="229">
        <v>45622</v>
      </c>
      <c r="J216" s="230">
        <v>32.11</v>
      </c>
      <c r="K216" s="230">
        <v>32.78</v>
      </c>
      <c r="L216" s="230">
        <v>32.46</v>
      </c>
      <c r="M216" s="231">
        <v>32.56</v>
      </c>
    </row>
    <row r="217" spans="9:13" ht="17.25" thickBot="1">
      <c r="I217" s="229">
        <v>45621</v>
      </c>
      <c r="J217" s="230">
        <v>32.08</v>
      </c>
      <c r="K217" s="230">
        <v>32.75</v>
      </c>
      <c r="L217" s="230">
        <v>32.43</v>
      </c>
      <c r="M217" s="231">
        <v>32.53</v>
      </c>
    </row>
    <row r="218" spans="9:13" ht="17.25" thickBot="1">
      <c r="I218" s="229">
        <v>45618</v>
      </c>
      <c r="J218" s="230">
        <v>32.19</v>
      </c>
      <c r="K218" s="230">
        <v>32.86</v>
      </c>
      <c r="L218" s="230">
        <v>32.54</v>
      </c>
      <c r="M218" s="231">
        <v>32.64</v>
      </c>
    </row>
    <row r="219" spans="9:13" ht="17.25" thickBot="1">
      <c r="I219" s="229">
        <v>45617</v>
      </c>
      <c r="J219" s="230">
        <v>32.145000000000003</v>
      </c>
      <c r="K219" s="230">
        <v>32.814999999999998</v>
      </c>
      <c r="L219" s="230">
        <v>32.494999999999997</v>
      </c>
      <c r="M219" s="231">
        <v>32.594999999999999</v>
      </c>
    </row>
    <row r="220" spans="9:13" ht="17.25" thickBot="1">
      <c r="I220" s="229">
        <v>45616</v>
      </c>
      <c r="J220" s="230">
        <v>32.094999999999999</v>
      </c>
      <c r="K220" s="230">
        <v>32.765000000000001</v>
      </c>
      <c r="L220" s="230">
        <v>32.445</v>
      </c>
      <c r="M220" s="231">
        <v>32.545000000000002</v>
      </c>
    </row>
    <row r="221" spans="9:13" ht="17.25" thickBot="1">
      <c r="I221" s="229">
        <v>45615</v>
      </c>
      <c r="J221" s="230">
        <v>32.01</v>
      </c>
      <c r="K221" s="230">
        <v>32.68</v>
      </c>
      <c r="L221" s="230">
        <v>32.36</v>
      </c>
      <c r="M221" s="231">
        <v>32.46</v>
      </c>
    </row>
    <row r="222" spans="9:13" ht="17.25" thickBot="1">
      <c r="I222" s="229">
        <v>45614</v>
      </c>
      <c r="J222" s="230">
        <v>32.134999999999998</v>
      </c>
      <c r="K222" s="230">
        <v>32.805</v>
      </c>
      <c r="L222" s="230">
        <v>32.484999999999999</v>
      </c>
      <c r="M222" s="231">
        <v>32.585000000000001</v>
      </c>
    </row>
    <row r="223" spans="9:13" ht="17.25" thickBot="1">
      <c r="I223" s="229">
        <v>45611</v>
      </c>
      <c r="J223" s="230">
        <v>32.07</v>
      </c>
      <c r="K223" s="230">
        <v>32.74</v>
      </c>
      <c r="L223" s="230">
        <v>32.42</v>
      </c>
      <c r="M223" s="231">
        <v>32.520000000000003</v>
      </c>
    </row>
    <row r="224" spans="9:13" ht="17.25" thickBot="1">
      <c r="I224" s="229">
        <v>45610</v>
      </c>
      <c r="J224" s="230">
        <v>32.164999999999999</v>
      </c>
      <c r="K224" s="230">
        <v>32.835000000000001</v>
      </c>
      <c r="L224" s="230">
        <v>32.515000000000001</v>
      </c>
      <c r="M224" s="231">
        <v>32.615000000000002</v>
      </c>
    </row>
    <row r="225" spans="9:13" ht="17.25" thickBot="1">
      <c r="I225" s="229">
        <v>45609</v>
      </c>
      <c r="J225" s="230">
        <v>32.049999999999997</v>
      </c>
      <c r="K225" s="230">
        <v>32.72</v>
      </c>
      <c r="L225" s="230">
        <v>32.4</v>
      </c>
      <c r="M225" s="231">
        <v>32.5</v>
      </c>
    </row>
    <row r="226" spans="9:13" ht="17.25" thickBot="1">
      <c r="I226" s="229">
        <v>45608</v>
      </c>
      <c r="J226" s="230">
        <v>32.034999999999997</v>
      </c>
      <c r="K226" s="230">
        <v>32.704999999999998</v>
      </c>
      <c r="L226" s="230">
        <v>32.384999999999998</v>
      </c>
      <c r="M226" s="231">
        <v>32.484999999999999</v>
      </c>
    </row>
    <row r="227" spans="9:13" ht="17.25" thickBot="1">
      <c r="I227" s="229">
        <v>45607</v>
      </c>
      <c r="J227" s="230">
        <v>31.85</v>
      </c>
      <c r="K227" s="230">
        <v>32.520000000000003</v>
      </c>
      <c r="L227" s="230">
        <v>32.200000000000003</v>
      </c>
      <c r="M227" s="231">
        <v>32.299999999999997</v>
      </c>
    </row>
    <row r="228" spans="9:13" ht="17.25" thickBot="1">
      <c r="I228" s="229">
        <v>45604</v>
      </c>
      <c r="J228" s="230">
        <v>31.715</v>
      </c>
      <c r="K228" s="230">
        <v>32.384999999999998</v>
      </c>
      <c r="L228" s="230">
        <v>32.064999999999998</v>
      </c>
      <c r="M228" s="231">
        <v>32.164999999999999</v>
      </c>
    </row>
    <row r="229" spans="9:13" ht="17.25" thickBot="1">
      <c r="I229" s="229">
        <v>45603</v>
      </c>
      <c r="J229" s="230">
        <v>31.84</v>
      </c>
      <c r="K229" s="230">
        <v>32.51</v>
      </c>
      <c r="L229" s="230">
        <v>32.19</v>
      </c>
      <c r="M229" s="231">
        <v>32.29</v>
      </c>
    </row>
    <row r="230" spans="9:13" ht="17.25" thickBot="1">
      <c r="I230" s="229">
        <v>45602</v>
      </c>
      <c r="J230" s="230">
        <v>31.774999999999999</v>
      </c>
      <c r="K230" s="230">
        <v>32.445</v>
      </c>
      <c r="L230" s="230">
        <v>32.125</v>
      </c>
      <c r="M230" s="231">
        <v>32.225000000000001</v>
      </c>
    </row>
    <row r="231" spans="9:13" ht="17.25" thickBot="1">
      <c r="I231" s="229">
        <v>45601</v>
      </c>
      <c r="J231" s="230">
        <v>31.57</v>
      </c>
      <c r="K231" s="230">
        <v>32.24</v>
      </c>
      <c r="L231" s="230">
        <v>31.92</v>
      </c>
      <c r="M231" s="231">
        <v>32.020000000000003</v>
      </c>
    </row>
    <row r="232" spans="9:13" ht="17.25" thickBot="1">
      <c r="I232" s="229">
        <v>45600</v>
      </c>
      <c r="J232" s="230">
        <v>31.57</v>
      </c>
      <c r="K232" s="230">
        <v>32.24</v>
      </c>
      <c r="L232" s="230">
        <v>31.92</v>
      </c>
      <c r="M232" s="231">
        <v>32.020000000000003</v>
      </c>
    </row>
    <row r="233" spans="9:13" ht="17.25" thickBot="1">
      <c r="I233" s="229">
        <v>45597</v>
      </c>
      <c r="J233" s="230">
        <v>31.565000000000001</v>
      </c>
      <c r="K233" s="230">
        <v>32.234999999999999</v>
      </c>
      <c r="L233" s="230">
        <v>31.914999999999999</v>
      </c>
      <c r="M233" s="231">
        <v>32.015000000000001</v>
      </c>
    </row>
    <row r="234" spans="9:13" ht="17.25" thickBot="1">
      <c r="I234" s="229">
        <v>45596</v>
      </c>
      <c r="J234" s="230">
        <v>31.64</v>
      </c>
      <c r="K234" s="230">
        <v>32.31</v>
      </c>
      <c r="L234" s="230">
        <v>31.99</v>
      </c>
      <c r="M234" s="231">
        <v>32.090000000000003</v>
      </c>
    </row>
    <row r="235" spans="9:13" ht="17.25" thickBot="1">
      <c r="I235" s="229">
        <v>45595</v>
      </c>
      <c r="J235" s="230">
        <v>31.64</v>
      </c>
      <c r="K235" s="230">
        <v>32.31</v>
      </c>
      <c r="L235" s="230">
        <v>31.99</v>
      </c>
      <c r="M235" s="231">
        <v>32.090000000000003</v>
      </c>
    </row>
    <row r="236" spans="9:13" ht="17.25" thickBot="1">
      <c r="I236" s="229">
        <v>45594</v>
      </c>
      <c r="J236" s="230">
        <v>31.7</v>
      </c>
      <c r="K236" s="230">
        <v>32.369999999999997</v>
      </c>
      <c r="L236" s="230">
        <v>32.049999999999997</v>
      </c>
      <c r="M236" s="231">
        <v>32.15</v>
      </c>
    </row>
    <row r="237" spans="9:13" ht="17.25" thickBot="1">
      <c r="I237" s="229">
        <v>45593</v>
      </c>
      <c r="J237" s="230">
        <v>31.695</v>
      </c>
      <c r="K237" s="230">
        <v>32.365000000000002</v>
      </c>
      <c r="L237" s="230">
        <v>32.045000000000002</v>
      </c>
      <c r="M237" s="231">
        <v>32.145000000000003</v>
      </c>
    </row>
    <row r="238" spans="9:13" ht="17.25" thickBot="1">
      <c r="I238" s="229">
        <v>45590</v>
      </c>
      <c r="J238" s="230">
        <v>31.67</v>
      </c>
      <c r="K238" s="230">
        <v>32.340000000000003</v>
      </c>
      <c r="L238" s="230">
        <v>32.020000000000003</v>
      </c>
      <c r="M238" s="231">
        <v>32.119999999999997</v>
      </c>
    </row>
    <row r="239" spans="9:13" ht="17.25" thickBot="1">
      <c r="I239" s="229">
        <v>45589</v>
      </c>
      <c r="J239" s="230">
        <v>31.69</v>
      </c>
      <c r="K239" s="230">
        <v>32.36</v>
      </c>
      <c r="L239" s="230">
        <v>32.04</v>
      </c>
      <c r="M239" s="231">
        <v>32.14</v>
      </c>
    </row>
    <row r="240" spans="9:13" ht="17.25" thickBot="1">
      <c r="I240" s="229">
        <v>45588</v>
      </c>
      <c r="J240" s="230">
        <v>31.68</v>
      </c>
      <c r="K240" s="230">
        <v>32.35</v>
      </c>
      <c r="L240" s="230">
        <v>32.03</v>
      </c>
      <c r="M240" s="231">
        <v>32.130000000000003</v>
      </c>
    </row>
    <row r="241" spans="9:13" ht="17.25" thickBot="1">
      <c r="I241" s="229">
        <v>45587</v>
      </c>
      <c r="J241" s="230">
        <v>31.66</v>
      </c>
      <c r="K241" s="230">
        <v>32.33</v>
      </c>
      <c r="L241" s="230">
        <v>32.01</v>
      </c>
      <c r="M241" s="231">
        <v>32.11</v>
      </c>
    </row>
    <row r="242" spans="9:13" ht="17.25" thickBot="1">
      <c r="I242" s="317">
        <v>45586</v>
      </c>
      <c r="J242" s="318">
        <v>31.57</v>
      </c>
      <c r="K242" s="318">
        <v>32.24</v>
      </c>
      <c r="L242" s="318">
        <v>31.92</v>
      </c>
      <c r="M242" s="319">
        <v>32.020000000000003</v>
      </c>
    </row>
    <row r="243" spans="9:13" ht="17.25" thickBot="1">
      <c r="I243" s="229">
        <v>45583</v>
      </c>
      <c r="J243" s="230">
        <v>31.67</v>
      </c>
      <c r="K243" s="230">
        <v>32.340000000000003</v>
      </c>
      <c r="L243" s="230">
        <v>32.020000000000003</v>
      </c>
      <c r="M243" s="231">
        <v>32.119999999999997</v>
      </c>
    </row>
    <row r="244" spans="9:13" ht="17.25" thickBot="1">
      <c r="I244" s="229">
        <v>45582</v>
      </c>
      <c r="J244" s="230">
        <v>31.765000000000001</v>
      </c>
      <c r="K244" s="230">
        <v>32.435000000000002</v>
      </c>
      <c r="L244" s="230">
        <v>32.115000000000002</v>
      </c>
      <c r="M244" s="231">
        <v>32.215000000000003</v>
      </c>
    </row>
    <row r="245" spans="9:13" ht="17.25" thickBot="1">
      <c r="I245" s="229">
        <v>45581</v>
      </c>
      <c r="J245" s="230">
        <v>31.785</v>
      </c>
      <c r="K245" s="230">
        <v>32.454999999999998</v>
      </c>
      <c r="L245" s="230">
        <v>32.134999999999998</v>
      </c>
      <c r="M245" s="231">
        <v>32.234999999999999</v>
      </c>
    </row>
    <row r="246" spans="9:13" ht="17.25" thickBot="1">
      <c r="I246" s="229">
        <v>45580</v>
      </c>
      <c r="J246" s="230">
        <v>31.78</v>
      </c>
      <c r="K246" s="230">
        <v>32.450000000000003</v>
      </c>
      <c r="L246" s="230">
        <v>32.130000000000003</v>
      </c>
      <c r="M246" s="231">
        <v>32.229999999999997</v>
      </c>
    </row>
    <row r="247" spans="9:13" ht="17.25" thickBot="1">
      <c r="I247" s="229">
        <v>45579</v>
      </c>
      <c r="J247" s="230">
        <v>31.77</v>
      </c>
      <c r="K247" s="230">
        <v>32.44</v>
      </c>
      <c r="L247" s="230">
        <v>32.119999999999997</v>
      </c>
      <c r="M247" s="231">
        <v>32.22</v>
      </c>
    </row>
    <row r="248" spans="9:13" ht="17.25" thickBot="1">
      <c r="I248" s="229">
        <v>45576</v>
      </c>
      <c r="J248" s="230">
        <v>31.785</v>
      </c>
      <c r="K248" s="230">
        <v>32.454999999999998</v>
      </c>
      <c r="L248" s="230">
        <v>32.134999999999998</v>
      </c>
      <c r="M248" s="231">
        <v>32.234999999999999</v>
      </c>
    </row>
    <row r="249" spans="9:13" ht="17.25" thickBot="1">
      <c r="I249" s="229">
        <v>45574</v>
      </c>
      <c r="J249" s="230">
        <v>31.78</v>
      </c>
      <c r="K249" s="230">
        <v>32.450000000000003</v>
      </c>
      <c r="L249" s="230">
        <v>32.130000000000003</v>
      </c>
      <c r="M249" s="231">
        <v>32.229999999999997</v>
      </c>
    </row>
    <row r="250" spans="9:13" ht="17.25" thickBot="1">
      <c r="I250" s="229">
        <v>45573</v>
      </c>
      <c r="J250" s="230">
        <v>31.82</v>
      </c>
      <c r="K250" s="230">
        <v>32.49</v>
      </c>
      <c r="L250" s="230">
        <v>32.17</v>
      </c>
      <c r="M250" s="231">
        <v>32.270000000000003</v>
      </c>
    </row>
    <row r="251" spans="9:13" ht="17.25" thickBot="1">
      <c r="I251" s="229">
        <v>45572</v>
      </c>
      <c r="J251" s="230">
        <v>31.73</v>
      </c>
      <c r="K251" s="230">
        <v>32.4</v>
      </c>
      <c r="L251" s="230">
        <v>32.08</v>
      </c>
      <c r="M251" s="231">
        <v>32.18</v>
      </c>
    </row>
    <row r="252" spans="9:13" ht="17.25" thickBot="1">
      <c r="I252" s="229">
        <v>45569</v>
      </c>
      <c r="J252" s="230">
        <v>31.56</v>
      </c>
      <c r="K252" s="230">
        <v>32.229999999999997</v>
      </c>
      <c r="L252" s="230">
        <v>31.91</v>
      </c>
      <c r="M252" s="231">
        <v>32.01</v>
      </c>
    </row>
    <row r="253" spans="9:13" ht="17.25" thickBot="1">
      <c r="I253" s="229">
        <v>45566</v>
      </c>
      <c r="J253" s="230">
        <v>31.44</v>
      </c>
      <c r="K253" s="230">
        <v>32.11</v>
      </c>
      <c r="L253" s="230">
        <v>31.79</v>
      </c>
      <c r="M253" s="231">
        <v>31.89</v>
      </c>
    </row>
    <row r="254" spans="9:13" ht="17.25" thickBot="1">
      <c r="I254" s="229">
        <v>45565</v>
      </c>
      <c r="J254" s="230">
        <v>31.25</v>
      </c>
      <c r="K254" s="230">
        <v>31.92</v>
      </c>
      <c r="L254" s="230">
        <v>31.6</v>
      </c>
      <c r="M254" s="231">
        <v>31.7</v>
      </c>
    </row>
    <row r="255" spans="9:13" ht="17.25" thickBot="1">
      <c r="I255" s="229">
        <v>45562</v>
      </c>
      <c r="J255" s="230">
        <v>31.29</v>
      </c>
      <c r="K255" s="230">
        <v>31.96</v>
      </c>
      <c r="L255" s="230">
        <v>31.64</v>
      </c>
      <c r="M255" s="231">
        <v>31.74</v>
      </c>
    </row>
    <row r="256" spans="9:13" ht="17.25" thickBot="1">
      <c r="I256" s="229">
        <v>45561</v>
      </c>
      <c r="J256" s="230">
        <v>31.465</v>
      </c>
      <c r="K256" s="230">
        <v>32.134999999999998</v>
      </c>
      <c r="L256" s="230">
        <v>31.815000000000001</v>
      </c>
      <c r="M256" s="231">
        <v>31.914999999999999</v>
      </c>
    </row>
    <row r="257" spans="9:13" ht="17.25" thickBot="1">
      <c r="I257" s="229">
        <v>45560</v>
      </c>
      <c r="J257" s="230">
        <v>31.44</v>
      </c>
      <c r="K257" s="230">
        <v>32.11</v>
      </c>
      <c r="L257" s="230">
        <v>31.79</v>
      </c>
      <c r="M257" s="231">
        <v>31.89</v>
      </c>
    </row>
    <row r="258" spans="9:13" ht="17.25" thickBot="1">
      <c r="I258" s="229">
        <v>45559</v>
      </c>
      <c r="J258" s="230">
        <v>31.57</v>
      </c>
      <c r="K258" s="230">
        <v>32.24</v>
      </c>
      <c r="L258" s="230">
        <v>31.92</v>
      </c>
      <c r="M258" s="231">
        <v>32.020000000000003</v>
      </c>
    </row>
    <row r="259" spans="9:13" ht="17.25" thickBot="1">
      <c r="I259" s="229">
        <v>45558</v>
      </c>
      <c r="J259" s="230">
        <v>31.635000000000002</v>
      </c>
      <c r="K259" s="230">
        <v>32.305</v>
      </c>
      <c r="L259" s="230">
        <v>31.984999999999999</v>
      </c>
      <c r="M259" s="231">
        <v>32.085000000000001</v>
      </c>
    </row>
    <row r="260" spans="9:13" ht="17.25" thickBot="1">
      <c r="I260" s="229">
        <v>45555</v>
      </c>
      <c r="J260" s="230">
        <v>31.565000000000001</v>
      </c>
      <c r="K260" s="230">
        <v>32.234999999999999</v>
      </c>
      <c r="L260" s="230">
        <v>31.914999999999999</v>
      </c>
      <c r="M260" s="231">
        <v>32.015000000000001</v>
      </c>
    </row>
    <row r="261" spans="9:13" ht="17.25" thickBot="1">
      <c r="I261" s="229">
        <v>45554</v>
      </c>
      <c r="J261" s="230">
        <v>31.535</v>
      </c>
      <c r="K261" s="230">
        <v>32.204999999999998</v>
      </c>
      <c r="L261" s="230">
        <v>31.885000000000002</v>
      </c>
      <c r="M261" s="231">
        <v>31.984999999999999</v>
      </c>
    </row>
    <row r="262" spans="9:13" ht="17.25" thickBot="1">
      <c r="I262" s="229">
        <v>45553</v>
      </c>
      <c r="J262" s="230">
        <v>31.54</v>
      </c>
      <c r="K262" s="230">
        <v>32.21</v>
      </c>
      <c r="L262" s="230">
        <v>31.89</v>
      </c>
      <c r="M262" s="231">
        <v>31.99</v>
      </c>
    </row>
    <row r="263" spans="9:13" ht="17.25" thickBot="1">
      <c r="I263" s="229">
        <v>45551</v>
      </c>
      <c r="J263" s="230">
        <v>31.51</v>
      </c>
      <c r="K263" s="230">
        <v>32.18</v>
      </c>
      <c r="L263" s="230">
        <v>31.86</v>
      </c>
      <c r="M263" s="231">
        <v>31.96</v>
      </c>
    </row>
    <row r="264" spans="9:13" ht="17.25" thickBot="1">
      <c r="I264" s="229">
        <v>45548</v>
      </c>
      <c r="J264" s="230">
        <v>31.594999999999999</v>
      </c>
      <c r="K264" s="230">
        <v>32.265000000000001</v>
      </c>
      <c r="L264" s="230">
        <v>31.945</v>
      </c>
      <c r="M264" s="231">
        <v>32.045000000000002</v>
      </c>
    </row>
    <row r="265" spans="9:13" ht="17.25" thickBot="1">
      <c r="I265" s="229">
        <v>45547</v>
      </c>
      <c r="J265" s="230">
        <v>31.73</v>
      </c>
      <c r="K265" s="230">
        <v>32.4</v>
      </c>
      <c r="L265" s="230">
        <v>32.08</v>
      </c>
      <c r="M265" s="231">
        <v>32.18</v>
      </c>
    </row>
    <row r="266" spans="9:13" ht="17.25" thickBot="1">
      <c r="I266" s="229">
        <v>45546</v>
      </c>
      <c r="J266" s="230">
        <v>31.725000000000001</v>
      </c>
      <c r="K266" s="230">
        <v>32.395000000000003</v>
      </c>
      <c r="L266" s="230">
        <v>32.075000000000003</v>
      </c>
      <c r="M266" s="231">
        <v>32.174999999999997</v>
      </c>
    </row>
    <row r="267" spans="9:13" ht="17.25" thickBot="1">
      <c r="I267" s="229">
        <v>45545</v>
      </c>
      <c r="J267" s="230">
        <v>31.78</v>
      </c>
      <c r="K267" s="230">
        <v>32.450000000000003</v>
      </c>
      <c r="L267" s="230">
        <v>32.130000000000003</v>
      </c>
      <c r="M267" s="231">
        <v>32.229999999999997</v>
      </c>
    </row>
    <row r="268" spans="9:13" ht="17.25" thickBot="1">
      <c r="I268" s="229">
        <v>45544</v>
      </c>
      <c r="J268" s="230">
        <v>31.69</v>
      </c>
      <c r="K268" s="230">
        <v>32.36</v>
      </c>
      <c r="L268" s="230">
        <v>32.04</v>
      </c>
      <c r="M268" s="231">
        <v>32.14</v>
      </c>
    </row>
    <row r="269" spans="9:13" ht="17.25" thickBot="1">
      <c r="I269" s="229">
        <v>45541</v>
      </c>
      <c r="J269" s="230">
        <v>31.53</v>
      </c>
      <c r="K269" s="230">
        <v>32.200000000000003</v>
      </c>
      <c r="L269" s="230">
        <v>31.88</v>
      </c>
      <c r="M269" s="231">
        <v>31.98</v>
      </c>
    </row>
    <row r="270" spans="9:13" ht="17.25" thickBot="1">
      <c r="I270" s="229">
        <v>45540</v>
      </c>
      <c r="J270" s="230">
        <v>31.67</v>
      </c>
      <c r="K270" s="230">
        <v>32.340000000000003</v>
      </c>
      <c r="L270" s="230">
        <v>32.020000000000003</v>
      </c>
      <c r="M270" s="231">
        <v>32.119999999999997</v>
      </c>
    </row>
    <row r="271" spans="9:13" ht="17.25" thickBot="1">
      <c r="I271" s="229">
        <v>45539</v>
      </c>
      <c r="J271" s="230">
        <v>31.79</v>
      </c>
      <c r="K271" s="230">
        <v>32.46</v>
      </c>
      <c r="L271" s="230">
        <v>32.14</v>
      </c>
      <c r="M271" s="231">
        <v>32.24</v>
      </c>
    </row>
    <row r="272" spans="9:13" ht="17.25" thickBot="1">
      <c r="I272" s="317">
        <v>45538</v>
      </c>
      <c r="J272" s="318">
        <v>31.66</v>
      </c>
      <c r="K272" s="318">
        <v>32.33</v>
      </c>
      <c r="L272" s="318">
        <v>32.01</v>
      </c>
      <c r="M272" s="319">
        <v>32.11</v>
      </c>
    </row>
    <row r="273" spans="9:13" ht="17.25" thickBot="1">
      <c r="I273" s="229">
        <v>45537</v>
      </c>
      <c r="J273" s="230">
        <v>31.62</v>
      </c>
      <c r="K273" s="230">
        <v>32.29</v>
      </c>
      <c r="L273" s="230">
        <v>31.97</v>
      </c>
      <c r="M273" s="231">
        <v>32.07</v>
      </c>
    </row>
    <row r="274" spans="9:13" ht="17.25" thickBot="1">
      <c r="I274" s="229">
        <v>45534</v>
      </c>
      <c r="J274" s="230">
        <v>31.54</v>
      </c>
      <c r="K274" s="230">
        <v>32.21</v>
      </c>
      <c r="L274" s="230">
        <v>31.89</v>
      </c>
      <c r="M274" s="231">
        <v>31.99</v>
      </c>
    </row>
    <row r="275" spans="9:13" ht="17.25" thickBot="1">
      <c r="I275" s="229">
        <v>45533</v>
      </c>
      <c r="J275" s="230">
        <v>31.51</v>
      </c>
      <c r="K275" s="230">
        <v>32.18</v>
      </c>
      <c r="L275" s="230">
        <v>31.86</v>
      </c>
      <c r="M275" s="231">
        <v>31.96</v>
      </c>
    </row>
    <row r="276" spans="9:13" ht="17.25" thickBot="1">
      <c r="I276" s="229">
        <v>45532</v>
      </c>
      <c r="J276" s="230">
        <v>31.55</v>
      </c>
      <c r="K276" s="230">
        <v>32.22</v>
      </c>
      <c r="L276" s="230">
        <v>31.9</v>
      </c>
      <c r="M276" s="231">
        <v>32</v>
      </c>
    </row>
    <row r="277" spans="9:13" ht="17.25" thickBot="1">
      <c r="I277" s="229">
        <v>45531</v>
      </c>
      <c r="J277" s="230">
        <v>31.53</v>
      </c>
      <c r="K277" s="230">
        <v>32.200000000000003</v>
      </c>
      <c r="L277" s="230">
        <v>31.88</v>
      </c>
      <c r="M277" s="231">
        <v>31.98</v>
      </c>
    </row>
    <row r="278" spans="9:13" ht="17.25" thickBot="1">
      <c r="I278" s="229">
        <v>45530</v>
      </c>
      <c r="J278" s="230">
        <v>31.41</v>
      </c>
      <c r="K278" s="230">
        <v>32.08</v>
      </c>
      <c r="L278" s="230">
        <v>31.76</v>
      </c>
      <c r="M278" s="231">
        <v>31.86</v>
      </c>
    </row>
    <row r="279" spans="9:13" ht="17.25" thickBot="1">
      <c r="I279" s="229">
        <v>45527</v>
      </c>
      <c r="J279" s="230">
        <v>31.56</v>
      </c>
      <c r="K279" s="230">
        <v>32.229999999999997</v>
      </c>
      <c r="L279" s="230">
        <v>31.91</v>
      </c>
      <c r="M279" s="231">
        <v>32.01</v>
      </c>
    </row>
    <row r="280" spans="9:13" ht="17.25" thickBot="1">
      <c r="I280" s="229">
        <v>45526</v>
      </c>
      <c r="J280" s="230">
        <v>31.565000000000001</v>
      </c>
      <c r="K280" s="230">
        <v>32.234999999999999</v>
      </c>
      <c r="L280" s="230">
        <v>31.914999999999999</v>
      </c>
      <c r="M280" s="231">
        <v>32.015000000000001</v>
      </c>
    </row>
    <row r="281" spans="9:13" ht="17.25" thickBot="1">
      <c r="I281" s="229">
        <v>45525</v>
      </c>
      <c r="J281" s="230">
        <v>31.535</v>
      </c>
      <c r="K281" s="230">
        <v>32.204999999999998</v>
      </c>
      <c r="L281" s="230">
        <v>31.885000000000002</v>
      </c>
      <c r="M281" s="231">
        <v>31.984999999999999</v>
      </c>
    </row>
    <row r="282" spans="9:13" ht="17.25" thickBot="1">
      <c r="I282" s="229">
        <v>45524</v>
      </c>
      <c r="J282" s="230">
        <v>31.58</v>
      </c>
      <c r="K282" s="230">
        <v>32.25</v>
      </c>
      <c r="L282" s="230">
        <v>31.93</v>
      </c>
      <c r="M282" s="231">
        <v>32.03</v>
      </c>
    </row>
    <row r="283" spans="9:13" ht="17.25" thickBot="1">
      <c r="I283" s="229">
        <v>45523</v>
      </c>
      <c r="J283" s="230">
        <v>31.625</v>
      </c>
      <c r="K283" s="230">
        <v>32.295000000000002</v>
      </c>
      <c r="L283" s="230">
        <v>31.975000000000001</v>
      </c>
      <c r="M283" s="231">
        <v>32.075000000000003</v>
      </c>
    </row>
    <row r="284" spans="9:13" ht="17.25" thickBot="1">
      <c r="I284" s="229">
        <v>45520</v>
      </c>
      <c r="J284" s="230">
        <v>31.88</v>
      </c>
      <c r="K284" s="230">
        <v>32.549999999999997</v>
      </c>
      <c r="L284" s="230">
        <v>32.229999999999997</v>
      </c>
      <c r="M284" s="231">
        <v>32.33</v>
      </c>
    </row>
    <row r="285" spans="9:13" ht="17.25" thickBot="1">
      <c r="I285" s="229">
        <v>45519</v>
      </c>
      <c r="J285" s="230">
        <v>31.88</v>
      </c>
      <c r="K285" s="230">
        <v>32.549999999999997</v>
      </c>
      <c r="L285" s="230">
        <v>32.229999999999997</v>
      </c>
      <c r="M285" s="231">
        <v>32.33</v>
      </c>
    </row>
    <row r="286" spans="9:13" ht="17.25" thickBot="1">
      <c r="I286" s="229">
        <v>45518</v>
      </c>
      <c r="J286" s="230">
        <v>31.9</v>
      </c>
      <c r="K286" s="230">
        <v>32.57</v>
      </c>
      <c r="L286" s="230">
        <v>32.25</v>
      </c>
      <c r="M286" s="231">
        <v>32.35</v>
      </c>
    </row>
    <row r="287" spans="9:13" ht="17.25" thickBot="1">
      <c r="I287" s="229">
        <v>45517</v>
      </c>
      <c r="J287" s="230">
        <v>32.075000000000003</v>
      </c>
      <c r="K287" s="230">
        <v>32.744999999999997</v>
      </c>
      <c r="L287" s="230">
        <v>32.424999999999997</v>
      </c>
      <c r="M287" s="231">
        <v>32.524999999999999</v>
      </c>
    </row>
    <row r="288" spans="9:13" ht="17.25" thickBot="1">
      <c r="I288" s="229">
        <v>45516</v>
      </c>
      <c r="J288" s="230">
        <v>32.06</v>
      </c>
      <c r="K288" s="230">
        <v>32.729999999999997</v>
      </c>
      <c r="L288" s="230">
        <v>32.409999999999997</v>
      </c>
      <c r="M288" s="231">
        <v>32.51</v>
      </c>
    </row>
    <row r="289" spans="9:13" ht="17.25" thickBot="1">
      <c r="I289" s="229">
        <v>45513</v>
      </c>
      <c r="J289" s="230">
        <v>32.03</v>
      </c>
      <c r="K289" s="230">
        <v>32.700000000000003</v>
      </c>
      <c r="L289" s="230">
        <v>32.380000000000003</v>
      </c>
      <c r="M289" s="231">
        <v>32.479999999999997</v>
      </c>
    </row>
    <row r="290" spans="9:13" ht="17.25" thickBot="1">
      <c r="I290" s="229">
        <v>45512</v>
      </c>
      <c r="J290" s="230">
        <v>32.17</v>
      </c>
      <c r="K290" s="230">
        <v>32.840000000000003</v>
      </c>
      <c r="L290" s="230">
        <v>32.520000000000003</v>
      </c>
      <c r="M290" s="231">
        <v>32.619999999999997</v>
      </c>
    </row>
    <row r="291" spans="9:13" ht="17.25" thickBot="1">
      <c r="I291" s="229">
        <v>45511</v>
      </c>
      <c r="J291" s="230">
        <v>32.284999999999997</v>
      </c>
      <c r="K291" s="230">
        <v>32.954999999999998</v>
      </c>
      <c r="L291" s="230">
        <v>32.634999999999998</v>
      </c>
      <c r="M291" s="231">
        <v>32.734999999999999</v>
      </c>
    </row>
    <row r="292" spans="9:13" ht="17.25" thickBot="1">
      <c r="I292" s="229">
        <v>45510</v>
      </c>
      <c r="J292" s="230">
        <v>32.29</v>
      </c>
      <c r="K292" s="230">
        <v>32.96</v>
      </c>
      <c r="L292" s="230">
        <v>32.64</v>
      </c>
      <c r="M292" s="231">
        <v>32.74</v>
      </c>
    </row>
    <row r="293" spans="9:13" ht="17.25" thickBot="1">
      <c r="I293" s="229">
        <v>45509</v>
      </c>
      <c r="J293" s="230">
        <v>32.244999999999997</v>
      </c>
      <c r="K293" s="230">
        <v>32.914999999999999</v>
      </c>
      <c r="L293" s="230">
        <v>32.594999999999999</v>
      </c>
      <c r="M293" s="231">
        <v>32.695</v>
      </c>
    </row>
    <row r="294" spans="9:13" ht="17.25" thickBot="1">
      <c r="I294" s="229">
        <v>45506</v>
      </c>
      <c r="J294" s="230">
        <v>32.414999999999999</v>
      </c>
      <c r="K294" s="230">
        <v>33.085000000000001</v>
      </c>
      <c r="L294" s="230">
        <v>32.765000000000001</v>
      </c>
      <c r="M294" s="231">
        <v>32.865000000000002</v>
      </c>
    </row>
    <row r="295" spans="9:13" ht="17.25" thickBot="1">
      <c r="I295" s="229">
        <v>45505</v>
      </c>
      <c r="J295" s="230">
        <v>32.375</v>
      </c>
      <c r="K295" s="230">
        <v>33.045000000000002</v>
      </c>
      <c r="L295" s="230">
        <v>32.725000000000001</v>
      </c>
      <c r="M295" s="231">
        <v>32.825000000000003</v>
      </c>
    </row>
    <row r="296" spans="9:13" ht="17.25" thickBot="1">
      <c r="I296" s="229">
        <v>45504</v>
      </c>
      <c r="J296" s="230">
        <v>32.435000000000002</v>
      </c>
      <c r="K296" s="230">
        <v>33.104999999999997</v>
      </c>
      <c r="L296" s="230">
        <v>32.784999999999997</v>
      </c>
      <c r="M296" s="231">
        <v>32.884999999999998</v>
      </c>
    </row>
    <row r="297" spans="9:13" ht="17.25" thickBot="1">
      <c r="I297" s="229">
        <v>45503</v>
      </c>
      <c r="J297" s="230">
        <v>32.450000000000003</v>
      </c>
      <c r="K297" s="230">
        <v>33.119999999999997</v>
      </c>
      <c r="L297" s="230">
        <v>32.799999999999997</v>
      </c>
      <c r="M297" s="231">
        <v>32.9</v>
      </c>
    </row>
    <row r="298" spans="9:13" ht="17.25" thickBot="1">
      <c r="I298" s="229">
        <v>45502</v>
      </c>
      <c r="J298" s="230">
        <v>32.47</v>
      </c>
      <c r="K298" s="230">
        <v>33.14</v>
      </c>
      <c r="L298" s="230">
        <v>32.82</v>
      </c>
      <c r="M298" s="231">
        <v>32.92</v>
      </c>
    </row>
    <row r="299" spans="9:13" ht="17.25" thickBot="1">
      <c r="I299" s="229">
        <v>45499</v>
      </c>
      <c r="J299" s="230">
        <v>32.43</v>
      </c>
      <c r="K299" s="230">
        <v>33.1</v>
      </c>
      <c r="L299" s="230">
        <v>32.78</v>
      </c>
      <c r="M299" s="231">
        <v>32.880000000000003</v>
      </c>
    </row>
    <row r="300" spans="9:13" ht="17.25" thickBot="1">
      <c r="I300" s="229">
        <v>45497</v>
      </c>
      <c r="J300" s="230">
        <v>32.43</v>
      </c>
      <c r="K300" s="230">
        <v>33.1</v>
      </c>
      <c r="L300" s="230">
        <v>32.78</v>
      </c>
      <c r="M300" s="231">
        <v>32.880000000000003</v>
      </c>
    </row>
    <row r="301" spans="9:13" ht="17.25" thickBot="1">
      <c r="I301" s="229">
        <v>45496</v>
      </c>
      <c r="J301" s="230">
        <v>32.44</v>
      </c>
      <c r="K301" s="230">
        <v>33.11</v>
      </c>
      <c r="L301" s="230">
        <v>32.79</v>
      </c>
      <c r="M301" s="231">
        <v>32.89</v>
      </c>
    </row>
    <row r="302" spans="9:13" ht="17.25" thickBot="1">
      <c r="I302" s="317">
        <v>45495</v>
      </c>
      <c r="J302" s="318">
        <v>32.450000000000003</v>
      </c>
      <c r="K302" s="318">
        <v>33.119999999999997</v>
      </c>
      <c r="L302" s="318">
        <v>32.799999999999997</v>
      </c>
      <c r="M302" s="319">
        <v>32.9</v>
      </c>
    </row>
    <row r="303" spans="9:13" ht="17.25" thickBot="1">
      <c r="I303" s="229">
        <v>45492</v>
      </c>
      <c r="J303" s="230">
        <v>32.33</v>
      </c>
      <c r="K303" s="230">
        <v>33</v>
      </c>
      <c r="L303" s="230">
        <v>32.68</v>
      </c>
      <c r="M303" s="231">
        <v>32.78</v>
      </c>
    </row>
    <row r="304" spans="9:13" ht="17.25" thickBot="1">
      <c r="I304" s="229">
        <v>45491</v>
      </c>
      <c r="J304" s="230">
        <v>32.204999999999998</v>
      </c>
      <c r="K304" s="230">
        <v>32.875</v>
      </c>
      <c r="L304" s="230">
        <v>32.555</v>
      </c>
      <c r="M304" s="231">
        <v>32.655000000000001</v>
      </c>
    </row>
    <row r="305" spans="9:13" ht="17.25" thickBot="1">
      <c r="I305" s="229">
        <v>45490</v>
      </c>
      <c r="J305" s="230">
        <v>32.215000000000003</v>
      </c>
      <c r="K305" s="230">
        <v>32.884999999999998</v>
      </c>
      <c r="L305" s="230">
        <v>32.564999999999998</v>
      </c>
      <c r="M305" s="231">
        <v>32.664999999999999</v>
      </c>
    </row>
    <row r="306" spans="9:13" ht="17.25" thickBot="1">
      <c r="I306" s="229">
        <v>45489</v>
      </c>
      <c r="J306" s="230">
        <v>32.225000000000001</v>
      </c>
      <c r="K306" s="230">
        <v>32.895000000000003</v>
      </c>
      <c r="L306" s="230">
        <v>32.575000000000003</v>
      </c>
      <c r="M306" s="231">
        <v>32.674999999999997</v>
      </c>
    </row>
    <row r="307" spans="9:13" ht="17.25" thickBot="1">
      <c r="I307" s="229">
        <v>45488</v>
      </c>
      <c r="J307" s="230">
        <v>32.174999999999997</v>
      </c>
      <c r="K307" s="230">
        <v>32.844999999999999</v>
      </c>
      <c r="L307" s="230">
        <v>32.524999999999999</v>
      </c>
      <c r="M307" s="231">
        <v>32.625</v>
      </c>
    </row>
    <row r="308" spans="9:13" ht="17.25" thickBot="1">
      <c r="I308" s="229">
        <v>45485</v>
      </c>
      <c r="J308" s="230">
        <v>32.159999999999997</v>
      </c>
      <c r="K308" s="230">
        <v>32.83</v>
      </c>
      <c r="L308" s="230">
        <v>32.51</v>
      </c>
      <c r="M308" s="231">
        <v>32.61</v>
      </c>
    </row>
    <row r="309" spans="9:13" ht="17.25" thickBot="1">
      <c r="I309" s="229">
        <v>45484</v>
      </c>
      <c r="J309" s="230">
        <v>32.11</v>
      </c>
      <c r="K309" s="230">
        <v>32.78</v>
      </c>
      <c r="L309" s="230">
        <v>32.46</v>
      </c>
      <c r="M309" s="231">
        <v>32.56</v>
      </c>
    </row>
    <row r="310" spans="9:13" ht="17.25" thickBot="1">
      <c r="I310" s="229">
        <v>45483</v>
      </c>
      <c r="J310" s="230">
        <v>32.185000000000002</v>
      </c>
      <c r="K310" s="230">
        <v>32.854999999999997</v>
      </c>
      <c r="L310" s="230">
        <v>32.534999999999997</v>
      </c>
      <c r="M310" s="231">
        <v>32.634999999999998</v>
      </c>
    </row>
    <row r="311" spans="9:13" ht="17.25" thickBot="1">
      <c r="I311" s="229">
        <v>45482</v>
      </c>
      <c r="J311" s="230">
        <v>32.15</v>
      </c>
      <c r="K311" s="230">
        <v>32.82</v>
      </c>
      <c r="L311" s="230">
        <v>32.5</v>
      </c>
      <c r="M311" s="231">
        <v>32.6</v>
      </c>
    </row>
    <row r="312" spans="9:13" ht="17.25" thickBot="1">
      <c r="I312" s="229">
        <v>45481</v>
      </c>
      <c r="J312" s="230">
        <v>32.094999999999999</v>
      </c>
      <c r="K312" s="230">
        <v>32.765000000000001</v>
      </c>
      <c r="L312" s="230">
        <v>32.445</v>
      </c>
      <c r="M312" s="231">
        <v>32.545000000000002</v>
      </c>
    </row>
    <row r="313" spans="9:13" ht="17.25" thickBot="1">
      <c r="I313" s="229">
        <v>45478</v>
      </c>
      <c r="J313" s="230">
        <v>32.075000000000003</v>
      </c>
      <c r="K313" s="230">
        <v>32.744999999999997</v>
      </c>
      <c r="L313" s="230">
        <v>32.424999999999997</v>
      </c>
      <c r="M313" s="231">
        <v>32.524999999999999</v>
      </c>
    </row>
    <row r="314" spans="9:13" ht="17.25" thickBot="1">
      <c r="I314" s="229">
        <v>45477</v>
      </c>
      <c r="J314" s="230">
        <v>32.075000000000003</v>
      </c>
      <c r="K314" s="230">
        <v>32.744999999999997</v>
      </c>
      <c r="L314" s="230">
        <v>32.424999999999997</v>
      </c>
      <c r="M314" s="231">
        <v>32.524999999999999</v>
      </c>
    </row>
    <row r="315" spans="9:13" ht="17.25" thickBot="1">
      <c r="I315" s="229">
        <v>45476</v>
      </c>
      <c r="J315" s="230">
        <v>32.229999999999997</v>
      </c>
      <c r="K315" s="230">
        <v>32.9</v>
      </c>
      <c r="L315" s="230">
        <v>32.58</v>
      </c>
      <c r="M315" s="231">
        <v>32.68</v>
      </c>
    </row>
    <row r="316" spans="9:13" ht="17.25" thickBot="1">
      <c r="I316" s="229">
        <v>45475</v>
      </c>
      <c r="J316" s="230">
        <v>32.22</v>
      </c>
      <c r="K316" s="230">
        <v>32.89</v>
      </c>
      <c r="L316" s="230">
        <v>32.57</v>
      </c>
      <c r="M316" s="231">
        <v>32.67</v>
      </c>
    </row>
    <row r="317" spans="9:13" ht="17.25" thickBot="1">
      <c r="I317" s="229">
        <v>45474</v>
      </c>
      <c r="J317" s="230">
        <v>32.145000000000003</v>
      </c>
      <c r="K317" s="230">
        <v>32.814999999999998</v>
      </c>
      <c r="L317" s="230">
        <v>32.494999999999997</v>
      </c>
      <c r="M317" s="231">
        <v>32.594999999999999</v>
      </c>
    </row>
    <row r="318" spans="9:13" ht="17.25" thickBot="1">
      <c r="I318" s="229">
        <v>45471</v>
      </c>
      <c r="J318" s="230">
        <v>32.049999999999997</v>
      </c>
      <c r="K318" s="230">
        <v>32.72</v>
      </c>
      <c r="L318" s="230">
        <v>32.4</v>
      </c>
      <c r="M318" s="231">
        <v>32.5</v>
      </c>
    </row>
    <row r="319" spans="9:13" ht="17.25" thickBot="1">
      <c r="I319" s="229">
        <v>45470</v>
      </c>
      <c r="J319" s="230">
        <v>32.130000000000003</v>
      </c>
      <c r="K319" s="230">
        <v>32.799999999999997</v>
      </c>
      <c r="L319" s="230">
        <v>32.479999999999997</v>
      </c>
      <c r="M319" s="231">
        <v>32.58</v>
      </c>
    </row>
    <row r="320" spans="9:13" ht="17.25" thickBot="1">
      <c r="I320" s="229">
        <v>45469</v>
      </c>
      <c r="J320" s="230">
        <v>32.15</v>
      </c>
      <c r="K320" s="230">
        <v>32.82</v>
      </c>
      <c r="L320" s="230">
        <v>32.5</v>
      </c>
      <c r="M320" s="231">
        <v>32.6</v>
      </c>
    </row>
    <row r="321" spans="9:13" ht="17.25" thickBot="1">
      <c r="I321" s="229">
        <v>45468</v>
      </c>
      <c r="J321" s="230">
        <v>32.045000000000002</v>
      </c>
      <c r="K321" s="230">
        <v>32.715000000000003</v>
      </c>
      <c r="L321" s="230">
        <v>32.395000000000003</v>
      </c>
      <c r="M321" s="231">
        <v>32.494999999999997</v>
      </c>
    </row>
    <row r="322" spans="9:13" ht="17.25" thickBot="1">
      <c r="I322" s="229">
        <v>45467</v>
      </c>
      <c r="J322" s="230">
        <v>31.99</v>
      </c>
      <c r="K322" s="230">
        <v>32.659999999999997</v>
      </c>
      <c r="L322" s="230">
        <v>32.340000000000003</v>
      </c>
      <c r="M322" s="231">
        <v>32.44</v>
      </c>
    </row>
    <row r="323" spans="9:13" ht="17.25" thickBot="1">
      <c r="I323" s="229">
        <v>45464</v>
      </c>
      <c r="J323" s="230">
        <v>31.97</v>
      </c>
      <c r="K323" s="230">
        <v>32.64</v>
      </c>
      <c r="L323" s="230">
        <v>32.32</v>
      </c>
      <c r="M323" s="231">
        <v>32.42</v>
      </c>
    </row>
    <row r="324" spans="9:13" ht="17.25" thickBot="1">
      <c r="I324" s="229">
        <v>45463</v>
      </c>
      <c r="J324" s="230">
        <v>31.925000000000001</v>
      </c>
      <c r="K324" s="230">
        <v>32.594999999999999</v>
      </c>
      <c r="L324" s="230">
        <v>32.274999999999999</v>
      </c>
      <c r="M324" s="231">
        <v>32.375</v>
      </c>
    </row>
    <row r="325" spans="9:13" ht="17.25" thickBot="1">
      <c r="I325" s="229">
        <v>45462</v>
      </c>
      <c r="J325" s="230">
        <v>31.954999999999998</v>
      </c>
      <c r="K325" s="230">
        <v>32.625</v>
      </c>
      <c r="L325" s="230">
        <v>32.305</v>
      </c>
      <c r="M325" s="231">
        <v>32.405000000000001</v>
      </c>
    </row>
    <row r="326" spans="9:13" ht="17.25" thickBot="1">
      <c r="I326" s="229">
        <v>45461</v>
      </c>
      <c r="J326" s="230">
        <v>31.995000000000001</v>
      </c>
      <c r="K326" s="230">
        <v>32.664999999999999</v>
      </c>
      <c r="L326" s="230">
        <v>32.344999999999999</v>
      </c>
      <c r="M326" s="231">
        <v>32.445</v>
      </c>
    </row>
    <row r="327" spans="9:13" ht="17.25" thickBot="1">
      <c r="I327" s="229">
        <v>45460</v>
      </c>
      <c r="J327" s="230">
        <v>31.984999999999999</v>
      </c>
      <c r="K327" s="230">
        <v>32.655000000000001</v>
      </c>
      <c r="L327" s="230">
        <v>32.335000000000001</v>
      </c>
      <c r="M327" s="231">
        <v>32.435000000000002</v>
      </c>
    </row>
    <row r="328" spans="9:13" ht="17.25" thickBot="1">
      <c r="I328" s="229">
        <v>45457</v>
      </c>
      <c r="J328" s="230">
        <v>31.945</v>
      </c>
      <c r="K328" s="230">
        <v>32.615000000000002</v>
      </c>
      <c r="L328" s="230">
        <v>32.295000000000002</v>
      </c>
      <c r="M328" s="231">
        <v>32.395000000000003</v>
      </c>
    </row>
    <row r="329" spans="9:13" ht="17.25" thickBot="1">
      <c r="I329" s="229">
        <v>45456</v>
      </c>
      <c r="J329" s="230">
        <v>31.93</v>
      </c>
      <c r="K329" s="230">
        <v>32.6</v>
      </c>
      <c r="L329" s="230">
        <v>32.28</v>
      </c>
      <c r="M329" s="231">
        <v>32.380000000000003</v>
      </c>
    </row>
    <row r="330" spans="9:13" ht="17.25" thickBot="1">
      <c r="I330" s="229">
        <v>45455</v>
      </c>
      <c r="J330" s="230">
        <v>31.984999999999999</v>
      </c>
      <c r="K330" s="230">
        <v>32.655000000000001</v>
      </c>
      <c r="L330" s="230">
        <v>32.335000000000001</v>
      </c>
      <c r="M330" s="231">
        <v>32.435000000000002</v>
      </c>
    </row>
    <row r="331" spans="9:13" ht="17.25" thickBot="1">
      <c r="I331" s="229">
        <v>45454</v>
      </c>
      <c r="J331" s="230">
        <v>31.995000000000001</v>
      </c>
      <c r="K331" s="230">
        <v>32.664999999999999</v>
      </c>
      <c r="L331" s="230">
        <v>32.344999999999999</v>
      </c>
      <c r="M331" s="231">
        <v>32.445</v>
      </c>
    </row>
    <row r="332" spans="9:13" ht="17.25" thickBot="1">
      <c r="I332" s="229">
        <v>45450</v>
      </c>
      <c r="J332" s="230">
        <v>31.85</v>
      </c>
      <c r="K332" s="230">
        <v>32.520000000000003</v>
      </c>
      <c r="L332" s="230">
        <v>32.200000000000003</v>
      </c>
      <c r="M332" s="231">
        <v>32.299999999999997</v>
      </c>
    </row>
    <row r="333" spans="9:13" ht="17.25" thickBot="1">
      <c r="I333" s="229">
        <v>45449</v>
      </c>
      <c r="J333" s="230">
        <v>31.87</v>
      </c>
      <c r="K333" s="230">
        <v>32.54</v>
      </c>
      <c r="L333" s="230">
        <v>32.22</v>
      </c>
      <c r="M333" s="231">
        <v>32.32</v>
      </c>
    </row>
    <row r="334" spans="9:13" ht="17.25" thickBot="1">
      <c r="I334" s="229">
        <v>45448</v>
      </c>
      <c r="J334" s="230">
        <v>31.94</v>
      </c>
      <c r="K334" s="230">
        <v>32.61</v>
      </c>
      <c r="L334" s="230">
        <v>32.29</v>
      </c>
      <c r="M334" s="231">
        <v>32.39</v>
      </c>
    </row>
    <row r="335" spans="9:13" ht="17.25" thickBot="1">
      <c r="I335" s="229">
        <v>45447</v>
      </c>
      <c r="J335" s="230">
        <v>31.995000000000001</v>
      </c>
      <c r="K335" s="230">
        <v>32.664999999999999</v>
      </c>
      <c r="L335" s="230">
        <v>32.344999999999999</v>
      </c>
      <c r="M335" s="231">
        <v>32.445</v>
      </c>
    </row>
    <row r="336" spans="9:13" ht="17.25" thickBot="1">
      <c r="I336" s="229">
        <v>45446</v>
      </c>
      <c r="J336" s="230">
        <v>31.995000000000001</v>
      </c>
      <c r="K336" s="230">
        <v>32.664999999999999</v>
      </c>
      <c r="L336" s="230">
        <v>32.344999999999999</v>
      </c>
      <c r="M336" s="231">
        <v>32.445</v>
      </c>
    </row>
    <row r="337" spans="9:13" ht="17.25" thickBot="1">
      <c r="I337" s="229">
        <v>45443</v>
      </c>
      <c r="J337" s="230">
        <v>32</v>
      </c>
      <c r="K337" s="230">
        <v>32.67</v>
      </c>
      <c r="L337" s="230">
        <v>32.35</v>
      </c>
      <c r="M337" s="231">
        <v>32.450000000000003</v>
      </c>
    </row>
    <row r="338" spans="9:13" ht="17.25" thickBot="1">
      <c r="I338" s="229">
        <v>45442</v>
      </c>
      <c r="J338" s="230">
        <v>32.04</v>
      </c>
      <c r="K338" s="230">
        <v>32.71</v>
      </c>
      <c r="L338" s="230">
        <v>32.39</v>
      </c>
      <c r="M338" s="231">
        <v>32.49</v>
      </c>
    </row>
    <row r="339" spans="9:13" ht="17.25" thickBot="1">
      <c r="I339" s="229">
        <v>45441</v>
      </c>
      <c r="J339" s="230">
        <v>31.895</v>
      </c>
      <c r="K339" s="230">
        <v>32.564999999999998</v>
      </c>
      <c r="L339" s="230">
        <v>32.244999999999997</v>
      </c>
      <c r="M339" s="231">
        <v>32.344999999999999</v>
      </c>
    </row>
    <row r="340" spans="9:13" ht="17.25" thickBot="1">
      <c r="I340" s="232">
        <v>45440</v>
      </c>
      <c r="J340" s="233">
        <v>31.77</v>
      </c>
      <c r="K340" s="233">
        <v>32.44</v>
      </c>
      <c r="L340" s="233">
        <v>32.119999999999997</v>
      </c>
      <c r="M340" s="234">
        <v>32.22</v>
      </c>
    </row>
    <row r="341" spans="9:13" ht="17.25" thickBot="1">
      <c r="I341" s="235">
        <v>45439</v>
      </c>
      <c r="J341" s="236">
        <v>31.78</v>
      </c>
      <c r="K341" s="236">
        <v>32.450000000000003</v>
      </c>
      <c r="L341" s="236">
        <v>32.130000000000003</v>
      </c>
      <c r="M341" s="237">
        <v>32.229999999999997</v>
      </c>
    </row>
    <row r="342" spans="9:13" ht="17.25" thickBot="1">
      <c r="I342" s="229">
        <v>45436</v>
      </c>
      <c r="J342" s="230">
        <v>31.864999999999998</v>
      </c>
      <c r="K342" s="230">
        <v>32.534999999999997</v>
      </c>
      <c r="L342" s="230">
        <v>32.215000000000003</v>
      </c>
      <c r="M342" s="231">
        <v>32.314999999999998</v>
      </c>
    </row>
    <row r="343" spans="9:13" ht="17.25" thickBot="1">
      <c r="I343" s="229">
        <v>45435</v>
      </c>
      <c r="J343" s="230">
        <v>31.84</v>
      </c>
      <c r="K343" s="230">
        <v>32.51</v>
      </c>
      <c r="L343" s="230">
        <v>32.19</v>
      </c>
      <c r="M343" s="231">
        <v>32.29</v>
      </c>
    </row>
    <row r="344" spans="9:13" ht="17.25" thickBot="1">
      <c r="I344" s="229">
        <v>45434</v>
      </c>
      <c r="J344" s="230">
        <v>31.875</v>
      </c>
      <c r="K344" s="230">
        <v>32.545000000000002</v>
      </c>
      <c r="L344" s="230">
        <v>32.225000000000001</v>
      </c>
      <c r="M344" s="231">
        <v>32.325000000000003</v>
      </c>
    </row>
    <row r="345" spans="9:13" ht="17.25" thickBot="1">
      <c r="I345" s="229">
        <v>45433</v>
      </c>
      <c r="J345" s="230">
        <v>31.89</v>
      </c>
      <c r="K345" s="230">
        <v>32.56</v>
      </c>
      <c r="L345" s="230">
        <v>32.24</v>
      </c>
      <c r="M345" s="231">
        <v>32.340000000000003</v>
      </c>
    </row>
    <row r="346" spans="9:13" ht="17.25" thickBot="1">
      <c r="I346" s="229">
        <v>45432</v>
      </c>
      <c r="J346" s="230">
        <v>31.835000000000001</v>
      </c>
      <c r="K346" s="230">
        <v>32.505000000000003</v>
      </c>
      <c r="L346" s="230">
        <v>32.185000000000002</v>
      </c>
      <c r="M346" s="231">
        <v>32.284999999999997</v>
      </c>
    </row>
    <row r="347" spans="9:13" ht="17.25" thickBot="1">
      <c r="I347" s="229">
        <v>45429</v>
      </c>
      <c r="J347" s="230">
        <v>31.81</v>
      </c>
      <c r="K347" s="230">
        <v>32.479999999999997</v>
      </c>
      <c r="L347" s="230">
        <v>32.159999999999997</v>
      </c>
      <c r="M347" s="231">
        <v>32.26</v>
      </c>
    </row>
    <row r="348" spans="9:13" ht="17.25" thickBot="1">
      <c r="I348" s="229">
        <v>45428</v>
      </c>
      <c r="J348" s="230">
        <v>31.704999999999998</v>
      </c>
      <c r="K348" s="230">
        <v>32.375</v>
      </c>
      <c r="L348" s="230">
        <v>32.055</v>
      </c>
      <c r="M348" s="231">
        <v>32.155000000000001</v>
      </c>
    </row>
    <row r="349" spans="9:13" ht="17.25" thickBot="1">
      <c r="I349" s="229">
        <v>45427</v>
      </c>
      <c r="J349" s="230">
        <v>31.905000000000001</v>
      </c>
      <c r="K349" s="230">
        <v>32.575000000000003</v>
      </c>
      <c r="L349" s="230">
        <v>32.255000000000003</v>
      </c>
      <c r="M349" s="231">
        <v>32.354999999999997</v>
      </c>
    </row>
    <row r="350" spans="9:13" ht="17.25" thickBot="1">
      <c r="I350" s="229">
        <v>45426</v>
      </c>
      <c r="J350" s="230">
        <v>32.015000000000001</v>
      </c>
      <c r="K350" s="230">
        <v>32.685000000000002</v>
      </c>
      <c r="L350" s="230">
        <v>32.365000000000002</v>
      </c>
      <c r="M350" s="231">
        <v>32.465000000000003</v>
      </c>
    </row>
    <row r="351" spans="9:13" ht="17.25" thickBot="1">
      <c r="I351" s="229">
        <v>45425</v>
      </c>
      <c r="J351" s="230">
        <v>32.015000000000001</v>
      </c>
      <c r="K351" s="230">
        <v>32.685000000000002</v>
      </c>
      <c r="L351" s="230">
        <v>32.365000000000002</v>
      </c>
      <c r="M351" s="231">
        <v>32.465000000000003</v>
      </c>
    </row>
    <row r="352" spans="9:13" ht="17.25" thickBot="1">
      <c r="I352" s="229">
        <v>45422</v>
      </c>
      <c r="J352" s="230">
        <v>32.015000000000001</v>
      </c>
      <c r="K352" s="230">
        <v>32.685000000000002</v>
      </c>
      <c r="L352" s="230">
        <v>32.365000000000002</v>
      </c>
      <c r="M352" s="231">
        <v>32.465000000000003</v>
      </c>
    </row>
    <row r="353" spans="9:13" ht="17.25" thickBot="1">
      <c r="I353" s="229">
        <v>45421</v>
      </c>
      <c r="J353" s="230">
        <v>32.055</v>
      </c>
      <c r="K353" s="230">
        <v>32.725000000000001</v>
      </c>
      <c r="L353" s="230">
        <v>32.405000000000001</v>
      </c>
      <c r="M353" s="231">
        <v>32.505000000000003</v>
      </c>
    </row>
    <row r="354" spans="9:13" ht="17.25" thickBot="1">
      <c r="I354" s="229">
        <v>45420</v>
      </c>
      <c r="J354" s="230">
        <v>32.01</v>
      </c>
      <c r="K354" s="230">
        <v>32.68</v>
      </c>
      <c r="L354" s="230">
        <v>32.36</v>
      </c>
      <c r="M354" s="231">
        <v>32.46</v>
      </c>
    </row>
    <row r="355" spans="9:13" ht="17.25" thickBot="1">
      <c r="I355" s="229">
        <v>45419</v>
      </c>
      <c r="J355" s="230">
        <v>31.97</v>
      </c>
      <c r="K355" s="230">
        <v>32.64</v>
      </c>
      <c r="L355" s="230">
        <v>32.32</v>
      </c>
      <c r="M355" s="231">
        <v>32.42</v>
      </c>
    </row>
    <row r="356" spans="9:13" ht="17.25" thickBot="1">
      <c r="I356" s="229">
        <v>45418</v>
      </c>
      <c r="J356" s="230">
        <v>31.95</v>
      </c>
      <c r="K356" s="230">
        <v>32.619999999999997</v>
      </c>
      <c r="L356" s="230">
        <v>32.299999999999997</v>
      </c>
      <c r="M356" s="231">
        <v>32.4</v>
      </c>
    </row>
    <row r="357" spans="9:13" ht="17.25" thickBot="1">
      <c r="I357" s="229">
        <v>45415</v>
      </c>
      <c r="J357" s="230">
        <v>31.975000000000001</v>
      </c>
      <c r="K357" s="230">
        <v>32.645000000000003</v>
      </c>
      <c r="L357" s="230">
        <v>32.325000000000003</v>
      </c>
      <c r="M357" s="231">
        <v>32.424999999999997</v>
      </c>
    </row>
    <row r="358" spans="9:13" ht="17.25" thickBot="1">
      <c r="I358" s="229">
        <v>45414</v>
      </c>
      <c r="J358" s="230">
        <v>32.1</v>
      </c>
      <c r="K358" s="230">
        <v>32.770000000000003</v>
      </c>
      <c r="L358" s="230">
        <v>32.450000000000003</v>
      </c>
      <c r="M358" s="231">
        <v>32.549999999999997</v>
      </c>
    </row>
    <row r="359" spans="9:13" ht="17.25" thickBot="1">
      <c r="I359" s="229">
        <v>45412</v>
      </c>
      <c r="J359" s="230">
        <v>32.145000000000003</v>
      </c>
      <c r="K359" s="230">
        <v>32.814999999999998</v>
      </c>
      <c r="L359" s="230">
        <v>32.494999999999997</v>
      </c>
      <c r="M359" s="231">
        <v>32.594999999999999</v>
      </c>
    </row>
    <row r="360" spans="9:13" ht="17.25" thickBot="1">
      <c r="I360" s="229">
        <v>45411</v>
      </c>
      <c r="J360" s="230">
        <v>32.159999999999997</v>
      </c>
      <c r="K360" s="230">
        <v>32.83</v>
      </c>
      <c r="L360" s="230">
        <v>32.51</v>
      </c>
      <c r="M360" s="231">
        <v>32.61</v>
      </c>
    </row>
    <row r="361" spans="9:13" ht="17.25" thickBot="1">
      <c r="I361" s="229">
        <v>45408</v>
      </c>
      <c r="J361" s="230">
        <v>32.17</v>
      </c>
      <c r="K361" s="230">
        <v>32.840000000000003</v>
      </c>
      <c r="L361" s="230">
        <v>32.520000000000003</v>
      </c>
      <c r="M361" s="231">
        <v>32.619999999999997</v>
      </c>
    </row>
    <row r="362" spans="9:13" ht="17.25" thickBot="1">
      <c r="I362" s="229">
        <v>45407</v>
      </c>
      <c r="J362" s="230">
        <v>32.18</v>
      </c>
      <c r="K362" s="230">
        <v>32.85</v>
      </c>
      <c r="L362" s="230">
        <v>32.53</v>
      </c>
      <c r="M362" s="231">
        <v>32.630000000000003</v>
      </c>
    </row>
    <row r="363" spans="9:13" ht="17.25" thickBot="1">
      <c r="I363" s="229">
        <v>45406</v>
      </c>
      <c r="J363" s="230">
        <v>32.134999999999998</v>
      </c>
      <c r="K363" s="230">
        <v>32.805</v>
      </c>
      <c r="L363" s="230">
        <v>32.484999999999999</v>
      </c>
      <c r="M363" s="231">
        <v>32.585000000000001</v>
      </c>
    </row>
    <row r="364" spans="9:13" ht="17.25" thickBot="1">
      <c r="I364" s="229">
        <v>45405</v>
      </c>
      <c r="J364" s="230">
        <v>32.195</v>
      </c>
      <c r="K364" s="230">
        <v>32.865000000000002</v>
      </c>
      <c r="L364" s="230">
        <v>32.545000000000002</v>
      </c>
      <c r="M364" s="231">
        <v>32.645000000000003</v>
      </c>
    </row>
    <row r="365" spans="9:13" ht="17.25" thickBot="1">
      <c r="I365" s="229">
        <v>45404</v>
      </c>
      <c r="J365" s="230">
        <v>32.24</v>
      </c>
      <c r="K365" s="230">
        <v>32.909999999999997</v>
      </c>
      <c r="L365" s="230">
        <v>32.590000000000003</v>
      </c>
      <c r="M365" s="231">
        <v>32.69</v>
      </c>
    </row>
    <row r="366" spans="9:13" ht="17.25" thickBot="1">
      <c r="I366" s="229">
        <v>45401</v>
      </c>
      <c r="J366" s="230">
        <v>32.115000000000002</v>
      </c>
      <c r="K366" s="230">
        <v>32.784999999999997</v>
      </c>
      <c r="L366" s="230">
        <v>32.465000000000003</v>
      </c>
      <c r="M366" s="231">
        <v>32.564999999999998</v>
      </c>
    </row>
    <row r="367" spans="9:13" ht="17.25" thickBot="1">
      <c r="I367" s="229">
        <v>45400</v>
      </c>
      <c r="J367" s="230">
        <v>31.975000000000001</v>
      </c>
      <c r="K367" s="230">
        <v>32.645000000000003</v>
      </c>
      <c r="L367" s="230">
        <v>32.325000000000003</v>
      </c>
      <c r="M367" s="231">
        <v>32.424999999999997</v>
      </c>
    </row>
    <row r="368" spans="9:13" ht="17.25" thickBot="1">
      <c r="I368" s="229">
        <v>45399</v>
      </c>
      <c r="J368" s="230">
        <v>32.090000000000003</v>
      </c>
      <c r="K368" s="230">
        <v>32.76</v>
      </c>
      <c r="L368" s="230">
        <v>32.44</v>
      </c>
      <c r="M368" s="231">
        <v>32.54</v>
      </c>
    </row>
    <row r="369" spans="9:13" ht="17.25" thickBot="1">
      <c r="I369" s="229">
        <v>45398</v>
      </c>
      <c r="J369" s="230">
        <v>32.094999999999999</v>
      </c>
      <c r="K369" s="230">
        <v>32.765000000000001</v>
      </c>
      <c r="L369" s="230">
        <v>32.445</v>
      </c>
      <c r="M369" s="231">
        <v>32.545000000000002</v>
      </c>
    </row>
    <row r="370" spans="9:13" ht="17.25" thickBot="1">
      <c r="I370" s="232">
        <v>45397</v>
      </c>
      <c r="J370" s="233">
        <v>31.98</v>
      </c>
      <c r="K370" s="233">
        <v>32.65</v>
      </c>
      <c r="L370" s="233">
        <v>32.33</v>
      </c>
      <c r="M370" s="234">
        <v>32.43</v>
      </c>
    </row>
    <row r="371" spans="9:13" ht="17.25" thickBot="1">
      <c r="I371" s="229">
        <v>45394</v>
      </c>
      <c r="J371" s="230">
        <v>31.895</v>
      </c>
      <c r="K371" s="230">
        <v>32.564999999999998</v>
      </c>
      <c r="L371" s="230">
        <v>32.244999999999997</v>
      </c>
      <c r="M371" s="231">
        <v>32.344999999999999</v>
      </c>
    </row>
    <row r="372" spans="9:13" ht="17.25" thickBot="1">
      <c r="I372" s="229">
        <v>45393</v>
      </c>
      <c r="J372" s="230">
        <v>31.83</v>
      </c>
      <c r="K372" s="230">
        <v>32.5</v>
      </c>
      <c r="L372" s="230">
        <v>32.18</v>
      </c>
      <c r="M372" s="231">
        <v>32.28</v>
      </c>
    </row>
    <row r="373" spans="9:13" ht="17.25" thickBot="1">
      <c r="I373" s="229">
        <v>45392</v>
      </c>
      <c r="J373" s="230">
        <v>31.61</v>
      </c>
      <c r="K373" s="230">
        <v>32.28</v>
      </c>
      <c r="L373" s="230">
        <v>31.96</v>
      </c>
      <c r="M373" s="231">
        <v>32.06</v>
      </c>
    </row>
    <row r="374" spans="9:13" ht="17.25" thickBot="1">
      <c r="I374" s="229">
        <v>45391</v>
      </c>
      <c r="J374" s="230">
        <v>31.704999999999998</v>
      </c>
      <c r="K374" s="230">
        <v>32.375</v>
      </c>
      <c r="L374" s="230">
        <v>32.055</v>
      </c>
      <c r="M374" s="231">
        <v>32.155000000000001</v>
      </c>
    </row>
    <row r="375" spans="9:13" ht="17.25" thickBot="1">
      <c r="I375" s="229">
        <v>45390</v>
      </c>
      <c r="J375" s="230">
        <v>31.7</v>
      </c>
      <c r="K375" s="230">
        <v>32.369999999999997</v>
      </c>
      <c r="L375" s="230">
        <v>32.049999999999997</v>
      </c>
      <c r="M375" s="231">
        <v>32.15</v>
      </c>
    </row>
    <row r="376" spans="9:13" ht="17.25" thickBot="1">
      <c r="I376" s="229">
        <v>45385</v>
      </c>
      <c r="J376" s="230">
        <v>31.66</v>
      </c>
      <c r="K376" s="230">
        <v>32.33</v>
      </c>
      <c r="L376" s="230">
        <v>32.01</v>
      </c>
      <c r="M376" s="231">
        <v>32.11</v>
      </c>
    </row>
    <row r="377" spans="9:13" ht="17.25" thickBot="1">
      <c r="I377" s="229">
        <v>45384</v>
      </c>
      <c r="J377" s="230">
        <v>31.675000000000001</v>
      </c>
      <c r="K377" s="230">
        <v>32.344999999999999</v>
      </c>
      <c r="L377" s="230">
        <v>32.024999999999999</v>
      </c>
      <c r="M377" s="231">
        <v>32.125</v>
      </c>
    </row>
    <row r="378" spans="9:13" ht="17.25" thickBot="1">
      <c r="I378" s="229">
        <v>45383</v>
      </c>
      <c r="J378" s="230">
        <v>31.58</v>
      </c>
      <c r="K378" s="230">
        <v>32.25</v>
      </c>
      <c r="L378" s="230">
        <v>31.93</v>
      </c>
      <c r="M378" s="231">
        <v>32.03</v>
      </c>
    </row>
    <row r="379" spans="9:13" ht="17.25" thickBot="1">
      <c r="I379" s="229">
        <v>45380</v>
      </c>
      <c r="J379" s="230">
        <v>31.6</v>
      </c>
      <c r="K379" s="230">
        <v>32.270000000000003</v>
      </c>
      <c r="L379" s="230">
        <v>31.95</v>
      </c>
      <c r="M379" s="231">
        <v>32.049999999999997</v>
      </c>
    </row>
    <row r="380" spans="9:13" ht="17.25" thickBot="1">
      <c r="I380" s="229">
        <v>45379</v>
      </c>
      <c r="J380" s="230">
        <v>31.59</v>
      </c>
      <c r="K380" s="230">
        <v>32.26</v>
      </c>
      <c r="L380" s="230">
        <v>31.94</v>
      </c>
      <c r="M380" s="231">
        <v>32.04</v>
      </c>
    </row>
    <row r="381" spans="9:13" ht="17.25" thickBot="1">
      <c r="I381" s="229">
        <v>45378</v>
      </c>
      <c r="J381" s="230">
        <v>31.6</v>
      </c>
      <c r="K381" s="230">
        <v>32.270000000000003</v>
      </c>
      <c r="L381" s="230">
        <v>31.95</v>
      </c>
      <c r="M381" s="231">
        <v>32.049999999999997</v>
      </c>
    </row>
    <row r="382" spans="9:13" ht="17.25" thickBot="1">
      <c r="I382" s="229">
        <v>45377</v>
      </c>
      <c r="J382" s="230">
        <v>31.504999999999999</v>
      </c>
      <c r="K382" s="230">
        <v>32.174999999999997</v>
      </c>
      <c r="L382" s="230">
        <v>31.855</v>
      </c>
      <c r="M382" s="231">
        <v>31.954999999999998</v>
      </c>
    </row>
    <row r="383" spans="9:13" ht="17.25" thickBot="1">
      <c r="I383" s="229">
        <v>45376</v>
      </c>
      <c r="J383" s="230">
        <v>31.465</v>
      </c>
      <c r="K383" s="230">
        <v>32.134999999999998</v>
      </c>
      <c r="L383" s="230">
        <v>31.815000000000001</v>
      </c>
      <c r="M383" s="231">
        <v>31.914999999999999</v>
      </c>
    </row>
    <row r="384" spans="9:13" ht="17.25" thickBot="1">
      <c r="I384" s="229">
        <v>45373</v>
      </c>
      <c r="J384" s="230">
        <v>31.56</v>
      </c>
      <c r="K384" s="230">
        <v>32.229999999999997</v>
      </c>
      <c r="L384" s="230">
        <v>31.91</v>
      </c>
      <c r="M384" s="231">
        <v>32.01</v>
      </c>
    </row>
    <row r="385" spans="9:13" ht="17.25" thickBot="1">
      <c r="I385" s="229">
        <v>45372</v>
      </c>
      <c r="J385" s="230">
        <v>31.434999999999999</v>
      </c>
      <c r="K385" s="230">
        <v>32.104999999999997</v>
      </c>
      <c r="L385" s="230">
        <v>31.785</v>
      </c>
      <c r="M385" s="231">
        <v>31.885000000000002</v>
      </c>
    </row>
    <row r="386" spans="9:13" ht="17.25" thickBot="1">
      <c r="I386" s="229">
        <v>45371</v>
      </c>
      <c r="J386" s="230">
        <v>31.47</v>
      </c>
      <c r="K386" s="230">
        <v>32.14</v>
      </c>
      <c r="L386" s="230">
        <v>31.82</v>
      </c>
      <c r="M386" s="231">
        <v>31.92</v>
      </c>
    </row>
    <row r="387" spans="9:13" ht="17.25" thickBot="1">
      <c r="I387" s="229">
        <v>45370</v>
      </c>
      <c r="J387" s="230">
        <v>31.38</v>
      </c>
      <c r="K387" s="230">
        <v>32.049999999999997</v>
      </c>
      <c r="L387" s="230">
        <v>31.73</v>
      </c>
      <c r="M387" s="231">
        <v>31.83</v>
      </c>
    </row>
    <row r="388" spans="9:13" ht="17.25" thickBot="1">
      <c r="I388" s="229">
        <v>45369</v>
      </c>
      <c r="J388" s="230">
        <v>31.26</v>
      </c>
      <c r="K388" s="230">
        <v>31.93</v>
      </c>
      <c r="L388" s="230">
        <v>31.61</v>
      </c>
      <c r="M388" s="231">
        <v>31.71</v>
      </c>
    </row>
    <row r="389" spans="9:13" ht="17.25" thickBot="1">
      <c r="I389" s="229">
        <v>45366</v>
      </c>
      <c r="J389" s="230">
        <v>31.2</v>
      </c>
      <c r="K389" s="230">
        <v>31.87</v>
      </c>
      <c r="L389" s="230">
        <v>31.55</v>
      </c>
      <c r="M389" s="231">
        <v>31.65</v>
      </c>
    </row>
    <row r="390" spans="9:13" ht="17.25" thickBot="1">
      <c r="I390" s="229">
        <v>45365</v>
      </c>
      <c r="J390" s="230">
        <v>31.1</v>
      </c>
      <c r="K390" s="230">
        <v>31.77</v>
      </c>
      <c r="L390" s="230">
        <v>31.45</v>
      </c>
      <c r="M390" s="231">
        <v>31.55</v>
      </c>
    </row>
    <row r="391" spans="9:13" ht="17.25" thickBot="1">
      <c r="I391" s="229">
        <v>45364</v>
      </c>
      <c r="J391" s="230">
        <v>31.065000000000001</v>
      </c>
      <c r="K391" s="230">
        <v>31.734999999999999</v>
      </c>
      <c r="L391" s="230">
        <v>31.414999999999999</v>
      </c>
      <c r="M391" s="231">
        <v>31.515000000000001</v>
      </c>
    </row>
    <row r="392" spans="9:13" ht="17.25" thickBot="1">
      <c r="I392" s="229">
        <v>45363</v>
      </c>
      <c r="J392" s="230">
        <v>31.02</v>
      </c>
      <c r="K392" s="230">
        <v>31.69</v>
      </c>
      <c r="L392" s="230">
        <v>31.37</v>
      </c>
      <c r="M392" s="231">
        <v>31.47</v>
      </c>
    </row>
    <row r="393" spans="9:13" ht="17.25" thickBot="1">
      <c r="I393" s="229">
        <v>45362</v>
      </c>
      <c r="J393" s="230">
        <v>31.02</v>
      </c>
      <c r="K393" s="230">
        <v>31.69</v>
      </c>
      <c r="L393" s="230">
        <v>31.37</v>
      </c>
      <c r="M393" s="231">
        <v>31.47</v>
      </c>
    </row>
    <row r="394" spans="9:13" ht="17.25" thickBot="1">
      <c r="I394" s="229">
        <v>45359</v>
      </c>
      <c r="J394" s="230">
        <v>31.03</v>
      </c>
      <c r="K394" s="230">
        <v>31.7</v>
      </c>
      <c r="L394" s="230">
        <v>31.38</v>
      </c>
      <c r="M394" s="231">
        <v>31.48</v>
      </c>
    </row>
    <row r="395" spans="9:13" ht="17.25" thickBot="1">
      <c r="I395" s="229">
        <v>45358</v>
      </c>
      <c r="J395" s="230">
        <v>31.14</v>
      </c>
      <c r="K395" s="230">
        <v>31.81</v>
      </c>
      <c r="L395" s="230">
        <v>31.49</v>
      </c>
      <c r="M395" s="231">
        <v>31.59</v>
      </c>
    </row>
    <row r="396" spans="9:13" ht="17.25" thickBot="1">
      <c r="I396" s="229">
        <v>45357</v>
      </c>
      <c r="J396" s="230">
        <v>31.175000000000001</v>
      </c>
      <c r="K396" s="230">
        <v>31.844999999999999</v>
      </c>
      <c r="L396" s="230">
        <v>31.524999999999999</v>
      </c>
      <c r="M396" s="231">
        <v>31.625</v>
      </c>
    </row>
    <row r="397" spans="9:13" ht="17.25" thickBot="1">
      <c r="I397" s="229">
        <v>45356</v>
      </c>
      <c r="J397" s="230">
        <v>31.164999999999999</v>
      </c>
      <c r="K397" s="230">
        <v>31.835000000000001</v>
      </c>
      <c r="L397" s="230">
        <v>31.515000000000001</v>
      </c>
      <c r="M397" s="231">
        <v>31.614999999999998</v>
      </c>
    </row>
    <row r="398" spans="9:13" ht="17.25" thickBot="1">
      <c r="I398" s="229">
        <v>45355</v>
      </c>
      <c r="J398" s="230">
        <v>31.125</v>
      </c>
      <c r="K398" s="230">
        <v>31.795000000000002</v>
      </c>
      <c r="L398" s="230">
        <v>31.475000000000001</v>
      </c>
      <c r="M398" s="231">
        <v>31.574999999999999</v>
      </c>
    </row>
    <row r="399" spans="9:13" ht="17.25" thickBot="1">
      <c r="I399" s="229">
        <v>45352</v>
      </c>
      <c r="J399" s="230">
        <v>31.21</v>
      </c>
      <c r="K399" s="230">
        <v>31.88</v>
      </c>
      <c r="L399" s="230">
        <v>31.56</v>
      </c>
      <c r="M399" s="231">
        <v>31.66</v>
      </c>
    </row>
    <row r="400" spans="9:13" ht="17.25" thickBot="1">
      <c r="I400" s="232">
        <v>45351</v>
      </c>
      <c r="J400" s="233">
        <v>31.18</v>
      </c>
      <c r="K400" s="233">
        <v>31.85</v>
      </c>
      <c r="L400" s="233">
        <v>31.53</v>
      </c>
      <c r="M400" s="234">
        <v>31.63</v>
      </c>
    </row>
    <row r="401" spans="9:13" ht="17.25" thickBot="1">
      <c r="I401" s="229">
        <v>45349</v>
      </c>
      <c r="J401" s="230">
        <v>31.17</v>
      </c>
      <c r="K401" s="230">
        <v>31.84</v>
      </c>
      <c r="L401" s="230">
        <v>31.52</v>
      </c>
      <c r="M401" s="231">
        <v>31.62</v>
      </c>
    </row>
    <row r="402" spans="9:13" ht="17.25" thickBot="1">
      <c r="I402" s="229">
        <v>45348</v>
      </c>
      <c r="J402" s="230">
        <v>31.15</v>
      </c>
      <c r="K402" s="230">
        <v>31.82</v>
      </c>
      <c r="L402" s="230">
        <v>31.5</v>
      </c>
      <c r="M402" s="231">
        <v>31.6</v>
      </c>
    </row>
    <row r="403" spans="9:13" ht="17.25" thickBot="1">
      <c r="I403" s="229">
        <v>45345</v>
      </c>
      <c r="J403" s="230">
        <v>31.155000000000001</v>
      </c>
      <c r="K403" s="230">
        <v>31.824999999999999</v>
      </c>
      <c r="L403" s="230">
        <v>31.504999999999999</v>
      </c>
      <c r="M403" s="231">
        <v>31.605</v>
      </c>
    </row>
    <row r="404" spans="9:13" ht="17.25" thickBot="1">
      <c r="I404" s="229">
        <v>45344</v>
      </c>
      <c r="J404" s="230">
        <v>31.11</v>
      </c>
      <c r="K404" s="230">
        <v>31.78</v>
      </c>
      <c r="L404" s="230">
        <v>31.46</v>
      </c>
      <c r="M404" s="231">
        <v>31.56</v>
      </c>
    </row>
    <row r="405" spans="9:13" ht="17.25" thickBot="1">
      <c r="I405" s="229">
        <v>45343</v>
      </c>
      <c r="J405" s="230">
        <v>31.13</v>
      </c>
      <c r="K405" s="230">
        <v>31.8</v>
      </c>
      <c r="L405" s="230">
        <v>31.48</v>
      </c>
      <c r="M405" s="231">
        <v>31.58</v>
      </c>
    </row>
    <row r="406" spans="9:13" ht="17.25" thickBot="1">
      <c r="I406" s="229">
        <v>45342</v>
      </c>
      <c r="J406" s="230">
        <v>31.1</v>
      </c>
      <c r="K406" s="230">
        <v>31.77</v>
      </c>
      <c r="L406" s="230">
        <v>31.45</v>
      </c>
      <c r="M406" s="231">
        <v>31.55</v>
      </c>
    </row>
    <row r="407" spans="9:13" ht="17.25" thickBot="1">
      <c r="I407" s="235">
        <v>45341</v>
      </c>
      <c r="J407" s="236">
        <v>31</v>
      </c>
      <c r="K407" s="236">
        <v>31.67</v>
      </c>
      <c r="L407" s="236">
        <v>31.35</v>
      </c>
      <c r="M407" s="237">
        <v>31.45</v>
      </c>
    </row>
    <row r="408" spans="9:13" ht="17.25" thickBot="1">
      <c r="I408" s="229">
        <v>45339</v>
      </c>
      <c r="J408" s="230">
        <v>30.984999999999999</v>
      </c>
      <c r="K408" s="230">
        <v>31.655000000000001</v>
      </c>
      <c r="L408" s="230">
        <v>31.335000000000001</v>
      </c>
      <c r="M408" s="231">
        <v>31.434999999999999</v>
      </c>
    </row>
    <row r="409" spans="9:13" ht="17.25" thickBot="1">
      <c r="I409" s="229">
        <v>45338</v>
      </c>
      <c r="J409" s="230">
        <v>30.96</v>
      </c>
      <c r="K409" s="230">
        <v>31.63</v>
      </c>
      <c r="L409" s="230">
        <v>31.31</v>
      </c>
      <c r="M409" s="231">
        <v>31.41</v>
      </c>
    </row>
    <row r="410" spans="9:13" ht="17.25" thickBot="1">
      <c r="I410" s="229">
        <v>45337</v>
      </c>
      <c r="J410" s="230">
        <v>31.03</v>
      </c>
      <c r="K410" s="230">
        <v>31.7</v>
      </c>
      <c r="L410" s="230">
        <v>31.38</v>
      </c>
      <c r="M410" s="231">
        <v>31.48</v>
      </c>
    </row>
    <row r="411" spans="9:13" ht="17.25" thickBot="1">
      <c r="I411" s="229">
        <v>45329</v>
      </c>
      <c r="J411" s="230">
        <v>30.95</v>
      </c>
      <c r="K411" s="230">
        <v>31.62</v>
      </c>
      <c r="L411" s="230">
        <v>31.3</v>
      </c>
      <c r="M411" s="231">
        <v>31.4</v>
      </c>
    </row>
    <row r="412" spans="9:13" ht="17.25" thickBot="1">
      <c r="I412" s="229">
        <v>45328</v>
      </c>
      <c r="J412" s="230">
        <v>30.93</v>
      </c>
      <c r="K412" s="230">
        <v>31.6</v>
      </c>
      <c r="L412" s="230">
        <v>31.28</v>
      </c>
      <c r="M412" s="231">
        <v>31.38</v>
      </c>
    </row>
    <row r="413" spans="9:13" ht="17.25" thickBot="1">
      <c r="I413" s="229">
        <v>45327</v>
      </c>
      <c r="J413" s="230">
        <v>30.97</v>
      </c>
      <c r="K413" s="230">
        <v>31.64</v>
      </c>
      <c r="L413" s="230">
        <v>31.32</v>
      </c>
      <c r="M413" s="231">
        <v>31.42</v>
      </c>
    </row>
    <row r="414" spans="9:13" ht="17.25" thickBot="1">
      <c r="I414" s="229">
        <v>45324</v>
      </c>
      <c r="J414" s="230">
        <v>30.835000000000001</v>
      </c>
      <c r="K414" s="230">
        <v>31.504999999999999</v>
      </c>
      <c r="L414" s="230">
        <v>31.184999999999999</v>
      </c>
      <c r="M414" s="231">
        <v>31.285</v>
      </c>
    </row>
    <row r="415" spans="9:13" ht="17.25" thickBot="1">
      <c r="I415" s="229">
        <v>45323</v>
      </c>
      <c r="J415" s="230">
        <v>30.93</v>
      </c>
      <c r="K415" s="230">
        <v>31.6</v>
      </c>
      <c r="L415" s="230">
        <v>31.28</v>
      </c>
      <c r="M415" s="231">
        <v>31.38</v>
      </c>
    </row>
    <row r="416" spans="9:13" ht="17.25" thickBot="1">
      <c r="I416" s="229">
        <v>45322</v>
      </c>
      <c r="J416" s="230">
        <v>30.89</v>
      </c>
      <c r="K416" s="230">
        <v>31.56</v>
      </c>
      <c r="L416" s="230">
        <v>31.24</v>
      </c>
      <c r="M416" s="231">
        <v>31.34</v>
      </c>
    </row>
    <row r="417" spans="9:13" ht="17.25" thickBot="1">
      <c r="I417" s="229">
        <v>45321</v>
      </c>
      <c r="J417" s="230">
        <v>30.74</v>
      </c>
      <c r="K417" s="230">
        <v>31.41</v>
      </c>
      <c r="L417" s="230">
        <v>31.09</v>
      </c>
      <c r="M417" s="231">
        <v>31.19</v>
      </c>
    </row>
    <row r="418" spans="9:13" ht="17.25" thickBot="1">
      <c r="I418" s="229">
        <v>45320</v>
      </c>
      <c r="J418" s="230">
        <v>30.85</v>
      </c>
      <c r="K418" s="230">
        <v>31.52</v>
      </c>
      <c r="L418" s="230">
        <v>31.2</v>
      </c>
      <c r="M418" s="231">
        <v>31.3</v>
      </c>
    </row>
    <row r="419" spans="9:13" ht="17.25" thickBot="1">
      <c r="I419" s="229">
        <v>45317</v>
      </c>
      <c r="J419" s="230">
        <v>30.89</v>
      </c>
      <c r="K419" s="230">
        <v>31.56</v>
      </c>
      <c r="L419" s="230">
        <v>31.24</v>
      </c>
      <c r="M419" s="231">
        <v>31.34</v>
      </c>
    </row>
    <row r="420" spans="9:13" ht="17.25" thickBot="1">
      <c r="I420" s="229">
        <v>45316</v>
      </c>
      <c r="J420" s="230">
        <v>30.91</v>
      </c>
      <c r="K420" s="230">
        <v>31.58</v>
      </c>
      <c r="L420" s="230">
        <v>31.26</v>
      </c>
      <c r="M420" s="231">
        <v>31.36</v>
      </c>
    </row>
    <row r="421" spans="9:13" ht="17.25" thickBot="1">
      <c r="I421" s="229">
        <v>45315</v>
      </c>
      <c r="J421" s="230">
        <v>30.94</v>
      </c>
      <c r="K421" s="230">
        <v>31.61</v>
      </c>
      <c r="L421" s="230">
        <v>31.29</v>
      </c>
      <c r="M421" s="231">
        <v>31.39</v>
      </c>
    </row>
    <row r="422" spans="9:13" ht="17.25" thickBot="1">
      <c r="I422" s="229">
        <v>45314</v>
      </c>
      <c r="J422" s="230">
        <v>30.925000000000001</v>
      </c>
      <c r="K422" s="230">
        <v>31.594999999999999</v>
      </c>
      <c r="L422" s="230">
        <v>31.274999999999999</v>
      </c>
      <c r="M422" s="231">
        <v>31.375</v>
      </c>
    </row>
    <row r="423" spans="9:13" ht="17.25" thickBot="1">
      <c r="I423" s="229">
        <v>45313</v>
      </c>
      <c r="J423" s="230">
        <v>30.94</v>
      </c>
      <c r="K423" s="230">
        <v>31.61</v>
      </c>
      <c r="L423" s="230">
        <v>31.29</v>
      </c>
      <c r="M423" s="231">
        <v>31.39</v>
      </c>
    </row>
    <row r="424" spans="9:13" ht="17.25" thickBot="1">
      <c r="I424" s="229">
        <v>45310</v>
      </c>
      <c r="J424" s="230">
        <v>31.035</v>
      </c>
      <c r="K424" s="230">
        <v>31.704999999999998</v>
      </c>
      <c r="L424" s="230">
        <v>31.385000000000002</v>
      </c>
      <c r="M424" s="231">
        <v>31.484999999999999</v>
      </c>
    </row>
    <row r="425" spans="9:13" ht="17.25" thickBot="1">
      <c r="I425" s="229">
        <v>45309</v>
      </c>
      <c r="J425" s="230">
        <v>31.175000000000001</v>
      </c>
      <c r="K425" s="230">
        <v>31.844999999999999</v>
      </c>
      <c r="L425" s="230">
        <v>31.524999999999999</v>
      </c>
      <c r="M425" s="231">
        <v>31.625</v>
      </c>
    </row>
    <row r="426" spans="9:13" ht="17.25" thickBot="1">
      <c r="I426" s="229">
        <v>45308</v>
      </c>
      <c r="J426" s="230">
        <v>31.19</v>
      </c>
      <c r="K426" s="230">
        <v>31.86</v>
      </c>
      <c r="L426" s="230">
        <v>31.54</v>
      </c>
      <c r="M426" s="231">
        <v>31.64</v>
      </c>
    </row>
    <row r="427" spans="9:13" ht="17.25" thickBot="1">
      <c r="I427" s="229">
        <v>45307</v>
      </c>
      <c r="J427" s="230">
        <v>30.995000000000001</v>
      </c>
      <c r="K427" s="230">
        <v>31.664999999999999</v>
      </c>
      <c r="L427" s="230">
        <v>31.344999999999999</v>
      </c>
      <c r="M427" s="231">
        <v>31.445</v>
      </c>
    </row>
    <row r="428" spans="9:13" ht="17.25" thickBot="1">
      <c r="I428" s="229">
        <v>45306</v>
      </c>
      <c r="J428" s="230">
        <v>30.82</v>
      </c>
      <c r="K428" s="230">
        <v>31.49</v>
      </c>
      <c r="L428" s="230">
        <v>31.17</v>
      </c>
      <c r="M428" s="231">
        <v>31.27</v>
      </c>
    </row>
    <row r="429" spans="9:13" ht="17.25" thickBot="1">
      <c r="I429" s="229">
        <v>45303</v>
      </c>
      <c r="J429" s="230">
        <v>30.725000000000001</v>
      </c>
      <c r="K429" s="230">
        <v>31.395</v>
      </c>
      <c r="L429" s="230">
        <v>31.074999999999999</v>
      </c>
      <c r="M429" s="231">
        <v>31.175000000000001</v>
      </c>
    </row>
    <row r="430" spans="9:13" ht="17.25" thickBot="1">
      <c r="I430" s="232">
        <v>45302</v>
      </c>
      <c r="J430" s="233">
        <v>30.695</v>
      </c>
      <c r="K430" s="233">
        <v>31.364999999999998</v>
      </c>
      <c r="L430" s="233">
        <v>31.045000000000002</v>
      </c>
      <c r="M430" s="234">
        <v>31.145</v>
      </c>
    </row>
    <row r="431" spans="9:13" ht="17.25" thickBot="1">
      <c r="I431" s="235">
        <v>45301</v>
      </c>
      <c r="J431" s="236">
        <v>30.72</v>
      </c>
      <c r="K431" s="236">
        <v>31.39</v>
      </c>
      <c r="L431" s="236">
        <v>31.07</v>
      </c>
      <c r="M431" s="237">
        <v>31.17</v>
      </c>
    </row>
    <row r="432" spans="9:13" ht="17.25" thickBot="1">
      <c r="I432" s="229">
        <v>45300</v>
      </c>
      <c r="J432" s="230">
        <v>30.62</v>
      </c>
      <c r="K432" s="230">
        <v>31.29</v>
      </c>
      <c r="L432" s="230">
        <v>30.97</v>
      </c>
      <c r="M432" s="231">
        <v>31.07</v>
      </c>
    </row>
    <row r="433" spans="9:13" ht="17.25" thickBot="1">
      <c r="I433" s="229">
        <v>45299</v>
      </c>
      <c r="J433" s="230">
        <v>30.594999999999999</v>
      </c>
      <c r="K433" s="230">
        <v>31.265000000000001</v>
      </c>
      <c r="L433" s="230">
        <v>30.945</v>
      </c>
      <c r="M433" s="231">
        <v>31.045000000000002</v>
      </c>
    </row>
    <row r="434" spans="9:13" ht="17.25" thickBot="1">
      <c r="I434" s="229">
        <v>45296</v>
      </c>
      <c r="J434" s="230">
        <v>30.61</v>
      </c>
      <c r="K434" s="230">
        <v>31.28</v>
      </c>
      <c r="L434" s="230">
        <v>30.96</v>
      </c>
      <c r="M434" s="231">
        <v>31.06</v>
      </c>
    </row>
    <row r="435" spans="9:13" ht="17.25" thickBot="1">
      <c r="I435" s="229">
        <v>45295</v>
      </c>
      <c r="J435" s="230">
        <v>30.594999999999999</v>
      </c>
      <c r="K435" s="230">
        <v>31.265000000000001</v>
      </c>
      <c r="L435" s="230">
        <v>30.945</v>
      </c>
      <c r="M435" s="231">
        <v>31.045000000000002</v>
      </c>
    </row>
    <row r="436" spans="9:13" ht="17.25" thickBot="1">
      <c r="I436" s="229">
        <v>45294</v>
      </c>
      <c r="J436" s="230">
        <v>30.61</v>
      </c>
      <c r="K436" s="230">
        <v>31.28</v>
      </c>
      <c r="L436" s="230">
        <v>30.96</v>
      </c>
      <c r="M436" s="231">
        <v>31.06</v>
      </c>
    </row>
    <row r="437" spans="9:13" ht="17.25" thickBot="1">
      <c r="I437" s="229">
        <v>45293</v>
      </c>
      <c r="J437" s="230">
        <v>30.465</v>
      </c>
      <c r="K437" s="230">
        <v>31.135000000000002</v>
      </c>
      <c r="L437" s="230">
        <v>30.815000000000001</v>
      </c>
      <c r="M437" s="231">
        <v>30.914999999999999</v>
      </c>
    </row>
    <row r="438" spans="9:13" ht="17.25" thickBot="1">
      <c r="I438" s="229">
        <v>45289</v>
      </c>
      <c r="J438" s="230">
        <v>30.305</v>
      </c>
      <c r="K438" s="230">
        <v>30.975000000000001</v>
      </c>
      <c r="L438" s="230">
        <v>30.655000000000001</v>
      </c>
      <c r="M438" s="231">
        <v>30.754999999999999</v>
      </c>
    </row>
    <row r="439" spans="9:13" ht="17.25" thickBot="1">
      <c r="I439" s="229">
        <v>45288</v>
      </c>
      <c r="J439" s="230">
        <v>30.305</v>
      </c>
      <c r="K439" s="230">
        <v>30.975000000000001</v>
      </c>
      <c r="L439" s="230">
        <v>30.655000000000001</v>
      </c>
      <c r="M439" s="231">
        <v>30.754999999999999</v>
      </c>
    </row>
    <row r="440" spans="9:13" ht="17.25" thickBot="1">
      <c r="I440" s="229">
        <v>45287</v>
      </c>
      <c r="J440" s="230">
        <v>30.465</v>
      </c>
      <c r="K440" s="230">
        <v>31.135000000000002</v>
      </c>
      <c r="L440" s="230">
        <v>30.815000000000001</v>
      </c>
      <c r="M440" s="231">
        <v>30.914999999999999</v>
      </c>
    </row>
    <row r="441" spans="9:13" ht="17.25" thickBot="1">
      <c r="I441" s="229">
        <v>45286</v>
      </c>
      <c r="J441" s="230">
        <v>30.655000000000001</v>
      </c>
      <c r="K441" s="230">
        <v>31.324999999999999</v>
      </c>
      <c r="L441" s="230">
        <v>31.004999999999999</v>
      </c>
      <c r="M441" s="231">
        <v>31.105</v>
      </c>
    </row>
    <row r="442" spans="9:13" ht="17.25" thickBot="1">
      <c r="I442" s="229">
        <v>45285</v>
      </c>
      <c r="J442" s="230">
        <v>30.73</v>
      </c>
      <c r="K442" s="230">
        <v>31.4</v>
      </c>
      <c r="L442" s="230">
        <v>31.08</v>
      </c>
      <c r="M442" s="231">
        <v>31.18</v>
      </c>
    </row>
    <row r="443" spans="9:13" ht="17.25" thickBot="1">
      <c r="I443" s="229">
        <v>45282</v>
      </c>
      <c r="J443" s="230">
        <v>30.795000000000002</v>
      </c>
      <c r="K443" s="230">
        <v>31.465</v>
      </c>
      <c r="L443" s="230">
        <v>31.145</v>
      </c>
      <c r="M443" s="231">
        <v>31.245000000000001</v>
      </c>
    </row>
    <row r="444" spans="9:13" ht="17.25" thickBot="1">
      <c r="I444" s="229">
        <v>45281</v>
      </c>
      <c r="J444" s="230">
        <v>30.87</v>
      </c>
      <c r="K444" s="230">
        <v>31.54</v>
      </c>
      <c r="L444" s="230">
        <v>31.22</v>
      </c>
      <c r="M444" s="231">
        <v>31.32</v>
      </c>
    </row>
    <row r="445" spans="9:13" ht="17.25" thickBot="1">
      <c r="I445" s="229">
        <v>45280</v>
      </c>
      <c r="J445" s="230">
        <v>30.9</v>
      </c>
      <c r="K445" s="230">
        <v>31.57</v>
      </c>
      <c r="L445" s="230">
        <v>31.25</v>
      </c>
      <c r="M445" s="231">
        <v>31.35</v>
      </c>
    </row>
    <row r="446" spans="9:13" ht="17.25" thickBot="1">
      <c r="I446" s="229">
        <v>45279</v>
      </c>
      <c r="J446" s="230">
        <v>30.95</v>
      </c>
      <c r="K446" s="230">
        <v>31.62</v>
      </c>
      <c r="L446" s="230">
        <v>31.3</v>
      </c>
      <c r="M446" s="231">
        <v>31.4</v>
      </c>
    </row>
    <row r="447" spans="9:13" ht="17.25" thickBot="1">
      <c r="I447" s="229">
        <v>45278</v>
      </c>
      <c r="J447" s="230">
        <v>30.91</v>
      </c>
      <c r="K447" s="230">
        <v>31.58</v>
      </c>
      <c r="L447" s="230">
        <v>31.26</v>
      </c>
      <c r="M447" s="231">
        <v>31.36</v>
      </c>
    </row>
    <row r="448" spans="9:13" ht="17.25" thickBot="1">
      <c r="I448" s="229">
        <v>45275</v>
      </c>
      <c r="J448" s="230">
        <v>30.835000000000001</v>
      </c>
      <c r="K448" s="230">
        <v>31.504999999999999</v>
      </c>
      <c r="L448" s="230">
        <v>31.184999999999999</v>
      </c>
      <c r="M448" s="231">
        <v>31.285</v>
      </c>
    </row>
    <row r="449" spans="9:13" ht="17.25" thickBot="1">
      <c r="I449" s="229">
        <v>45274</v>
      </c>
      <c r="J449" s="230">
        <v>30.925000000000001</v>
      </c>
      <c r="K449" s="230">
        <v>31.594999999999999</v>
      </c>
      <c r="L449" s="230">
        <v>31.274999999999999</v>
      </c>
      <c r="M449" s="231">
        <v>31.375</v>
      </c>
    </row>
    <row r="450" spans="9:13" ht="17.25" thickBot="1">
      <c r="I450" s="229">
        <v>45273</v>
      </c>
      <c r="J450" s="230">
        <v>31.114999999999998</v>
      </c>
      <c r="K450" s="230">
        <v>31.785</v>
      </c>
      <c r="L450" s="230">
        <v>31.465</v>
      </c>
      <c r="M450" s="231">
        <v>31.565000000000001</v>
      </c>
    </row>
    <row r="451" spans="9:13" ht="17.25" thickBot="1">
      <c r="I451" s="229">
        <v>45272</v>
      </c>
      <c r="J451" s="230">
        <v>31.1</v>
      </c>
      <c r="K451" s="230">
        <v>31.77</v>
      </c>
      <c r="L451" s="230">
        <v>31.45</v>
      </c>
      <c r="M451" s="231">
        <v>31.55</v>
      </c>
    </row>
    <row r="452" spans="9:13" ht="17.25" thickBot="1">
      <c r="I452" s="229">
        <v>45271</v>
      </c>
      <c r="J452" s="230">
        <v>31.1</v>
      </c>
      <c r="K452" s="230">
        <v>31.77</v>
      </c>
      <c r="L452" s="230">
        <v>31.45</v>
      </c>
      <c r="M452" s="231">
        <v>31.55</v>
      </c>
    </row>
    <row r="453" spans="9:13" ht="17.25" thickBot="1">
      <c r="I453" s="229">
        <v>45268</v>
      </c>
      <c r="J453" s="230">
        <v>30.97</v>
      </c>
      <c r="K453" s="230">
        <v>31.64</v>
      </c>
      <c r="L453" s="230">
        <v>31.32</v>
      </c>
      <c r="M453" s="231">
        <v>31.42</v>
      </c>
    </row>
    <row r="454" spans="9:13" ht="17.25" thickBot="1">
      <c r="I454" s="229">
        <v>45267</v>
      </c>
      <c r="J454" s="230">
        <v>31.12</v>
      </c>
      <c r="K454" s="230">
        <v>31.79</v>
      </c>
      <c r="L454" s="230">
        <v>31.47</v>
      </c>
      <c r="M454" s="231">
        <v>31.57</v>
      </c>
    </row>
    <row r="455" spans="9:13" ht="17.25" thickBot="1">
      <c r="I455" s="229">
        <v>45266</v>
      </c>
      <c r="J455" s="230">
        <v>31.094999999999999</v>
      </c>
      <c r="K455" s="230">
        <v>31.765000000000001</v>
      </c>
      <c r="L455" s="230">
        <v>31.445</v>
      </c>
      <c r="M455" s="231">
        <v>31.545000000000002</v>
      </c>
    </row>
    <row r="456" spans="9:13" ht="17.25" thickBot="1">
      <c r="I456" s="229">
        <v>45265</v>
      </c>
      <c r="J456" s="230">
        <v>31.08</v>
      </c>
      <c r="K456" s="230">
        <v>31.75</v>
      </c>
      <c r="L456" s="230">
        <v>31.43</v>
      </c>
      <c r="M456" s="231">
        <v>31.53</v>
      </c>
    </row>
    <row r="457" spans="9:13" ht="17.25" thickBot="1">
      <c r="I457" s="229">
        <v>45264</v>
      </c>
      <c r="J457" s="230">
        <v>31.004999999999999</v>
      </c>
      <c r="K457" s="230">
        <v>31.675000000000001</v>
      </c>
      <c r="L457" s="230">
        <v>31.355</v>
      </c>
      <c r="M457" s="231">
        <v>31.454999999999998</v>
      </c>
    </row>
    <row r="458" spans="9:13" ht="17.25" thickBot="1">
      <c r="I458" s="229">
        <v>45261</v>
      </c>
      <c r="J458" s="230">
        <v>31.07</v>
      </c>
      <c r="K458" s="230">
        <v>31.74</v>
      </c>
      <c r="L458" s="230">
        <v>31.42</v>
      </c>
      <c r="M458" s="231">
        <v>31.52</v>
      </c>
    </row>
    <row r="459" spans="9:13" ht="17.25" thickBot="1">
      <c r="I459" s="229">
        <v>45260</v>
      </c>
      <c r="J459" s="230">
        <v>30.855</v>
      </c>
      <c r="K459" s="230">
        <v>31.524999999999999</v>
      </c>
      <c r="L459" s="230">
        <v>31.204999999999998</v>
      </c>
      <c r="M459" s="231">
        <v>31.305</v>
      </c>
    </row>
    <row r="460" spans="9:13" ht="17.25" thickBot="1">
      <c r="I460" s="232">
        <v>45259</v>
      </c>
      <c r="J460" s="233">
        <v>30.844999999999999</v>
      </c>
      <c r="K460" s="233">
        <v>31.515000000000001</v>
      </c>
      <c r="L460" s="233">
        <v>31.195</v>
      </c>
      <c r="M460" s="234">
        <v>31.295000000000002</v>
      </c>
    </row>
    <row r="461" spans="9:13" ht="17.25" thickBot="1">
      <c r="I461" s="235">
        <v>45258</v>
      </c>
      <c r="J461" s="236">
        <v>31.06</v>
      </c>
      <c r="K461" s="236">
        <v>31.73</v>
      </c>
      <c r="L461" s="236">
        <v>31.41</v>
      </c>
      <c r="M461" s="237">
        <v>31.51</v>
      </c>
    </row>
    <row r="462" spans="9:13" ht="17.25" thickBot="1">
      <c r="I462" s="229">
        <v>45257</v>
      </c>
      <c r="J462" s="230">
        <v>31.16</v>
      </c>
      <c r="K462" s="230">
        <v>31.83</v>
      </c>
      <c r="L462" s="230">
        <v>31.51</v>
      </c>
      <c r="M462" s="231">
        <v>31.61</v>
      </c>
    </row>
    <row r="463" spans="9:13" ht="17.25" thickBot="1">
      <c r="I463" s="229">
        <v>45254</v>
      </c>
      <c r="J463" s="230">
        <v>31.225000000000001</v>
      </c>
      <c r="K463" s="230">
        <v>31.895</v>
      </c>
      <c r="L463" s="230">
        <v>31.574999999999999</v>
      </c>
      <c r="M463" s="231">
        <v>31.675000000000001</v>
      </c>
    </row>
    <row r="464" spans="9:13" ht="17.25" thickBot="1">
      <c r="I464" s="229">
        <v>45253</v>
      </c>
      <c r="J464" s="230">
        <v>31.13</v>
      </c>
      <c r="K464" s="230">
        <v>31.8</v>
      </c>
      <c r="L464" s="230">
        <v>31.48</v>
      </c>
      <c r="M464" s="231">
        <v>31.58</v>
      </c>
    </row>
    <row r="465" spans="9:13" ht="17.25" thickBot="1">
      <c r="I465" s="229">
        <v>45252</v>
      </c>
      <c r="J465" s="230">
        <v>31.195</v>
      </c>
      <c r="K465" s="230">
        <v>31.864999999999998</v>
      </c>
      <c r="L465" s="230">
        <v>31.545000000000002</v>
      </c>
      <c r="M465" s="231">
        <v>31.645</v>
      </c>
    </row>
    <row r="466" spans="9:13" ht="17.25" thickBot="1">
      <c r="I466" s="229">
        <v>45251</v>
      </c>
      <c r="J466" s="230">
        <v>31.024999999999999</v>
      </c>
      <c r="K466" s="230">
        <v>31.695</v>
      </c>
      <c r="L466" s="230">
        <v>31.375</v>
      </c>
      <c r="M466" s="231">
        <v>31.475000000000001</v>
      </c>
    </row>
    <row r="467" spans="9:13" ht="17.25" thickBot="1">
      <c r="I467" s="229">
        <v>45250</v>
      </c>
      <c r="J467" s="230">
        <v>31.24</v>
      </c>
      <c r="K467" s="230">
        <v>31.91</v>
      </c>
      <c r="L467" s="230">
        <v>31.59</v>
      </c>
      <c r="M467" s="231">
        <v>31.69</v>
      </c>
    </row>
    <row r="468" spans="9:13" ht="17.25" thickBot="1">
      <c r="I468" s="229">
        <v>45247</v>
      </c>
      <c r="J468" s="230">
        <v>31.45</v>
      </c>
      <c r="K468" s="230">
        <v>32.119999999999997</v>
      </c>
      <c r="L468" s="230">
        <v>31.8</v>
      </c>
      <c r="M468" s="231">
        <v>31.9</v>
      </c>
    </row>
    <row r="469" spans="9:13" ht="17.25" thickBot="1">
      <c r="I469" s="229">
        <v>45246</v>
      </c>
      <c r="J469" s="230">
        <v>31.61</v>
      </c>
      <c r="K469" s="230">
        <v>32.28</v>
      </c>
      <c r="L469" s="230">
        <v>31.96</v>
      </c>
      <c r="M469" s="231">
        <v>32.06</v>
      </c>
    </row>
    <row r="470" spans="9:13" ht="17.25" thickBot="1">
      <c r="I470" s="229">
        <v>45245</v>
      </c>
      <c r="J470" s="230">
        <v>31.695</v>
      </c>
      <c r="K470" s="230">
        <v>32.365000000000002</v>
      </c>
      <c r="L470" s="230">
        <v>32.045000000000002</v>
      </c>
      <c r="M470" s="231">
        <v>32.145000000000003</v>
      </c>
    </row>
    <row r="471" spans="9:13" ht="17.25" thickBot="1">
      <c r="I471" s="229">
        <v>45244</v>
      </c>
      <c r="J471" s="230">
        <v>31.94</v>
      </c>
      <c r="K471" s="230">
        <v>32.61</v>
      </c>
      <c r="L471" s="230">
        <v>32.29</v>
      </c>
      <c r="M471" s="231">
        <v>32.39</v>
      </c>
    </row>
    <row r="472" spans="9:13" ht="17.25" thickBot="1">
      <c r="I472" s="229">
        <v>45243</v>
      </c>
      <c r="J472" s="230">
        <v>31.934999999999999</v>
      </c>
      <c r="K472" s="230">
        <v>32.604999999999997</v>
      </c>
      <c r="L472" s="230">
        <v>32.284999999999997</v>
      </c>
      <c r="M472" s="231">
        <v>32.384999999999998</v>
      </c>
    </row>
    <row r="473" spans="9:13" ht="17.25" thickBot="1">
      <c r="I473" s="229">
        <v>45240</v>
      </c>
      <c r="J473" s="230">
        <v>31.96</v>
      </c>
      <c r="K473" s="230">
        <v>32.630000000000003</v>
      </c>
      <c r="L473" s="230">
        <v>32.31</v>
      </c>
      <c r="M473" s="231">
        <v>32.409999999999997</v>
      </c>
    </row>
    <row r="474" spans="9:13" ht="17.25" thickBot="1">
      <c r="I474" s="229">
        <v>45239</v>
      </c>
      <c r="J474" s="230">
        <v>31.864999999999998</v>
      </c>
      <c r="K474" s="230">
        <v>32.534999999999997</v>
      </c>
      <c r="L474" s="230">
        <v>32.215000000000003</v>
      </c>
      <c r="M474" s="231">
        <v>32.314999999999998</v>
      </c>
    </row>
    <row r="475" spans="9:13" ht="17.25" thickBot="1">
      <c r="I475" s="229">
        <v>45238</v>
      </c>
      <c r="J475" s="230">
        <v>31.85</v>
      </c>
      <c r="K475" s="230">
        <v>32.520000000000003</v>
      </c>
      <c r="L475" s="230">
        <v>32.200000000000003</v>
      </c>
      <c r="M475" s="231">
        <v>32.299999999999997</v>
      </c>
    </row>
    <row r="476" spans="9:13" ht="17.25" thickBot="1">
      <c r="I476" s="229">
        <v>45237</v>
      </c>
      <c r="J476" s="230">
        <v>31.805</v>
      </c>
      <c r="K476" s="230">
        <v>32.475000000000001</v>
      </c>
      <c r="L476" s="230">
        <v>32.155000000000001</v>
      </c>
      <c r="M476" s="231">
        <v>32.255000000000003</v>
      </c>
    </row>
    <row r="477" spans="9:13" ht="17.25" thickBot="1">
      <c r="I477" s="229">
        <v>45236</v>
      </c>
      <c r="J477" s="230">
        <v>31.75</v>
      </c>
      <c r="K477" s="230">
        <v>32.42</v>
      </c>
      <c r="L477" s="230">
        <v>32.1</v>
      </c>
      <c r="M477" s="231">
        <v>32.200000000000003</v>
      </c>
    </row>
    <row r="478" spans="9:13" ht="17.25" thickBot="1">
      <c r="I478" s="229">
        <v>45233</v>
      </c>
      <c r="J478" s="230">
        <v>31.895</v>
      </c>
      <c r="K478" s="230">
        <v>32.564999999999998</v>
      </c>
      <c r="L478" s="230">
        <v>32.244999999999997</v>
      </c>
      <c r="M478" s="231">
        <v>32.344999999999999</v>
      </c>
    </row>
    <row r="479" spans="9:13" ht="17.25" thickBot="1">
      <c r="I479" s="229">
        <v>45232</v>
      </c>
      <c r="J479" s="230">
        <v>31.965</v>
      </c>
      <c r="K479" s="230">
        <v>32.634999999999998</v>
      </c>
      <c r="L479" s="230">
        <v>32.314999999999998</v>
      </c>
      <c r="M479" s="231">
        <v>32.414999999999999</v>
      </c>
    </row>
    <row r="480" spans="9:13" ht="17.25" thickBot="1">
      <c r="I480" s="229">
        <v>45231</v>
      </c>
      <c r="J480" s="230">
        <v>32.085000000000001</v>
      </c>
      <c r="K480" s="230">
        <v>32.755000000000003</v>
      </c>
      <c r="L480" s="230">
        <v>32.435000000000002</v>
      </c>
      <c r="M480" s="231">
        <v>32.534999999999997</v>
      </c>
    </row>
    <row r="481" spans="9:13" ht="17.25" thickBot="1">
      <c r="I481" s="229">
        <v>45230</v>
      </c>
      <c r="J481" s="230">
        <v>32.024999999999999</v>
      </c>
      <c r="K481" s="230">
        <v>32.695</v>
      </c>
      <c r="L481" s="230">
        <v>32.375</v>
      </c>
      <c r="M481" s="231">
        <v>32.475000000000001</v>
      </c>
    </row>
    <row r="482" spans="9:13" ht="17.25" thickBot="1">
      <c r="I482" s="229">
        <v>45229</v>
      </c>
      <c r="J482" s="230">
        <v>32.034999999999997</v>
      </c>
      <c r="K482" s="230">
        <v>32.704999999999998</v>
      </c>
      <c r="L482" s="230">
        <v>32.384999999999998</v>
      </c>
      <c r="M482" s="231">
        <v>32.484999999999999</v>
      </c>
    </row>
    <row r="483" spans="9:13" ht="17.25" thickBot="1">
      <c r="I483" s="229">
        <v>45226</v>
      </c>
      <c r="J483" s="230">
        <v>32.03</v>
      </c>
      <c r="K483" s="230">
        <v>32.700000000000003</v>
      </c>
      <c r="L483" s="230">
        <v>32.380000000000003</v>
      </c>
      <c r="M483" s="231">
        <v>32.479999999999997</v>
      </c>
    </row>
    <row r="484" spans="9:13" ht="17.25" thickBot="1">
      <c r="I484" s="229">
        <v>45225</v>
      </c>
      <c r="J484" s="230">
        <v>32.049999999999997</v>
      </c>
      <c r="K484" s="230">
        <v>32.72</v>
      </c>
      <c r="L484" s="230">
        <v>32.4</v>
      </c>
      <c r="M484" s="231">
        <v>32.5</v>
      </c>
    </row>
    <row r="485" spans="9:13" ht="17.25" thickBot="1">
      <c r="I485" s="229">
        <v>45224</v>
      </c>
      <c r="J485" s="230">
        <v>31.96</v>
      </c>
      <c r="K485" s="230">
        <v>32.630000000000003</v>
      </c>
      <c r="L485" s="230">
        <v>32.31</v>
      </c>
      <c r="M485" s="231">
        <v>32.409999999999997</v>
      </c>
    </row>
    <row r="486" spans="9:13" ht="17.25" thickBot="1">
      <c r="I486" s="229">
        <v>45223</v>
      </c>
      <c r="J486" s="230">
        <v>31.92</v>
      </c>
      <c r="K486" s="230">
        <v>32.590000000000003</v>
      </c>
      <c r="L486" s="230">
        <v>32.270000000000003</v>
      </c>
      <c r="M486" s="231">
        <v>32.369999999999997</v>
      </c>
    </row>
    <row r="487" spans="9:13" ht="17.25" thickBot="1">
      <c r="I487" s="229">
        <v>45222</v>
      </c>
      <c r="J487" s="230">
        <v>31.954999999999998</v>
      </c>
      <c r="K487" s="230">
        <v>32.625</v>
      </c>
      <c r="L487" s="230">
        <v>32.305</v>
      </c>
      <c r="M487" s="231">
        <v>32.405000000000001</v>
      </c>
    </row>
    <row r="488" spans="9:13" ht="17.25" thickBot="1">
      <c r="I488" s="229">
        <v>45219</v>
      </c>
      <c r="J488" s="230">
        <v>31.93</v>
      </c>
      <c r="K488" s="230">
        <v>32.6</v>
      </c>
      <c r="L488" s="230">
        <v>32.28</v>
      </c>
      <c r="M488" s="231">
        <v>32.380000000000003</v>
      </c>
    </row>
    <row r="489" spans="9:13" ht="17.25" thickBot="1">
      <c r="I489" s="229">
        <v>45218</v>
      </c>
      <c r="J489" s="230">
        <v>31.925000000000001</v>
      </c>
      <c r="K489" s="230">
        <v>32.594999999999999</v>
      </c>
      <c r="L489" s="230">
        <v>32.274999999999999</v>
      </c>
      <c r="M489" s="231">
        <v>32.375</v>
      </c>
    </row>
    <row r="490" spans="9:13" ht="17.25" thickBot="1">
      <c r="I490" s="232">
        <v>45217</v>
      </c>
      <c r="J490" s="233">
        <v>31.9</v>
      </c>
      <c r="K490" s="233">
        <v>32.57</v>
      </c>
      <c r="L490" s="233">
        <v>32.25</v>
      </c>
      <c r="M490" s="234">
        <v>32.35</v>
      </c>
    </row>
    <row r="491" spans="9:13" ht="17.25" thickBot="1">
      <c r="I491" s="229">
        <v>45216</v>
      </c>
      <c r="J491" s="230">
        <v>31.9</v>
      </c>
      <c r="K491" s="230">
        <v>32.57</v>
      </c>
      <c r="L491" s="230">
        <v>32.25</v>
      </c>
      <c r="M491" s="231">
        <v>32.35</v>
      </c>
    </row>
    <row r="492" spans="9:13" ht="17.25" thickBot="1">
      <c r="I492" s="229">
        <v>45215</v>
      </c>
      <c r="J492" s="230">
        <v>31.88</v>
      </c>
      <c r="K492" s="230">
        <v>32.549999999999997</v>
      </c>
      <c r="L492" s="230">
        <v>32.229999999999997</v>
      </c>
      <c r="M492" s="231">
        <v>32.33</v>
      </c>
    </row>
    <row r="493" spans="9:13" ht="17.25" thickBot="1">
      <c r="I493" s="229">
        <v>45212</v>
      </c>
      <c r="J493" s="230">
        <v>31.824999999999999</v>
      </c>
      <c r="K493" s="230">
        <v>32.494999999999997</v>
      </c>
      <c r="L493" s="230">
        <v>32.174999999999997</v>
      </c>
      <c r="M493" s="231">
        <v>32.274999999999999</v>
      </c>
    </row>
    <row r="494" spans="9:13" ht="17.25" thickBot="1">
      <c r="I494" s="229">
        <v>45211</v>
      </c>
      <c r="J494" s="230">
        <v>31.725000000000001</v>
      </c>
      <c r="K494" s="230">
        <v>32.395000000000003</v>
      </c>
      <c r="L494" s="230">
        <v>32.075000000000003</v>
      </c>
      <c r="M494" s="231">
        <v>32.174999999999997</v>
      </c>
    </row>
    <row r="495" spans="9:13" ht="17.25" thickBot="1">
      <c r="I495" s="229">
        <v>45210</v>
      </c>
      <c r="J495" s="230">
        <v>31.71</v>
      </c>
      <c r="K495" s="230">
        <v>32.380000000000003</v>
      </c>
      <c r="L495" s="230">
        <v>32.06</v>
      </c>
      <c r="M495" s="231">
        <v>32.159999999999997</v>
      </c>
    </row>
    <row r="496" spans="9:13" ht="17.25" thickBot="1">
      <c r="I496" s="235">
        <v>45205</v>
      </c>
      <c r="J496" s="236">
        <v>31.815000000000001</v>
      </c>
      <c r="K496" s="236">
        <v>32.484999999999999</v>
      </c>
      <c r="L496" s="236">
        <v>32.164999999999999</v>
      </c>
      <c r="M496" s="237">
        <v>32.265000000000001</v>
      </c>
    </row>
    <row r="497" spans="9:13" ht="17.25" thickBot="1">
      <c r="I497" s="229">
        <v>45204</v>
      </c>
      <c r="J497" s="230">
        <v>31.875</v>
      </c>
      <c r="K497" s="230">
        <v>32.545000000000002</v>
      </c>
      <c r="L497" s="230">
        <v>32.225000000000001</v>
      </c>
      <c r="M497" s="231">
        <v>32.325000000000003</v>
      </c>
    </row>
    <row r="498" spans="9:13" ht="17.25" thickBot="1">
      <c r="I498" s="229">
        <v>45203</v>
      </c>
      <c r="J498" s="230">
        <v>31.93</v>
      </c>
      <c r="K498" s="230">
        <v>32.6</v>
      </c>
      <c r="L498" s="230">
        <v>32.28</v>
      </c>
      <c r="M498" s="231">
        <v>32.380000000000003</v>
      </c>
    </row>
    <row r="499" spans="9:13" ht="17.25" thickBot="1">
      <c r="I499" s="229">
        <v>45202</v>
      </c>
      <c r="J499" s="230">
        <v>31.934999999999999</v>
      </c>
      <c r="K499" s="230">
        <v>32.604999999999997</v>
      </c>
      <c r="L499" s="230">
        <v>32.284999999999997</v>
      </c>
      <c r="M499" s="231">
        <v>32.384999999999998</v>
      </c>
    </row>
    <row r="500" spans="9:13" ht="17.25" thickBot="1">
      <c r="I500" s="229">
        <v>45201</v>
      </c>
      <c r="J500" s="230">
        <v>31.85</v>
      </c>
      <c r="K500" s="230">
        <v>32.520000000000003</v>
      </c>
      <c r="L500" s="230">
        <v>32.200000000000003</v>
      </c>
      <c r="M500" s="231">
        <v>32.299999999999997</v>
      </c>
    </row>
    <row r="501" spans="9:13" ht="17.25" thickBot="1">
      <c r="I501" s="229">
        <v>45197</v>
      </c>
      <c r="J501" s="230">
        <v>31.87</v>
      </c>
      <c r="K501" s="230">
        <v>32.54</v>
      </c>
      <c r="L501" s="230">
        <v>32.22</v>
      </c>
      <c r="M501" s="231">
        <v>32.32</v>
      </c>
    </row>
    <row r="502" spans="9:13" ht="17.25" thickBot="1">
      <c r="I502" s="229">
        <v>45196</v>
      </c>
      <c r="J502" s="230">
        <v>31.844999999999999</v>
      </c>
      <c r="K502" s="230">
        <v>32.515000000000001</v>
      </c>
      <c r="L502" s="230">
        <v>32.195</v>
      </c>
      <c r="M502" s="231">
        <v>32.295000000000002</v>
      </c>
    </row>
    <row r="503" spans="9:13" ht="17.25" thickBot="1">
      <c r="I503" s="229">
        <v>45195</v>
      </c>
      <c r="J503" s="230">
        <v>31.83</v>
      </c>
      <c r="K503" s="230">
        <v>32.5</v>
      </c>
      <c r="L503" s="230">
        <v>32.18</v>
      </c>
      <c r="M503" s="231">
        <v>32.28</v>
      </c>
    </row>
    <row r="504" spans="9:13" ht="17.25" thickBot="1">
      <c r="I504" s="229">
        <v>45194</v>
      </c>
      <c r="J504" s="230">
        <v>31.76</v>
      </c>
      <c r="K504" s="230">
        <v>32.43</v>
      </c>
      <c r="L504" s="230">
        <v>32.11</v>
      </c>
      <c r="M504" s="231">
        <v>32.21</v>
      </c>
    </row>
    <row r="505" spans="9:13" ht="17.25" thickBot="1">
      <c r="I505" s="229">
        <v>45192</v>
      </c>
      <c r="J505" s="230">
        <v>31.715</v>
      </c>
      <c r="K505" s="230">
        <v>32.384999999999998</v>
      </c>
      <c r="L505" s="230">
        <v>32.064999999999998</v>
      </c>
      <c r="M505" s="231">
        <v>32.164999999999999</v>
      </c>
    </row>
    <row r="506" spans="9:13" ht="17.25" thickBot="1">
      <c r="I506" s="229">
        <v>45191</v>
      </c>
      <c r="J506" s="230">
        <v>31.73</v>
      </c>
      <c r="K506" s="230">
        <v>32.4</v>
      </c>
      <c r="L506" s="230">
        <v>32.08</v>
      </c>
      <c r="M506" s="231">
        <v>32.18</v>
      </c>
    </row>
    <row r="507" spans="9:13" ht="17.25" thickBot="1">
      <c r="I507" s="229">
        <v>45190</v>
      </c>
      <c r="J507" s="230">
        <v>31.71</v>
      </c>
      <c r="K507" s="230">
        <v>32.380000000000003</v>
      </c>
      <c r="L507" s="230">
        <v>32.06</v>
      </c>
      <c r="M507" s="231">
        <v>32.159999999999997</v>
      </c>
    </row>
    <row r="508" spans="9:13" ht="17.25" thickBot="1">
      <c r="I508" s="229">
        <v>45189</v>
      </c>
      <c r="J508" s="230">
        <v>31.62</v>
      </c>
      <c r="K508" s="230">
        <v>32.29</v>
      </c>
      <c r="L508" s="230">
        <v>31.97</v>
      </c>
      <c r="M508" s="231">
        <v>32.07</v>
      </c>
    </row>
    <row r="509" spans="9:13" ht="17.25" thickBot="1">
      <c r="I509" s="229">
        <v>45188</v>
      </c>
      <c r="J509" s="230">
        <v>31.594999999999999</v>
      </c>
      <c r="K509" s="230">
        <v>32.265000000000001</v>
      </c>
      <c r="L509" s="230">
        <v>31.945</v>
      </c>
      <c r="M509" s="231">
        <v>32.045000000000002</v>
      </c>
    </row>
    <row r="510" spans="9:13" ht="17.25" thickBot="1">
      <c r="I510" s="229">
        <v>45187</v>
      </c>
      <c r="J510" s="230">
        <v>31.58</v>
      </c>
      <c r="K510" s="230">
        <v>32.25</v>
      </c>
      <c r="L510" s="230">
        <v>31.93</v>
      </c>
      <c r="M510" s="231">
        <v>32.03</v>
      </c>
    </row>
    <row r="511" spans="9:13" ht="17.25" thickBot="1">
      <c r="I511" s="229">
        <v>45184</v>
      </c>
      <c r="J511" s="230">
        <v>31.524999999999999</v>
      </c>
      <c r="K511" s="230">
        <v>32.195</v>
      </c>
      <c r="L511" s="230">
        <v>31.875</v>
      </c>
      <c r="M511" s="231">
        <v>31.975000000000001</v>
      </c>
    </row>
    <row r="512" spans="9:13" ht="17.25" thickBot="1">
      <c r="I512" s="229">
        <v>45183</v>
      </c>
      <c r="J512" s="230">
        <v>31.504999999999999</v>
      </c>
      <c r="K512" s="230">
        <v>32.174999999999997</v>
      </c>
      <c r="L512" s="230">
        <v>31.855</v>
      </c>
      <c r="M512" s="231">
        <v>31.954999999999998</v>
      </c>
    </row>
    <row r="513" spans="9:13" ht="17.25" thickBot="1">
      <c r="I513" s="229">
        <v>45182</v>
      </c>
      <c r="J513" s="230">
        <v>31.58</v>
      </c>
      <c r="K513" s="230">
        <v>32.25</v>
      </c>
      <c r="L513" s="230">
        <v>31.93</v>
      </c>
      <c r="M513" s="231">
        <v>32.03</v>
      </c>
    </row>
    <row r="514" spans="9:13" ht="17.25" thickBot="1">
      <c r="I514" s="229">
        <v>45181</v>
      </c>
      <c r="J514" s="230">
        <v>31.63</v>
      </c>
      <c r="K514" s="230">
        <v>32.299999999999997</v>
      </c>
      <c r="L514" s="230">
        <v>31.98</v>
      </c>
      <c r="M514" s="231">
        <v>32.08</v>
      </c>
    </row>
    <row r="515" spans="9:13" ht="17.25" thickBot="1">
      <c r="I515" s="229">
        <v>45180</v>
      </c>
      <c r="J515" s="230">
        <v>31.594999999999999</v>
      </c>
      <c r="K515" s="230">
        <v>32.265000000000001</v>
      </c>
      <c r="L515" s="230">
        <v>31.945</v>
      </c>
      <c r="M515" s="231">
        <v>32.045000000000002</v>
      </c>
    </row>
    <row r="516" spans="9:13" ht="17.25" thickBot="1">
      <c r="I516" s="229">
        <v>45177</v>
      </c>
      <c r="J516" s="230">
        <v>31.605</v>
      </c>
      <c r="K516" s="230">
        <v>32.274999999999999</v>
      </c>
      <c r="L516" s="230">
        <v>31.954999999999998</v>
      </c>
      <c r="M516" s="231">
        <v>32.055</v>
      </c>
    </row>
    <row r="517" spans="9:13" ht="17.25" thickBot="1">
      <c r="I517" s="229">
        <v>45176</v>
      </c>
      <c r="J517" s="230">
        <v>31.594999999999999</v>
      </c>
      <c r="K517" s="230">
        <v>32.265000000000001</v>
      </c>
      <c r="L517" s="230">
        <v>31.945</v>
      </c>
      <c r="M517" s="231">
        <v>32.045000000000002</v>
      </c>
    </row>
    <row r="518" spans="9:13" ht="17.25" thickBot="1">
      <c r="I518" s="229">
        <v>45175</v>
      </c>
      <c r="J518" s="230">
        <v>31.565000000000001</v>
      </c>
      <c r="K518" s="230">
        <v>32.234999999999999</v>
      </c>
      <c r="L518" s="230">
        <v>31.914999999999999</v>
      </c>
      <c r="M518" s="231">
        <v>32.015000000000001</v>
      </c>
    </row>
    <row r="519" spans="9:13" ht="17.25" thickBot="1">
      <c r="I519" s="229">
        <v>45174</v>
      </c>
      <c r="J519" s="230">
        <v>31.495000000000001</v>
      </c>
      <c r="K519" s="230">
        <v>32.164999999999999</v>
      </c>
      <c r="L519" s="230">
        <v>31.844999999999999</v>
      </c>
      <c r="M519" s="231">
        <v>31.945</v>
      </c>
    </row>
    <row r="520" spans="9:13" ht="17.25" thickBot="1">
      <c r="I520" s="232">
        <v>45173</v>
      </c>
      <c r="J520" s="233">
        <v>31.48</v>
      </c>
      <c r="K520" s="233">
        <v>32.15</v>
      </c>
      <c r="L520" s="233">
        <v>31.83</v>
      </c>
      <c r="M520" s="234">
        <v>31.93</v>
      </c>
    </row>
    <row r="521" spans="9:13" ht="17.25" thickBot="1">
      <c r="I521" s="235">
        <v>45170</v>
      </c>
      <c r="J521" s="236">
        <v>31.46</v>
      </c>
      <c r="K521" s="236">
        <v>32.130000000000003</v>
      </c>
      <c r="L521" s="236">
        <v>31.81</v>
      </c>
      <c r="M521" s="237">
        <v>31.91</v>
      </c>
    </row>
    <row r="522" spans="9:13" ht="17.25" thickBot="1">
      <c r="I522" s="229">
        <v>45169</v>
      </c>
      <c r="J522" s="230">
        <v>31.46</v>
      </c>
      <c r="K522" s="230">
        <v>32.130000000000003</v>
      </c>
      <c r="L522" s="230">
        <v>31.81</v>
      </c>
      <c r="M522" s="231">
        <v>31.91</v>
      </c>
    </row>
    <row r="523" spans="9:13" ht="17.25" thickBot="1">
      <c r="I523" s="229">
        <v>45168</v>
      </c>
      <c r="J523" s="230">
        <v>31.46</v>
      </c>
      <c r="K523" s="230">
        <v>32.130000000000003</v>
      </c>
      <c r="L523" s="230">
        <v>31.81</v>
      </c>
      <c r="M523" s="231">
        <v>31.91</v>
      </c>
    </row>
    <row r="524" spans="9:13" ht="17.25" thickBot="1">
      <c r="I524" s="229">
        <v>45167</v>
      </c>
      <c r="J524" s="230">
        <v>31.484999999999999</v>
      </c>
      <c r="K524" s="230">
        <v>32.155000000000001</v>
      </c>
      <c r="L524" s="230">
        <v>31.835000000000001</v>
      </c>
      <c r="M524" s="231">
        <v>31.934999999999999</v>
      </c>
    </row>
    <row r="525" spans="9:13" ht="17.25" thickBot="1">
      <c r="I525" s="229">
        <v>45166</v>
      </c>
      <c r="J525" s="230">
        <v>31.48</v>
      </c>
      <c r="K525" s="230">
        <v>32.15</v>
      </c>
      <c r="L525" s="230">
        <v>31.83</v>
      </c>
      <c r="M525" s="231">
        <v>31.93</v>
      </c>
    </row>
    <row r="526" spans="9:13" ht="17.25" thickBot="1">
      <c r="I526" s="229">
        <v>45163</v>
      </c>
      <c r="J526" s="230">
        <v>31.45</v>
      </c>
      <c r="K526" s="230">
        <v>32.119999999999997</v>
      </c>
      <c r="L526" s="230">
        <v>31.8</v>
      </c>
      <c r="M526" s="231">
        <v>31.9</v>
      </c>
    </row>
    <row r="527" spans="9:13" ht="17.25" thickBot="1">
      <c r="I527" s="229">
        <v>45162</v>
      </c>
      <c r="J527" s="230">
        <v>31.385000000000002</v>
      </c>
      <c r="K527" s="230">
        <v>32.055</v>
      </c>
      <c r="L527" s="230">
        <v>31.734999999999999</v>
      </c>
      <c r="M527" s="231">
        <v>31.835000000000001</v>
      </c>
    </row>
    <row r="528" spans="9:13" ht="17.25" thickBot="1">
      <c r="I528" s="229">
        <v>45161</v>
      </c>
      <c r="J528" s="230">
        <v>31.53</v>
      </c>
      <c r="K528" s="230">
        <v>32.200000000000003</v>
      </c>
      <c r="L528" s="230">
        <v>31.88</v>
      </c>
      <c r="M528" s="231">
        <v>31.98</v>
      </c>
    </row>
    <row r="529" spans="9:13" ht="17.25" thickBot="1">
      <c r="I529" s="229">
        <v>45160</v>
      </c>
      <c r="J529" s="230">
        <v>31.54</v>
      </c>
      <c r="K529" s="230">
        <v>32.21</v>
      </c>
      <c r="L529" s="230">
        <v>31.89</v>
      </c>
      <c r="M529" s="231">
        <v>31.99</v>
      </c>
    </row>
    <row r="530" spans="9:13" ht="17.25" thickBot="1">
      <c r="I530" s="229">
        <v>45159</v>
      </c>
      <c r="J530" s="230">
        <v>31.57</v>
      </c>
      <c r="K530" s="230">
        <v>32.24</v>
      </c>
      <c r="L530" s="230">
        <v>31.92</v>
      </c>
      <c r="M530" s="231">
        <v>32.020000000000003</v>
      </c>
    </row>
    <row r="531" spans="9:13" ht="17.25" thickBot="1">
      <c r="I531" s="229">
        <v>45156</v>
      </c>
      <c r="J531" s="230">
        <v>31.55</v>
      </c>
      <c r="K531" s="230">
        <v>32.22</v>
      </c>
      <c r="L531" s="230">
        <v>31.9</v>
      </c>
      <c r="M531" s="231">
        <v>32</v>
      </c>
    </row>
    <row r="532" spans="9:13" ht="17.25" thickBot="1">
      <c r="I532" s="229">
        <v>45155</v>
      </c>
      <c r="J532" s="230">
        <v>31.574999999999999</v>
      </c>
      <c r="K532" s="230">
        <v>32.244999999999997</v>
      </c>
      <c r="L532" s="230">
        <v>31.925000000000001</v>
      </c>
      <c r="M532" s="231">
        <v>32.024999999999999</v>
      </c>
    </row>
    <row r="533" spans="9:13" ht="17.25" thickBot="1">
      <c r="I533" s="229">
        <v>45154</v>
      </c>
      <c r="J533" s="230">
        <v>31.495000000000001</v>
      </c>
      <c r="K533" s="230">
        <v>32.164999999999999</v>
      </c>
      <c r="L533" s="230">
        <v>31.844999999999999</v>
      </c>
      <c r="M533" s="231">
        <v>31.945</v>
      </c>
    </row>
    <row r="534" spans="9:13" ht="17.25" thickBot="1">
      <c r="I534" s="229">
        <v>45153</v>
      </c>
      <c r="J534" s="230">
        <v>31.524999999999999</v>
      </c>
      <c r="K534" s="230">
        <v>32.195</v>
      </c>
      <c r="L534" s="230">
        <v>31.875</v>
      </c>
      <c r="M534" s="231">
        <v>31.975000000000001</v>
      </c>
    </row>
    <row r="535" spans="9:13" ht="17.25" thickBot="1">
      <c r="I535" s="229">
        <v>45152</v>
      </c>
      <c r="J535" s="230">
        <v>31.53</v>
      </c>
      <c r="K535" s="230">
        <v>32.200000000000003</v>
      </c>
      <c r="L535" s="230">
        <v>31.88</v>
      </c>
      <c r="M535" s="231">
        <v>31.98</v>
      </c>
    </row>
    <row r="536" spans="9:13" ht="17.25" thickBot="1">
      <c r="I536" s="229">
        <v>45149</v>
      </c>
      <c r="J536" s="230">
        <v>31.4</v>
      </c>
      <c r="K536" s="230">
        <v>32.07</v>
      </c>
      <c r="L536" s="230">
        <v>31.75</v>
      </c>
      <c r="M536" s="231">
        <v>31.85</v>
      </c>
    </row>
    <row r="537" spans="9:13" ht="17.25" thickBot="1">
      <c r="I537" s="229">
        <v>45148</v>
      </c>
      <c r="J537" s="230">
        <v>31.364999999999998</v>
      </c>
      <c r="K537" s="230">
        <v>32.034999999999997</v>
      </c>
      <c r="L537" s="230">
        <v>31.715</v>
      </c>
      <c r="M537" s="231">
        <v>31.815000000000001</v>
      </c>
    </row>
    <row r="538" spans="9:13" ht="17.25" thickBot="1">
      <c r="I538" s="229">
        <v>45147</v>
      </c>
      <c r="J538" s="230">
        <v>31.34</v>
      </c>
      <c r="K538" s="230">
        <v>32.01</v>
      </c>
      <c r="L538" s="230">
        <v>31.69</v>
      </c>
      <c r="M538" s="231">
        <v>31.79</v>
      </c>
    </row>
    <row r="539" spans="9:13" ht="17.25" thickBot="1">
      <c r="I539" s="229">
        <v>45146</v>
      </c>
      <c r="J539" s="230">
        <v>31.41</v>
      </c>
      <c r="K539" s="230">
        <v>32.08</v>
      </c>
      <c r="L539" s="230">
        <v>31.76</v>
      </c>
      <c r="M539" s="231">
        <v>31.86</v>
      </c>
    </row>
    <row r="540" spans="9:13" ht="17.25" thickBot="1">
      <c r="I540" s="229">
        <v>45145</v>
      </c>
      <c r="J540" s="230">
        <v>31.27</v>
      </c>
      <c r="K540" s="230">
        <v>31.94</v>
      </c>
      <c r="L540" s="230">
        <v>31.62</v>
      </c>
      <c r="M540" s="231">
        <v>31.72</v>
      </c>
    </row>
    <row r="541" spans="9:13" ht="17.25" thickBot="1">
      <c r="I541" s="229">
        <v>45142</v>
      </c>
      <c r="J541" s="230">
        <v>31.29</v>
      </c>
      <c r="K541" s="230">
        <v>31.96</v>
      </c>
      <c r="L541" s="230">
        <v>31.64</v>
      </c>
      <c r="M541" s="231">
        <v>31.74</v>
      </c>
    </row>
    <row r="542" spans="9:13" ht="17.25" thickBot="1">
      <c r="I542" s="229">
        <v>45141</v>
      </c>
      <c r="J542" s="230">
        <v>31.234999999999999</v>
      </c>
      <c r="K542" s="230">
        <v>31.905000000000001</v>
      </c>
      <c r="L542" s="230">
        <v>31.585000000000001</v>
      </c>
      <c r="M542" s="231">
        <v>31.684999999999999</v>
      </c>
    </row>
    <row r="543" spans="9:13" ht="17.25" thickBot="1">
      <c r="I543" s="229">
        <v>45140</v>
      </c>
      <c r="J543" s="230">
        <v>31.225000000000001</v>
      </c>
      <c r="K543" s="230">
        <v>31.895</v>
      </c>
      <c r="L543" s="230">
        <v>31.574999999999999</v>
      </c>
      <c r="M543" s="231">
        <v>31.675000000000001</v>
      </c>
    </row>
    <row r="544" spans="9:13" ht="17.25" thickBot="1">
      <c r="I544" s="229">
        <v>45139</v>
      </c>
      <c r="J544" s="230">
        <v>31.11</v>
      </c>
      <c r="K544" s="230">
        <v>31.78</v>
      </c>
      <c r="L544" s="230">
        <v>31.46</v>
      </c>
      <c r="M544" s="231">
        <v>31.56</v>
      </c>
    </row>
    <row r="545" spans="9:13" ht="17.25" thickBot="1">
      <c r="I545" s="229">
        <v>45138</v>
      </c>
      <c r="J545" s="230">
        <v>31.02</v>
      </c>
      <c r="K545" s="230">
        <v>31.69</v>
      </c>
      <c r="L545" s="230">
        <v>31.37</v>
      </c>
      <c r="M545" s="231">
        <v>31.47</v>
      </c>
    </row>
    <row r="546" spans="9:13" ht="17.25" thickBot="1">
      <c r="I546" s="229">
        <v>45135</v>
      </c>
      <c r="J546" s="230">
        <v>30.995000000000001</v>
      </c>
      <c r="K546" s="230">
        <v>31.664999999999999</v>
      </c>
      <c r="L546" s="230">
        <v>31.344999999999999</v>
      </c>
      <c r="M546" s="231">
        <v>31.445</v>
      </c>
    </row>
    <row r="547" spans="9:13" ht="17.25" thickBot="1">
      <c r="I547" s="229">
        <v>45134</v>
      </c>
      <c r="J547" s="230">
        <v>30.824999999999999</v>
      </c>
      <c r="K547" s="230">
        <v>31.495000000000001</v>
      </c>
      <c r="L547" s="230">
        <v>31.175000000000001</v>
      </c>
      <c r="M547" s="231">
        <v>31.274999999999999</v>
      </c>
    </row>
    <row r="548" spans="9:13" ht="17.25" thickBot="1">
      <c r="I548" s="229">
        <v>45133</v>
      </c>
      <c r="J548" s="230">
        <v>30.835000000000001</v>
      </c>
      <c r="K548" s="230">
        <v>31.504999999999999</v>
      </c>
      <c r="L548" s="230">
        <v>31.184999999999999</v>
      </c>
      <c r="M548" s="231">
        <v>31.285</v>
      </c>
    </row>
    <row r="549" spans="9:13" ht="17.25" thickBot="1">
      <c r="I549" s="229">
        <v>45132</v>
      </c>
      <c r="J549" s="230">
        <v>30.905000000000001</v>
      </c>
      <c r="K549" s="230">
        <v>31.574999999999999</v>
      </c>
      <c r="L549" s="230">
        <v>31.254999999999999</v>
      </c>
      <c r="M549" s="231">
        <v>31.355</v>
      </c>
    </row>
    <row r="550" spans="9:13" ht="17.25" thickBot="1">
      <c r="I550" s="232">
        <v>45131</v>
      </c>
      <c r="J550" s="233">
        <v>30.96</v>
      </c>
      <c r="K550" s="233">
        <v>31.63</v>
      </c>
      <c r="L550" s="233">
        <v>31.31</v>
      </c>
      <c r="M550" s="234">
        <v>31.41</v>
      </c>
    </row>
    <row r="551" spans="9:13" ht="17.25" thickBot="1">
      <c r="I551" s="229">
        <v>45128</v>
      </c>
      <c r="J551" s="230">
        <v>30.835000000000001</v>
      </c>
      <c r="K551" s="230">
        <v>31.504999999999999</v>
      </c>
      <c r="L551" s="230">
        <v>31.184999999999999</v>
      </c>
      <c r="M551" s="231">
        <v>31.285</v>
      </c>
    </row>
    <row r="552" spans="9:13" ht="17.25" thickBot="1">
      <c r="I552" s="229">
        <v>45127</v>
      </c>
      <c r="J552" s="230">
        <v>30.67</v>
      </c>
      <c r="K552" s="230">
        <v>31.34</v>
      </c>
      <c r="L552" s="230">
        <v>31.02</v>
      </c>
      <c r="M552" s="231">
        <v>31.12</v>
      </c>
    </row>
    <row r="553" spans="9:13" ht="17.25" thickBot="1">
      <c r="I553" s="229">
        <v>45126</v>
      </c>
      <c r="J553" s="230">
        <v>30.66</v>
      </c>
      <c r="K553" s="230">
        <v>31.33</v>
      </c>
      <c r="L553" s="230">
        <v>31.01</v>
      </c>
      <c r="M553" s="231">
        <v>31.11</v>
      </c>
    </row>
    <row r="554" spans="9:13" ht="17.25" thickBot="1">
      <c r="I554" s="229">
        <v>45125</v>
      </c>
      <c r="J554" s="230">
        <v>30.585000000000001</v>
      </c>
      <c r="K554" s="230">
        <v>31.254999999999999</v>
      </c>
      <c r="L554" s="230">
        <v>30.934999999999999</v>
      </c>
      <c r="M554" s="231">
        <v>31.035</v>
      </c>
    </row>
    <row r="555" spans="9:13" ht="17.25" thickBot="1">
      <c r="I555" s="229">
        <v>45124</v>
      </c>
      <c r="J555" s="230">
        <v>30.645</v>
      </c>
      <c r="K555" s="230">
        <v>31.315000000000001</v>
      </c>
      <c r="L555" s="230">
        <v>30.995000000000001</v>
      </c>
      <c r="M555" s="231">
        <v>31.094999999999999</v>
      </c>
    </row>
    <row r="556" spans="9:13" ht="17.25" thickBot="1">
      <c r="I556" s="229">
        <v>45121</v>
      </c>
      <c r="J556" s="230">
        <v>30.484999999999999</v>
      </c>
      <c r="K556" s="230">
        <v>31.155000000000001</v>
      </c>
      <c r="L556" s="230">
        <v>30.835000000000001</v>
      </c>
      <c r="M556" s="231">
        <v>30.934999999999999</v>
      </c>
    </row>
    <row r="557" spans="9:13" ht="17.25" thickBot="1">
      <c r="I557" s="229">
        <v>45120</v>
      </c>
      <c r="J557" s="230">
        <v>30.67</v>
      </c>
      <c r="K557" s="230">
        <v>31.34</v>
      </c>
      <c r="L557" s="230">
        <v>31.02</v>
      </c>
      <c r="M557" s="231">
        <v>31.12</v>
      </c>
    </row>
    <row r="558" spans="9:13" ht="17.25" thickBot="1">
      <c r="I558" s="229">
        <v>45119</v>
      </c>
      <c r="J558" s="230">
        <v>30.83</v>
      </c>
      <c r="K558" s="230">
        <v>31.5</v>
      </c>
      <c r="L558" s="230">
        <v>31.18</v>
      </c>
      <c r="M558" s="231">
        <v>31.28</v>
      </c>
    </row>
    <row r="559" spans="9:13" ht="17.25" thickBot="1">
      <c r="I559" s="229">
        <v>45118</v>
      </c>
      <c r="J559" s="230">
        <v>30.914999999999999</v>
      </c>
      <c r="K559" s="230">
        <v>31.585000000000001</v>
      </c>
      <c r="L559" s="230">
        <v>31.265000000000001</v>
      </c>
      <c r="M559" s="231">
        <v>31.364999999999998</v>
      </c>
    </row>
    <row r="560" spans="9:13" ht="17.25" thickBot="1">
      <c r="I560" s="229">
        <v>45117</v>
      </c>
      <c r="J560" s="230">
        <v>30.984999999999999</v>
      </c>
      <c r="K560" s="230">
        <v>31.655000000000001</v>
      </c>
      <c r="L560" s="230">
        <v>31.335000000000001</v>
      </c>
      <c r="M560" s="231">
        <v>31.434999999999999</v>
      </c>
    </row>
    <row r="561" spans="9:13" ht="17.25" thickBot="1">
      <c r="I561" s="229">
        <v>45114</v>
      </c>
      <c r="J561" s="230">
        <v>30.934999999999999</v>
      </c>
      <c r="K561" s="230">
        <v>31.605</v>
      </c>
      <c r="L561" s="230">
        <v>31.285</v>
      </c>
      <c r="M561" s="231">
        <v>31.385000000000002</v>
      </c>
    </row>
    <row r="562" spans="9:13" ht="17.25" thickBot="1">
      <c r="I562" s="229">
        <v>45113</v>
      </c>
      <c r="J562" s="230">
        <v>30.83</v>
      </c>
      <c r="K562" s="230">
        <v>31.5</v>
      </c>
      <c r="L562" s="230">
        <v>31.18</v>
      </c>
      <c r="M562" s="231">
        <v>31.28</v>
      </c>
    </row>
    <row r="563" spans="9:13" ht="17.25" thickBot="1">
      <c r="I563" s="229">
        <v>45112</v>
      </c>
      <c r="J563" s="230">
        <v>30.75</v>
      </c>
      <c r="K563" s="230">
        <v>31.42</v>
      </c>
      <c r="L563" s="230">
        <v>31.1</v>
      </c>
      <c r="M563" s="231">
        <v>31.2</v>
      </c>
    </row>
    <row r="564" spans="9:13" ht="17.25" thickBot="1">
      <c r="I564" s="229">
        <v>45111</v>
      </c>
      <c r="J564" s="230">
        <v>30.715</v>
      </c>
      <c r="K564" s="230">
        <v>31.385000000000002</v>
      </c>
      <c r="L564" s="230">
        <v>31.065000000000001</v>
      </c>
      <c r="M564" s="231">
        <v>31.164999999999999</v>
      </c>
    </row>
    <row r="565" spans="9:13" ht="17.25" thickBot="1">
      <c r="I565" s="229">
        <v>45110</v>
      </c>
      <c r="J565" s="230">
        <v>30.734999999999999</v>
      </c>
      <c r="K565" s="230">
        <v>31.405000000000001</v>
      </c>
      <c r="L565" s="230">
        <v>31.085000000000001</v>
      </c>
      <c r="M565" s="231">
        <v>31.184999999999999</v>
      </c>
    </row>
    <row r="566" spans="9:13" ht="17.25" thickBot="1">
      <c r="I566" s="229">
        <v>45107</v>
      </c>
      <c r="J566" s="230">
        <v>30.74</v>
      </c>
      <c r="K566" s="230">
        <v>31.41</v>
      </c>
      <c r="L566" s="230">
        <v>31.09</v>
      </c>
      <c r="M566" s="231">
        <v>31.19</v>
      </c>
    </row>
    <row r="567" spans="9:13" ht="17.25" thickBot="1">
      <c r="I567" s="229">
        <v>45106</v>
      </c>
      <c r="J567" s="230">
        <v>30.67</v>
      </c>
      <c r="K567" s="230">
        <v>31.34</v>
      </c>
      <c r="L567" s="230">
        <v>31.02</v>
      </c>
      <c r="M567" s="231">
        <v>31.12</v>
      </c>
    </row>
    <row r="568" spans="9:13" ht="17.25" thickBot="1">
      <c r="I568" s="229">
        <v>45105</v>
      </c>
      <c r="J568" s="230">
        <v>30.67</v>
      </c>
      <c r="K568" s="230">
        <v>31.34</v>
      </c>
      <c r="L568" s="230">
        <v>31.02</v>
      </c>
      <c r="M568" s="231">
        <v>31.12</v>
      </c>
    </row>
    <row r="569" spans="9:13" ht="17.25" thickBot="1">
      <c r="I569" s="229">
        <v>45104</v>
      </c>
      <c r="J569" s="230">
        <v>30.625</v>
      </c>
      <c r="K569" s="230">
        <v>31.295000000000002</v>
      </c>
      <c r="L569" s="230">
        <v>30.975000000000001</v>
      </c>
      <c r="M569" s="231">
        <v>31.074999999999999</v>
      </c>
    </row>
    <row r="570" spans="9:13" ht="17.25" thickBot="1">
      <c r="I570" s="229">
        <v>45103</v>
      </c>
      <c r="J570" s="230">
        <v>30.61</v>
      </c>
      <c r="K570" s="230">
        <v>31.28</v>
      </c>
      <c r="L570" s="230">
        <v>30.96</v>
      </c>
      <c r="M570" s="231">
        <v>31.06</v>
      </c>
    </row>
    <row r="571" spans="9:13" ht="17.25" thickBot="1">
      <c r="I571" s="229">
        <v>45098</v>
      </c>
      <c r="J571" s="230">
        <v>30.51</v>
      </c>
      <c r="K571" s="230">
        <v>31.18</v>
      </c>
      <c r="L571" s="230">
        <v>30.86</v>
      </c>
      <c r="M571" s="231">
        <v>30.96</v>
      </c>
    </row>
    <row r="572" spans="9:13" ht="17.25" thickBot="1">
      <c r="I572" s="229">
        <v>45097</v>
      </c>
      <c r="J572" s="230">
        <v>30.495000000000001</v>
      </c>
      <c r="K572" s="230">
        <v>31.164999999999999</v>
      </c>
      <c r="L572" s="230">
        <v>30.844999999999999</v>
      </c>
      <c r="M572" s="231">
        <v>30.945</v>
      </c>
    </row>
    <row r="573" spans="9:13" ht="17.25" thickBot="1">
      <c r="I573" s="229">
        <v>45096</v>
      </c>
      <c r="J573" s="230">
        <v>30.395</v>
      </c>
      <c r="K573" s="230">
        <v>31.065000000000001</v>
      </c>
      <c r="L573" s="230">
        <v>30.745000000000001</v>
      </c>
      <c r="M573" s="231">
        <v>30.844999999999999</v>
      </c>
    </row>
    <row r="574" spans="9:13" ht="17.25" thickBot="1">
      <c r="I574" s="229">
        <v>45094</v>
      </c>
      <c r="J574" s="230">
        <v>30.335000000000001</v>
      </c>
      <c r="K574" s="230">
        <v>31.004999999999999</v>
      </c>
      <c r="L574" s="230">
        <v>30.684999999999999</v>
      </c>
      <c r="M574" s="231">
        <v>30.785</v>
      </c>
    </row>
    <row r="575" spans="9:13" ht="17.25" thickBot="1">
      <c r="I575" s="229">
        <v>45093</v>
      </c>
      <c r="J575" s="230">
        <v>30.3</v>
      </c>
      <c r="K575" s="230">
        <v>30.97</v>
      </c>
      <c r="L575" s="230">
        <v>30.65</v>
      </c>
      <c r="M575" s="231">
        <v>30.75</v>
      </c>
    </row>
    <row r="576" spans="9:13" ht="17.25" thickBot="1">
      <c r="I576" s="229">
        <v>45092</v>
      </c>
      <c r="J576" s="230">
        <v>30.315000000000001</v>
      </c>
      <c r="K576" s="230">
        <v>30.984999999999999</v>
      </c>
      <c r="L576" s="230">
        <v>30.664999999999999</v>
      </c>
      <c r="M576" s="231">
        <v>30.765000000000001</v>
      </c>
    </row>
    <row r="577" spans="9:13" ht="17.25" thickBot="1">
      <c r="I577" s="229">
        <v>45091</v>
      </c>
      <c r="J577" s="230">
        <v>30.31</v>
      </c>
      <c r="K577" s="230">
        <v>30.98</v>
      </c>
      <c r="L577" s="230">
        <v>30.66</v>
      </c>
      <c r="M577" s="231">
        <v>30.76</v>
      </c>
    </row>
    <row r="578" spans="9:13" ht="17.25" thickBot="1">
      <c r="I578" s="229">
        <v>45090</v>
      </c>
      <c r="J578" s="230">
        <v>30.3</v>
      </c>
      <c r="K578" s="230">
        <v>30.97</v>
      </c>
      <c r="L578" s="230">
        <v>30.65</v>
      </c>
      <c r="M578" s="231">
        <v>30.75</v>
      </c>
    </row>
    <row r="579" spans="9:13" ht="17.25" thickBot="1">
      <c r="I579" s="229">
        <v>45089</v>
      </c>
      <c r="J579" s="230">
        <v>30.344999999999999</v>
      </c>
      <c r="K579" s="230">
        <v>31.015000000000001</v>
      </c>
      <c r="L579" s="230">
        <v>30.695</v>
      </c>
      <c r="M579" s="231">
        <v>30.795000000000002</v>
      </c>
    </row>
    <row r="580" spans="9:13" ht="17.25" thickBot="1">
      <c r="I580" s="232">
        <v>45086</v>
      </c>
      <c r="J580" s="233">
        <v>30.32</v>
      </c>
      <c r="K580" s="233">
        <v>30.99</v>
      </c>
      <c r="L580" s="233">
        <v>30.67</v>
      </c>
      <c r="M580" s="234">
        <v>30.77</v>
      </c>
    </row>
    <row r="581" spans="9:13" ht="17.25" thickBot="1">
      <c r="I581" s="229">
        <v>45085</v>
      </c>
      <c r="J581" s="230">
        <v>30.355</v>
      </c>
      <c r="K581" s="230">
        <v>31.024999999999999</v>
      </c>
      <c r="L581" s="230">
        <v>30.704999999999998</v>
      </c>
      <c r="M581" s="231">
        <v>30.805</v>
      </c>
    </row>
    <row r="582" spans="9:13" ht="17.25" thickBot="1">
      <c r="I582" s="229">
        <v>45084</v>
      </c>
      <c r="J582" s="230">
        <v>30.305</v>
      </c>
      <c r="K582" s="230">
        <v>30.975000000000001</v>
      </c>
      <c r="L582" s="230">
        <v>30.655000000000001</v>
      </c>
      <c r="M582" s="231">
        <v>30.754999999999999</v>
      </c>
    </row>
    <row r="583" spans="9:13" ht="17.25" thickBot="1">
      <c r="I583" s="229">
        <v>45083</v>
      </c>
      <c r="J583" s="230">
        <v>30.324999999999999</v>
      </c>
      <c r="K583" s="230">
        <v>30.995000000000001</v>
      </c>
      <c r="L583" s="230">
        <v>30.675000000000001</v>
      </c>
      <c r="M583" s="231">
        <v>30.774999999999999</v>
      </c>
    </row>
    <row r="584" spans="9:13" ht="17.25" thickBot="1">
      <c r="I584" s="229">
        <v>45082</v>
      </c>
      <c r="J584" s="230">
        <v>30.29</v>
      </c>
      <c r="K584" s="230">
        <v>30.96</v>
      </c>
      <c r="L584" s="230">
        <v>30.64</v>
      </c>
      <c r="M584" s="231">
        <v>30.74</v>
      </c>
    </row>
    <row r="585" spans="9:13" ht="17.25" thickBot="1">
      <c r="I585" s="229">
        <v>45079</v>
      </c>
      <c r="J585" s="230">
        <v>30.26</v>
      </c>
      <c r="K585" s="230">
        <v>30.93</v>
      </c>
      <c r="L585" s="230">
        <v>30.61</v>
      </c>
      <c r="M585" s="231">
        <v>30.71</v>
      </c>
    </row>
    <row r="586" spans="9:13" ht="17.25" thickBot="1">
      <c r="I586" s="229">
        <v>45078</v>
      </c>
      <c r="J586" s="230">
        <v>30.335000000000001</v>
      </c>
      <c r="K586" s="230">
        <v>31.004999999999999</v>
      </c>
      <c r="L586" s="230">
        <v>30.684999999999999</v>
      </c>
      <c r="M586" s="231">
        <v>30.785</v>
      </c>
    </row>
    <row r="587" spans="9:13" ht="17.25" thickBot="1">
      <c r="I587" s="229">
        <v>45077</v>
      </c>
      <c r="J587" s="230">
        <v>30.35</v>
      </c>
      <c r="K587" s="230">
        <v>31.02</v>
      </c>
      <c r="L587" s="230">
        <v>30.7</v>
      </c>
      <c r="M587" s="231">
        <v>30.8</v>
      </c>
    </row>
    <row r="588" spans="9:13" ht="17.25" thickBot="1">
      <c r="I588" s="229">
        <v>45076</v>
      </c>
      <c r="J588" s="230">
        <v>30.245000000000001</v>
      </c>
      <c r="K588" s="230">
        <v>30.914999999999999</v>
      </c>
      <c r="L588" s="230">
        <v>30.594999999999999</v>
      </c>
      <c r="M588" s="231">
        <v>30.695</v>
      </c>
    </row>
    <row r="589" spans="9:13" ht="17.25" thickBot="1">
      <c r="I589" s="229">
        <v>45075</v>
      </c>
      <c r="J589" s="230">
        <v>30.245000000000001</v>
      </c>
      <c r="K589" s="230">
        <v>30.914999999999999</v>
      </c>
      <c r="L589" s="230">
        <v>30.594999999999999</v>
      </c>
      <c r="M589" s="231">
        <v>30.695</v>
      </c>
    </row>
    <row r="590" spans="9:13" ht="17.25" thickBot="1">
      <c r="I590" s="229">
        <v>45072</v>
      </c>
      <c r="J590" s="230">
        <v>30.344999999999999</v>
      </c>
      <c r="K590" s="230">
        <v>31.015000000000001</v>
      </c>
      <c r="L590" s="230">
        <v>30.695</v>
      </c>
      <c r="M590" s="231">
        <v>30.795000000000002</v>
      </c>
    </row>
    <row r="591" spans="9:13" ht="17.25" thickBot="1">
      <c r="I591" s="229">
        <v>45071</v>
      </c>
      <c r="J591" s="230">
        <v>30.385000000000002</v>
      </c>
      <c r="K591" s="230">
        <v>31.055</v>
      </c>
      <c r="L591" s="230">
        <v>30.734999999999999</v>
      </c>
      <c r="M591" s="231">
        <v>30.835000000000001</v>
      </c>
    </row>
    <row r="592" spans="9:13" ht="17.25" thickBot="1">
      <c r="I592" s="229">
        <v>45070</v>
      </c>
      <c r="J592" s="230">
        <v>30.395</v>
      </c>
      <c r="K592" s="230">
        <v>31.065000000000001</v>
      </c>
      <c r="L592" s="230">
        <v>30.745000000000001</v>
      </c>
      <c r="M592" s="231">
        <v>30.844999999999999</v>
      </c>
    </row>
    <row r="593" spans="9:13" ht="17.25" thickBot="1">
      <c r="I593" s="229">
        <v>45069</v>
      </c>
      <c r="J593" s="230">
        <v>30.35</v>
      </c>
      <c r="K593" s="230">
        <v>31.02</v>
      </c>
      <c r="L593" s="230">
        <v>30.7</v>
      </c>
      <c r="M593" s="231">
        <v>30.8</v>
      </c>
    </row>
    <row r="594" spans="9:13" ht="17.25" thickBot="1">
      <c r="I594" s="229">
        <v>45068</v>
      </c>
      <c r="J594" s="230">
        <v>30.28</v>
      </c>
      <c r="K594" s="230">
        <v>30.95</v>
      </c>
      <c r="L594" s="230">
        <v>30.63</v>
      </c>
      <c r="M594" s="231">
        <v>30.73</v>
      </c>
    </row>
    <row r="595" spans="9:13" ht="17.25" thickBot="1">
      <c r="I595" s="229">
        <v>45065</v>
      </c>
      <c r="J595" s="230">
        <v>30.274999999999999</v>
      </c>
      <c r="K595" s="230">
        <v>30.945</v>
      </c>
      <c r="L595" s="230">
        <v>30.625</v>
      </c>
      <c r="M595" s="231">
        <v>30.725000000000001</v>
      </c>
    </row>
    <row r="596" spans="9:13" ht="17.25" thickBot="1">
      <c r="I596" s="229">
        <v>45064</v>
      </c>
      <c r="J596" s="230">
        <v>30.364999999999998</v>
      </c>
      <c r="K596" s="230">
        <v>31.035</v>
      </c>
      <c r="L596" s="230">
        <v>30.715</v>
      </c>
      <c r="M596" s="231">
        <v>30.815000000000001</v>
      </c>
    </row>
    <row r="597" spans="9:13" ht="17.25" thickBot="1">
      <c r="I597" s="229">
        <v>45063</v>
      </c>
      <c r="J597" s="230">
        <v>30.414999999999999</v>
      </c>
      <c r="K597" s="230">
        <v>31.085000000000001</v>
      </c>
      <c r="L597" s="230">
        <v>30.765000000000001</v>
      </c>
      <c r="M597" s="231">
        <v>30.864999999999998</v>
      </c>
    </row>
    <row r="598" spans="9:13" ht="17.25" thickBot="1">
      <c r="I598" s="229">
        <v>45062</v>
      </c>
      <c r="J598" s="230">
        <v>30.405000000000001</v>
      </c>
      <c r="K598" s="230">
        <v>31.074999999999999</v>
      </c>
      <c r="L598" s="230">
        <v>30.754999999999999</v>
      </c>
      <c r="M598" s="231">
        <v>30.855</v>
      </c>
    </row>
    <row r="599" spans="9:13" ht="17.25" thickBot="1">
      <c r="I599" s="229">
        <v>45061</v>
      </c>
      <c r="J599" s="230">
        <v>30.405000000000001</v>
      </c>
      <c r="K599" s="230">
        <v>31.074999999999999</v>
      </c>
      <c r="L599" s="230">
        <v>30.754999999999999</v>
      </c>
      <c r="M599" s="231">
        <v>30.855</v>
      </c>
    </row>
    <row r="600" spans="9:13" ht="17.25" thickBot="1">
      <c r="I600" s="229">
        <v>45058</v>
      </c>
      <c r="J600" s="230">
        <v>30.35</v>
      </c>
      <c r="K600" s="230">
        <v>31.02</v>
      </c>
      <c r="L600" s="230">
        <v>30.7</v>
      </c>
      <c r="M600" s="231">
        <v>30.8</v>
      </c>
    </row>
    <row r="601" spans="9:13" ht="17.25" thickBot="1">
      <c r="I601" s="229">
        <v>45057</v>
      </c>
      <c r="J601" s="230">
        <v>30.33</v>
      </c>
      <c r="K601" s="230">
        <v>31</v>
      </c>
      <c r="L601" s="230">
        <v>30.68</v>
      </c>
      <c r="M601" s="231">
        <v>30.78</v>
      </c>
    </row>
    <row r="602" spans="9:13" ht="17.25" thickBot="1">
      <c r="I602" s="229">
        <v>45056</v>
      </c>
      <c r="J602" s="230">
        <v>30.324999999999999</v>
      </c>
      <c r="K602" s="230">
        <v>30.995000000000001</v>
      </c>
      <c r="L602" s="230">
        <v>30.675000000000001</v>
      </c>
      <c r="M602" s="231">
        <v>30.774999999999999</v>
      </c>
    </row>
    <row r="603" spans="9:13" ht="17.25" thickBot="1">
      <c r="I603" s="229">
        <v>45055</v>
      </c>
      <c r="J603" s="230">
        <v>30.295000000000002</v>
      </c>
      <c r="K603" s="230">
        <v>30.965</v>
      </c>
      <c r="L603" s="230">
        <v>30.645</v>
      </c>
      <c r="M603" s="231">
        <v>30.745000000000001</v>
      </c>
    </row>
    <row r="604" spans="9:13" ht="17.25" thickBot="1">
      <c r="I604" s="229">
        <v>45054</v>
      </c>
      <c r="J604" s="230">
        <v>30.274999999999999</v>
      </c>
      <c r="K604" s="230">
        <v>30.945</v>
      </c>
      <c r="L604" s="230">
        <v>30.625</v>
      </c>
      <c r="M604" s="231">
        <v>30.725000000000001</v>
      </c>
    </row>
    <row r="605" spans="9:13" ht="17.25" thickBot="1">
      <c r="I605" s="229">
        <v>45051</v>
      </c>
      <c r="J605" s="230">
        <v>30.234999999999999</v>
      </c>
      <c r="K605" s="230">
        <v>30.905000000000001</v>
      </c>
      <c r="L605" s="230">
        <v>30.585000000000001</v>
      </c>
      <c r="M605" s="231">
        <v>30.684999999999999</v>
      </c>
    </row>
    <row r="606" spans="9:13" ht="17.25" thickBot="1">
      <c r="I606" s="229">
        <v>45050</v>
      </c>
      <c r="J606" s="230">
        <v>30.27</v>
      </c>
      <c r="K606" s="230">
        <v>30.94</v>
      </c>
      <c r="L606" s="230">
        <v>30.62</v>
      </c>
      <c r="M606" s="231">
        <v>30.72</v>
      </c>
    </row>
    <row r="607" spans="9:13" ht="17.25" thickBot="1">
      <c r="I607" s="229">
        <v>45049</v>
      </c>
      <c r="J607" s="230">
        <v>30.344999999999999</v>
      </c>
      <c r="K607" s="230">
        <v>31.015000000000001</v>
      </c>
      <c r="L607" s="230">
        <v>30.695</v>
      </c>
      <c r="M607" s="231">
        <v>30.795000000000002</v>
      </c>
    </row>
    <row r="608" spans="9:13" ht="17.25" thickBot="1">
      <c r="I608" s="229">
        <v>45048</v>
      </c>
      <c r="J608" s="230">
        <v>30.375</v>
      </c>
      <c r="K608" s="230">
        <v>31.045000000000002</v>
      </c>
      <c r="L608" s="230">
        <v>30.725000000000001</v>
      </c>
      <c r="M608" s="231">
        <v>30.824999999999999</v>
      </c>
    </row>
    <row r="609" spans="9:13" ht="17.25" thickBot="1">
      <c r="I609" s="229">
        <v>45044</v>
      </c>
      <c r="J609" s="230">
        <v>30.34</v>
      </c>
      <c r="K609" s="230">
        <v>31.01</v>
      </c>
      <c r="L609" s="230">
        <v>30.69</v>
      </c>
      <c r="M609" s="231">
        <v>30.79</v>
      </c>
    </row>
    <row r="610" spans="9:13" ht="17.25" thickBot="1">
      <c r="I610" s="232">
        <v>45043</v>
      </c>
      <c r="J610" s="233">
        <v>30.305</v>
      </c>
      <c r="K610" s="233">
        <v>30.975000000000001</v>
      </c>
      <c r="L610" s="233">
        <v>30.655000000000001</v>
      </c>
      <c r="M610" s="234">
        <v>30.754999999999999</v>
      </c>
    </row>
  </sheetData>
  <phoneticPr fontId="74" type="noConversion"/>
  <hyperlinks>
    <hyperlink ref="A1" r:id="rId1" xr:uid="{DFA640D4-D4B6-4B00-B521-81090C903733}"/>
    <hyperlink ref="I1" r:id="rId2" xr:uid="{FC550FED-7ADD-4020-917F-A961FDCEBC94}"/>
  </hyperlinks>
  <pageMargins left="0.7" right="0.7" top="0.75" bottom="0.75" header="0.3" footer="0.3"/>
  <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outlinePr summaryBelow="0" summaryRight="0"/>
  </sheetPr>
  <dimension ref="A1:R707"/>
  <sheetViews>
    <sheetView zoomScale="80" zoomScaleNormal="80" workbookViewId="0">
      <pane ySplit="3" topLeftCell="A665" activePane="bottomLeft" state="frozen"/>
      <selection pane="bottomLeft" activeCell="O3" sqref="O3"/>
    </sheetView>
  </sheetViews>
  <sheetFormatPr defaultRowHeight="16.5" outlineLevelRow="1"/>
  <cols>
    <col min="1" max="1" width="15" bestFit="1" customWidth="1"/>
    <col min="2" max="2" width="13.5" bestFit="1" customWidth="1"/>
    <col min="3" max="3" width="11.125" bestFit="1" customWidth="1"/>
    <col min="4" max="4" width="10.75" bestFit="1" customWidth="1"/>
    <col min="5" max="5" width="11.125" style="81" bestFit="1" customWidth="1"/>
    <col min="6" max="6" width="11.125" style="81" customWidth="1"/>
    <col min="7" max="7" width="11.5" bestFit="1" customWidth="1"/>
    <col min="8" max="8" width="13.875" customWidth="1"/>
    <col min="9" max="9" width="11.625" customWidth="1"/>
    <col min="10" max="10" width="16.125" bestFit="1" customWidth="1"/>
    <col min="11" max="12" width="9.25" bestFit="1" customWidth="1"/>
    <col min="13" max="13" width="11.375" bestFit="1" customWidth="1"/>
    <col min="14" max="14" width="16.5" bestFit="1" customWidth="1"/>
    <col min="15" max="15" width="13.375" bestFit="1" customWidth="1"/>
    <col min="16" max="16" width="26.125" bestFit="1" customWidth="1"/>
    <col min="17" max="17" width="8.625" bestFit="1" customWidth="1"/>
  </cols>
  <sheetData>
    <row r="1" spans="1:15">
      <c r="A1" t="s">
        <v>22</v>
      </c>
      <c r="C1" s="79">
        <f ca="1">TODAY()</f>
        <v>46310</v>
      </c>
      <c r="D1" s="79">
        <v>45291</v>
      </c>
      <c r="E1" s="79">
        <v>44926</v>
      </c>
      <c r="F1" s="79">
        <v>44561</v>
      </c>
      <c r="G1" s="79">
        <v>44196</v>
      </c>
      <c r="H1" s="79">
        <v>43830</v>
      </c>
      <c r="I1" s="79">
        <v>43465</v>
      </c>
    </row>
    <row r="2" spans="1:15">
      <c r="C2" s="79"/>
      <c r="D2" s="79"/>
      <c r="E2" s="144"/>
      <c r="F2" s="144"/>
      <c r="G2" s="79"/>
    </row>
    <row r="3" spans="1:15" ht="17.25" thickBot="1">
      <c r="A3" t="s">
        <v>40</v>
      </c>
      <c r="B3" t="s">
        <v>41</v>
      </c>
      <c r="C3" s="82" t="s">
        <v>30</v>
      </c>
      <c r="D3" s="83" t="s">
        <v>31</v>
      </c>
      <c r="E3" s="145" t="s">
        <v>2267</v>
      </c>
      <c r="F3" s="83" t="s">
        <v>198</v>
      </c>
      <c r="G3" s="83" t="s">
        <v>2268</v>
      </c>
      <c r="H3" s="82" t="s">
        <v>38</v>
      </c>
      <c r="I3" s="82" t="s">
        <v>24</v>
      </c>
      <c r="J3" s="82"/>
    </row>
    <row r="4" spans="1:15">
      <c r="A4" s="139">
        <v>43403</v>
      </c>
      <c r="B4" s="66"/>
      <c r="C4" s="122">
        <v>750000</v>
      </c>
      <c r="D4" s="124"/>
      <c r="E4" s="146">
        <f>C4-D4</f>
        <v>750000</v>
      </c>
      <c r="F4" s="146"/>
      <c r="G4" s="80">
        <f>E4-C4</f>
        <v>0</v>
      </c>
      <c r="H4" s="80">
        <f>IF(B4="",DATEDIF(A4,$I$1,"d"),DATEDIF(A4,B4,"d"))</f>
        <v>62</v>
      </c>
      <c r="I4">
        <f ca="1">IF(B4="",$C$1-A4,H4)</f>
        <v>2907</v>
      </c>
      <c r="K4">
        <f>(H4*$C4)/365.25</f>
        <v>127310.06160164271</v>
      </c>
      <c r="L4">
        <f ca="1">(I4*$C4)/365.25</f>
        <v>5969199.1786447642</v>
      </c>
      <c r="M4" s="65"/>
      <c r="N4" s="217" t="s">
        <v>134</v>
      </c>
      <c r="O4" s="218">
        <f>SUM(D4:D110)</f>
        <v>2890687</v>
      </c>
    </row>
    <row r="5" spans="1:15" ht="17.25" collapsed="1" thickBot="1">
      <c r="A5" s="153">
        <v>43455</v>
      </c>
      <c r="B5" s="153"/>
      <c r="C5" s="154">
        <v>106</v>
      </c>
      <c r="D5" s="155"/>
      <c r="E5" s="156">
        <f>E4+C5-D5</f>
        <v>750106</v>
      </c>
      <c r="F5" s="156">
        <f>C5-D5</f>
        <v>106</v>
      </c>
      <c r="G5" s="157">
        <f>G4+F5</f>
        <v>106</v>
      </c>
      <c r="H5" s="157">
        <f>IF(B5="",DATEDIF(A5,$I$1,"d"),DATEDIF(A5,B5,"d"))</f>
        <v>10</v>
      </c>
      <c r="I5" s="158">
        <f ca="1">IF(B5="",$C$1-A5,H5)</f>
        <v>2855</v>
      </c>
      <c r="J5" s="158" t="s">
        <v>48</v>
      </c>
      <c r="K5" s="158">
        <f>IF(F5&gt;0,(H5*$F5)/365.25,0)</f>
        <v>2.9021218343600275</v>
      </c>
      <c r="L5" s="158">
        <f ca="1">IF(F5&gt;0,(I5*$F5)/365.25,0)</f>
        <v>828.55578370978776</v>
      </c>
      <c r="M5" s="159"/>
      <c r="N5" s="215" t="s">
        <v>135</v>
      </c>
      <c r="O5" s="216">
        <f ca="1">(SUMPRODUCT(C4:C110,I4:I110)+SUMPRODUCT(D4:D110,I4:I110))/($C$1-$A$4)</f>
        <v>820472.06226350192</v>
      </c>
    </row>
    <row r="6" spans="1:15" hidden="1" outlineLevel="1">
      <c r="A6" s="139">
        <v>43481</v>
      </c>
      <c r="B6" s="66">
        <v>43483</v>
      </c>
      <c r="C6" s="123"/>
      <c r="D6" s="124">
        <v>198070</v>
      </c>
      <c r="E6" s="146">
        <f>E5+C6-D6</f>
        <v>552036</v>
      </c>
      <c r="F6" s="146"/>
      <c r="G6" s="80">
        <f>G5+F6</f>
        <v>106</v>
      </c>
      <c r="H6" s="80">
        <f t="shared" ref="H6:H37" si="0">IF(B6="",DATEDIF(A6,$H$1,"d"),DATEDIF(A6,B6,"d"))</f>
        <v>2</v>
      </c>
      <c r="I6">
        <f t="shared" ref="I6:I27" si="1">IF(B6="",$C$1-A6,H6)</f>
        <v>2</v>
      </c>
      <c r="J6" t="s">
        <v>49</v>
      </c>
      <c r="K6">
        <f t="shared" ref="K6:K15" si="2">IF(F6&gt;0,(H6*$F6)/365.25,0)</f>
        <v>0</v>
      </c>
      <c r="L6">
        <f t="shared" ref="L6:L15" si="3">IF(F6&gt;0,(I6*$F6)/365.25,0)</f>
        <v>0</v>
      </c>
      <c r="M6" s="65" t="s">
        <v>57</v>
      </c>
    </row>
    <row r="7" spans="1:15" hidden="1" outlineLevel="1">
      <c r="A7" s="139">
        <v>43481</v>
      </c>
      <c r="B7" s="66">
        <v>43483</v>
      </c>
      <c r="C7" s="123">
        <v>198050</v>
      </c>
      <c r="D7" s="124"/>
      <c r="E7" s="146">
        <f t="shared" ref="E7:E34" si="4">E6+C7-D7</f>
        <v>750086</v>
      </c>
      <c r="F7" s="146">
        <f>-D6+C7</f>
        <v>-20</v>
      </c>
      <c r="G7" s="80">
        <f t="shared" ref="G7:G18" si="5">G6+F7</f>
        <v>86</v>
      </c>
      <c r="H7" s="80">
        <f t="shared" ref="H7:H18" si="6">IF(B7="",DATEDIF(A7,$H$1,"d"),DATEDIF(A7,B7,"d"))</f>
        <v>2</v>
      </c>
      <c r="I7">
        <f t="shared" ref="I7:I18" si="7">IF(B7="",$C$1-A7,H7)</f>
        <v>2</v>
      </c>
      <c r="J7" t="s">
        <v>49</v>
      </c>
      <c r="K7">
        <f t="shared" si="2"/>
        <v>0</v>
      </c>
      <c r="L7">
        <f t="shared" si="3"/>
        <v>0</v>
      </c>
      <c r="M7" s="65" t="s">
        <v>57</v>
      </c>
    </row>
    <row r="8" spans="1:15" hidden="1" outlineLevel="1">
      <c r="A8" s="139">
        <v>43483</v>
      </c>
      <c r="B8" s="66">
        <v>43487</v>
      </c>
      <c r="C8" s="123"/>
      <c r="D8" s="124">
        <v>26070</v>
      </c>
      <c r="E8" s="146">
        <f t="shared" si="4"/>
        <v>724016</v>
      </c>
      <c r="F8" s="146"/>
      <c r="G8" s="80">
        <f t="shared" si="5"/>
        <v>86</v>
      </c>
      <c r="H8" s="80">
        <f t="shared" si="6"/>
        <v>4</v>
      </c>
      <c r="I8">
        <f t="shared" si="7"/>
        <v>4</v>
      </c>
      <c r="J8" t="s">
        <v>45</v>
      </c>
      <c r="K8">
        <f t="shared" si="2"/>
        <v>0</v>
      </c>
      <c r="L8">
        <f t="shared" si="3"/>
        <v>0</v>
      </c>
      <c r="M8" s="65" t="s">
        <v>57</v>
      </c>
    </row>
    <row r="9" spans="1:15" hidden="1" outlineLevel="1">
      <c r="A9" s="139">
        <v>43483</v>
      </c>
      <c r="B9" s="66">
        <v>43487</v>
      </c>
      <c r="C9" s="123">
        <v>26050</v>
      </c>
      <c r="D9" s="124"/>
      <c r="E9" s="146">
        <f t="shared" si="4"/>
        <v>750066</v>
      </c>
      <c r="F9" s="146">
        <f>-D8+C9</f>
        <v>-20</v>
      </c>
      <c r="G9" s="80">
        <f t="shared" si="5"/>
        <v>66</v>
      </c>
      <c r="H9" s="80">
        <f t="shared" si="6"/>
        <v>4</v>
      </c>
      <c r="I9">
        <f t="shared" si="7"/>
        <v>4</v>
      </c>
      <c r="J9" t="s">
        <v>45</v>
      </c>
      <c r="K9">
        <f t="shared" si="2"/>
        <v>0</v>
      </c>
      <c r="L9">
        <f t="shared" si="3"/>
        <v>0</v>
      </c>
      <c r="M9" s="65" t="s">
        <v>57</v>
      </c>
    </row>
    <row r="10" spans="1:15" hidden="1" outlineLevel="1">
      <c r="A10" s="139">
        <v>43490</v>
      </c>
      <c r="B10" s="66">
        <v>43494</v>
      </c>
      <c r="C10" s="123"/>
      <c r="D10" s="124">
        <v>22590</v>
      </c>
      <c r="E10" s="146">
        <f t="shared" si="4"/>
        <v>727476</v>
      </c>
      <c r="F10" s="146"/>
      <c r="G10" s="80">
        <f t="shared" si="5"/>
        <v>66</v>
      </c>
      <c r="H10" s="80">
        <f t="shared" si="6"/>
        <v>4</v>
      </c>
      <c r="I10">
        <f t="shared" si="7"/>
        <v>4</v>
      </c>
      <c r="J10" t="s">
        <v>44</v>
      </c>
      <c r="K10">
        <f t="shared" si="2"/>
        <v>0</v>
      </c>
      <c r="L10">
        <f t="shared" si="3"/>
        <v>0</v>
      </c>
      <c r="M10" s="65" t="s">
        <v>57</v>
      </c>
    </row>
    <row r="11" spans="1:15" hidden="1" outlineLevel="1">
      <c r="A11" s="139">
        <v>43490</v>
      </c>
      <c r="B11" s="66">
        <v>43494</v>
      </c>
      <c r="C11" s="123">
        <v>22570</v>
      </c>
      <c r="D11" s="124"/>
      <c r="E11" s="146">
        <f t="shared" si="4"/>
        <v>750046</v>
      </c>
      <c r="F11" s="146">
        <f>-D10+C11</f>
        <v>-20</v>
      </c>
      <c r="G11" s="80">
        <f t="shared" si="5"/>
        <v>46</v>
      </c>
      <c r="H11" s="80">
        <f t="shared" si="6"/>
        <v>4</v>
      </c>
      <c r="I11">
        <f t="shared" si="7"/>
        <v>4</v>
      </c>
      <c r="J11" t="s">
        <v>44</v>
      </c>
      <c r="K11">
        <f t="shared" si="2"/>
        <v>0</v>
      </c>
      <c r="L11">
        <f t="shared" si="3"/>
        <v>0</v>
      </c>
      <c r="M11" s="65" t="s">
        <v>57</v>
      </c>
    </row>
    <row r="12" spans="1:15" hidden="1" outlineLevel="1">
      <c r="A12" s="139">
        <v>43511</v>
      </c>
      <c r="B12" s="66">
        <v>43517</v>
      </c>
      <c r="C12" s="123"/>
      <c r="D12" s="124">
        <v>20278</v>
      </c>
      <c r="E12" s="146">
        <f t="shared" si="4"/>
        <v>729768</v>
      </c>
      <c r="F12" s="146"/>
      <c r="G12" s="80">
        <f t="shared" si="5"/>
        <v>46</v>
      </c>
      <c r="H12" s="80">
        <f t="shared" si="6"/>
        <v>6</v>
      </c>
      <c r="I12">
        <f t="shared" si="7"/>
        <v>6</v>
      </c>
      <c r="J12" t="s">
        <v>62</v>
      </c>
      <c r="K12">
        <f t="shared" si="2"/>
        <v>0</v>
      </c>
      <c r="L12">
        <f t="shared" si="3"/>
        <v>0</v>
      </c>
    </row>
    <row r="13" spans="1:15" hidden="1" outlineLevel="1">
      <c r="A13" s="139">
        <v>43511</v>
      </c>
      <c r="B13" s="66">
        <v>43521</v>
      </c>
      <c r="C13" s="123"/>
      <c r="D13" s="124">
        <v>42059</v>
      </c>
      <c r="E13" s="146">
        <f t="shared" si="4"/>
        <v>687709</v>
      </c>
      <c r="F13" s="146"/>
      <c r="G13" s="80">
        <f t="shared" si="5"/>
        <v>46</v>
      </c>
      <c r="H13" s="80">
        <f t="shared" si="6"/>
        <v>10</v>
      </c>
      <c r="I13">
        <f t="shared" si="7"/>
        <v>10</v>
      </c>
      <c r="J13" t="s">
        <v>63</v>
      </c>
      <c r="K13">
        <f t="shared" si="2"/>
        <v>0</v>
      </c>
      <c r="L13">
        <f t="shared" si="3"/>
        <v>0</v>
      </c>
    </row>
    <row r="14" spans="1:15" hidden="1" outlineLevel="1">
      <c r="A14" s="139">
        <v>43511</v>
      </c>
      <c r="B14" s="66">
        <v>43532</v>
      </c>
      <c r="C14" s="123"/>
      <c r="D14" s="124">
        <v>95636</v>
      </c>
      <c r="E14" s="146">
        <f t="shared" si="4"/>
        <v>592073</v>
      </c>
      <c r="F14" s="146"/>
      <c r="G14" s="80">
        <f t="shared" si="5"/>
        <v>46</v>
      </c>
      <c r="H14" s="80">
        <f t="shared" si="6"/>
        <v>21</v>
      </c>
      <c r="I14">
        <f t="shared" si="7"/>
        <v>21</v>
      </c>
      <c r="J14" t="s">
        <v>64</v>
      </c>
      <c r="K14">
        <f t="shared" si="2"/>
        <v>0</v>
      </c>
      <c r="L14">
        <f t="shared" si="3"/>
        <v>0</v>
      </c>
    </row>
    <row r="15" spans="1:15" hidden="1" outlineLevel="1">
      <c r="A15" s="139">
        <v>43511</v>
      </c>
      <c r="B15" s="66">
        <v>43522</v>
      </c>
      <c r="C15" s="123"/>
      <c r="D15" s="124">
        <v>188267</v>
      </c>
      <c r="E15" s="146">
        <f t="shared" si="4"/>
        <v>403806</v>
      </c>
      <c r="F15" s="146"/>
      <c r="G15" s="80">
        <f t="shared" si="5"/>
        <v>46</v>
      </c>
      <c r="H15" s="80">
        <f t="shared" si="6"/>
        <v>11</v>
      </c>
      <c r="I15">
        <f t="shared" si="7"/>
        <v>11</v>
      </c>
      <c r="J15" t="s">
        <v>137</v>
      </c>
      <c r="K15">
        <f t="shared" si="2"/>
        <v>0</v>
      </c>
      <c r="L15">
        <f t="shared" si="3"/>
        <v>0</v>
      </c>
    </row>
    <row r="16" spans="1:15" hidden="1" outlineLevel="1">
      <c r="A16" s="139">
        <v>43511</v>
      </c>
      <c r="B16" s="66">
        <v>43517</v>
      </c>
      <c r="C16" s="123">
        <v>19912</v>
      </c>
      <c r="D16" s="124"/>
      <c r="E16" s="146">
        <f t="shared" si="4"/>
        <v>423718</v>
      </c>
      <c r="F16" s="146">
        <f>-D12+C16</f>
        <v>-366</v>
      </c>
      <c r="G16" s="80">
        <f t="shared" si="5"/>
        <v>-320</v>
      </c>
      <c r="H16" s="80">
        <f t="shared" si="6"/>
        <v>6</v>
      </c>
      <c r="I16">
        <f t="shared" si="7"/>
        <v>6</v>
      </c>
      <c r="J16" t="s">
        <v>62</v>
      </c>
      <c r="K16">
        <f t="shared" ref="K16:K44" si="8">IF(F16&gt;0,(H16*$F16)/365.25,0)</f>
        <v>0</v>
      </c>
      <c r="L16">
        <f t="shared" ref="L16:L44" si="9">IF(F16&gt;0,(I16*$F16)/365.25,0)</f>
        <v>0</v>
      </c>
    </row>
    <row r="17" spans="1:13" hidden="1" outlineLevel="1">
      <c r="A17" s="139">
        <v>43511</v>
      </c>
      <c r="B17" s="66">
        <v>43521</v>
      </c>
      <c r="C17" s="123">
        <v>42014</v>
      </c>
      <c r="D17" s="124"/>
      <c r="E17" s="146">
        <f t="shared" si="4"/>
        <v>465732</v>
      </c>
      <c r="F17" s="146">
        <f>-D13+C17</f>
        <v>-45</v>
      </c>
      <c r="G17" s="80">
        <f t="shared" si="5"/>
        <v>-365</v>
      </c>
      <c r="H17" s="80">
        <f t="shared" si="6"/>
        <v>10</v>
      </c>
      <c r="I17">
        <f t="shared" si="7"/>
        <v>10</v>
      </c>
      <c r="J17" t="s">
        <v>63</v>
      </c>
      <c r="K17">
        <f t="shared" si="8"/>
        <v>0</v>
      </c>
      <c r="L17">
        <f t="shared" si="9"/>
        <v>0</v>
      </c>
    </row>
    <row r="18" spans="1:13" hidden="1" outlineLevel="1">
      <c r="A18" s="139">
        <v>43511</v>
      </c>
      <c r="B18" s="66">
        <v>43522</v>
      </c>
      <c r="C18" s="123">
        <v>190155</v>
      </c>
      <c r="D18" s="124"/>
      <c r="E18" s="146">
        <f t="shared" si="4"/>
        <v>655887</v>
      </c>
      <c r="F18" s="146">
        <f>-D15+C18</f>
        <v>1888</v>
      </c>
      <c r="G18" s="80">
        <f t="shared" si="5"/>
        <v>1523</v>
      </c>
      <c r="H18" s="80">
        <f t="shared" si="6"/>
        <v>11</v>
      </c>
      <c r="I18">
        <f t="shared" si="7"/>
        <v>11</v>
      </c>
      <c r="J18" t="s">
        <v>137</v>
      </c>
      <c r="K18">
        <f t="shared" si="8"/>
        <v>56.859685147159482</v>
      </c>
      <c r="L18">
        <f t="shared" si="9"/>
        <v>56.859685147159482</v>
      </c>
    </row>
    <row r="19" spans="1:13" hidden="1" outlineLevel="1">
      <c r="A19" s="147">
        <v>43532</v>
      </c>
      <c r="B19" s="147"/>
      <c r="C19" s="148">
        <v>337</v>
      </c>
      <c r="D19" s="149"/>
      <c r="E19" s="150">
        <f t="shared" si="4"/>
        <v>656224</v>
      </c>
      <c r="F19" s="150">
        <f t="shared" ref="F19:F126" si="10">C19-D19</f>
        <v>337</v>
      </c>
      <c r="G19" s="151">
        <f>G18+F19</f>
        <v>1860</v>
      </c>
      <c r="H19" s="151">
        <f t="shared" si="0"/>
        <v>298</v>
      </c>
      <c r="I19" s="152">
        <f ca="1">IF(B19="",$C$1-A19,H19)</f>
        <v>2778</v>
      </c>
      <c r="J19" s="152" t="s">
        <v>84</v>
      </c>
      <c r="K19" s="152">
        <f t="shared" si="8"/>
        <v>274.95140314852841</v>
      </c>
      <c r="L19" s="152">
        <f t="shared" ca="1" si="9"/>
        <v>2563.1375770020536</v>
      </c>
      <c r="M19" s="152"/>
    </row>
    <row r="20" spans="1:13" hidden="1" outlineLevel="1">
      <c r="A20" s="139">
        <v>43511</v>
      </c>
      <c r="B20" s="66">
        <v>43532</v>
      </c>
      <c r="C20" s="123">
        <v>102047</v>
      </c>
      <c r="D20" s="124"/>
      <c r="E20" s="146">
        <f t="shared" si="4"/>
        <v>758271</v>
      </c>
      <c r="F20" s="146">
        <f>-D14+C20</f>
        <v>6411</v>
      </c>
      <c r="G20" s="80">
        <f>G19+F20</f>
        <v>8271</v>
      </c>
      <c r="H20" s="80">
        <f t="shared" si="0"/>
        <v>21</v>
      </c>
      <c r="I20">
        <f>IF(B20="",$C$1-A20,H20)</f>
        <v>21</v>
      </c>
      <c r="J20" t="s">
        <v>64</v>
      </c>
      <c r="K20">
        <f t="shared" si="8"/>
        <v>368.59958932238192</v>
      </c>
      <c r="L20">
        <f t="shared" si="9"/>
        <v>368.59958932238192</v>
      </c>
    </row>
    <row r="21" spans="1:13" hidden="1" outlineLevel="1">
      <c r="A21" s="139">
        <v>43537</v>
      </c>
      <c r="B21" s="66">
        <v>43539</v>
      </c>
      <c r="C21" s="123"/>
      <c r="D21" s="124">
        <v>21870</v>
      </c>
      <c r="E21" s="146">
        <f t="shared" si="4"/>
        <v>736401</v>
      </c>
      <c r="F21" s="146">
        <f>-D21+C23</f>
        <v>-20</v>
      </c>
      <c r="G21" s="80">
        <f t="shared" ref="G21:G42" si="11">G20+F21</f>
        <v>8251</v>
      </c>
      <c r="H21" s="80">
        <f t="shared" si="0"/>
        <v>2</v>
      </c>
      <c r="I21">
        <f t="shared" si="1"/>
        <v>2</v>
      </c>
      <c r="J21" t="s">
        <v>43</v>
      </c>
      <c r="K21">
        <f t="shared" si="8"/>
        <v>0</v>
      </c>
      <c r="L21">
        <f t="shared" si="9"/>
        <v>0</v>
      </c>
      <c r="M21" s="65" t="s">
        <v>57</v>
      </c>
    </row>
    <row r="22" spans="1:13" hidden="1" outlineLevel="1">
      <c r="A22" s="139">
        <v>43538</v>
      </c>
      <c r="B22" s="66">
        <v>43542</v>
      </c>
      <c r="C22" s="123"/>
      <c r="D22" s="124">
        <v>22670</v>
      </c>
      <c r="E22" s="146">
        <f t="shared" si="4"/>
        <v>713731</v>
      </c>
      <c r="F22" s="146">
        <f>-D22+C24</f>
        <v>-20</v>
      </c>
      <c r="G22" s="80">
        <f t="shared" si="11"/>
        <v>8231</v>
      </c>
      <c r="H22" s="80">
        <f t="shared" si="0"/>
        <v>4</v>
      </c>
      <c r="I22">
        <f t="shared" si="1"/>
        <v>4</v>
      </c>
      <c r="J22" t="s">
        <v>53</v>
      </c>
      <c r="K22">
        <f t="shared" si="8"/>
        <v>0</v>
      </c>
      <c r="L22">
        <f t="shared" si="9"/>
        <v>0</v>
      </c>
      <c r="M22" s="65" t="s">
        <v>57</v>
      </c>
    </row>
    <row r="23" spans="1:13" hidden="1" outlineLevel="1">
      <c r="A23" s="66">
        <v>43539</v>
      </c>
      <c r="B23" s="66">
        <v>43539</v>
      </c>
      <c r="C23" s="123">
        <v>21850</v>
      </c>
      <c r="D23" s="124"/>
      <c r="E23" s="146">
        <f t="shared" si="4"/>
        <v>735581</v>
      </c>
      <c r="F23" s="146"/>
      <c r="G23" s="80">
        <f t="shared" si="11"/>
        <v>8231</v>
      </c>
      <c r="H23" s="80">
        <f t="shared" si="0"/>
        <v>0</v>
      </c>
      <c r="I23">
        <f t="shared" ref="I23:I24" si="12">IF(B23="",$C$1-A23,H23)</f>
        <v>0</v>
      </c>
      <c r="J23" t="s">
        <v>43</v>
      </c>
      <c r="K23">
        <f t="shared" si="8"/>
        <v>0</v>
      </c>
      <c r="L23">
        <f t="shared" si="9"/>
        <v>0</v>
      </c>
      <c r="M23" s="65" t="s">
        <v>57</v>
      </c>
    </row>
    <row r="24" spans="1:13" hidden="1" outlineLevel="1">
      <c r="A24" s="66">
        <v>43542</v>
      </c>
      <c r="B24" s="66">
        <v>43542</v>
      </c>
      <c r="C24" s="123">
        <v>22650</v>
      </c>
      <c r="D24" s="124"/>
      <c r="E24" s="146">
        <f t="shared" si="4"/>
        <v>758231</v>
      </c>
      <c r="F24" s="146"/>
      <c r="G24" s="80">
        <f t="shared" si="11"/>
        <v>8231</v>
      </c>
      <c r="H24" s="80">
        <f t="shared" si="0"/>
        <v>0</v>
      </c>
      <c r="I24">
        <f t="shared" si="12"/>
        <v>0</v>
      </c>
      <c r="J24" t="s">
        <v>53</v>
      </c>
      <c r="K24">
        <f t="shared" si="8"/>
        <v>0</v>
      </c>
      <c r="L24">
        <f t="shared" si="9"/>
        <v>0</v>
      </c>
      <c r="M24" s="65" t="s">
        <v>57</v>
      </c>
    </row>
    <row r="25" spans="1:13" hidden="1" outlineLevel="1">
      <c r="A25" s="139">
        <v>43543</v>
      </c>
      <c r="B25" s="66">
        <v>43545</v>
      </c>
      <c r="C25" s="123"/>
      <c r="D25" s="124">
        <v>29070</v>
      </c>
      <c r="E25" s="146">
        <f t="shared" si="4"/>
        <v>729161</v>
      </c>
      <c r="F25" s="146">
        <f>-D25+C28</f>
        <v>-20</v>
      </c>
      <c r="G25" s="80">
        <f t="shared" si="11"/>
        <v>8211</v>
      </c>
      <c r="H25" s="80">
        <f t="shared" si="0"/>
        <v>2</v>
      </c>
      <c r="I25">
        <f>IF(B25="",$C$1-A25,H25)</f>
        <v>2</v>
      </c>
      <c r="J25" t="s">
        <v>46</v>
      </c>
      <c r="K25">
        <f t="shared" si="8"/>
        <v>0</v>
      </c>
      <c r="L25">
        <f t="shared" si="9"/>
        <v>0</v>
      </c>
      <c r="M25" s="65" t="s">
        <v>57</v>
      </c>
    </row>
    <row r="26" spans="1:13" hidden="1" outlineLevel="1">
      <c r="A26" s="139">
        <v>43543</v>
      </c>
      <c r="B26" s="66">
        <v>43545</v>
      </c>
      <c r="C26" s="123"/>
      <c r="D26" s="124">
        <v>36870</v>
      </c>
      <c r="E26" s="146">
        <f t="shared" si="4"/>
        <v>692291</v>
      </c>
      <c r="F26" s="146">
        <f t="shared" ref="F26:F27" si="13">-D26+C29</f>
        <v>-20</v>
      </c>
      <c r="G26" s="80">
        <f t="shared" si="11"/>
        <v>8191</v>
      </c>
      <c r="H26" s="80">
        <f t="shared" si="0"/>
        <v>2</v>
      </c>
      <c r="I26">
        <f t="shared" si="1"/>
        <v>2</v>
      </c>
      <c r="J26" t="s">
        <v>55</v>
      </c>
      <c r="K26">
        <f t="shared" si="8"/>
        <v>0</v>
      </c>
      <c r="L26">
        <f t="shared" si="9"/>
        <v>0</v>
      </c>
      <c r="M26" s="65" t="s">
        <v>57</v>
      </c>
    </row>
    <row r="27" spans="1:13" hidden="1" outlineLevel="1">
      <c r="A27" s="139">
        <v>43544</v>
      </c>
      <c r="B27" s="66">
        <v>43546</v>
      </c>
      <c r="C27" s="123"/>
      <c r="D27" s="124">
        <v>248070</v>
      </c>
      <c r="E27" s="146">
        <f t="shared" si="4"/>
        <v>444221</v>
      </c>
      <c r="F27" s="146">
        <f t="shared" si="13"/>
        <v>-20</v>
      </c>
      <c r="G27" s="80">
        <f t="shared" si="11"/>
        <v>8171</v>
      </c>
      <c r="H27" s="80">
        <f t="shared" si="0"/>
        <v>2</v>
      </c>
      <c r="I27">
        <f t="shared" si="1"/>
        <v>2</v>
      </c>
      <c r="J27" t="s">
        <v>56</v>
      </c>
      <c r="K27">
        <f t="shared" si="8"/>
        <v>0</v>
      </c>
      <c r="L27">
        <f t="shared" si="9"/>
        <v>0</v>
      </c>
      <c r="M27" s="65" t="s">
        <v>57</v>
      </c>
    </row>
    <row r="28" spans="1:13" hidden="1" outlineLevel="1">
      <c r="A28" s="66">
        <v>43545</v>
      </c>
      <c r="B28" s="66">
        <v>43545</v>
      </c>
      <c r="C28" s="123">
        <v>29050</v>
      </c>
      <c r="D28" s="124"/>
      <c r="E28" s="146">
        <f t="shared" si="4"/>
        <v>473271</v>
      </c>
      <c r="F28" s="146"/>
      <c r="G28" s="80">
        <f t="shared" si="11"/>
        <v>8171</v>
      </c>
      <c r="H28" s="80">
        <f t="shared" si="0"/>
        <v>0</v>
      </c>
      <c r="I28">
        <f>IF(B28="",$C$1-A28,H28)</f>
        <v>0</v>
      </c>
      <c r="J28" t="s">
        <v>46</v>
      </c>
      <c r="K28">
        <f t="shared" si="8"/>
        <v>0</v>
      </c>
      <c r="L28">
        <f t="shared" si="9"/>
        <v>0</v>
      </c>
      <c r="M28" s="65" t="s">
        <v>57</v>
      </c>
    </row>
    <row r="29" spans="1:13" hidden="1" outlineLevel="1">
      <c r="A29" s="66">
        <v>43545</v>
      </c>
      <c r="B29" s="66">
        <v>43545</v>
      </c>
      <c r="C29" s="123">
        <v>36850</v>
      </c>
      <c r="D29" s="124"/>
      <c r="E29" s="146">
        <f t="shared" si="4"/>
        <v>510121</v>
      </c>
      <c r="F29" s="146"/>
      <c r="G29" s="80">
        <f t="shared" si="11"/>
        <v>8171</v>
      </c>
      <c r="H29" s="80">
        <f t="shared" si="0"/>
        <v>0</v>
      </c>
      <c r="I29">
        <f t="shared" ref="I29:I30" si="14">IF(B29="",$C$1-A29,H29)</f>
        <v>0</v>
      </c>
      <c r="J29" t="s">
        <v>55</v>
      </c>
      <c r="K29">
        <f t="shared" si="8"/>
        <v>0</v>
      </c>
      <c r="L29">
        <f t="shared" si="9"/>
        <v>0</v>
      </c>
      <c r="M29" s="65" t="s">
        <v>57</v>
      </c>
    </row>
    <row r="30" spans="1:13" collapsed="1">
      <c r="A30" s="66">
        <v>43546</v>
      </c>
      <c r="B30" s="66">
        <v>43546</v>
      </c>
      <c r="C30" s="123">
        <v>248050</v>
      </c>
      <c r="D30" s="124"/>
      <c r="E30" s="146">
        <f t="shared" si="4"/>
        <v>758171</v>
      </c>
      <c r="F30" s="146"/>
      <c r="G30" s="80">
        <f t="shared" si="11"/>
        <v>8171</v>
      </c>
      <c r="H30" s="80">
        <f t="shared" si="0"/>
        <v>0</v>
      </c>
      <c r="I30">
        <f t="shared" si="14"/>
        <v>0</v>
      </c>
      <c r="J30" t="s">
        <v>56</v>
      </c>
      <c r="K30">
        <f t="shared" si="8"/>
        <v>0</v>
      </c>
      <c r="L30">
        <f t="shared" si="9"/>
        <v>0</v>
      </c>
      <c r="M30" s="65" t="s">
        <v>57</v>
      </c>
    </row>
    <row r="31" spans="1:13" hidden="1" outlineLevel="1">
      <c r="A31" s="139">
        <v>43557</v>
      </c>
      <c r="B31" s="139">
        <v>43572</v>
      </c>
      <c r="C31" s="123"/>
      <c r="D31" s="124">
        <v>69999</v>
      </c>
      <c r="E31" s="146">
        <f t="shared" si="4"/>
        <v>688172</v>
      </c>
      <c r="F31" s="146">
        <f>-D31+C38</f>
        <v>-706</v>
      </c>
      <c r="G31" s="80">
        <f t="shared" si="11"/>
        <v>7465</v>
      </c>
      <c r="H31" s="80">
        <f t="shared" si="0"/>
        <v>15</v>
      </c>
      <c r="I31">
        <f>IF(B31="",$C$1-A31,H31)</f>
        <v>15</v>
      </c>
      <c r="J31" t="s">
        <v>66</v>
      </c>
      <c r="K31">
        <f t="shared" si="8"/>
        <v>0</v>
      </c>
      <c r="L31">
        <f t="shared" si="9"/>
        <v>0</v>
      </c>
      <c r="M31" s="65"/>
    </row>
    <row r="32" spans="1:13" hidden="1" outlineLevel="1">
      <c r="A32" s="139">
        <v>43557</v>
      </c>
      <c r="B32" s="139">
        <v>43579</v>
      </c>
      <c r="C32" s="123"/>
      <c r="D32" s="124">
        <v>43912</v>
      </c>
      <c r="E32" s="146">
        <f t="shared" si="4"/>
        <v>644260</v>
      </c>
      <c r="F32" s="146">
        <f>-D32+C40</f>
        <v>542</v>
      </c>
      <c r="G32" s="80">
        <f t="shared" si="11"/>
        <v>8007</v>
      </c>
      <c r="H32" s="80">
        <f t="shared" si="0"/>
        <v>22</v>
      </c>
      <c r="I32">
        <f>IF(B32="",$C$1-A32,H32)</f>
        <v>22</v>
      </c>
      <c r="J32" t="s">
        <v>70</v>
      </c>
      <c r="K32">
        <f t="shared" si="8"/>
        <v>32.646132785763179</v>
      </c>
      <c r="L32">
        <f t="shared" si="9"/>
        <v>32.646132785763179</v>
      </c>
      <c r="M32" s="65"/>
    </row>
    <row r="33" spans="1:15" hidden="1" outlineLevel="1">
      <c r="A33" s="139">
        <v>43557</v>
      </c>
      <c r="B33" s="139">
        <v>43580</v>
      </c>
      <c r="C33" s="123"/>
      <c r="D33" s="124">
        <v>27288</v>
      </c>
      <c r="E33" s="146">
        <f t="shared" si="4"/>
        <v>616972</v>
      </c>
      <c r="F33" s="146">
        <f>-D33+C41</f>
        <v>18310</v>
      </c>
      <c r="G33" s="80">
        <f t="shared" si="11"/>
        <v>26317</v>
      </c>
      <c r="H33" s="80">
        <f t="shared" si="0"/>
        <v>23</v>
      </c>
      <c r="I33">
        <f>IF(B33="",$C$1-A33,H33)</f>
        <v>23</v>
      </c>
      <c r="J33" t="s">
        <v>71</v>
      </c>
      <c r="K33">
        <f t="shared" si="8"/>
        <v>1152.9911019849419</v>
      </c>
      <c r="L33">
        <f t="shared" si="9"/>
        <v>1152.9911019849419</v>
      </c>
      <c r="M33" s="65"/>
    </row>
    <row r="34" spans="1:15" hidden="1" outlineLevel="1">
      <c r="A34" s="139">
        <v>43564</v>
      </c>
      <c r="B34" s="139">
        <v>43567</v>
      </c>
      <c r="C34" s="123"/>
      <c r="D34" s="124">
        <v>30593</v>
      </c>
      <c r="E34" s="146">
        <f t="shared" si="4"/>
        <v>586379</v>
      </c>
      <c r="F34" s="146">
        <f>-D34+C36</f>
        <v>-1223</v>
      </c>
      <c r="G34" s="80">
        <f t="shared" si="11"/>
        <v>25094</v>
      </c>
      <c r="H34" s="80">
        <f t="shared" si="0"/>
        <v>3</v>
      </c>
      <c r="I34">
        <f>IF(B34="",$C$1-A34,H34)</f>
        <v>3</v>
      </c>
      <c r="J34" t="s">
        <v>65</v>
      </c>
      <c r="K34">
        <f t="shared" si="8"/>
        <v>0</v>
      </c>
      <c r="L34">
        <f t="shared" si="9"/>
        <v>0</v>
      </c>
      <c r="M34" s="65"/>
    </row>
    <row r="35" spans="1:15" hidden="1" outlineLevel="1">
      <c r="A35" s="147">
        <v>43565</v>
      </c>
      <c r="B35" s="147"/>
      <c r="C35" s="148">
        <v>136</v>
      </c>
      <c r="D35" s="149"/>
      <c r="E35" s="150">
        <f t="shared" ref="E35" si="15">E34+C35-D35</f>
        <v>586515</v>
      </c>
      <c r="F35" s="150">
        <f t="shared" ref="F35" si="16">C35-D35</f>
        <v>136</v>
      </c>
      <c r="G35" s="151">
        <f>G34+F35</f>
        <v>25230</v>
      </c>
      <c r="H35" s="151">
        <f t="shared" si="0"/>
        <v>265</v>
      </c>
      <c r="I35" s="152">
        <f t="shared" ref="I35:I37" ca="1" si="17">IF(B35="",$C$1-A35,H35)</f>
        <v>2745</v>
      </c>
      <c r="J35" s="152" t="s">
        <v>84</v>
      </c>
      <c r="K35" s="152">
        <f t="shared" si="8"/>
        <v>98.672142368240927</v>
      </c>
      <c r="L35" s="152">
        <f t="shared" ca="1" si="9"/>
        <v>1022.0944558521561</v>
      </c>
      <c r="M35" s="152"/>
    </row>
    <row r="36" spans="1:15" hidden="1" outlineLevel="1">
      <c r="A36" s="139">
        <v>43567</v>
      </c>
      <c r="B36" s="139">
        <v>43567</v>
      </c>
      <c r="C36" s="123">
        <v>29370</v>
      </c>
      <c r="D36" s="124"/>
      <c r="E36" s="146">
        <f t="shared" ref="E36:E44" si="18">E35+C36-D36</f>
        <v>615885</v>
      </c>
      <c r="F36" s="146"/>
      <c r="G36" s="80">
        <f>G35+F36</f>
        <v>25230</v>
      </c>
      <c r="H36" s="80">
        <f t="shared" si="0"/>
        <v>0</v>
      </c>
      <c r="I36">
        <f>IF(B36="",$C$1-A36,H36)</f>
        <v>0</v>
      </c>
      <c r="J36" t="s">
        <v>65</v>
      </c>
      <c r="K36">
        <f t="shared" si="8"/>
        <v>0</v>
      </c>
      <c r="L36">
        <f t="shared" si="9"/>
        <v>0</v>
      </c>
      <c r="M36" s="65"/>
    </row>
    <row r="37" spans="1:15" hidden="1" outlineLevel="1">
      <c r="A37" s="139">
        <v>43571</v>
      </c>
      <c r="B37" s="139">
        <v>43573</v>
      </c>
      <c r="C37" s="123"/>
      <c r="D37" s="124">
        <v>75070</v>
      </c>
      <c r="E37" s="146">
        <f t="shared" si="18"/>
        <v>540815</v>
      </c>
      <c r="F37" s="146">
        <f>-D37+C39</f>
        <v>-20</v>
      </c>
      <c r="G37" s="80">
        <f t="shared" si="11"/>
        <v>25210</v>
      </c>
      <c r="H37" s="80">
        <f t="shared" si="0"/>
        <v>2</v>
      </c>
      <c r="I37">
        <f t="shared" si="17"/>
        <v>2</v>
      </c>
      <c r="J37" t="s">
        <v>72</v>
      </c>
      <c r="K37">
        <f t="shared" si="8"/>
        <v>0</v>
      </c>
      <c r="L37">
        <f t="shared" si="9"/>
        <v>0</v>
      </c>
      <c r="M37" s="65" t="s">
        <v>57</v>
      </c>
    </row>
    <row r="38" spans="1:15" hidden="1" outlineLevel="1">
      <c r="A38" s="139">
        <v>43572</v>
      </c>
      <c r="B38" s="139">
        <v>43572</v>
      </c>
      <c r="C38" s="123">
        <v>69293</v>
      </c>
      <c r="D38" s="124"/>
      <c r="E38" s="146">
        <f t="shared" si="18"/>
        <v>610108</v>
      </c>
      <c r="F38" s="146"/>
      <c r="G38" s="80">
        <f t="shared" si="11"/>
        <v>25210</v>
      </c>
      <c r="H38" s="80">
        <f t="shared" ref="H38:H69" si="19">IF(B38="",DATEDIF(A38,$H$1,"d"),DATEDIF(A38,B38,"d"))</f>
        <v>0</v>
      </c>
      <c r="I38">
        <f>IF(B38="",$C$1-A38,H38)</f>
        <v>0</v>
      </c>
      <c r="J38" t="s">
        <v>66</v>
      </c>
      <c r="K38">
        <f t="shared" si="8"/>
        <v>0</v>
      </c>
      <c r="L38">
        <f t="shared" si="9"/>
        <v>0</v>
      </c>
      <c r="M38" s="65"/>
    </row>
    <row r="39" spans="1:15" hidden="1" outlineLevel="1">
      <c r="A39" s="139">
        <v>43573</v>
      </c>
      <c r="B39" s="139">
        <v>43573</v>
      </c>
      <c r="C39" s="123">
        <v>75050</v>
      </c>
      <c r="D39" s="124"/>
      <c r="E39" s="146">
        <f t="shared" si="18"/>
        <v>685158</v>
      </c>
      <c r="F39" s="146"/>
      <c r="G39" s="80">
        <f t="shared" si="11"/>
        <v>25210</v>
      </c>
      <c r="H39" s="80">
        <f t="shared" si="19"/>
        <v>0</v>
      </c>
      <c r="I39">
        <f t="shared" ref="I39" si="20">IF(B39="",$C$1-A39,H39)</f>
        <v>0</v>
      </c>
      <c r="J39" t="s">
        <v>72</v>
      </c>
      <c r="K39">
        <f t="shared" si="8"/>
        <v>0</v>
      </c>
      <c r="L39">
        <f t="shared" si="9"/>
        <v>0</v>
      </c>
      <c r="M39" s="65" t="s">
        <v>57</v>
      </c>
    </row>
    <row r="40" spans="1:15" hidden="1" outlineLevel="1">
      <c r="A40" s="139">
        <v>43579</v>
      </c>
      <c r="B40" s="139">
        <v>43579</v>
      </c>
      <c r="C40" s="123">
        <v>44454</v>
      </c>
      <c r="D40" s="124"/>
      <c r="E40" s="146">
        <f t="shared" si="18"/>
        <v>729612</v>
      </c>
      <c r="F40" s="146"/>
      <c r="G40" s="80">
        <f t="shared" si="11"/>
        <v>25210</v>
      </c>
      <c r="H40" s="80">
        <f t="shared" si="19"/>
        <v>0</v>
      </c>
      <c r="I40">
        <f t="shared" ref="I40:I49" si="21">IF(B40="",$C$1-A40,H40)</f>
        <v>0</v>
      </c>
      <c r="J40" t="s">
        <v>70</v>
      </c>
      <c r="K40">
        <f t="shared" si="8"/>
        <v>0</v>
      </c>
      <c r="L40">
        <f t="shared" si="9"/>
        <v>0</v>
      </c>
      <c r="M40" s="65"/>
    </row>
    <row r="41" spans="1:15" hidden="1" outlineLevel="1">
      <c r="A41" s="139">
        <v>43580</v>
      </c>
      <c r="B41" s="139">
        <v>43580</v>
      </c>
      <c r="C41" s="123">
        <v>45598</v>
      </c>
      <c r="D41" s="124"/>
      <c r="E41" s="146">
        <f t="shared" si="18"/>
        <v>775210</v>
      </c>
      <c r="F41" s="146"/>
      <c r="G41" s="80">
        <f t="shared" si="11"/>
        <v>25210</v>
      </c>
      <c r="H41" s="80">
        <f t="shared" si="19"/>
        <v>0</v>
      </c>
      <c r="I41">
        <f t="shared" si="21"/>
        <v>0</v>
      </c>
      <c r="J41" t="s">
        <v>71</v>
      </c>
      <c r="K41">
        <f t="shared" si="8"/>
        <v>0</v>
      </c>
      <c r="L41">
        <f t="shared" si="9"/>
        <v>0</v>
      </c>
      <c r="M41" s="65"/>
    </row>
    <row r="42" spans="1:15" hidden="1" outlineLevel="1">
      <c r="A42" s="139">
        <v>43587</v>
      </c>
      <c r="B42" s="139">
        <v>43591</v>
      </c>
      <c r="C42" s="123"/>
      <c r="D42" s="124">
        <v>70070</v>
      </c>
      <c r="E42" s="146">
        <f t="shared" si="18"/>
        <v>705140</v>
      </c>
      <c r="F42" s="146">
        <f>-D42+C43</f>
        <v>-20</v>
      </c>
      <c r="G42" s="80">
        <f t="shared" si="11"/>
        <v>25190</v>
      </c>
      <c r="H42" s="80">
        <f t="shared" si="19"/>
        <v>4</v>
      </c>
      <c r="I42">
        <f t="shared" si="21"/>
        <v>4</v>
      </c>
      <c r="J42" t="s">
        <v>85</v>
      </c>
      <c r="K42">
        <f t="shared" si="8"/>
        <v>0</v>
      </c>
      <c r="L42">
        <f t="shared" si="9"/>
        <v>0</v>
      </c>
      <c r="M42" s="65" t="s">
        <v>57</v>
      </c>
    </row>
    <row r="43" spans="1:15" hidden="1" outlineLevel="1">
      <c r="A43" s="139">
        <v>43591</v>
      </c>
      <c r="B43" s="139">
        <v>43591</v>
      </c>
      <c r="C43" s="123">
        <v>70050</v>
      </c>
      <c r="D43" s="124"/>
      <c r="E43" s="146">
        <f t="shared" si="18"/>
        <v>775190</v>
      </c>
      <c r="F43" s="146"/>
      <c r="G43" s="80">
        <f>G42+F43</f>
        <v>25190</v>
      </c>
      <c r="H43" s="80">
        <f t="shared" si="19"/>
        <v>0</v>
      </c>
      <c r="I43">
        <f t="shared" si="21"/>
        <v>0</v>
      </c>
      <c r="J43" t="s">
        <v>85</v>
      </c>
      <c r="K43">
        <f t="shared" si="8"/>
        <v>0</v>
      </c>
      <c r="L43">
        <f t="shared" si="9"/>
        <v>0</v>
      </c>
      <c r="M43" s="65" t="s">
        <v>57</v>
      </c>
    </row>
    <row r="44" spans="1:15" hidden="1" outlineLevel="1">
      <c r="A44" s="147">
        <v>43595</v>
      </c>
      <c r="B44" s="147"/>
      <c r="C44" s="148">
        <v>123</v>
      </c>
      <c r="D44" s="149"/>
      <c r="E44" s="150">
        <f t="shared" si="18"/>
        <v>775313</v>
      </c>
      <c r="F44" s="150">
        <f t="shared" ref="F44" si="22">C44-D44</f>
        <v>123</v>
      </c>
      <c r="G44" s="151">
        <f>G43+F44</f>
        <v>25313</v>
      </c>
      <c r="H44" s="151">
        <f t="shared" si="19"/>
        <v>235</v>
      </c>
      <c r="I44" s="152">
        <f t="shared" ca="1" si="21"/>
        <v>2715</v>
      </c>
      <c r="J44" s="152" t="s">
        <v>84</v>
      </c>
      <c r="K44" s="152">
        <f t="shared" si="8"/>
        <v>79.137577002053391</v>
      </c>
      <c r="L44" s="152">
        <f t="shared" ca="1" si="9"/>
        <v>914.29158110882952</v>
      </c>
      <c r="M44" s="152"/>
    </row>
    <row r="45" spans="1:15" hidden="1" outlineLevel="1">
      <c r="A45" s="153">
        <v>43637</v>
      </c>
      <c r="B45" s="153"/>
      <c r="C45" s="154">
        <v>352</v>
      </c>
      <c r="D45" s="155"/>
      <c r="E45" s="156">
        <f>E44+C45-D45</f>
        <v>775665</v>
      </c>
      <c r="F45" s="156">
        <f>C45-D45</f>
        <v>352</v>
      </c>
      <c r="G45" s="157">
        <f>G44+F45</f>
        <v>25665</v>
      </c>
      <c r="H45" s="157">
        <f t="shared" si="19"/>
        <v>193</v>
      </c>
      <c r="I45" s="158">
        <f t="shared" ca="1" si="21"/>
        <v>2673</v>
      </c>
      <c r="J45" s="158" t="s">
        <v>48</v>
      </c>
      <c r="K45" s="158">
        <f>IF(F45&gt;0,(H45*$F45)/365.25,0)</f>
        <v>185.99863107460644</v>
      </c>
      <c r="L45" s="158">
        <f ca="1">IF(F45&gt;0,(I45*$F45)/365.25,0)</f>
        <v>2576.0328542094458</v>
      </c>
      <c r="M45" s="159"/>
    </row>
    <row r="46" spans="1:15" hidden="1" outlineLevel="1">
      <c r="A46" s="139">
        <v>43641</v>
      </c>
      <c r="B46" s="139">
        <v>43649</v>
      </c>
      <c r="C46" s="123"/>
      <c r="D46" s="124">
        <v>78611</v>
      </c>
      <c r="E46" s="146">
        <f t="shared" ref="E46:E65" si="23">E45+C46-D46</f>
        <v>697054</v>
      </c>
      <c r="F46" s="146">
        <f>-D46+C59+C73</f>
        <v>1740</v>
      </c>
      <c r="G46" s="80">
        <f>G45+F46</f>
        <v>27405</v>
      </c>
      <c r="H46" s="80">
        <f t="shared" si="19"/>
        <v>8</v>
      </c>
      <c r="I46">
        <f t="shared" si="21"/>
        <v>8</v>
      </c>
      <c r="J46" s="129" t="s">
        <v>92</v>
      </c>
      <c r="K46">
        <f t="shared" ref="K46" si="24">IF(F46&gt;0,(H46*$F46)/365.25,0)</f>
        <v>38.110882956878854</v>
      </c>
      <c r="L46">
        <f t="shared" ref="L46" si="25">IF(F46&gt;0,(I46*$F46)/365.25,0)</f>
        <v>38.110882956878854</v>
      </c>
      <c r="M46" s="66"/>
      <c r="O46" s="123"/>
    </row>
    <row r="47" spans="1:15" hidden="1" outlineLevel="1">
      <c r="A47" s="139">
        <v>43641</v>
      </c>
      <c r="B47" s="139">
        <v>43649</v>
      </c>
      <c r="C47" s="123"/>
      <c r="D47" s="124">
        <v>73003</v>
      </c>
      <c r="E47" s="146">
        <f t="shared" si="23"/>
        <v>624051</v>
      </c>
      <c r="F47" s="146">
        <f>-D47+C57+C77</f>
        <v>1430</v>
      </c>
      <c r="G47" s="80">
        <f t="shared" ref="G47:G64" si="26">G46+F47</f>
        <v>28835</v>
      </c>
      <c r="H47" s="80">
        <f t="shared" si="19"/>
        <v>8</v>
      </c>
      <c r="I47">
        <f t="shared" si="21"/>
        <v>8</v>
      </c>
      <c r="J47" t="s">
        <v>88</v>
      </c>
      <c r="K47">
        <f t="shared" ref="K47:K65" si="27">IF(F47&gt;0,(H47*$F47)/365.25,0)</f>
        <v>31.32101300479124</v>
      </c>
      <c r="L47">
        <f t="shared" ref="L47:L65" si="28">IF(F47&gt;0,(I47*$F47)/365.25,0)</f>
        <v>31.32101300479124</v>
      </c>
      <c r="M47" s="66">
        <v>43672</v>
      </c>
      <c r="O47" s="123">
        <v>2950</v>
      </c>
    </row>
    <row r="48" spans="1:15" hidden="1" outlineLevel="1">
      <c r="A48" s="139">
        <v>43641</v>
      </c>
      <c r="B48" s="139">
        <v>43648</v>
      </c>
      <c r="C48" s="123"/>
      <c r="D48" s="124">
        <v>74105</v>
      </c>
      <c r="E48" s="146">
        <f t="shared" si="23"/>
        <v>549946</v>
      </c>
      <c r="F48" s="146">
        <f>-D48+C51+C68</f>
        <v>-1907</v>
      </c>
      <c r="G48" s="80">
        <f t="shared" si="26"/>
        <v>26928</v>
      </c>
      <c r="H48" s="80">
        <f t="shared" si="19"/>
        <v>7</v>
      </c>
      <c r="I48">
        <f t="shared" si="21"/>
        <v>7</v>
      </c>
      <c r="J48" t="s">
        <v>86</v>
      </c>
      <c r="K48">
        <f t="shared" si="27"/>
        <v>0</v>
      </c>
      <c r="L48">
        <f t="shared" si="28"/>
        <v>0</v>
      </c>
      <c r="M48" s="66"/>
      <c r="O48" s="123"/>
    </row>
    <row r="49" spans="1:15" hidden="1" outlineLevel="1">
      <c r="A49" s="139">
        <v>43641</v>
      </c>
      <c r="B49" s="139">
        <v>43648</v>
      </c>
      <c r="C49" s="123"/>
      <c r="D49" s="124">
        <v>175249</v>
      </c>
      <c r="E49" s="146">
        <f t="shared" si="23"/>
        <v>374697</v>
      </c>
      <c r="F49" s="146">
        <f>-D49+C52+C69</f>
        <v>-1464</v>
      </c>
      <c r="G49" s="80">
        <f t="shared" si="26"/>
        <v>25464</v>
      </c>
      <c r="H49" s="80">
        <f t="shared" si="19"/>
        <v>7</v>
      </c>
      <c r="I49">
        <f t="shared" si="21"/>
        <v>7</v>
      </c>
      <c r="J49" t="s">
        <v>2269</v>
      </c>
      <c r="K49">
        <f t="shared" si="27"/>
        <v>0</v>
      </c>
      <c r="L49">
        <f t="shared" si="28"/>
        <v>0</v>
      </c>
      <c r="M49" s="66"/>
      <c r="O49" s="123"/>
    </row>
    <row r="50" spans="1:15" collapsed="1">
      <c r="A50" s="139">
        <v>43643</v>
      </c>
      <c r="B50" s="139">
        <v>43649</v>
      </c>
      <c r="C50" s="123"/>
      <c r="D50" s="124">
        <v>49220</v>
      </c>
      <c r="E50" s="146">
        <f t="shared" si="23"/>
        <v>325477</v>
      </c>
      <c r="F50" s="146">
        <f>-D50+C58+C82</f>
        <v>1132</v>
      </c>
      <c r="G50" s="80">
        <f t="shared" si="26"/>
        <v>26596</v>
      </c>
      <c r="H50" s="80">
        <f t="shared" si="19"/>
        <v>6</v>
      </c>
      <c r="I50">
        <f t="shared" ref="I50:I66" si="29">IF(B50="",$C$1-A50,H50)</f>
        <v>6</v>
      </c>
      <c r="J50" t="s">
        <v>83</v>
      </c>
      <c r="K50">
        <f t="shared" si="27"/>
        <v>18.595482546201232</v>
      </c>
      <c r="L50">
        <f t="shared" si="28"/>
        <v>18.595482546201232</v>
      </c>
      <c r="M50" s="66"/>
      <c r="O50" s="123"/>
    </row>
    <row r="51" spans="1:15" hidden="1" outlineLevel="1">
      <c r="A51" s="139">
        <v>43648</v>
      </c>
      <c r="B51" s="139">
        <v>43648</v>
      </c>
      <c r="C51" s="123">
        <v>66008</v>
      </c>
      <c r="D51" s="124"/>
      <c r="E51" s="146">
        <f t="shared" si="23"/>
        <v>391485</v>
      </c>
      <c r="F51" s="146"/>
      <c r="G51" s="80">
        <f t="shared" si="26"/>
        <v>26596</v>
      </c>
      <c r="H51" s="80">
        <f t="shared" si="19"/>
        <v>0</v>
      </c>
      <c r="I51">
        <f>IF(B51="",$C$1-A51,H51)</f>
        <v>0</v>
      </c>
      <c r="J51" t="s">
        <v>86</v>
      </c>
      <c r="K51">
        <f t="shared" si="27"/>
        <v>0</v>
      </c>
      <c r="L51">
        <f t="shared" si="28"/>
        <v>0</v>
      </c>
      <c r="M51" s="66">
        <v>43658</v>
      </c>
      <c r="O51" s="123">
        <v>6190</v>
      </c>
    </row>
    <row r="52" spans="1:15" hidden="1" outlineLevel="1">
      <c r="A52" s="139">
        <v>43648</v>
      </c>
      <c r="B52" s="139">
        <v>43648</v>
      </c>
      <c r="C52" s="123">
        <v>158795</v>
      </c>
      <c r="D52" s="124"/>
      <c r="E52" s="146">
        <f t="shared" si="23"/>
        <v>550280</v>
      </c>
      <c r="F52" s="146"/>
      <c r="G52" s="80">
        <f t="shared" si="26"/>
        <v>26596</v>
      </c>
      <c r="H52" s="80">
        <f t="shared" si="19"/>
        <v>0</v>
      </c>
      <c r="I52">
        <f>IF(B52="",$C$1-A52,H52)</f>
        <v>0</v>
      </c>
      <c r="J52" t="s">
        <v>87</v>
      </c>
      <c r="K52">
        <f t="shared" si="27"/>
        <v>0</v>
      </c>
      <c r="L52">
        <f t="shared" si="28"/>
        <v>0</v>
      </c>
      <c r="M52" s="66">
        <v>43658</v>
      </c>
      <c r="O52" s="123">
        <v>14990</v>
      </c>
    </row>
    <row r="53" spans="1:15" hidden="1" outlineLevel="1">
      <c r="A53" s="139">
        <v>43648</v>
      </c>
      <c r="B53" s="139">
        <v>43656</v>
      </c>
      <c r="C53" s="123"/>
      <c r="D53" s="124">
        <v>31344</v>
      </c>
      <c r="E53" s="146">
        <f t="shared" si="23"/>
        <v>518936</v>
      </c>
      <c r="F53" s="146">
        <f>-D53+C67+C79</f>
        <v>2005</v>
      </c>
      <c r="G53" s="80">
        <f t="shared" si="26"/>
        <v>28601</v>
      </c>
      <c r="H53" s="80">
        <f t="shared" si="19"/>
        <v>8</v>
      </c>
      <c r="I53">
        <f>IF(B53="",$C$1-A53,H53)</f>
        <v>8</v>
      </c>
      <c r="J53" t="s">
        <v>96</v>
      </c>
      <c r="K53">
        <f t="shared" si="27"/>
        <v>43.915126625598901</v>
      </c>
      <c r="L53">
        <f t="shared" si="28"/>
        <v>43.915126625598901</v>
      </c>
      <c r="M53" s="66"/>
      <c r="O53" s="123"/>
    </row>
    <row r="54" spans="1:15" hidden="1" outlineLevel="1">
      <c r="A54" s="139">
        <v>43648</v>
      </c>
      <c r="B54" s="139">
        <v>43654</v>
      </c>
      <c r="C54" s="123"/>
      <c r="D54" s="124">
        <v>45414</v>
      </c>
      <c r="E54" s="146">
        <f t="shared" si="23"/>
        <v>473522</v>
      </c>
      <c r="F54" s="146">
        <f>-D54+C63+C75</f>
        <v>288</v>
      </c>
      <c r="G54" s="80">
        <f t="shared" si="26"/>
        <v>28889</v>
      </c>
      <c r="H54" s="80">
        <f t="shared" si="19"/>
        <v>6</v>
      </c>
      <c r="I54">
        <f t="shared" si="29"/>
        <v>6</v>
      </c>
      <c r="J54" t="s">
        <v>2272</v>
      </c>
      <c r="K54">
        <f t="shared" si="27"/>
        <v>4.731006160164271</v>
      </c>
      <c r="L54">
        <f t="shared" si="28"/>
        <v>4.731006160164271</v>
      </c>
      <c r="M54" s="66"/>
      <c r="O54" s="123"/>
    </row>
    <row r="55" spans="1:15" hidden="1" outlineLevel="1">
      <c r="A55" s="139">
        <v>43648</v>
      </c>
      <c r="B55" s="139">
        <v>43656</v>
      </c>
      <c r="C55" s="123"/>
      <c r="D55" s="124">
        <v>104148</v>
      </c>
      <c r="E55" s="146">
        <f t="shared" si="23"/>
        <v>369374</v>
      </c>
      <c r="F55" s="146">
        <f>-D55+C70+C80</f>
        <v>6881</v>
      </c>
      <c r="G55" s="80">
        <f t="shared" si="26"/>
        <v>35770</v>
      </c>
      <c r="H55" s="80">
        <f t="shared" si="19"/>
        <v>8</v>
      </c>
      <c r="I55">
        <f t="shared" si="29"/>
        <v>8</v>
      </c>
      <c r="J55" t="s">
        <v>100</v>
      </c>
      <c r="K55">
        <f t="shared" si="27"/>
        <v>150.71321013004791</v>
      </c>
      <c r="L55">
        <f t="shared" si="28"/>
        <v>150.71321013004791</v>
      </c>
      <c r="M55" s="66"/>
      <c r="O55" s="123"/>
    </row>
    <row r="56" spans="1:15" hidden="1" outlineLevel="1">
      <c r="A56" s="139">
        <v>43648</v>
      </c>
      <c r="B56" s="139">
        <v>43655</v>
      </c>
      <c r="C56" s="123"/>
      <c r="D56" s="124">
        <v>51373</v>
      </c>
      <c r="E56" s="146">
        <f t="shared" si="23"/>
        <v>318001</v>
      </c>
      <c r="F56" s="146">
        <f>-D56+C64+C74</f>
        <v>949</v>
      </c>
      <c r="G56" s="80">
        <f t="shared" si="26"/>
        <v>36719</v>
      </c>
      <c r="H56" s="80">
        <f t="shared" si="19"/>
        <v>7</v>
      </c>
      <c r="I56">
        <f t="shared" si="29"/>
        <v>7</v>
      </c>
      <c r="J56" t="s">
        <v>94</v>
      </c>
      <c r="K56">
        <f t="shared" si="27"/>
        <v>18.187542778918548</v>
      </c>
      <c r="L56">
        <f t="shared" si="28"/>
        <v>18.187542778918548</v>
      </c>
      <c r="M56" s="66"/>
      <c r="O56" s="123"/>
    </row>
    <row r="57" spans="1:15" hidden="1" outlineLevel="1">
      <c r="A57" s="139">
        <v>43649</v>
      </c>
      <c r="B57" s="139">
        <v>43649</v>
      </c>
      <c r="C57" s="123">
        <v>71483</v>
      </c>
      <c r="D57" s="124"/>
      <c r="E57" s="146">
        <f t="shared" si="23"/>
        <v>389484</v>
      </c>
      <c r="F57" s="146"/>
      <c r="G57" s="80">
        <f t="shared" si="26"/>
        <v>36719</v>
      </c>
      <c r="H57" s="80">
        <f t="shared" si="19"/>
        <v>0</v>
      </c>
      <c r="I57">
        <f>IF(B57="",$C$1-A57,H57)</f>
        <v>0</v>
      </c>
      <c r="J57" t="s">
        <v>2273</v>
      </c>
      <c r="K57">
        <f t="shared" si="27"/>
        <v>0</v>
      </c>
      <c r="L57">
        <f t="shared" si="28"/>
        <v>0</v>
      </c>
      <c r="M57" s="66"/>
      <c r="O57" s="123"/>
    </row>
    <row r="58" spans="1:15" hidden="1" outlineLevel="1">
      <c r="A58" s="139">
        <v>43649</v>
      </c>
      <c r="B58" s="139">
        <v>43649</v>
      </c>
      <c r="C58" s="123">
        <v>46992</v>
      </c>
      <c r="D58" s="124"/>
      <c r="E58" s="146">
        <f t="shared" si="23"/>
        <v>436476</v>
      </c>
      <c r="F58" s="146"/>
      <c r="G58" s="80">
        <f t="shared" si="26"/>
        <v>36719</v>
      </c>
      <c r="H58" s="80">
        <f t="shared" si="19"/>
        <v>0</v>
      </c>
      <c r="I58">
        <f t="shared" ref="I58" si="30">IF(B58="",$C$1-A58,H58)</f>
        <v>0</v>
      </c>
      <c r="J58" t="s">
        <v>2278</v>
      </c>
      <c r="K58">
        <f t="shared" si="27"/>
        <v>0</v>
      </c>
      <c r="L58">
        <f t="shared" si="28"/>
        <v>0</v>
      </c>
      <c r="M58" s="66">
        <v>43679</v>
      </c>
      <c r="O58" s="123">
        <v>3360</v>
      </c>
    </row>
    <row r="59" spans="1:15" hidden="1" outlineLevel="1">
      <c r="A59" s="139">
        <v>43649</v>
      </c>
      <c r="B59" s="139">
        <v>43649</v>
      </c>
      <c r="C59" s="123">
        <v>76561</v>
      </c>
      <c r="D59" s="124"/>
      <c r="E59" s="146">
        <f t="shared" si="23"/>
        <v>513037</v>
      </c>
      <c r="F59" s="146"/>
      <c r="G59" s="80">
        <f t="shared" si="26"/>
        <v>36719</v>
      </c>
      <c r="H59" s="80">
        <f t="shared" si="19"/>
        <v>0</v>
      </c>
      <c r="I59">
        <f>IF(B59="",$C$1-A59,H59)</f>
        <v>0</v>
      </c>
      <c r="J59" s="201" t="s">
        <v>2270</v>
      </c>
      <c r="K59">
        <f t="shared" si="27"/>
        <v>0</v>
      </c>
      <c r="L59">
        <f t="shared" si="28"/>
        <v>0</v>
      </c>
      <c r="M59" s="66">
        <v>43665</v>
      </c>
      <c r="O59" s="123">
        <v>3790</v>
      </c>
    </row>
    <row r="60" spans="1:15" hidden="1" outlineLevel="1">
      <c r="A60" s="139">
        <v>43651</v>
      </c>
      <c r="B60" s="139">
        <v>43656</v>
      </c>
      <c r="C60" s="123"/>
      <c r="D60" s="124">
        <v>65393</v>
      </c>
      <c r="E60" s="146">
        <f t="shared" si="23"/>
        <v>447644</v>
      </c>
      <c r="F60" s="146">
        <f>-D60+C66+C78</f>
        <v>1840</v>
      </c>
      <c r="G60" s="80">
        <f t="shared" si="26"/>
        <v>38559</v>
      </c>
      <c r="H60" s="80">
        <f t="shared" si="19"/>
        <v>5</v>
      </c>
      <c r="I60">
        <f t="shared" ref="I60" si="31">IF(B60="",$C$1-A60,H60)</f>
        <v>5</v>
      </c>
      <c r="J60" t="s">
        <v>98</v>
      </c>
      <c r="K60">
        <f t="shared" si="27"/>
        <v>25.188227241615333</v>
      </c>
      <c r="L60">
        <f t="shared" si="28"/>
        <v>25.188227241615333</v>
      </c>
      <c r="M60" s="66"/>
      <c r="O60" s="123"/>
    </row>
    <row r="61" spans="1:15" hidden="1" outlineLevel="1">
      <c r="A61" s="139">
        <v>43651</v>
      </c>
      <c r="B61" s="139">
        <v>43663</v>
      </c>
      <c r="C61" s="123"/>
      <c r="D61" s="124">
        <v>93833</v>
      </c>
      <c r="E61" s="146">
        <f t="shared" si="23"/>
        <v>353811</v>
      </c>
      <c r="F61" s="146">
        <f>-D61+C72+C76</f>
        <v>1356</v>
      </c>
      <c r="G61" s="80">
        <f t="shared" si="26"/>
        <v>39915</v>
      </c>
      <c r="H61" s="80">
        <f t="shared" si="19"/>
        <v>12</v>
      </c>
      <c r="I61">
        <f>IF(B61="",$C$1-A61,H61)</f>
        <v>12</v>
      </c>
      <c r="J61" t="s">
        <v>107</v>
      </c>
      <c r="K61">
        <f t="shared" si="27"/>
        <v>44.550308008213555</v>
      </c>
      <c r="L61">
        <f t="shared" si="28"/>
        <v>44.550308008213555</v>
      </c>
      <c r="M61" s="66">
        <v>43672</v>
      </c>
      <c r="O61" s="123">
        <v>7975</v>
      </c>
    </row>
    <row r="62" spans="1:15" hidden="1" outlineLevel="1">
      <c r="A62" s="139">
        <v>43651</v>
      </c>
      <c r="B62" s="139">
        <v>43658</v>
      </c>
      <c r="C62" s="123"/>
      <c r="D62" s="124">
        <v>99942</v>
      </c>
      <c r="E62" s="146">
        <f t="shared" si="23"/>
        <v>253869</v>
      </c>
      <c r="F62" s="146">
        <f>-D62+C71+C81</f>
        <v>-272</v>
      </c>
      <c r="G62" s="80">
        <f t="shared" si="26"/>
        <v>39643</v>
      </c>
      <c r="H62" s="80">
        <f t="shared" si="19"/>
        <v>7</v>
      </c>
      <c r="I62">
        <f t="shared" ref="I62:I64" si="32">IF(B62="",$C$1-A62,H62)</f>
        <v>7</v>
      </c>
      <c r="J62" t="s">
        <v>106</v>
      </c>
      <c r="K62">
        <f t="shared" si="27"/>
        <v>0</v>
      </c>
      <c r="L62">
        <f t="shared" si="28"/>
        <v>0</v>
      </c>
      <c r="M62" s="66"/>
      <c r="O62" s="123"/>
    </row>
    <row r="63" spans="1:15" hidden="1" outlineLevel="1">
      <c r="A63" s="139">
        <v>43654</v>
      </c>
      <c r="B63" s="139">
        <v>43654</v>
      </c>
      <c r="C63" s="123">
        <v>42612</v>
      </c>
      <c r="D63" s="124"/>
      <c r="E63" s="146">
        <f t="shared" si="23"/>
        <v>296481</v>
      </c>
      <c r="F63" s="146"/>
      <c r="G63" s="80">
        <f t="shared" si="26"/>
        <v>39643</v>
      </c>
      <c r="H63" s="80">
        <f t="shared" si="19"/>
        <v>0</v>
      </c>
      <c r="I63">
        <f t="shared" si="32"/>
        <v>0</v>
      </c>
      <c r="J63" t="s">
        <v>93</v>
      </c>
      <c r="K63">
        <f t="shared" si="27"/>
        <v>0</v>
      </c>
      <c r="L63">
        <f t="shared" si="28"/>
        <v>0</v>
      </c>
      <c r="M63" s="66">
        <v>43671</v>
      </c>
      <c r="O63" s="123">
        <v>3090</v>
      </c>
    </row>
    <row r="64" spans="1:15" hidden="1" outlineLevel="1">
      <c r="A64" s="139">
        <v>43655</v>
      </c>
      <c r="B64" s="139">
        <v>43655</v>
      </c>
      <c r="C64" s="123">
        <v>49132</v>
      </c>
      <c r="D64" s="124"/>
      <c r="E64" s="146">
        <f t="shared" si="23"/>
        <v>345613</v>
      </c>
      <c r="F64" s="146"/>
      <c r="G64" s="80">
        <f t="shared" si="26"/>
        <v>39643</v>
      </c>
      <c r="H64" s="80">
        <f t="shared" si="19"/>
        <v>0</v>
      </c>
      <c r="I64">
        <f t="shared" si="32"/>
        <v>0</v>
      </c>
      <c r="J64" t="s">
        <v>2271</v>
      </c>
      <c r="K64">
        <f t="shared" si="27"/>
        <v>0</v>
      </c>
      <c r="L64">
        <f t="shared" si="28"/>
        <v>0</v>
      </c>
      <c r="M64" s="66">
        <v>43669</v>
      </c>
      <c r="O64" s="123">
        <v>3190</v>
      </c>
    </row>
    <row r="65" spans="1:15" hidden="1" outlineLevel="1">
      <c r="A65" s="147">
        <v>43656</v>
      </c>
      <c r="B65" s="147"/>
      <c r="C65" s="148">
        <v>511</v>
      </c>
      <c r="D65" s="149"/>
      <c r="E65" s="150">
        <f t="shared" si="23"/>
        <v>346124</v>
      </c>
      <c r="F65" s="150">
        <f t="shared" ref="F65" si="33">C65-D65</f>
        <v>511</v>
      </c>
      <c r="G65" s="151">
        <f>G64+F65</f>
        <v>40154</v>
      </c>
      <c r="H65" s="151">
        <f t="shared" si="19"/>
        <v>174</v>
      </c>
      <c r="I65" s="152">
        <f ca="1">IF(B65="",$C$1-A65,H65)</f>
        <v>2654</v>
      </c>
      <c r="J65" s="152" t="s">
        <v>84</v>
      </c>
      <c r="K65" s="152">
        <f t="shared" si="27"/>
        <v>243.43326488706364</v>
      </c>
      <c r="L65" s="152">
        <f t="shared" ca="1" si="28"/>
        <v>3713.056810403833</v>
      </c>
      <c r="M65" s="152"/>
    </row>
    <row r="66" spans="1:15" hidden="1" outlineLevel="1">
      <c r="A66" s="139">
        <v>43656</v>
      </c>
      <c r="B66" s="139">
        <v>43656</v>
      </c>
      <c r="C66" s="123">
        <v>60133</v>
      </c>
      <c r="D66" s="124"/>
      <c r="E66" s="146">
        <f t="shared" ref="E66:E111" si="34">E65+C66-D66</f>
        <v>406257</v>
      </c>
      <c r="F66" s="146"/>
      <c r="G66" s="80">
        <f t="shared" ref="G66:G67" si="35">G65+F66</f>
        <v>40154</v>
      </c>
      <c r="H66" s="80">
        <f t="shared" si="19"/>
        <v>0</v>
      </c>
      <c r="I66">
        <f t="shared" si="29"/>
        <v>0</v>
      </c>
      <c r="J66" t="s">
        <v>2274</v>
      </c>
      <c r="K66">
        <f>IF(F66&gt;0,(H66*$F66)/365.25,0)</f>
        <v>0</v>
      </c>
      <c r="L66">
        <f t="shared" ref="L66:L83" si="36">IF(F66&gt;0,(I66*$F66)/365.25,0)</f>
        <v>0</v>
      </c>
      <c r="M66" s="66">
        <v>43672</v>
      </c>
    </row>
    <row r="67" spans="1:15" hidden="1" outlineLevel="1">
      <c r="A67" s="139">
        <v>43656</v>
      </c>
      <c r="B67" s="139">
        <v>43656</v>
      </c>
      <c r="C67" s="123">
        <v>31859</v>
      </c>
      <c r="D67" s="124"/>
      <c r="E67" s="146">
        <f t="shared" si="34"/>
        <v>438116</v>
      </c>
      <c r="F67" s="146"/>
      <c r="G67" s="80">
        <f t="shared" si="35"/>
        <v>40154</v>
      </c>
      <c r="H67" s="80">
        <f t="shared" si="19"/>
        <v>0</v>
      </c>
      <c r="I67">
        <f>IF(B67="",$C$1-A67,H67)</f>
        <v>0</v>
      </c>
      <c r="J67" t="s">
        <v>2275</v>
      </c>
      <c r="K67">
        <f t="shared" ref="K67:K83" si="37">IF(F67&gt;0,(H67*$F67)/365.25,0)</f>
        <v>0</v>
      </c>
      <c r="L67">
        <f t="shared" si="36"/>
        <v>0</v>
      </c>
      <c r="M67" s="66">
        <v>43677</v>
      </c>
      <c r="O67" s="123"/>
    </row>
    <row r="68" spans="1:15" hidden="1" outlineLevel="1">
      <c r="A68" s="195">
        <v>43658</v>
      </c>
      <c r="B68" s="195"/>
      <c r="C68" s="196">
        <v>6190</v>
      </c>
      <c r="D68" s="197"/>
      <c r="E68" s="198">
        <f t="shared" ref="E68:E69" si="38">E67+C68-D68</f>
        <v>444306</v>
      </c>
      <c r="F68" s="198">
        <f t="shared" ref="F68:F69" si="39">C68</f>
        <v>6190</v>
      </c>
      <c r="G68" s="199">
        <f t="shared" ref="G68" si="40">G67+F68</f>
        <v>46344</v>
      </c>
      <c r="H68" s="199">
        <f t="shared" si="19"/>
        <v>172</v>
      </c>
      <c r="I68" s="200">
        <f ca="1">IF(B68="",$C$1-A68,H68)</f>
        <v>2652</v>
      </c>
      <c r="J68" s="200" t="s">
        <v>86</v>
      </c>
      <c r="K68" s="200">
        <f>IF(F68&gt;0,(H68*$F68)/365.25,0)</f>
        <v>2914.9349760438058</v>
      </c>
      <c r="L68" s="200">
        <f t="shared" ca="1" si="36"/>
        <v>44944.229979466116</v>
      </c>
      <c r="M68" s="200" t="s">
        <v>101</v>
      </c>
      <c r="O68" s="123"/>
    </row>
    <row r="69" spans="1:15" hidden="1" outlineLevel="1">
      <c r="A69" s="195">
        <v>43658</v>
      </c>
      <c r="B69" s="195"/>
      <c r="C69" s="196">
        <v>14990</v>
      </c>
      <c r="D69" s="197"/>
      <c r="E69" s="198">
        <f t="shared" si="38"/>
        <v>459296</v>
      </c>
      <c r="F69" s="198">
        <f t="shared" si="39"/>
        <v>14990</v>
      </c>
      <c r="G69" s="199">
        <f t="shared" ref="G69:G72" si="41">G68+F69</f>
        <v>61334</v>
      </c>
      <c r="H69" s="199">
        <f t="shared" si="19"/>
        <v>172</v>
      </c>
      <c r="I69" s="200">
        <f ca="1">IF(B69="",$C$1-A69,H69)</f>
        <v>2652</v>
      </c>
      <c r="J69" s="200" t="s">
        <v>2269</v>
      </c>
      <c r="K69" s="200">
        <f t="shared" si="37"/>
        <v>7058.9459274469546</v>
      </c>
      <c r="L69" s="200">
        <f t="shared" ca="1" si="36"/>
        <v>108839.09650924025</v>
      </c>
      <c r="M69" s="200" t="s">
        <v>101</v>
      </c>
      <c r="O69" s="123"/>
    </row>
    <row r="70" spans="1:15" hidden="1" outlineLevel="1">
      <c r="A70" s="139">
        <v>43658</v>
      </c>
      <c r="B70" s="139">
        <v>43658</v>
      </c>
      <c r="C70" s="123">
        <v>104039</v>
      </c>
      <c r="D70" s="124"/>
      <c r="E70" s="146">
        <f t="shared" si="34"/>
        <v>563335</v>
      </c>
      <c r="F70" s="146"/>
      <c r="G70" s="80">
        <f t="shared" si="41"/>
        <v>61334</v>
      </c>
      <c r="H70" s="80">
        <f t="shared" ref="H70:H101" si="42">IF(B70="",DATEDIF(A70,$H$1,"d"),DATEDIF(A70,B70,"d"))</f>
        <v>0</v>
      </c>
      <c r="I70">
        <f t="shared" ref="I70:I88" si="43">IF(B70="",$C$1-A70,H70)</f>
        <v>0</v>
      </c>
      <c r="J70" t="s">
        <v>2276</v>
      </c>
      <c r="K70">
        <f t="shared" si="37"/>
        <v>0</v>
      </c>
      <c r="L70">
        <f t="shared" si="36"/>
        <v>0</v>
      </c>
      <c r="M70" s="66">
        <v>43677</v>
      </c>
    </row>
    <row r="71" spans="1:15" hidden="1" outlineLevel="1">
      <c r="A71" s="139">
        <v>43658</v>
      </c>
      <c r="B71" s="139">
        <v>43658</v>
      </c>
      <c r="C71" s="123">
        <v>94680</v>
      </c>
      <c r="D71" s="124"/>
      <c r="E71" s="146">
        <f t="shared" si="34"/>
        <v>658015</v>
      </c>
      <c r="F71" s="146"/>
      <c r="G71" s="80">
        <f t="shared" si="41"/>
        <v>61334</v>
      </c>
      <c r="H71" s="80">
        <f t="shared" si="42"/>
        <v>0</v>
      </c>
      <c r="I71">
        <f t="shared" si="43"/>
        <v>0</v>
      </c>
      <c r="J71" t="s">
        <v>2277</v>
      </c>
      <c r="K71">
        <f t="shared" si="37"/>
        <v>0</v>
      </c>
      <c r="L71">
        <f t="shared" si="36"/>
        <v>0</v>
      </c>
      <c r="M71" s="66">
        <v>43679</v>
      </c>
    </row>
    <row r="72" spans="1:15" hidden="1" outlineLevel="1">
      <c r="A72" s="139">
        <v>43663</v>
      </c>
      <c r="B72" s="139">
        <v>43663</v>
      </c>
      <c r="C72" s="123">
        <v>87214</v>
      </c>
      <c r="D72" s="124"/>
      <c r="E72" s="146">
        <f t="shared" si="34"/>
        <v>745229</v>
      </c>
      <c r="F72" s="146"/>
      <c r="G72" s="80">
        <f t="shared" si="41"/>
        <v>61334</v>
      </c>
      <c r="H72" s="80">
        <f t="shared" si="42"/>
        <v>0</v>
      </c>
      <c r="I72">
        <f t="shared" ref="I72:I82" si="44">IF(B72="",$C$1-A72,H72)</f>
        <v>0</v>
      </c>
      <c r="J72" t="s">
        <v>179</v>
      </c>
      <c r="K72">
        <f t="shared" si="37"/>
        <v>0</v>
      </c>
      <c r="L72">
        <f t="shared" si="36"/>
        <v>0</v>
      </c>
      <c r="M72" s="66">
        <v>43672</v>
      </c>
    </row>
    <row r="73" spans="1:15" hidden="1" outlineLevel="1">
      <c r="A73" s="195">
        <v>43665</v>
      </c>
      <c r="B73" s="195"/>
      <c r="C73" s="196">
        <v>3790</v>
      </c>
      <c r="D73" s="197"/>
      <c r="E73" s="198">
        <f t="shared" si="34"/>
        <v>749019</v>
      </c>
      <c r="F73" s="198">
        <f t="shared" ref="F73:F82" si="45">C73</f>
        <v>3790</v>
      </c>
      <c r="G73" s="199">
        <f t="shared" ref="G73:G82" si="46">G72+F73</f>
        <v>65124</v>
      </c>
      <c r="H73" s="199">
        <f t="shared" si="42"/>
        <v>165</v>
      </c>
      <c r="I73" s="200">
        <f t="shared" ca="1" si="44"/>
        <v>2645</v>
      </c>
      <c r="J73" s="200" t="s">
        <v>2270</v>
      </c>
      <c r="K73" s="200">
        <f t="shared" si="37"/>
        <v>1712.1149897330595</v>
      </c>
      <c r="L73" s="200">
        <f t="shared" ca="1" si="36"/>
        <v>27445.722108145106</v>
      </c>
      <c r="M73" s="200" t="s">
        <v>101</v>
      </c>
      <c r="O73" s="123"/>
    </row>
    <row r="74" spans="1:15" hidden="1" outlineLevel="1">
      <c r="A74" s="195">
        <v>43669</v>
      </c>
      <c r="B74" s="195"/>
      <c r="C74" s="196">
        <v>3190</v>
      </c>
      <c r="D74" s="197"/>
      <c r="E74" s="198">
        <f t="shared" si="34"/>
        <v>752209</v>
      </c>
      <c r="F74" s="198">
        <f t="shared" si="45"/>
        <v>3190</v>
      </c>
      <c r="G74" s="199">
        <f t="shared" si="46"/>
        <v>68314</v>
      </c>
      <c r="H74" s="199">
        <f t="shared" si="42"/>
        <v>161</v>
      </c>
      <c r="I74" s="200">
        <f t="shared" ca="1" si="44"/>
        <v>2641</v>
      </c>
      <c r="J74" s="200" t="s">
        <v>2271</v>
      </c>
      <c r="K74" s="200">
        <f t="shared" si="37"/>
        <v>1406.1327857631759</v>
      </c>
      <c r="L74" s="200">
        <f t="shared" ca="1" si="36"/>
        <v>23065.817932922655</v>
      </c>
      <c r="M74" s="200" t="s">
        <v>101</v>
      </c>
      <c r="O74" s="123"/>
    </row>
    <row r="75" spans="1:15" hidden="1" outlineLevel="1">
      <c r="A75" s="195">
        <v>43671</v>
      </c>
      <c r="B75" s="195"/>
      <c r="C75" s="196">
        <v>3090</v>
      </c>
      <c r="D75" s="197"/>
      <c r="E75" s="198">
        <f t="shared" si="34"/>
        <v>755299</v>
      </c>
      <c r="F75" s="198">
        <f t="shared" si="45"/>
        <v>3090</v>
      </c>
      <c r="G75" s="199">
        <f t="shared" si="46"/>
        <v>71404</v>
      </c>
      <c r="H75" s="199">
        <f t="shared" si="42"/>
        <v>159</v>
      </c>
      <c r="I75" s="200">
        <f t="shared" ca="1" si="44"/>
        <v>2639</v>
      </c>
      <c r="J75" s="200" t="s">
        <v>2272</v>
      </c>
      <c r="K75" s="200">
        <f t="shared" si="37"/>
        <v>1345.1334702258728</v>
      </c>
      <c r="L75" s="200">
        <f t="shared" ca="1" si="36"/>
        <v>22325.831622176593</v>
      </c>
      <c r="M75" s="200" t="s">
        <v>101</v>
      </c>
      <c r="O75" s="123"/>
    </row>
    <row r="76" spans="1:15" hidden="1" outlineLevel="1">
      <c r="A76" s="195">
        <v>43672</v>
      </c>
      <c r="B76" s="195"/>
      <c r="C76" s="196">
        <v>7975</v>
      </c>
      <c r="D76" s="197"/>
      <c r="E76" s="198">
        <f t="shared" si="34"/>
        <v>763274</v>
      </c>
      <c r="F76" s="198">
        <f t="shared" si="45"/>
        <v>7975</v>
      </c>
      <c r="G76" s="199">
        <f t="shared" si="46"/>
        <v>79379</v>
      </c>
      <c r="H76" s="199">
        <f t="shared" si="42"/>
        <v>158</v>
      </c>
      <c r="I76" s="200">
        <f t="shared" ca="1" si="44"/>
        <v>2638</v>
      </c>
      <c r="J76" s="200" t="s">
        <v>179</v>
      </c>
      <c r="K76" s="200">
        <f t="shared" si="37"/>
        <v>3449.8288843258042</v>
      </c>
      <c r="L76" s="200">
        <f t="shared" ca="1" si="36"/>
        <v>57599.041752224504</v>
      </c>
      <c r="M76" s="200" t="s">
        <v>101</v>
      </c>
      <c r="O76" s="123"/>
    </row>
    <row r="77" spans="1:15" hidden="1" outlineLevel="1">
      <c r="A77" s="195">
        <v>43672</v>
      </c>
      <c r="B77" s="195"/>
      <c r="C77" s="196">
        <v>2950</v>
      </c>
      <c r="D77" s="197"/>
      <c r="E77" s="198">
        <f t="shared" si="34"/>
        <v>766224</v>
      </c>
      <c r="F77" s="198">
        <f t="shared" si="45"/>
        <v>2950</v>
      </c>
      <c r="G77" s="199">
        <f t="shared" si="46"/>
        <v>82329</v>
      </c>
      <c r="H77" s="199">
        <f t="shared" si="42"/>
        <v>158</v>
      </c>
      <c r="I77" s="200">
        <f t="shared" ca="1" si="44"/>
        <v>2638</v>
      </c>
      <c r="J77" s="200" t="s">
        <v>2273</v>
      </c>
      <c r="K77" s="200">
        <f t="shared" si="37"/>
        <v>1276.1122518822724</v>
      </c>
      <c r="L77" s="200">
        <f t="shared" ca="1" si="36"/>
        <v>21306.228610540726</v>
      </c>
      <c r="M77" s="200" t="s">
        <v>101</v>
      </c>
      <c r="O77" s="123"/>
    </row>
    <row r="78" spans="1:15" hidden="1" outlineLevel="1">
      <c r="A78" s="195">
        <v>43672</v>
      </c>
      <c r="B78" s="195"/>
      <c r="C78" s="196">
        <v>7100</v>
      </c>
      <c r="D78" s="197"/>
      <c r="E78" s="198">
        <f t="shared" si="34"/>
        <v>773324</v>
      </c>
      <c r="F78" s="198">
        <f t="shared" si="45"/>
        <v>7100</v>
      </c>
      <c r="G78" s="199">
        <f t="shared" si="46"/>
        <v>89429</v>
      </c>
      <c r="H78" s="199">
        <f t="shared" si="42"/>
        <v>158</v>
      </c>
      <c r="I78" s="200">
        <f t="shared" ca="1" si="44"/>
        <v>2638</v>
      </c>
      <c r="J78" s="200" t="s">
        <v>2274</v>
      </c>
      <c r="K78" s="200">
        <f t="shared" si="37"/>
        <v>3071.3210130047914</v>
      </c>
      <c r="L78" s="200">
        <f t="shared" ca="1" si="36"/>
        <v>51279.397672826832</v>
      </c>
      <c r="M78" s="200" t="s">
        <v>101</v>
      </c>
      <c r="O78" s="123"/>
    </row>
    <row r="79" spans="1:15" hidden="1" outlineLevel="1">
      <c r="A79" s="195">
        <v>43677</v>
      </c>
      <c r="B79" s="195"/>
      <c r="C79" s="196">
        <v>1490</v>
      </c>
      <c r="D79" s="197"/>
      <c r="E79" s="198">
        <f t="shared" si="34"/>
        <v>774814</v>
      </c>
      <c r="F79" s="198">
        <f t="shared" si="45"/>
        <v>1490</v>
      </c>
      <c r="G79" s="199">
        <f t="shared" si="46"/>
        <v>90919</v>
      </c>
      <c r="H79" s="199">
        <f t="shared" si="42"/>
        <v>153</v>
      </c>
      <c r="I79" s="200">
        <f t="shared" ca="1" si="44"/>
        <v>2633</v>
      </c>
      <c r="J79" s="200" t="s">
        <v>2275</v>
      </c>
      <c r="K79" s="200">
        <f t="shared" si="37"/>
        <v>624.14784394250512</v>
      </c>
      <c r="L79" s="200">
        <f t="shared" ca="1" si="36"/>
        <v>10741.054072553046</v>
      </c>
      <c r="M79" s="200" t="s">
        <v>101</v>
      </c>
      <c r="O79" s="123"/>
    </row>
    <row r="80" spans="1:15" hidden="1" outlineLevel="1">
      <c r="A80" s="195">
        <v>43677</v>
      </c>
      <c r="B80" s="195"/>
      <c r="C80" s="196">
        <v>6990</v>
      </c>
      <c r="D80" s="197"/>
      <c r="E80" s="198">
        <f t="shared" si="34"/>
        <v>781804</v>
      </c>
      <c r="F80" s="198">
        <f t="shared" si="45"/>
        <v>6990</v>
      </c>
      <c r="G80" s="199">
        <f t="shared" si="46"/>
        <v>97909</v>
      </c>
      <c r="H80" s="199">
        <f t="shared" si="42"/>
        <v>153</v>
      </c>
      <c r="I80" s="200">
        <f t="shared" ca="1" si="44"/>
        <v>2633</v>
      </c>
      <c r="J80" s="200" t="s">
        <v>2276</v>
      </c>
      <c r="K80" s="200">
        <f t="shared" si="37"/>
        <v>2928.0492813141682</v>
      </c>
      <c r="L80" s="200">
        <f t="shared" ca="1" si="36"/>
        <v>50389.240246406574</v>
      </c>
      <c r="M80" s="200" t="s">
        <v>101</v>
      </c>
      <c r="O80" s="123"/>
    </row>
    <row r="81" spans="1:15" hidden="1" outlineLevel="1">
      <c r="A81" s="195">
        <v>43679</v>
      </c>
      <c r="B81" s="195"/>
      <c r="C81" s="196">
        <v>4990</v>
      </c>
      <c r="D81" s="197"/>
      <c r="E81" s="198">
        <f t="shared" si="34"/>
        <v>786794</v>
      </c>
      <c r="F81" s="198">
        <f t="shared" si="45"/>
        <v>4990</v>
      </c>
      <c r="G81" s="199">
        <f t="shared" si="46"/>
        <v>102899</v>
      </c>
      <c r="H81" s="199">
        <f t="shared" si="42"/>
        <v>151</v>
      </c>
      <c r="I81" s="200">
        <f t="shared" ca="1" si="44"/>
        <v>2631</v>
      </c>
      <c r="J81" s="200" t="s">
        <v>2277</v>
      </c>
      <c r="K81" s="200">
        <f t="shared" si="37"/>
        <v>2062.943189596167</v>
      </c>
      <c r="L81" s="200">
        <f t="shared" ca="1" si="36"/>
        <v>35944.394250513345</v>
      </c>
      <c r="M81" s="200" t="s">
        <v>101</v>
      </c>
      <c r="O81" s="123"/>
    </row>
    <row r="82" spans="1:15" hidden="1" outlineLevel="1">
      <c r="A82" s="195">
        <v>43679</v>
      </c>
      <c r="B82" s="195"/>
      <c r="C82" s="196">
        <v>3360</v>
      </c>
      <c r="D82" s="197"/>
      <c r="E82" s="198">
        <f t="shared" si="34"/>
        <v>790154</v>
      </c>
      <c r="F82" s="198">
        <f t="shared" si="45"/>
        <v>3360</v>
      </c>
      <c r="G82" s="199">
        <f t="shared" si="46"/>
        <v>106259</v>
      </c>
      <c r="H82" s="199">
        <f t="shared" si="42"/>
        <v>151</v>
      </c>
      <c r="I82" s="200">
        <f t="shared" ca="1" si="44"/>
        <v>2631</v>
      </c>
      <c r="J82" s="200" t="s">
        <v>2278</v>
      </c>
      <c r="K82" s="200">
        <f t="shared" si="37"/>
        <v>1389.0759753593429</v>
      </c>
      <c r="L82" s="200">
        <f t="shared" ca="1" si="36"/>
        <v>24203.039014373717</v>
      </c>
      <c r="M82" s="200" t="s">
        <v>101</v>
      </c>
      <c r="O82" s="123"/>
    </row>
    <row r="83" spans="1:15" collapsed="1">
      <c r="A83" s="147">
        <v>43689</v>
      </c>
      <c r="B83" s="147"/>
      <c r="C83" s="148">
        <v>521</v>
      </c>
      <c r="D83" s="149"/>
      <c r="E83" s="150">
        <f t="shared" si="34"/>
        <v>790675</v>
      </c>
      <c r="F83" s="150">
        <f t="shared" ref="F83" si="47">C83-D83</f>
        <v>521</v>
      </c>
      <c r="G83" s="151">
        <f>G82+F83</f>
        <v>106780</v>
      </c>
      <c r="H83" s="151">
        <f t="shared" si="42"/>
        <v>141</v>
      </c>
      <c r="I83" s="152">
        <f t="shared" ca="1" si="43"/>
        <v>2621</v>
      </c>
      <c r="J83" s="152" t="s">
        <v>84</v>
      </c>
      <c r="K83" s="152">
        <f t="shared" si="37"/>
        <v>201.1252566735113</v>
      </c>
      <c r="L83" s="152">
        <f t="shared" ca="1" si="36"/>
        <v>3738.6475017111566</v>
      </c>
      <c r="M83" s="152"/>
    </row>
    <row r="84" spans="1:15" hidden="1" outlineLevel="1">
      <c r="A84" s="139">
        <v>43740</v>
      </c>
      <c r="B84" s="139">
        <v>43742</v>
      </c>
      <c r="C84" s="123"/>
      <c r="D84" s="124">
        <v>120070</v>
      </c>
      <c r="E84" s="146">
        <f t="shared" si="34"/>
        <v>670605</v>
      </c>
      <c r="F84" s="146">
        <f>-D84+C85</f>
        <v>-20</v>
      </c>
      <c r="G84" s="80">
        <f>G83+F84</f>
        <v>106760</v>
      </c>
      <c r="H84" s="80">
        <f t="shared" si="42"/>
        <v>2</v>
      </c>
      <c r="I84">
        <f t="shared" si="43"/>
        <v>2</v>
      </c>
      <c r="J84" t="s">
        <v>138</v>
      </c>
      <c r="K84">
        <f t="shared" ref="K84:K93" si="48">IF(F84&gt;0,(H84*$F84)/365.25,0)</f>
        <v>0</v>
      </c>
      <c r="L84">
        <f t="shared" ref="L84:L93" si="49">IF(F84&gt;0,(I84*$F84)/365.25,0)</f>
        <v>0</v>
      </c>
      <c r="M84" s="65" t="s">
        <v>57</v>
      </c>
    </row>
    <row r="85" spans="1:15" hidden="1" outlineLevel="1">
      <c r="A85" s="139">
        <v>43742</v>
      </c>
      <c r="B85" s="139">
        <v>43742</v>
      </c>
      <c r="C85" s="123">
        <v>120050</v>
      </c>
      <c r="D85" s="124"/>
      <c r="E85" s="146">
        <f t="shared" si="34"/>
        <v>790655</v>
      </c>
      <c r="F85" s="146"/>
      <c r="G85" s="80">
        <f t="shared" ref="G85:G103" si="50">G84+F85</f>
        <v>106760</v>
      </c>
      <c r="H85" s="80">
        <f t="shared" si="42"/>
        <v>0</v>
      </c>
      <c r="I85">
        <f t="shared" ref="I85" si="51">IF(B85="",$C$1-A85,H85)</f>
        <v>0</v>
      </c>
      <c r="J85" t="s">
        <v>138</v>
      </c>
      <c r="K85">
        <f t="shared" si="48"/>
        <v>0</v>
      </c>
      <c r="L85">
        <f t="shared" si="49"/>
        <v>0</v>
      </c>
      <c r="M85" s="65"/>
    </row>
    <row r="86" spans="1:15" hidden="1" outlineLevel="1">
      <c r="A86" s="139">
        <v>43745</v>
      </c>
      <c r="B86" s="139">
        <v>43747</v>
      </c>
      <c r="C86" s="123"/>
      <c r="D86" s="124">
        <v>36070</v>
      </c>
      <c r="E86" s="146">
        <f>E85+C86-D86</f>
        <v>754585</v>
      </c>
      <c r="F86" s="146">
        <f t="shared" ref="F86:F90" si="52">-D86+C87</f>
        <v>-20</v>
      </c>
      <c r="G86" s="80">
        <f t="shared" si="50"/>
        <v>106740</v>
      </c>
      <c r="H86" s="80">
        <f t="shared" si="42"/>
        <v>2</v>
      </c>
      <c r="I86">
        <f t="shared" si="43"/>
        <v>2</v>
      </c>
      <c r="J86" t="s">
        <v>139</v>
      </c>
      <c r="K86">
        <f t="shared" si="48"/>
        <v>0</v>
      </c>
      <c r="L86">
        <f t="shared" si="49"/>
        <v>0</v>
      </c>
      <c r="M86" s="65" t="s">
        <v>57</v>
      </c>
    </row>
    <row r="87" spans="1:15" hidden="1" outlineLevel="1">
      <c r="A87" s="139">
        <v>43747</v>
      </c>
      <c r="B87" s="139">
        <v>43747</v>
      </c>
      <c r="C87" s="123">
        <v>36050</v>
      </c>
      <c r="D87" s="124"/>
      <c r="E87" s="146">
        <f t="shared" si="34"/>
        <v>790635</v>
      </c>
      <c r="F87" s="146"/>
      <c r="G87" s="80">
        <f t="shared" si="50"/>
        <v>106740</v>
      </c>
      <c r="H87" s="80">
        <f t="shared" si="42"/>
        <v>0</v>
      </c>
      <c r="I87">
        <f t="shared" ref="I87" si="53">IF(B87="",$C$1-A87,H87)</f>
        <v>0</v>
      </c>
      <c r="J87" t="s">
        <v>139</v>
      </c>
      <c r="K87">
        <f t="shared" si="48"/>
        <v>0</v>
      </c>
      <c r="L87">
        <f t="shared" si="49"/>
        <v>0</v>
      </c>
      <c r="M87" s="65"/>
    </row>
    <row r="88" spans="1:15" hidden="1" outlineLevel="1">
      <c r="A88" s="139">
        <v>43753</v>
      </c>
      <c r="B88" s="139">
        <v>43755</v>
      </c>
      <c r="C88" s="123"/>
      <c r="D88" s="124">
        <v>16570</v>
      </c>
      <c r="E88" s="146">
        <f t="shared" si="34"/>
        <v>774065</v>
      </c>
      <c r="F88" s="146">
        <f t="shared" si="52"/>
        <v>-20</v>
      </c>
      <c r="G88" s="80">
        <f t="shared" si="50"/>
        <v>106720</v>
      </c>
      <c r="H88" s="80">
        <f t="shared" si="42"/>
        <v>2</v>
      </c>
      <c r="I88">
        <f t="shared" si="43"/>
        <v>2</v>
      </c>
      <c r="J88" t="s">
        <v>140</v>
      </c>
      <c r="K88">
        <f t="shared" si="48"/>
        <v>0</v>
      </c>
      <c r="L88">
        <f t="shared" si="49"/>
        <v>0</v>
      </c>
      <c r="M88" s="65" t="s">
        <v>57</v>
      </c>
    </row>
    <row r="89" spans="1:15" hidden="1" outlineLevel="1">
      <c r="A89" s="139">
        <v>43755</v>
      </c>
      <c r="B89" s="139">
        <v>43755</v>
      </c>
      <c r="C89" s="123">
        <v>16550</v>
      </c>
      <c r="D89" s="124"/>
      <c r="E89" s="146">
        <f t="shared" si="34"/>
        <v>790615</v>
      </c>
      <c r="F89" s="146"/>
      <c r="G89" s="80">
        <f t="shared" si="50"/>
        <v>106720</v>
      </c>
      <c r="H89" s="80">
        <f t="shared" si="42"/>
        <v>0</v>
      </c>
      <c r="I89">
        <f t="shared" ref="I89" si="54">IF(B89="",$C$1-A89,H89)</f>
        <v>0</v>
      </c>
      <c r="J89" t="s">
        <v>140</v>
      </c>
      <c r="K89">
        <f t="shared" si="48"/>
        <v>0</v>
      </c>
      <c r="L89">
        <f t="shared" si="49"/>
        <v>0</v>
      </c>
      <c r="M89" s="65"/>
    </row>
    <row r="90" spans="1:15" hidden="1" outlineLevel="1">
      <c r="A90" s="139">
        <v>43755</v>
      </c>
      <c r="B90" s="139">
        <v>43759</v>
      </c>
      <c r="C90" s="123"/>
      <c r="D90" s="124">
        <v>45070</v>
      </c>
      <c r="E90" s="146">
        <f t="shared" si="34"/>
        <v>745545</v>
      </c>
      <c r="F90" s="146">
        <f t="shared" si="52"/>
        <v>-20</v>
      </c>
      <c r="G90" s="80">
        <f t="shared" si="50"/>
        <v>106700</v>
      </c>
      <c r="H90" s="80">
        <f t="shared" si="42"/>
        <v>4</v>
      </c>
      <c r="I90">
        <f t="shared" ref="I90:I105" si="55">IF(B90="",$C$1-A90,H90)</f>
        <v>4</v>
      </c>
      <c r="J90" t="s">
        <v>141</v>
      </c>
      <c r="K90">
        <f t="shared" si="48"/>
        <v>0</v>
      </c>
      <c r="L90">
        <f t="shared" si="49"/>
        <v>0</v>
      </c>
      <c r="M90" s="65" t="s">
        <v>57</v>
      </c>
    </row>
    <row r="91" spans="1:15" hidden="1" outlineLevel="1">
      <c r="A91" s="139">
        <v>43759</v>
      </c>
      <c r="B91" s="139">
        <v>43759</v>
      </c>
      <c r="C91" s="123">
        <v>45050</v>
      </c>
      <c r="D91" s="124"/>
      <c r="E91" s="146">
        <f t="shared" si="34"/>
        <v>790595</v>
      </c>
      <c r="F91" s="146"/>
      <c r="G91" s="80">
        <f t="shared" si="50"/>
        <v>106700</v>
      </c>
      <c r="H91" s="80">
        <f t="shared" si="42"/>
        <v>0</v>
      </c>
      <c r="I91">
        <f t="shared" ref="I91" si="56">IF(B91="",$C$1-A91,H91)</f>
        <v>0</v>
      </c>
      <c r="J91" t="s">
        <v>141</v>
      </c>
      <c r="K91">
        <f t="shared" si="48"/>
        <v>0</v>
      </c>
      <c r="L91">
        <f t="shared" si="49"/>
        <v>0</v>
      </c>
      <c r="M91" s="65"/>
    </row>
    <row r="92" spans="1:15" hidden="1" outlineLevel="1">
      <c r="A92" s="139">
        <v>43808</v>
      </c>
      <c r="B92" s="139">
        <v>43810</v>
      </c>
      <c r="C92" s="123"/>
      <c r="D92" s="124">
        <v>26070</v>
      </c>
      <c r="E92" s="146">
        <f t="shared" si="34"/>
        <v>764525</v>
      </c>
      <c r="F92" s="146">
        <f>-D92+C95</f>
        <v>-20</v>
      </c>
      <c r="G92" s="80">
        <f t="shared" si="50"/>
        <v>106680</v>
      </c>
      <c r="H92" s="80">
        <f t="shared" si="42"/>
        <v>2</v>
      </c>
      <c r="I92">
        <f t="shared" si="55"/>
        <v>2</v>
      </c>
      <c r="J92" t="s">
        <v>142</v>
      </c>
      <c r="K92">
        <f t="shared" si="48"/>
        <v>0</v>
      </c>
      <c r="L92">
        <f t="shared" si="49"/>
        <v>0</v>
      </c>
      <c r="M92" s="65" t="s">
        <v>57</v>
      </c>
    </row>
    <row r="93" spans="1:15" hidden="1" outlineLevel="1">
      <c r="A93" s="139">
        <v>43808</v>
      </c>
      <c r="B93" s="139">
        <v>43810</v>
      </c>
      <c r="C93" s="123"/>
      <c r="D93" s="124">
        <v>15070</v>
      </c>
      <c r="E93" s="146">
        <f t="shared" si="34"/>
        <v>749455</v>
      </c>
      <c r="F93" s="146">
        <f>-D93+C96</f>
        <v>-20</v>
      </c>
      <c r="G93" s="80">
        <f t="shared" si="50"/>
        <v>106660</v>
      </c>
      <c r="H93" s="80">
        <f t="shared" si="42"/>
        <v>2</v>
      </c>
      <c r="I93">
        <f t="shared" si="55"/>
        <v>2</v>
      </c>
      <c r="J93" t="s">
        <v>143</v>
      </c>
      <c r="K93">
        <f t="shared" si="48"/>
        <v>0</v>
      </c>
      <c r="L93">
        <f t="shared" si="49"/>
        <v>0</v>
      </c>
      <c r="M93" s="65" t="s">
        <v>57</v>
      </c>
    </row>
    <row r="94" spans="1:15" hidden="1" outlineLevel="1">
      <c r="A94" s="139">
        <v>43809</v>
      </c>
      <c r="B94" s="139">
        <v>43811</v>
      </c>
      <c r="C94" s="123"/>
      <c r="D94" s="124">
        <v>100070</v>
      </c>
      <c r="E94" s="146">
        <f t="shared" si="34"/>
        <v>649385</v>
      </c>
      <c r="F94" s="146">
        <f>-D94+C97</f>
        <v>-20</v>
      </c>
      <c r="G94" s="80">
        <f t="shared" si="50"/>
        <v>106640</v>
      </c>
      <c r="H94" s="80">
        <f t="shared" si="42"/>
        <v>2</v>
      </c>
      <c r="I94">
        <f t="shared" si="55"/>
        <v>2</v>
      </c>
      <c r="J94" t="s">
        <v>144</v>
      </c>
      <c r="K94">
        <f t="shared" ref="K94:K103" si="57">IF(F94&gt;0,(H94*$F94)/365.25,0)</f>
        <v>0</v>
      </c>
      <c r="L94">
        <f t="shared" ref="L94:L103" si="58">IF(F94&gt;0,(I94*$F94)/365.25,0)</f>
        <v>0</v>
      </c>
      <c r="M94" s="65" t="s">
        <v>57</v>
      </c>
    </row>
    <row r="95" spans="1:15" hidden="1" outlineLevel="1">
      <c r="A95" s="139">
        <v>43810</v>
      </c>
      <c r="B95" s="139">
        <v>43810</v>
      </c>
      <c r="C95" s="123">
        <v>26050</v>
      </c>
      <c r="D95" s="124"/>
      <c r="E95" s="146">
        <f t="shared" si="34"/>
        <v>675435</v>
      </c>
      <c r="F95" s="146"/>
      <c r="G95" s="80">
        <f t="shared" si="50"/>
        <v>106640</v>
      </c>
      <c r="H95" s="80">
        <f t="shared" si="42"/>
        <v>0</v>
      </c>
      <c r="I95">
        <f t="shared" ref="I95:I97" si="59">IF(B95="",$C$1-A95,H95)</f>
        <v>0</v>
      </c>
      <c r="J95" t="s">
        <v>142</v>
      </c>
      <c r="K95">
        <f t="shared" si="57"/>
        <v>0</v>
      </c>
      <c r="L95">
        <f t="shared" si="58"/>
        <v>0</v>
      </c>
      <c r="M95" s="65"/>
    </row>
    <row r="96" spans="1:15" hidden="1" outlineLevel="1">
      <c r="A96" s="139">
        <v>43810</v>
      </c>
      <c r="B96" s="139">
        <v>43810</v>
      </c>
      <c r="C96" s="123">
        <v>15050</v>
      </c>
      <c r="D96" s="124"/>
      <c r="E96" s="146">
        <f t="shared" si="34"/>
        <v>690485</v>
      </c>
      <c r="F96" s="146"/>
      <c r="G96" s="80">
        <f t="shared" si="50"/>
        <v>106640</v>
      </c>
      <c r="H96" s="80">
        <f t="shared" si="42"/>
        <v>0</v>
      </c>
      <c r="I96">
        <f t="shared" si="59"/>
        <v>0</v>
      </c>
      <c r="J96" t="s">
        <v>143</v>
      </c>
      <c r="K96">
        <f t="shared" si="57"/>
        <v>0</v>
      </c>
      <c r="L96">
        <f t="shared" si="58"/>
        <v>0</v>
      </c>
      <c r="M96" s="65"/>
    </row>
    <row r="97" spans="1:15" hidden="1" outlineLevel="1">
      <c r="A97" s="139">
        <v>43811</v>
      </c>
      <c r="B97" s="139">
        <v>43811</v>
      </c>
      <c r="C97" s="123">
        <v>100050</v>
      </c>
      <c r="D97" s="124"/>
      <c r="E97" s="146">
        <f t="shared" si="34"/>
        <v>790535</v>
      </c>
      <c r="F97" s="146"/>
      <c r="G97" s="80">
        <f t="shared" si="50"/>
        <v>106640</v>
      </c>
      <c r="H97" s="80">
        <f t="shared" si="42"/>
        <v>0</v>
      </c>
      <c r="I97">
        <f t="shared" si="59"/>
        <v>0</v>
      </c>
      <c r="J97" t="s">
        <v>144</v>
      </c>
      <c r="K97">
        <f t="shared" si="57"/>
        <v>0</v>
      </c>
      <c r="L97">
        <f t="shared" si="58"/>
        <v>0</v>
      </c>
      <c r="M97" s="65"/>
    </row>
    <row r="98" spans="1:15" hidden="1" outlineLevel="1">
      <c r="A98" s="139">
        <v>43811</v>
      </c>
      <c r="B98" s="139">
        <v>43815</v>
      </c>
      <c r="C98" s="123"/>
      <c r="D98" s="124">
        <v>56070</v>
      </c>
      <c r="E98" s="146">
        <f t="shared" si="34"/>
        <v>734465</v>
      </c>
      <c r="F98" s="146">
        <f>-D98+C100</f>
        <v>-20</v>
      </c>
      <c r="G98" s="80">
        <f t="shared" si="50"/>
        <v>106620</v>
      </c>
      <c r="H98" s="80">
        <f t="shared" si="42"/>
        <v>4</v>
      </c>
      <c r="I98">
        <f>IF(B98="",$C$1-A98,H98)</f>
        <v>4</v>
      </c>
      <c r="J98" t="s">
        <v>146</v>
      </c>
      <c r="K98">
        <f t="shared" si="57"/>
        <v>0</v>
      </c>
      <c r="L98">
        <f t="shared" si="58"/>
        <v>0</v>
      </c>
      <c r="M98" s="65" t="s">
        <v>57</v>
      </c>
    </row>
    <row r="99" spans="1:15" hidden="1" outlineLevel="1">
      <c r="A99" s="139">
        <v>43811</v>
      </c>
      <c r="B99" s="139">
        <v>43815</v>
      </c>
      <c r="C99" s="123"/>
      <c r="D99" s="124">
        <v>14270</v>
      </c>
      <c r="E99" s="146">
        <f t="shared" si="34"/>
        <v>720195</v>
      </c>
      <c r="F99" s="146">
        <f>-D99+C101</f>
        <v>-20</v>
      </c>
      <c r="G99" s="80">
        <f t="shared" si="50"/>
        <v>106600</v>
      </c>
      <c r="H99" s="80">
        <f t="shared" si="42"/>
        <v>4</v>
      </c>
      <c r="I99">
        <f>IF(B99="",$C$1-A99,H99)</f>
        <v>4</v>
      </c>
      <c r="J99" t="s">
        <v>147</v>
      </c>
      <c r="K99">
        <f t="shared" si="57"/>
        <v>0</v>
      </c>
      <c r="L99">
        <f t="shared" si="58"/>
        <v>0</v>
      </c>
      <c r="M99" s="65" t="s">
        <v>57</v>
      </c>
    </row>
    <row r="100" spans="1:15" hidden="1" outlineLevel="1">
      <c r="A100" s="139">
        <v>43815</v>
      </c>
      <c r="B100" s="139">
        <v>43815</v>
      </c>
      <c r="C100" s="123">
        <v>56050</v>
      </c>
      <c r="D100" s="124"/>
      <c r="E100" s="146">
        <f t="shared" si="34"/>
        <v>776245</v>
      </c>
      <c r="F100" s="146"/>
      <c r="G100" s="80">
        <f t="shared" si="50"/>
        <v>106600</v>
      </c>
      <c r="H100" s="80">
        <f t="shared" si="42"/>
        <v>0</v>
      </c>
      <c r="I100">
        <f>IF(B100="",$C$1-A100,H100)</f>
        <v>0</v>
      </c>
      <c r="J100" t="s">
        <v>146</v>
      </c>
      <c r="K100">
        <f t="shared" si="57"/>
        <v>0</v>
      </c>
      <c r="L100">
        <f t="shared" si="58"/>
        <v>0</v>
      </c>
      <c r="M100" s="65"/>
    </row>
    <row r="101" spans="1:15" hidden="1" outlineLevel="1">
      <c r="A101" s="139">
        <v>43815</v>
      </c>
      <c r="B101" s="139">
        <v>43815</v>
      </c>
      <c r="C101" s="123">
        <v>14250</v>
      </c>
      <c r="D101" s="124"/>
      <c r="E101" s="146">
        <f t="shared" si="34"/>
        <v>790495</v>
      </c>
      <c r="F101" s="146"/>
      <c r="G101" s="80">
        <f t="shared" si="50"/>
        <v>106600</v>
      </c>
      <c r="H101" s="80">
        <f t="shared" si="42"/>
        <v>0</v>
      </c>
      <c r="I101">
        <f>IF(B101="",$C$1-A101,H101)</f>
        <v>0</v>
      </c>
      <c r="J101" t="s">
        <v>147</v>
      </c>
      <c r="K101">
        <f t="shared" si="57"/>
        <v>0</v>
      </c>
      <c r="L101">
        <f t="shared" si="58"/>
        <v>0</v>
      </c>
      <c r="M101" s="65"/>
    </row>
    <row r="102" spans="1:15" hidden="1" outlineLevel="1">
      <c r="A102" s="139">
        <v>43818</v>
      </c>
      <c r="B102" s="139">
        <v>43822</v>
      </c>
      <c r="C102" s="123"/>
      <c r="D102" s="124">
        <v>42670</v>
      </c>
      <c r="E102" s="146">
        <f t="shared" si="34"/>
        <v>747825</v>
      </c>
      <c r="F102" s="146">
        <f>-D102+C105</f>
        <v>-20</v>
      </c>
      <c r="G102" s="80">
        <f t="shared" si="50"/>
        <v>106580</v>
      </c>
      <c r="H102" s="80">
        <f t="shared" ref="H102:H110" si="60">IF(B102="",DATEDIF(A102,$H$1,"d"),DATEDIF(A102,B102,"d"))</f>
        <v>4</v>
      </c>
      <c r="I102">
        <f t="shared" ref="I102" si="61">IF(B102="",$C$1-A102,H102)</f>
        <v>4</v>
      </c>
      <c r="J102" t="s">
        <v>149</v>
      </c>
      <c r="K102">
        <f t="shared" si="57"/>
        <v>0</v>
      </c>
      <c r="L102">
        <f t="shared" si="58"/>
        <v>0</v>
      </c>
      <c r="M102" s="65" t="s">
        <v>57</v>
      </c>
    </row>
    <row r="103" spans="1:15" hidden="1" outlineLevel="1">
      <c r="A103" s="139">
        <v>43819</v>
      </c>
      <c r="B103" s="139">
        <v>43823</v>
      </c>
      <c r="C103" s="123"/>
      <c r="D103" s="124">
        <v>20460</v>
      </c>
      <c r="E103" s="146">
        <f t="shared" si="34"/>
        <v>727365</v>
      </c>
      <c r="F103" s="146">
        <f>-D103+C106</f>
        <v>-20</v>
      </c>
      <c r="G103" s="80">
        <f t="shared" si="50"/>
        <v>106560</v>
      </c>
      <c r="H103" s="80">
        <f t="shared" si="60"/>
        <v>4</v>
      </c>
      <c r="I103">
        <f>IF(B103="",$C$1-A103,H103)</f>
        <v>4</v>
      </c>
      <c r="J103" t="s">
        <v>150</v>
      </c>
      <c r="K103">
        <f t="shared" si="57"/>
        <v>0</v>
      </c>
      <c r="L103">
        <f t="shared" si="58"/>
        <v>0</v>
      </c>
      <c r="M103" s="65" t="s">
        <v>57</v>
      </c>
    </row>
    <row r="104" spans="1:15" hidden="1" outlineLevel="1">
      <c r="A104" s="153">
        <v>43820</v>
      </c>
      <c r="B104" s="153"/>
      <c r="C104" s="154">
        <v>366</v>
      </c>
      <c r="D104" s="155"/>
      <c r="E104" s="156">
        <f t="shared" si="34"/>
        <v>727731</v>
      </c>
      <c r="F104" s="156">
        <f>C104-D104</f>
        <v>366</v>
      </c>
      <c r="G104" s="157">
        <f>G103+F104</f>
        <v>106926</v>
      </c>
      <c r="H104" s="157">
        <f t="shared" si="60"/>
        <v>10</v>
      </c>
      <c r="I104" s="158">
        <f ca="1">IF(B104="",$C$1-A104,H104)</f>
        <v>2490</v>
      </c>
      <c r="J104" s="158" t="s">
        <v>48</v>
      </c>
      <c r="K104" s="158">
        <f>IF(F104&gt;0,(H104*$F104)/365.25,0)</f>
        <v>10.020533880903491</v>
      </c>
      <c r="L104" s="158">
        <f ca="1">IF(F104&gt;0,(I104*$F104)/365.25,0)</f>
        <v>2495.1129363449691</v>
      </c>
      <c r="M104" s="159"/>
    </row>
    <row r="105" spans="1:15" hidden="1" outlineLevel="1">
      <c r="A105" s="139">
        <v>43822</v>
      </c>
      <c r="B105" s="139">
        <v>43822</v>
      </c>
      <c r="C105" s="123">
        <v>42650</v>
      </c>
      <c r="D105" s="124"/>
      <c r="E105" s="146">
        <f t="shared" si="34"/>
        <v>770381</v>
      </c>
      <c r="F105" s="146"/>
      <c r="G105" s="80">
        <f>G104+F105</f>
        <v>106926</v>
      </c>
      <c r="H105" s="80">
        <f t="shared" si="60"/>
        <v>0</v>
      </c>
      <c r="I105">
        <f t="shared" si="55"/>
        <v>0</v>
      </c>
      <c r="J105" t="s">
        <v>149</v>
      </c>
      <c r="K105">
        <f t="shared" ref="K105" si="62">IF(F105&gt;0,(H105*$F105)/365.25,0)</f>
        <v>0</v>
      </c>
      <c r="L105">
        <f t="shared" ref="L105" si="63">IF(F105&gt;0,(I105*$F105)/365.25,0)</f>
        <v>0</v>
      </c>
      <c r="M105" s="65"/>
    </row>
    <row r="106" spans="1:15" hidden="1" outlineLevel="1">
      <c r="A106" s="139">
        <v>43823</v>
      </c>
      <c r="B106" s="139">
        <v>43823</v>
      </c>
      <c r="C106" s="123">
        <v>20440</v>
      </c>
      <c r="D106" s="124"/>
      <c r="E106" s="146">
        <f t="shared" si="34"/>
        <v>790821</v>
      </c>
      <c r="F106" s="146"/>
      <c r="G106" s="80">
        <f t="shared" ref="G106:G109" si="64">G105+F106</f>
        <v>106926</v>
      </c>
      <c r="H106" s="80">
        <f t="shared" si="60"/>
        <v>0</v>
      </c>
      <c r="I106">
        <f t="shared" ref="I106:I111" si="65">IF(B106="",$C$1-A106,H106)</f>
        <v>0</v>
      </c>
      <c r="J106" t="s">
        <v>150</v>
      </c>
      <c r="K106">
        <f t="shared" ref="K106:K115" si="66">IF(F106&gt;0,(H106*$F106)/365.25,0)</f>
        <v>0</v>
      </c>
      <c r="L106">
        <f t="shared" ref="L106:L115" si="67">IF(F106&gt;0,(I106*$F106)/365.25,0)</f>
        <v>0</v>
      </c>
      <c r="M106" s="65"/>
    </row>
    <row r="107" spans="1:15" hidden="1" outlineLevel="1">
      <c r="A107" s="139">
        <v>43826</v>
      </c>
      <c r="B107" s="139">
        <v>43830</v>
      </c>
      <c r="C107" s="123"/>
      <c r="D107" s="124">
        <v>110070</v>
      </c>
      <c r="E107" s="146">
        <f t="shared" si="34"/>
        <v>680751</v>
      </c>
      <c r="F107" s="146">
        <f>-D107+C109</f>
        <v>-20</v>
      </c>
      <c r="G107" s="80">
        <f t="shared" si="64"/>
        <v>106906</v>
      </c>
      <c r="H107" s="80">
        <f t="shared" si="60"/>
        <v>4</v>
      </c>
      <c r="I107">
        <f t="shared" si="65"/>
        <v>4</v>
      </c>
      <c r="J107" t="s">
        <v>151</v>
      </c>
      <c r="K107">
        <f t="shared" si="66"/>
        <v>0</v>
      </c>
      <c r="L107">
        <f t="shared" si="67"/>
        <v>0</v>
      </c>
      <c r="M107" s="65" t="s">
        <v>57</v>
      </c>
    </row>
    <row r="108" spans="1:15" hidden="1" outlineLevel="1">
      <c r="A108" s="139">
        <v>43826</v>
      </c>
      <c r="B108" s="139">
        <v>43830</v>
      </c>
      <c r="C108" s="123"/>
      <c r="D108" s="124">
        <v>78070</v>
      </c>
      <c r="E108" s="146">
        <f t="shared" si="34"/>
        <v>602681</v>
      </c>
      <c r="F108" s="146">
        <f>-D108+C110</f>
        <v>-20</v>
      </c>
      <c r="G108" s="80">
        <f t="shared" si="64"/>
        <v>106886</v>
      </c>
      <c r="H108" s="80">
        <f t="shared" si="60"/>
        <v>4</v>
      </c>
      <c r="I108">
        <f t="shared" si="65"/>
        <v>4</v>
      </c>
      <c r="J108" t="s">
        <v>153</v>
      </c>
      <c r="K108">
        <f t="shared" si="66"/>
        <v>0</v>
      </c>
      <c r="L108">
        <f t="shared" si="67"/>
        <v>0</v>
      </c>
      <c r="M108" s="65" t="s">
        <v>57</v>
      </c>
    </row>
    <row r="109" spans="1:15" hidden="1" outlineLevel="1">
      <c r="A109" s="139">
        <v>43830</v>
      </c>
      <c r="B109" s="139">
        <v>43830</v>
      </c>
      <c r="C109" s="123">
        <v>110050</v>
      </c>
      <c r="D109" s="124"/>
      <c r="E109" s="146">
        <f t="shared" si="34"/>
        <v>712731</v>
      </c>
      <c r="F109" s="146"/>
      <c r="G109" s="80">
        <f t="shared" si="64"/>
        <v>106886</v>
      </c>
      <c r="H109" s="80">
        <f t="shared" si="60"/>
        <v>0</v>
      </c>
      <c r="I109">
        <f t="shared" si="65"/>
        <v>0</v>
      </c>
      <c r="J109" t="s">
        <v>151</v>
      </c>
      <c r="K109">
        <f t="shared" si="66"/>
        <v>0</v>
      </c>
      <c r="L109">
        <f t="shared" si="67"/>
        <v>0</v>
      </c>
      <c r="M109" s="65"/>
    </row>
    <row r="110" spans="1:15" ht="17.25" thickBot="1">
      <c r="A110" s="139">
        <v>43830</v>
      </c>
      <c r="B110" s="139">
        <v>43830</v>
      </c>
      <c r="C110" s="123">
        <v>78050</v>
      </c>
      <c r="D110" s="124"/>
      <c r="E110" s="146">
        <f t="shared" si="34"/>
        <v>790781</v>
      </c>
      <c r="F110" s="146"/>
      <c r="G110" s="80">
        <f>G109+F110</f>
        <v>106886</v>
      </c>
      <c r="H110" s="80">
        <f t="shared" si="60"/>
        <v>0</v>
      </c>
      <c r="I110">
        <f t="shared" si="65"/>
        <v>0</v>
      </c>
      <c r="J110" t="s">
        <v>153</v>
      </c>
      <c r="K110">
        <f t="shared" ref="K110:K112" si="68">IF(F110&gt;0,(H110*$F110)/365.25,0)</f>
        <v>0</v>
      </c>
      <c r="L110">
        <f t="shared" ref="L110:L112" si="69">IF(F110&gt;0,(I110*$F110)/365.25,0)</f>
        <v>0</v>
      </c>
      <c r="M110" s="65"/>
    </row>
    <row r="111" spans="1:15">
      <c r="A111" s="139">
        <v>43839</v>
      </c>
      <c r="B111" s="66"/>
      <c r="C111" s="134"/>
      <c r="D111" s="124">
        <v>20</v>
      </c>
      <c r="E111" s="146">
        <f t="shared" si="34"/>
        <v>790761</v>
      </c>
      <c r="F111" s="146">
        <f t="shared" si="10"/>
        <v>-20</v>
      </c>
      <c r="G111" s="80">
        <f>G110+F111</f>
        <v>106866</v>
      </c>
      <c r="H111" s="80">
        <f t="shared" ref="H111:H143" si="70">IF(B111="",DATEDIF(A111,$G$1,"d"),DATEDIF(A111,B111,"d"))</f>
        <v>357</v>
      </c>
      <c r="I111">
        <f t="shared" ca="1" si="65"/>
        <v>2471</v>
      </c>
      <c r="J111" t="s">
        <v>154</v>
      </c>
      <c r="K111">
        <f t="shared" si="68"/>
        <v>0</v>
      </c>
      <c r="L111">
        <f t="shared" si="69"/>
        <v>0</v>
      </c>
      <c r="M111" s="65"/>
      <c r="N111" s="217" t="s">
        <v>172</v>
      </c>
      <c r="O111" s="218">
        <f>SUM(D111:D196)</f>
        <v>2981820</v>
      </c>
    </row>
    <row r="112" spans="1:15" ht="17.25" collapsed="1" thickBot="1">
      <c r="A112" s="139">
        <v>43839</v>
      </c>
      <c r="B112" s="139">
        <v>43843</v>
      </c>
      <c r="C112" s="123"/>
      <c r="D112" s="124">
        <v>20</v>
      </c>
      <c r="E112" s="146">
        <f t="shared" ref="E112:E151" si="71">E111+C112-D112</f>
        <v>790741</v>
      </c>
      <c r="F112" s="146">
        <f t="shared" si="10"/>
        <v>-20</v>
      </c>
      <c r="G112" s="80">
        <f t="shared" ref="G112:G121" si="72">G111+F112</f>
        <v>106846</v>
      </c>
      <c r="H112" s="80">
        <f t="shared" si="70"/>
        <v>4</v>
      </c>
      <c r="I112">
        <f t="shared" ref="I112:I144" si="73">IF(B112="",$C$1-A112,H112)</f>
        <v>4</v>
      </c>
      <c r="J112" t="s">
        <v>155</v>
      </c>
      <c r="K112">
        <f t="shared" si="68"/>
        <v>0</v>
      </c>
      <c r="L112">
        <f t="shared" si="69"/>
        <v>0</v>
      </c>
      <c r="M112" s="65" t="s">
        <v>2381</v>
      </c>
      <c r="N112" s="215" t="s">
        <v>173</v>
      </c>
      <c r="O112" s="216">
        <f ca="1">(SUMPRODUCT(C111:C196,I111:I196)+SUMPRODUCT(D111:D196,I111:I196))/($C$1-$A$111)</f>
        <v>921589.90368271957</v>
      </c>
    </row>
    <row r="113" spans="1:13" hidden="1" outlineLevel="1">
      <c r="A113" s="139">
        <v>43959</v>
      </c>
      <c r="B113" s="139">
        <v>43963</v>
      </c>
      <c r="C113" s="123"/>
      <c r="D113" s="124">
        <v>20</v>
      </c>
      <c r="E113" s="146">
        <f t="shared" si="71"/>
        <v>790721</v>
      </c>
      <c r="F113" s="146">
        <f t="shared" si="10"/>
        <v>-20</v>
      </c>
      <c r="G113" s="80">
        <f t="shared" si="72"/>
        <v>106826</v>
      </c>
      <c r="H113" s="80">
        <f t="shared" si="70"/>
        <v>4</v>
      </c>
      <c r="I113">
        <f t="shared" si="73"/>
        <v>4</v>
      </c>
      <c r="J113" s="65" t="s">
        <v>121</v>
      </c>
      <c r="K113">
        <f t="shared" si="66"/>
        <v>0</v>
      </c>
      <c r="L113">
        <f t="shared" si="67"/>
        <v>0</v>
      </c>
      <c r="M113" s="65" t="s">
        <v>2381</v>
      </c>
    </row>
    <row r="114" spans="1:13" hidden="1" outlineLevel="1">
      <c r="A114" s="139">
        <v>43962</v>
      </c>
      <c r="B114" s="139">
        <v>43966</v>
      </c>
      <c r="C114" s="123"/>
      <c r="D114" s="124">
        <v>20</v>
      </c>
      <c r="E114" s="146">
        <f>E113+C114-D114</f>
        <v>790701</v>
      </c>
      <c r="F114" s="146">
        <f t="shared" si="10"/>
        <v>-20</v>
      </c>
      <c r="G114" s="80">
        <f t="shared" si="72"/>
        <v>106806</v>
      </c>
      <c r="H114" s="80">
        <f t="shared" si="70"/>
        <v>4</v>
      </c>
      <c r="I114">
        <f t="shared" si="73"/>
        <v>4</v>
      </c>
      <c r="J114" s="65" t="s">
        <v>131</v>
      </c>
      <c r="K114">
        <f t="shared" si="66"/>
        <v>0</v>
      </c>
      <c r="L114">
        <f t="shared" si="67"/>
        <v>0</v>
      </c>
      <c r="M114" s="65" t="s">
        <v>2381</v>
      </c>
    </row>
    <row r="115" spans="1:13" hidden="1" outlineLevel="1">
      <c r="A115" s="139">
        <v>43994</v>
      </c>
      <c r="B115" s="139">
        <v>43998</v>
      </c>
      <c r="C115" s="123"/>
      <c r="D115" s="124">
        <v>20</v>
      </c>
      <c r="E115" s="146">
        <f t="shared" si="71"/>
        <v>790681</v>
      </c>
      <c r="F115" s="146">
        <f t="shared" si="10"/>
        <v>-20</v>
      </c>
      <c r="G115" s="80">
        <f t="shared" si="72"/>
        <v>106786</v>
      </c>
      <c r="H115" s="80">
        <f t="shared" si="70"/>
        <v>4</v>
      </c>
      <c r="I115">
        <f t="shared" si="73"/>
        <v>4</v>
      </c>
      <c r="J115" s="65" t="s">
        <v>118</v>
      </c>
      <c r="K115">
        <f t="shared" si="66"/>
        <v>0</v>
      </c>
      <c r="L115">
        <f t="shared" si="67"/>
        <v>0</v>
      </c>
      <c r="M115" s="65" t="s">
        <v>2381</v>
      </c>
    </row>
    <row r="116" spans="1:13" s="65" customFormat="1" hidden="1" outlineLevel="1">
      <c r="A116" s="153">
        <v>44003</v>
      </c>
      <c r="B116" s="153"/>
      <c r="C116" s="154">
        <v>292</v>
      </c>
      <c r="D116" s="155"/>
      <c r="E116" s="156">
        <f t="shared" si="71"/>
        <v>790973</v>
      </c>
      <c r="F116" s="156">
        <f>C116-D116</f>
        <v>292</v>
      </c>
      <c r="G116" s="157">
        <f>G115+F116</f>
        <v>107078</v>
      </c>
      <c r="H116" s="157">
        <f>IF(B116="",DATEDIF(A116,$G$1,"d"),DATEDIF(A116,B116,"d"))</f>
        <v>193</v>
      </c>
      <c r="I116" s="158">
        <f ca="1">IF(B116="",$C$1-A116,H116)</f>
        <v>2307</v>
      </c>
      <c r="J116" s="158" t="s">
        <v>48</v>
      </c>
      <c r="K116" s="158">
        <f>IF(F116&gt;0,(H116*$F116)/365.25,0)</f>
        <v>154.2943189596167</v>
      </c>
      <c r="L116" s="158">
        <f ca="1">IF(F116&gt;0,(I116*$F116)/365.25,0)</f>
        <v>1844.3367556468172</v>
      </c>
      <c r="M116" s="159"/>
    </row>
    <row r="117" spans="1:13" s="65" customFormat="1" hidden="1" outlineLevel="1">
      <c r="A117" s="139">
        <v>44006</v>
      </c>
      <c r="B117" s="139">
        <v>44042</v>
      </c>
      <c r="C117" s="123"/>
      <c r="D117" s="124">
        <v>39806</v>
      </c>
      <c r="E117" s="146">
        <f t="shared" si="71"/>
        <v>751167</v>
      </c>
      <c r="F117" s="146">
        <f>-D117+C124</f>
        <v>-5756</v>
      </c>
      <c r="G117" s="80">
        <f t="shared" si="72"/>
        <v>101322</v>
      </c>
      <c r="H117" s="80">
        <f t="shared" ref="H117:H119" si="74">IF(B117="",DATEDIF(A117,$G$1,"d"),DATEDIF(A117,B117,"d"))</f>
        <v>36</v>
      </c>
      <c r="I117">
        <f t="shared" ref="I117:I120" si="75">IF(B117="",$C$1-A117,H117)</f>
        <v>36</v>
      </c>
      <c r="J117" s="65" t="s">
        <v>2395</v>
      </c>
      <c r="K117">
        <f t="shared" ref="K117:K120" si="76">IF(F117&gt;0,(H117*$F117)/365.25,0)</f>
        <v>0</v>
      </c>
      <c r="L117">
        <f t="shared" ref="L117:L120" si="77">IF(F117&gt;0,(I117*$F117)/365.25,0)</f>
        <v>0</v>
      </c>
    </row>
    <row r="118" spans="1:13" s="65" customFormat="1" collapsed="1">
      <c r="A118" s="139">
        <v>44007</v>
      </c>
      <c r="B118" s="139">
        <v>44071</v>
      </c>
      <c r="C118" s="123"/>
      <c r="D118" s="124">
        <v>246851</v>
      </c>
      <c r="E118" s="146">
        <f t="shared" si="71"/>
        <v>504316</v>
      </c>
      <c r="F118" s="146">
        <f>-D118+C131</f>
        <v>5030</v>
      </c>
      <c r="G118" s="80">
        <f t="shared" si="72"/>
        <v>106352</v>
      </c>
      <c r="H118" s="80">
        <f t="shared" si="74"/>
        <v>64</v>
      </c>
      <c r="I118">
        <f t="shared" si="75"/>
        <v>64</v>
      </c>
      <c r="J118" s="65" t="s">
        <v>115</v>
      </c>
      <c r="K118">
        <f t="shared" si="76"/>
        <v>881.36892539356609</v>
      </c>
      <c r="L118">
        <f t="shared" si="77"/>
        <v>881.36892539356609</v>
      </c>
    </row>
    <row r="119" spans="1:13" s="65" customFormat="1" hidden="1" outlineLevel="1">
      <c r="A119" s="139">
        <v>44017</v>
      </c>
      <c r="B119" s="139">
        <v>44027</v>
      </c>
      <c r="C119" s="123"/>
      <c r="D119" s="124">
        <v>49118</v>
      </c>
      <c r="E119" s="146">
        <f t="shared" ref="E119:E120" si="78">E118+C119-D119</f>
        <v>455198</v>
      </c>
      <c r="F119" s="146">
        <f>-D119+C121</f>
        <v>-9991</v>
      </c>
      <c r="G119" s="80">
        <f t="shared" si="72"/>
        <v>96361</v>
      </c>
      <c r="H119" s="80">
        <f t="shared" si="74"/>
        <v>10</v>
      </c>
      <c r="I119">
        <f t="shared" si="75"/>
        <v>10</v>
      </c>
      <c r="J119" s="65" t="s">
        <v>184</v>
      </c>
      <c r="K119">
        <f t="shared" si="76"/>
        <v>0</v>
      </c>
      <c r="L119">
        <f t="shared" si="77"/>
        <v>0</v>
      </c>
    </row>
    <row r="120" spans="1:13" s="65" customFormat="1" hidden="1" outlineLevel="1">
      <c r="A120" s="147">
        <v>44022</v>
      </c>
      <c r="B120" s="147"/>
      <c r="C120" s="148">
        <v>162</v>
      </c>
      <c r="D120" s="149"/>
      <c r="E120" s="150">
        <f t="shared" si="78"/>
        <v>455360</v>
      </c>
      <c r="F120" s="150">
        <f t="shared" ref="F120" si="79">C120-D120</f>
        <v>162</v>
      </c>
      <c r="G120" s="151">
        <f>G119+F120</f>
        <v>96523</v>
      </c>
      <c r="H120" s="151">
        <f>IF(B120="",DATEDIF(A120,$G$1,"d"),DATEDIF(A120,B120,"d"))</f>
        <v>174</v>
      </c>
      <c r="I120" s="152">
        <f t="shared" ca="1" si="75"/>
        <v>2288</v>
      </c>
      <c r="J120" s="152" t="s">
        <v>84</v>
      </c>
      <c r="K120" s="152">
        <f t="shared" si="76"/>
        <v>77.17453798767967</v>
      </c>
      <c r="L120" s="152">
        <f t="shared" ca="1" si="77"/>
        <v>1014.8008213552362</v>
      </c>
      <c r="M120" s="152"/>
    </row>
    <row r="121" spans="1:13" s="65" customFormat="1" hidden="1" outlineLevel="1">
      <c r="A121" s="139">
        <v>44027</v>
      </c>
      <c r="B121" s="139">
        <v>44027</v>
      </c>
      <c r="C121" s="123">
        <v>39127</v>
      </c>
      <c r="D121" s="124"/>
      <c r="E121" s="146">
        <f>E120+C121-D121</f>
        <v>494487</v>
      </c>
      <c r="F121" s="146"/>
      <c r="G121" s="80">
        <f t="shared" si="72"/>
        <v>96523</v>
      </c>
      <c r="H121" s="80">
        <f>IF(B121="",DATEDIF(A121,$G$1,"d"),DATEDIF(A121,B121,"d"))</f>
        <v>0</v>
      </c>
      <c r="I121">
        <f>IF(B121="",$C$1-A121,H121)</f>
        <v>0</v>
      </c>
      <c r="J121" s="65" t="s">
        <v>184</v>
      </c>
      <c r="K121">
        <f t="shared" ref="K121" si="80">IF(F121&gt;0,(H121*$F121)/365.25,0)</f>
        <v>0</v>
      </c>
      <c r="L121">
        <f t="shared" ref="L121" si="81">IF(F121&gt;0,(I121*$F121)/365.25,0)</f>
        <v>0</v>
      </c>
    </row>
    <row r="122" spans="1:13" s="65" customFormat="1" hidden="1" outlineLevel="1">
      <c r="A122" s="195">
        <v>44029</v>
      </c>
      <c r="B122" s="195">
        <v>44029</v>
      </c>
      <c r="C122" s="196">
        <v>1790</v>
      </c>
      <c r="D122" s="197"/>
      <c r="E122" s="198">
        <f>E121+C122-D122</f>
        <v>496277</v>
      </c>
      <c r="F122" s="198">
        <f t="shared" ref="F122:F123" si="82">C122</f>
        <v>1790</v>
      </c>
      <c r="G122" s="199">
        <f t="shared" ref="G122" si="83">G121+C122-D122</f>
        <v>98313</v>
      </c>
      <c r="H122" s="199">
        <f t="shared" si="70"/>
        <v>0</v>
      </c>
      <c r="I122" s="200">
        <f t="shared" si="73"/>
        <v>0</v>
      </c>
      <c r="J122" s="200" t="s">
        <v>2379</v>
      </c>
      <c r="K122" s="200">
        <f t="shared" ref="K122:K123" si="84">(H122*$C122)/365.25</f>
        <v>0</v>
      </c>
      <c r="L122" s="200">
        <f t="shared" ref="L122:L123" si="85">(I122*$C122)/365.25</f>
        <v>0</v>
      </c>
      <c r="M122" s="200" t="s">
        <v>101</v>
      </c>
    </row>
    <row r="123" spans="1:13" s="65" customFormat="1" hidden="1" outlineLevel="1">
      <c r="A123" s="195">
        <v>44035</v>
      </c>
      <c r="B123" s="195">
        <v>44035</v>
      </c>
      <c r="C123" s="196">
        <v>13990</v>
      </c>
      <c r="D123" s="197"/>
      <c r="E123" s="198">
        <f t="shared" si="71"/>
        <v>510267</v>
      </c>
      <c r="F123" s="198">
        <f t="shared" si="82"/>
        <v>13990</v>
      </c>
      <c r="G123" s="199">
        <f>G122+C123-D123</f>
        <v>112303</v>
      </c>
      <c r="H123" s="199">
        <f t="shared" si="70"/>
        <v>0</v>
      </c>
      <c r="I123" s="200">
        <f t="shared" si="73"/>
        <v>0</v>
      </c>
      <c r="J123" s="200" t="s">
        <v>2380</v>
      </c>
      <c r="K123" s="200">
        <f t="shared" si="84"/>
        <v>0</v>
      </c>
      <c r="L123" s="200">
        <f t="shared" si="85"/>
        <v>0</v>
      </c>
      <c r="M123" s="200" t="s">
        <v>101</v>
      </c>
    </row>
    <row r="124" spans="1:13" s="65" customFormat="1" hidden="1" outlineLevel="1">
      <c r="A124" s="139">
        <v>44042</v>
      </c>
      <c r="B124" s="139">
        <v>44042</v>
      </c>
      <c r="C124" s="123">
        <v>34050</v>
      </c>
      <c r="D124" s="124"/>
      <c r="E124" s="146">
        <f>E123+C124-D124</f>
        <v>544317</v>
      </c>
      <c r="F124" s="146"/>
      <c r="G124" s="80">
        <f t="shared" ref="G124:G127" si="86">G123+F124</f>
        <v>112303</v>
      </c>
      <c r="H124" s="80">
        <f t="shared" si="70"/>
        <v>0</v>
      </c>
      <c r="I124">
        <f t="shared" si="73"/>
        <v>0</v>
      </c>
      <c r="J124" s="65" t="s">
        <v>2395</v>
      </c>
      <c r="K124">
        <f t="shared" ref="K124:K126" si="87">IF(F124&gt;0,(H124*$F124)/365.25,0)</f>
        <v>0</v>
      </c>
      <c r="L124">
        <f t="shared" ref="L124:L126" si="88">IF(F124&gt;0,(I124*$F124)/365.25,0)</f>
        <v>0</v>
      </c>
    </row>
    <row r="125" spans="1:13" s="65" customFormat="1" hidden="1" outlineLevel="1">
      <c r="A125" s="139">
        <v>44043</v>
      </c>
      <c r="B125" s="139">
        <v>44047</v>
      </c>
      <c r="C125" s="123"/>
      <c r="D125" s="124">
        <v>20</v>
      </c>
      <c r="E125" s="146">
        <f t="shared" si="71"/>
        <v>544297</v>
      </c>
      <c r="F125" s="146">
        <f t="shared" si="10"/>
        <v>-20</v>
      </c>
      <c r="G125" s="80">
        <f t="shared" si="86"/>
        <v>112283</v>
      </c>
      <c r="H125" s="80">
        <f t="shared" si="70"/>
        <v>4</v>
      </c>
      <c r="I125">
        <f t="shared" si="73"/>
        <v>4</v>
      </c>
      <c r="J125" s="65" t="s">
        <v>124</v>
      </c>
      <c r="K125">
        <f t="shared" si="87"/>
        <v>0</v>
      </c>
      <c r="L125">
        <f t="shared" si="88"/>
        <v>0</v>
      </c>
      <c r="M125" s="65" t="s">
        <v>2381</v>
      </c>
    </row>
    <row r="126" spans="1:13" s="65" customFormat="1" hidden="1" outlineLevel="1">
      <c r="A126" s="147">
        <v>44053</v>
      </c>
      <c r="B126" s="147"/>
      <c r="C126" s="148">
        <v>67</v>
      </c>
      <c r="D126" s="149"/>
      <c r="E126" s="150">
        <f t="shared" si="71"/>
        <v>544364</v>
      </c>
      <c r="F126" s="150">
        <f t="shared" si="10"/>
        <v>67</v>
      </c>
      <c r="G126" s="151">
        <f>G125+F126</f>
        <v>112350</v>
      </c>
      <c r="H126" s="151">
        <f>IF(B126="",DATEDIF(A126,$G$1,"d"),DATEDIF(A126,B126,"d"))</f>
        <v>143</v>
      </c>
      <c r="I126" s="152">
        <f t="shared" ca="1" si="73"/>
        <v>2257</v>
      </c>
      <c r="J126" s="152" t="s">
        <v>84</v>
      </c>
      <c r="K126" s="152">
        <f t="shared" si="87"/>
        <v>26.231348391512661</v>
      </c>
      <c r="L126" s="152">
        <f t="shared" ca="1" si="88"/>
        <v>414.01505817932923</v>
      </c>
      <c r="M126" s="152"/>
    </row>
    <row r="127" spans="1:13" s="65" customFormat="1" hidden="1" outlineLevel="1">
      <c r="A127" s="139">
        <v>44062</v>
      </c>
      <c r="B127" s="139">
        <v>44064</v>
      </c>
      <c r="C127" s="123"/>
      <c r="D127" s="124">
        <v>20</v>
      </c>
      <c r="E127" s="146">
        <f t="shared" si="71"/>
        <v>544344</v>
      </c>
      <c r="F127" s="146">
        <f t="shared" ref="F127:F144" si="89">C127-D127</f>
        <v>-20</v>
      </c>
      <c r="G127" s="80">
        <f t="shared" si="86"/>
        <v>112330</v>
      </c>
      <c r="H127" s="80">
        <f t="shared" si="70"/>
        <v>2</v>
      </c>
      <c r="I127">
        <f t="shared" si="73"/>
        <v>2</v>
      </c>
      <c r="J127" s="65" t="s">
        <v>132</v>
      </c>
      <c r="K127">
        <f>IF(F127&gt;0,(H127*$F127)/365.25,0)</f>
        <v>0</v>
      </c>
      <c r="L127">
        <f t="shared" ref="L127" si="90">IF(F127&gt;0,(I127*$F127)/365.25,0)</f>
        <v>0</v>
      </c>
      <c r="M127" s="65" t="s">
        <v>2381</v>
      </c>
    </row>
    <row r="128" spans="1:13" s="65" customFormat="1" hidden="1" outlineLevel="1">
      <c r="A128" s="139">
        <v>44062</v>
      </c>
      <c r="B128" s="139">
        <v>44064</v>
      </c>
      <c r="C128" s="123"/>
      <c r="D128" s="124">
        <v>20</v>
      </c>
      <c r="E128" s="146">
        <f t="shared" si="71"/>
        <v>544324</v>
      </c>
      <c r="F128" s="146">
        <f t="shared" si="89"/>
        <v>-20</v>
      </c>
      <c r="G128" s="80">
        <f t="shared" ref="G128:G137" si="91">G127+F128</f>
        <v>112310</v>
      </c>
      <c r="H128" s="80">
        <f t="shared" ref="H128:H137" si="92">IF(B128="",DATEDIF(A128,$G$1,"d"),DATEDIF(A128,B128,"d"))</f>
        <v>2</v>
      </c>
      <c r="I128">
        <f t="shared" ref="I128:I138" si="93">IF(B128="",$C$1-A128,H128)</f>
        <v>2</v>
      </c>
      <c r="J128" s="65" t="s">
        <v>120</v>
      </c>
      <c r="K128">
        <f t="shared" ref="K128:K138" si="94">IF(F128&gt;0,(H128*$F128)/365.25,0)</f>
        <v>0</v>
      </c>
      <c r="L128">
        <f t="shared" ref="L128:L138" si="95">IF(F128&gt;0,(I128*$F128)/365.25,0)</f>
        <v>0</v>
      </c>
      <c r="M128" s="65" t="s">
        <v>2381</v>
      </c>
    </row>
    <row r="129" spans="1:13" s="65" customFormat="1" hidden="1" outlineLevel="1">
      <c r="A129" s="139">
        <v>44063</v>
      </c>
      <c r="B129" s="139">
        <v>44146</v>
      </c>
      <c r="C129" s="123"/>
      <c r="D129" s="124">
        <v>265878</v>
      </c>
      <c r="E129" s="146">
        <f t="shared" si="71"/>
        <v>278446</v>
      </c>
      <c r="F129" s="146">
        <f>-D129+C148</f>
        <v>29808</v>
      </c>
      <c r="G129" s="80">
        <f t="shared" si="91"/>
        <v>142118</v>
      </c>
      <c r="H129" s="80">
        <f t="shared" si="92"/>
        <v>83</v>
      </c>
      <c r="I129">
        <f t="shared" si="93"/>
        <v>83</v>
      </c>
      <c r="J129" s="65" t="s">
        <v>199</v>
      </c>
      <c r="K129">
        <f t="shared" si="94"/>
        <v>6773.6180698151948</v>
      </c>
      <c r="L129">
        <f t="shared" si="95"/>
        <v>6773.6180698151948</v>
      </c>
    </row>
    <row r="130" spans="1:13" s="65" customFormat="1" hidden="1" outlineLevel="1">
      <c r="A130" s="139">
        <v>44069</v>
      </c>
      <c r="B130" s="139">
        <v>44073</v>
      </c>
      <c r="C130" s="123"/>
      <c r="D130" s="124">
        <v>20</v>
      </c>
      <c r="E130" s="146">
        <f t="shared" si="71"/>
        <v>278426</v>
      </c>
      <c r="F130" s="146">
        <f t="shared" ref="F130" si="96">C130-D130</f>
        <v>-20</v>
      </c>
      <c r="G130" s="80">
        <f t="shared" si="91"/>
        <v>142098</v>
      </c>
      <c r="H130" s="80">
        <f t="shared" si="92"/>
        <v>4</v>
      </c>
      <c r="I130">
        <f t="shared" si="93"/>
        <v>4</v>
      </c>
      <c r="J130" s="65" t="s">
        <v>64</v>
      </c>
      <c r="K130">
        <f t="shared" si="94"/>
        <v>0</v>
      </c>
      <c r="L130">
        <f t="shared" si="95"/>
        <v>0</v>
      </c>
      <c r="M130" s="65" t="s">
        <v>2381</v>
      </c>
    </row>
    <row r="131" spans="1:13" s="65" customFormat="1" hidden="1" outlineLevel="1">
      <c r="A131" s="139">
        <v>44071</v>
      </c>
      <c r="B131" s="139">
        <v>44071</v>
      </c>
      <c r="C131" s="123">
        <v>251881</v>
      </c>
      <c r="D131" s="124"/>
      <c r="E131" s="146">
        <f t="shared" si="71"/>
        <v>530307</v>
      </c>
      <c r="F131" s="146"/>
      <c r="G131" s="80">
        <f t="shared" si="91"/>
        <v>142098</v>
      </c>
      <c r="H131" s="80">
        <f t="shared" si="92"/>
        <v>0</v>
      </c>
      <c r="I131">
        <f t="shared" si="93"/>
        <v>0</v>
      </c>
      <c r="J131" s="65" t="s">
        <v>115</v>
      </c>
      <c r="K131">
        <f t="shared" si="94"/>
        <v>0</v>
      </c>
      <c r="L131">
        <f t="shared" si="95"/>
        <v>0</v>
      </c>
    </row>
    <row r="132" spans="1:13" s="65" customFormat="1" hidden="1" outlineLevel="1">
      <c r="A132" s="139">
        <v>44071</v>
      </c>
      <c r="B132" s="139">
        <v>44091</v>
      </c>
      <c r="C132" s="123"/>
      <c r="D132" s="124">
        <v>68797</v>
      </c>
      <c r="E132" s="146">
        <f t="shared" si="71"/>
        <v>461510</v>
      </c>
      <c r="F132" s="146">
        <f>-D132+C140</f>
        <v>198</v>
      </c>
      <c r="G132" s="80">
        <f t="shared" si="91"/>
        <v>142296</v>
      </c>
      <c r="H132" s="80">
        <f t="shared" si="92"/>
        <v>20</v>
      </c>
      <c r="I132">
        <f t="shared" si="93"/>
        <v>20</v>
      </c>
      <c r="J132" s="65" t="s">
        <v>200</v>
      </c>
      <c r="K132">
        <f t="shared" si="94"/>
        <v>10.841889117043122</v>
      </c>
      <c r="L132">
        <f t="shared" si="95"/>
        <v>10.841889117043122</v>
      </c>
    </row>
    <row r="133" spans="1:13" s="65" customFormat="1" hidden="1" outlineLevel="1">
      <c r="A133" s="139">
        <v>44072</v>
      </c>
      <c r="B133" s="139">
        <v>44078</v>
      </c>
      <c r="C133" s="123"/>
      <c r="D133" s="124">
        <v>17424</v>
      </c>
      <c r="E133" s="146">
        <f t="shared" si="71"/>
        <v>444086</v>
      </c>
      <c r="F133" s="146">
        <f>-D133+C135</f>
        <v>-1146</v>
      </c>
      <c r="G133" s="80">
        <f t="shared" si="91"/>
        <v>141150</v>
      </c>
      <c r="H133" s="80">
        <f t="shared" si="92"/>
        <v>6</v>
      </c>
      <c r="I133">
        <f t="shared" si="93"/>
        <v>6</v>
      </c>
      <c r="J133" s="65" t="s">
        <v>202</v>
      </c>
      <c r="K133">
        <f t="shared" si="94"/>
        <v>0</v>
      </c>
      <c r="L133">
        <f t="shared" si="95"/>
        <v>0</v>
      </c>
    </row>
    <row r="134" spans="1:13" s="65" customFormat="1" hidden="1" outlineLevel="1">
      <c r="A134" s="139">
        <v>44072</v>
      </c>
      <c r="B134" s="139">
        <v>44089</v>
      </c>
      <c r="C134" s="123"/>
      <c r="D134" s="124">
        <v>47517</v>
      </c>
      <c r="E134" s="146">
        <f t="shared" si="71"/>
        <v>396569</v>
      </c>
      <c r="F134" s="146">
        <f>-D134+C139</f>
        <v>-1172</v>
      </c>
      <c r="G134" s="80">
        <f t="shared" si="91"/>
        <v>139978</v>
      </c>
      <c r="H134" s="80">
        <f t="shared" si="92"/>
        <v>17</v>
      </c>
      <c r="I134">
        <f t="shared" si="93"/>
        <v>17</v>
      </c>
      <c r="J134" s="65" t="s">
        <v>201</v>
      </c>
      <c r="K134">
        <f t="shared" si="94"/>
        <v>0</v>
      </c>
      <c r="L134">
        <f t="shared" si="95"/>
        <v>0</v>
      </c>
    </row>
    <row r="135" spans="1:13" s="65" customFormat="1" hidden="1" outlineLevel="1">
      <c r="A135" s="139">
        <v>44078</v>
      </c>
      <c r="B135" s="139">
        <v>44078</v>
      </c>
      <c r="C135" s="123">
        <v>16278</v>
      </c>
      <c r="D135" s="124"/>
      <c r="E135" s="146">
        <f t="shared" si="71"/>
        <v>412847</v>
      </c>
      <c r="F135" s="146"/>
      <c r="G135" s="80">
        <f t="shared" si="91"/>
        <v>139978</v>
      </c>
      <c r="H135" s="80">
        <f t="shared" si="92"/>
        <v>0</v>
      </c>
      <c r="I135">
        <f t="shared" si="93"/>
        <v>0</v>
      </c>
      <c r="J135" s="65" t="s">
        <v>202</v>
      </c>
      <c r="K135">
        <f t="shared" si="94"/>
        <v>0</v>
      </c>
      <c r="L135">
        <f t="shared" si="95"/>
        <v>0</v>
      </c>
    </row>
    <row r="136" spans="1:13" s="65" customFormat="1" hidden="1" outlineLevel="1">
      <c r="A136" s="139">
        <v>44079</v>
      </c>
      <c r="B136" s="139">
        <v>44083</v>
      </c>
      <c r="C136" s="123"/>
      <c r="D136" s="124">
        <v>36552</v>
      </c>
      <c r="E136" s="146">
        <f t="shared" si="71"/>
        <v>376295</v>
      </c>
      <c r="F136" s="146">
        <f>-D136+C137</f>
        <v>-2154</v>
      </c>
      <c r="G136" s="80">
        <f t="shared" si="91"/>
        <v>137824</v>
      </c>
      <c r="H136" s="80">
        <f t="shared" si="92"/>
        <v>4</v>
      </c>
      <c r="I136">
        <f t="shared" si="93"/>
        <v>4</v>
      </c>
      <c r="J136" s="65" t="s">
        <v>203</v>
      </c>
      <c r="K136">
        <f t="shared" si="94"/>
        <v>0</v>
      </c>
      <c r="L136">
        <f t="shared" si="95"/>
        <v>0</v>
      </c>
    </row>
    <row r="137" spans="1:13" s="65" customFormat="1" hidden="1" outlineLevel="1">
      <c r="A137" s="139">
        <v>44083</v>
      </c>
      <c r="B137" s="139">
        <v>44083</v>
      </c>
      <c r="C137" s="123">
        <v>34398</v>
      </c>
      <c r="D137" s="124"/>
      <c r="E137" s="146">
        <f t="shared" si="71"/>
        <v>410693</v>
      </c>
      <c r="F137" s="146"/>
      <c r="G137" s="80">
        <f t="shared" si="91"/>
        <v>137824</v>
      </c>
      <c r="H137" s="80">
        <f t="shared" si="92"/>
        <v>0</v>
      </c>
      <c r="I137">
        <f t="shared" si="93"/>
        <v>0</v>
      </c>
      <c r="J137" s="65" t="s">
        <v>203</v>
      </c>
      <c r="K137">
        <f t="shared" si="94"/>
        <v>0</v>
      </c>
      <c r="L137">
        <f t="shared" si="95"/>
        <v>0</v>
      </c>
    </row>
    <row r="138" spans="1:13" s="65" customFormat="1" hidden="1" outlineLevel="1">
      <c r="A138" s="147">
        <v>44084</v>
      </c>
      <c r="B138" s="147"/>
      <c r="C138" s="148">
        <v>368</v>
      </c>
      <c r="D138" s="149"/>
      <c r="E138" s="150">
        <f t="shared" si="71"/>
        <v>411061</v>
      </c>
      <c r="F138" s="150">
        <f t="shared" ref="F138" si="97">C138-D138</f>
        <v>368</v>
      </c>
      <c r="G138" s="151">
        <f>G137+F138</f>
        <v>138192</v>
      </c>
      <c r="H138" s="151">
        <f>IF(B138="",DATEDIF(A138,$G$1,"d"),DATEDIF(A138,B138,"d"))</f>
        <v>112</v>
      </c>
      <c r="I138" s="152">
        <f t="shared" ca="1" si="93"/>
        <v>2226</v>
      </c>
      <c r="J138" s="152" t="s">
        <v>84</v>
      </c>
      <c r="K138" s="152">
        <f t="shared" si="94"/>
        <v>112.84325804243669</v>
      </c>
      <c r="L138" s="152">
        <f t="shared" ca="1" si="95"/>
        <v>2242.7597535934292</v>
      </c>
      <c r="M138" s="152"/>
    </row>
    <row r="139" spans="1:13" s="65" customFormat="1" hidden="1" outlineLevel="1">
      <c r="A139" s="139">
        <v>44089</v>
      </c>
      <c r="B139" s="139">
        <v>44089</v>
      </c>
      <c r="C139" s="123">
        <v>46345</v>
      </c>
      <c r="D139" s="124"/>
      <c r="E139" s="146">
        <f t="shared" ref="E139" si="98">E138+C139-D139</f>
        <v>457406</v>
      </c>
      <c r="F139" s="146"/>
      <c r="G139" s="80">
        <f t="shared" ref="G139:G146" si="99">G138+F139</f>
        <v>138192</v>
      </c>
      <c r="H139" s="80">
        <f t="shared" ref="H139" si="100">IF(B139="",DATEDIF(A139,$G$1,"d"),DATEDIF(A139,B139,"d"))</f>
        <v>0</v>
      </c>
      <c r="I139">
        <f t="shared" ref="I139" si="101">IF(B139="",$C$1-A139,H139)</f>
        <v>0</v>
      </c>
      <c r="J139" s="65" t="s">
        <v>201</v>
      </c>
      <c r="K139">
        <f t="shared" ref="K139" si="102">IF(F139&gt;0,(H139*$F139)/365.25,0)</f>
        <v>0</v>
      </c>
      <c r="L139">
        <f t="shared" ref="L139" si="103">IF(F139&gt;0,(I139*$F139)/365.25,0)</f>
        <v>0</v>
      </c>
    </row>
    <row r="140" spans="1:13" s="65" customFormat="1" collapsed="1">
      <c r="A140" s="139">
        <v>44091</v>
      </c>
      <c r="B140" s="139">
        <v>44091</v>
      </c>
      <c r="C140" s="123">
        <v>68995</v>
      </c>
      <c r="D140" s="124"/>
      <c r="E140" s="146">
        <f t="shared" ref="E140:E144" si="104">E139+C140-D140</f>
        <v>526401</v>
      </c>
      <c r="F140" s="146"/>
      <c r="G140" s="80">
        <f t="shared" si="99"/>
        <v>138192</v>
      </c>
      <c r="H140" s="80">
        <f t="shared" ref="H140" si="105">IF(B140="",DATEDIF(A140,$G$1,"d"),DATEDIF(A140,B140,"d"))</f>
        <v>0</v>
      </c>
      <c r="I140">
        <f t="shared" ref="I140" si="106">IF(B140="",$C$1-A140,H140)</f>
        <v>0</v>
      </c>
      <c r="J140" s="65" t="s">
        <v>200</v>
      </c>
      <c r="K140">
        <f t="shared" ref="K140:K144" si="107">IF(F140&gt;0,(H140*$F140)/365.25,0)</f>
        <v>0</v>
      </c>
      <c r="L140">
        <f t="shared" ref="L140:L144" si="108">IF(F140&gt;0,(I140*$F140)/365.25,0)</f>
        <v>0</v>
      </c>
    </row>
    <row r="141" spans="1:13" s="65" customFormat="1" hidden="1" outlineLevel="1">
      <c r="A141" s="139">
        <v>44109</v>
      </c>
      <c r="B141" s="139">
        <v>44113</v>
      </c>
      <c r="C141" s="123"/>
      <c r="D141" s="124">
        <v>20</v>
      </c>
      <c r="E141" s="146">
        <f t="shared" si="104"/>
        <v>526381</v>
      </c>
      <c r="F141" s="146">
        <f t="shared" si="89"/>
        <v>-20</v>
      </c>
      <c r="G141" s="80">
        <f t="shared" si="99"/>
        <v>138172</v>
      </c>
      <c r="H141" s="80">
        <f t="shared" si="70"/>
        <v>4</v>
      </c>
      <c r="I141">
        <f t="shared" si="73"/>
        <v>4</v>
      </c>
      <c r="J141" s="65" t="s">
        <v>185</v>
      </c>
      <c r="K141">
        <f t="shared" si="107"/>
        <v>0</v>
      </c>
      <c r="L141">
        <f t="shared" si="108"/>
        <v>0</v>
      </c>
      <c r="M141" s="65" t="s">
        <v>2381</v>
      </c>
    </row>
    <row r="142" spans="1:13" s="65" customFormat="1" hidden="1" outlineLevel="1">
      <c r="A142" s="139">
        <v>44110</v>
      </c>
      <c r="B142" s="139">
        <v>44114</v>
      </c>
      <c r="C142" s="123"/>
      <c r="D142" s="124">
        <v>20</v>
      </c>
      <c r="E142" s="146">
        <f t="shared" si="104"/>
        <v>526361</v>
      </c>
      <c r="F142" s="146">
        <f t="shared" si="89"/>
        <v>-20</v>
      </c>
      <c r="G142" s="80">
        <f t="shared" si="99"/>
        <v>138152</v>
      </c>
      <c r="H142" s="80">
        <f t="shared" si="70"/>
        <v>4</v>
      </c>
      <c r="I142">
        <f t="shared" si="73"/>
        <v>4</v>
      </c>
      <c r="J142" s="65" t="s">
        <v>186</v>
      </c>
      <c r="K142">
        <f t="shared" si="107"/>
        <v>0</v>
      </c>
      <c r="L142">
        <f t="shared" si="108"/>
        <v>0</v>
      </c>
      <c r="M142" s="65" t="s">
        <v>2381</v>
      </c>
    </row>
    <row r="143" spans="1:13" s="65" customFormat="1" hidden="1" outlineLevel="1">
      <c r="A143" s="139">
        <v>44112</v>
      </c>
      <c r="B143" s="139">
        <v>44116</v>
      </c>
      <c r="C143" s="123"/>
      <c r="D143" s="124">
        <v>20</v>
      </c>
      <c r="E143" s="146">
        <f t="shared" si="104"/>
        <v>526341</v>
      </c>
      <c r="F143" s="146">
        <f t="shared" si="89"/>
        <v>-20</v>
      </c>
      <c r="G143" s="80">
        <f t="shared" si="99"/>
        <v>138132</v>
      </c>
      <c r="H143" s="80">
        <f t="shared" si="70"/>
        <v>4</v>
      </c>
      <c r="I143">
        <f t="shared" si="73"/>
        <v>4</v>
      </c>
      <c r="J143" s="65" t="s">
        <v>187</v>
      </c>
      <c r="K143">
        <f t="shared" si="107"/>
        <v>0</v>
      </c>
      <c r="L143">
        <f t="shared" si="108"/>
        <v>0</v>
      </c>
      <c r="M143" s="65" t="s">
        <v>2381</v>
      </c>
    </row>
    <row r="144" spans="1:13" s="65" customFormat="1" hidden="1" outlineLevel="1">
      <c r="A144" s="147">
        <v>44112</v>
      </c>
      <c r="B144" s="147"/>
      <c r="C144" s="148">
        <v>113</v>
      </c>
      <c r="D144" s="149"/>
      <c r="E144" s="150">
        <f t="shared" si="104"/>
        <v>526454</v>
      </c>
      <c r="F144" s="150">
        <f t="shared" si="89"/>
        <v>113</v>
      </c>
      <c r="G144" s="151">
        <f>G143+F144</f>
        <v>138245</v>
      </c>
      <c r="H144" s="151">
        <f>IF(B144="",DATEDIF(A144,$G$1,"d"),DATEDIF(A144,B144,"d"))</f>
        <v>84</v>
      </c>
      <c r="I144" s="152">
        <f t="shared" ca="1" si="73"/>
        <v>2198</v>
      </c>
      <c r="J144" s="152" t="s">
        <v>84</v>
      </c>
      <c r="K144" s="152">
        <f t="shared" si="107"/>
        <v>25.987679671457904</v>
      </c>
      <c r="L144" s="152">
        <f t="shared" ca="1" si="108"/>
        <v>680.01095140314851</v>
      </c>
      <c r="M144" s="152"/>
    </row>
    <row r="145" spans="1:13" s="65" customFormat="1" hidden="1" outlineLevel="1">
      <c r="A145" s="139">
        <v>44117</v>
      </c>
      <c r="B145" s="139">
        <v>44121</v>
      </c>
      <c r="C145" s="123"/>
      <c r="D145" s="124">
        <v>20</v>
      </c>
      <c r="E145" s="146">
        <f t="shared" ref="E145" si="109">E144+C145-D145</f>
        <v>526434</v>
      </c>
      <c r="F145" s="146">
        <f t="shared" ref="F145" si="110">C145-D145</f>
        <v>-20</v>
      </c>
      <c r="G145" s="80">
        <f t="shared" si="99"/>
        <v>138225</v>
      </c>
      <c r="H145" s="80">
        <f t="shared" ref="H145" si="111">IF(B145="",DATEDIF(A145,$G$1,"d"),DATEDIF(A145,B145,"d"))</f>
        <v>4</v>
      </c>
      <c r="I145">
        <f t="shared" ref="I145" si="112">IF(B145="",$C$1-A145,H145)</f>
        <v>4</v>
      </c>
      <c r="J145" s="65" t="s">
        <v>188</v>
      </c>
      <c r="K145">
        <f t="shared" ref="K145:K146" si="113">IF(F145&gt;0,(H145*$F145)/365.25,0)</f>
        <v>0</v>
      </c>
      <c r="L145">
        <f t="shared" ref="L145:L146" si="114">IF(F145&gt;0,(I145*$F145)/365.25,0)</f>
        <v>0</v>
      </c>
      <c r="M145" s="65" t="s">
        <v>2381</v>
      </c>
    </row>
    <row r="146" spans="1:13" s="65" customFormat="1" hidden="1" outlineLevel="1">
      <c r="A146" s="139">
        <v>44136</v>
      </c>
      <c r="B146" s="139">
        <v>44154</v>
      </c>
      <c r="C146" s="123"/>
      <c r="D146" s="124">
        <v>39055</v>
      </c>
      <c r="E146" s="146">
        <f>E145+C146-D146</f>
        <v>487379</v>
      </c>
      <c r="F146" s="146">
        <f>-D146+C149</f>
        <v>-376</v>
      </c>
      <c r="G146" s="80">
        <f t="shared" si="99"/>
        <v>137849</v>
      </c>
      <c r="H146" s="80">
        <f t="shared" ref="H146" si="115">IF(B146="",DATEDIF(A146,$G$1,"d"),DATEDIF(A146,B146,"d"))</f>
        <v>18</v>
      </c>
      <c r="I146">
        <f t="shared" ref="I146:I148" si="116">IF(B146="",$C$1-A146,H146)</f>
        <v>18</v>
      </c>
      <c r="J146" s="65" t="s">
        <v>204</v>
      </c>
      <c r="K146">
        <f t="shared" si="113"/>
        <v>0</v>
      </c>
      <c r="L146">
        <f t="shared" si="114"/>
        <v>0</v>
      </c>
    </row>
    <row r="147" spans="1:13" s="65" customFormat="1" hidden="1" outlineLevel="1">
      <c r="A147" s="147">
        <v>44145</v>
      </c>
      <c r="B147" s="147"/>
      <c r="C147" s="148">
        <v>22</v>
      </c>
      <c r="D147" s="149"/>
      <c r="E147" s="150">
        <f t="shared" ref="E147" si="117">E146+C147-D147</f>
        <v>487401</v>
      </c>
      <c r="F147" s="150">
        <f t="shared" ref="F147" si="118">C147-D147</f>
        <v>22</v>
      </c>
      <c r="G147" s="151">
        <f>G146+F147</f>
        <v>137871</v>
      </c>
      <c r="H147" s="151">
        <f>IF(B147="",DATEDIF(A147,$G$1,"d"),DATEDIF(A147,B147,"d"))</f>
        <v>51</v>
      </c>
      <c r="I147" s="152">
        <f t="shared" ca="1" si="116"/>
        <v>2165</v>
      </c>
      <c r="J147" s="152" t="s">
        <v>84</v>
      </c>
      <c r="K147" s="152">
        <f t="shared" ref="K147:K150" si="119">IF(F147&gt;0,(H147*$F147)/365.25,0)</f>
        <v>3.0718685831622174</v>
      </c>
      <c r="L147" s="152">
        <f t="shared" ref="L147:L150" ca="1" si="120">IF(F147&gt;0,(I147*$F147)/365.25,0)</f>
        <v>130.40383299110198</v>
      </c>
      <c r="M147" s="152"/>
    </row>
    <row r="148" spans="1:13" s="65" customFormat="1" hidden="1" outlineLevel="1">
      <c r="A148" s="139">
        <v>44146</v>
      </c>
      <c r="B148" s="139">
        <v>44146</v>
      </c>
      <c r="C148" s="123">
        <v>295686</v>
      </c>
      <c r="D148" s="124"/>
      <c r="E148" s="146">
        <f>E147+C148-D148</f>
        <v>783087</v>
      </c>
      <c r="F148" s="146"/>
      <c r="G148" s="80">
        <f t="shared" ref="G148:G161" si="121">G147+F148</f>
        <v>137871</v>
      </c>
      <c r="H148" s="80">
        <f t="shared" ref="H148" si="122">IF(B148="",DATEDIF(A148,$G$1,"d"),DATEDIF(A148,B148,"d"))</f>
        <v>0</v>
      </c>
      <c r="I148">
        <f t="shared" si="116"/>
        <v>0</v>
      </c>
      <c r="J148" s="65" t="s">
        <v>199</v>
      </c>
      <c r="K148">
        <f t="shared" si="119"/>
        <v>0</v>
      </c>
      <c r="L148">
        <f t="shared" si="120"/>
        <v>0</v>
      </c>
    </row>
    <row r="149" spans="1:13" s="65" customFormat="1" hidden="1" outlineLevel="1">
      <c r="A149" s="139">
        <v>44136</v>
      </c>
      <c r="B149" s="139">
        <v>44154</v>
      </c>
      <c r="C149" s="123">
        <v>38679</v>
      </c>
      <c r="D149" s="124"/>
      <c r="E149" s="146">
        <f t="shared" ref="E149:E159" si="123">E148+C149-D149</f>
        <v>821766</v>
      </c>
      <c r="F149" s="146"/>
      <c r="G149" s="80">
        <f t="shared" si="121"/>
        <v>137871</v>
      </c>
      <c r="H149" s="80">
        <f t="shared" ref="H149:H150" si="124">IF(B149="",DATEDIF(A149,$G$1,"d"),DATEDIF(A149,B149,"d"))</f>
        <v>18</v>
      </c>
      <c r="I149">
        <f t="shared" ref="I149:I150" si="125">IF(B149="",$C$1-A149,H149)</f>
        <v>18</v>
      </c>
      <c r="J149" s="65" t="s">
        <v>204</v>
      </c>
      <c r="K149">
        <f t="shared" si="119"/>
        <v>0</v>
      </c>
      <c r="L149">
        <f t="shared" si="120"/>
        <v>0</v>
      </c>
    </row>
    <row r="150" spans="1:13" s="65" customFormat="1" hidden="1" outlineLevel="1">
      <c r="A150" s="139">
        <v>44159</v>
      </c>
      <c r="B150" s="139">
        <v>44264</v>
      </c>
      <c r="C150" s="123"/>
      <c r="D150" s="124">
        <v>34749</v>
      </c>
      <c r="E150" s="146">
        <f t="shared" si="123"/>
        <v>787017</v>
      </c>
      <c r="F150" s="146">
        <f>-D150+C260</f>
        <v>-1396</v>
      </c>
      <c r="G150" s="80">
        <f t="shared" si="121"/>
        <v>136475</v>
      </c>
      <c r="H150" s="80">
        <f t="shared" si="124"/>
        <v>105</v>
      </c>
      <c r="I150">
        <f t="shared" si="125"/>
        <v>105</v>
      </c>
      <c r="J150" s="65" t="s">
        <v>410</v>
      </c>
      <c r="K150">
        <f t="shared" si="119"/>
        <v>0</v>
      </c>
      <c r="L150">
        <f t="shared" si="120"/>
        <v>0</v>
      </c>
    </row>
    <row r="151" spans="1:13" s="65" customFormat="1" hidden="1" outlineLevel="1">
      <c r="A151" s="161">
        <v>44159</v>
      </c>
      <c r="B151" s="162"/>
      <c r="C151" s="163">
        <v>1000000</v>
      </c>
      <c r="D151" s="164"/>
      <c r="E151" s="165">
        <f t="shared" si="71"/>
        <v>1787017</v>
      </c>
      <c r="F151" s="165"/>
      <c r="G151" s="166">
        <f t="shared" si="121"/>
        <v>136475</v>
      </c>
      <c r="H151" s="166">
        <f>IF(B151="",DATEDIF(A151,$G$1,"d"),DATEDIF(A151,B151,"d"))</f>
        <v>37</v>
      </c>
      <c r="I151" s="167">
        <f ca="1">IF(B151="",$C$1-A151,H151)</f>
        <v>2151</v>
      </c>
      <c r="J151" s="168" t="s">
        <v>189</v>
      </c>
      <c r="K151" s="167">
        <f t="shared" ref="K151:K161" si="126">IF(F151&gt;0,(H151*$F151)/365.25,0)</f>
        <v>0</v>
      </c>
      <c r="L151" s="167">
        <f t="shared" ref="L151:L161" si="127">IF(F151&gt;0,(I151*$F151)/365.25,0)</f>
        <v>0</v>
      </c>
      <c r="M151" s="168" t="s">
        <v>190</v>
      </c>
    </row>
    <row r="152" spans="1:13" s="65" customFormat="1" hidden="1" outlineLevel="1">
      <c r="A152" s="139">
        <v>44160</v>
      </c>
      <c r="B152" s="139">
        <v>44232</v>
      </c>
      <c r="C152" s="123"/>
      <c r="D152" s="124">
        <v>75307</v>
      </c>
      <c r="E152" s="146">
        <f t="shared" si="123"/>
        <v>1711710</v>
      </c>
      <c r="F152" s="146">
        <f>-D152+C227</f>
        <v>18876</v>
      </c>
      <c r="G152" s="80">
        <f t="shared" si="121"/>
        <v>155351</v>
      </c>
      <c r="H152" s="80">
        <f t="shared" ref="H152" si="128">IF(B152="",DATEDIF(A152,$G$1,"d"),DATEDIF(A152,B152,"d"))</f>
        <v>72</v>
      </c>
      <c r="I152">
        <f t="shared" ref="I152" si="129">IF(B152="",$C$1-A152,H152)</f>
        <v>72</v>
      </c>
      <c r="J152" s="65" t="s">
        <v>163</v>
      </c>
      <c r="K152">
        <f t="shared" si="126"/>
        <v>3720.9363449691991</v>
      </c>
      <c r="L152">
        <f t="shared" si="127"/>
        <v>3720.9363449691991</v>
      </c>
    </row>
    <row r="153" spans="1:13" s="65" customFormat="1" hidden="1" outlineLevel="1">
      <c r="A153" s="139">
        <v>44160</v>
      </c>
      <c r="B153" s="139">
        <v>44204</v>
      </c>
      <c r="C153" s="123"/>
      <c r="D153" s="124">
        <v>38204</v>
      </c>
      <c r="E153" s="146">
        <f t="shared" si="123"/>
        <v>1673506</v>
      </c>
      <c r="F153" s="146"/>
      <c r="G153" s="80">
        <f t="shared" si="121"/>
        <v>155351</v>
      </c>
      <c r="H153" s="80">
        <f t="shared" ref="H153:H161" si="130">IF(B153="",DATEDIF(A153,$G$1,"d"),DATEDIF(A153,B153,"d"))</f>
        <v>44</v>
      </c>
      <c r="I153">
        <f t="shared" ref="I153:I161" si="131">IF(B153="",$C$1-A153,H153)</f>
        <v>44</v>
      </c>
      <c r="J153" s="65" t="s">
        <v>165</v>
      </c>
      <c r="K153">
        <f t="shared" si="126"/>
        <v>0</v>
      </c>
      <c r="L153">
        <f t="shared" si="127"/>
        <v>0</v>
      </c>
    </row>
    <row r="154" spans="1:13" s="65" customFormat="1" hidden="1" outlineLevel="1">
      <c r="A154" s="139">
        <v>44160</v>
      </c>
      <c r="B154" s="139">
        <v>44204</v>
      </c>
      <c r="C154" s="123"/>
      <c r="D154" s="124">
        <v>29141</v>
      </c>
      <c r="E154" s="146">
        <f t="shared" si="123"/>
        <v>1644365</v>
      </c>
      <c r="F154" s="146"/>
      <c r="G154" s="80">
        <f t="shared" si="121"/>
        <v>155351</v>
      </c>
      <c r="H154" s="80">
        <f t="shared" si="130"/>
        <v>44</v>
      </c>
      <c r="I154">
        <f t="shared" si="131"/>
        <v>44</v>
      </c>
      <c r="J154" s="65" t="s">
        <v>166</v>
      </c>
      <c r="K154">
        <f t="shared" si="126"/>
        <v>0</v>
      </c>
      <c r="L154">
        <f t="shared" si="127"/>
        <v>0</v>
      </c>
    </row>
    <row r="155" spans="1:13" s="65" customFormat="1" hidden="1" outlineLevel="1">
      <c r="A155" s="139">
        <v>44160</v>
      </c>
      <c r="B155" s="139">
        <v>44209</v>
      </c>
      <c r="C155" s="123"/>
      <c r="D155" s="124">
        <v>41709</v>
      </c>
      <c r="E155" s="146">
        <f t="shared" si="123"/>
        <v>1602656</v>
      </c>
      <c r="F155" s="146">
        <f>-D155+C205</f>
        <v>355</v>
      </c>
      <c r="G155" s="80">
        <f t="shared" si="121"/>
        <v>155706</v>
      </c>
      <c r="H155" s="80">
        <f t="shared" si="130"/>
        <v>49</v>
      </c>
      <c r="I155">
        <f t="shared" si="131"/>
        <v>49</v>
      </c>
      <c r="J155" s="65" t="s">
        <v>167</v>
      </c>
      <c r="K155">
        <f t="shared" si="126"/>
        <v>47.624914442162904</v>
      </c>
      <c r="L155">
        <f t="shared" si="127"/>
        <v>47.624914442162904</v>
      </c>
    </row>
    <row r="156" spans="1:13" s="65" customFormat="1" hidden="1" outlineLevel="1">
      <c r="A156" s="139">
        <v>44160</v>
      </c>
      <c r="B156" s="66">
        <v>44266</v>
      </c>
      <c r="C156" s="123"/>
      <c r="D156" s="124">
        <v>25636</v>
      </c>
      <c r="E156" s="146">
        <f t="shared" si="123"/>
        <v>1577020</v>
      </c>
      <c r="F156" s="146">
        <f>-D156+C268</f>
        <v>-348</v>
      </c>
      <c r="G156" s="80">
        <f t="shared" si="121"/>
        <v>155358</v>
      </c>
      <c r="H156" s="80">
        <f t="shared" si="130"/>
        <v>106</v>
      </c>
      <c r="I156">
        <f t="shared" si="131"/>
        <v>106</v>
      </c>
      <c r="J156" s="65" t="s">
        <v>2396</v>
      </c>
      <c r="K156">
        <f t="shared" si="126"/>
        <v>0</v>
      </c>
      <c r="L156">
        <f t="shared" si="127"/>
        <v>0</v>
      </c>
    </row>
    <row r="157" spans="1:13" s="65" customFormat="1" hidden="1" outlineLevel="1">
      <c r="A157" s="139">
        <v>44160</v>
      </c>
      <c r="B157" s="139">
        <v>44175</v>
      </c>
      <c r="C157" s="123"/>
      <c r="D157" s="124">
        <v>35400</v>
      </c>
      <c r="E157" s="146">
        <f t="shared" si="123"/>
        <v>1541620</v>
      </c>
      <c r="F157" s="146">
        <f>-D157+C173</f>
        <v>15176</v>
      </c>
      <c r="G157" s="80">
        <f t="shared" si="121"/>
        <v>170534</v>
      </c>
      <c r="H157" s="80">
        <f t="shared" si="130"/>
        <v>15</v>
      </c>
      <c r="I157">
        <f t="shared" si="131"/>
        <v>15</v>
      </c>
      <c r="J157" s="65" t="s">
        <v>162</v>
      </c>
      <c r="K157">
        <f t="shared" si="126"/>
        <v>623.24435318275152</v>
      </c>
      <c r="L157">
        <f t="shared" si="127"/>
        <v>623.24435318275152</v>
      </c>
    </row>
    <row r="158" spans="1:13" s="65" customFormat="1" hidden="1" outlineLevel="1">
      <c r="A158" s="139">
        <v>44160</v>
      </c>
      <c r="B158" s="139">
        <v>44176</v>
      </c>
      <c r="C158" s="123"/>
      <c r="D158" s="124">
        <v>110156</v>
      </c>
      <c r="E158" s="146">
        <f t="shared" si="123"/>
        <v>1431464</v>
      </c>
      <c r="F158" s="146">
        <f>-D158+C176</f>
        <v>15287</v>
      </c>
      <c r="G158" s="80">
        <f t="shared" si="121"/>
        <v>185821</v>
      </c>
      <c r="H158" s="80">
        <f t="shared" si="130"/>
        <v>16</v>
      </c>
      <c r="I158">
        <f t="shared" si="131"/>
        <v>16</v>
      </c>
      <c r="J158" s="65" t="s">
        <v>194</v>
      </c>
      <c r="K158">
        <f t="shared" si="126"/>
        <v>669.65639972621489</v>
      </c>
      <c r="L158">
        <f t="shared" si="127"/>
        <v>669.65639972621489</v>
      </c>
    </row>
    <row r="159" spans="1:13" s="65" customFormat="1" hidden="1" outlineLevel="1">
      <c r="A159" s="139">
        <v>44160</v>
      </c>
      <c r="B159" s="139">
        <v>44175</v>
      </c>
      <c r="C159" s="123"/>
      <c r="D159" s="124">
        <v>9160</v>
      </c>
      <c r="E159" s="146">
        <f t="shared" si="123"/>
        <v>1422304</v>
      </c>
      <c r="F159" s="146">
        <f>-D159+C174</f>
        <v>1339</v>
      </c>
      <c r="G159" s="80">
        <f t="shared" si="121"/>
        <v>187160</v>
      </c>
      <c r="H159" s="80">
        <f t="shared" si="130"/>
        <v>15</v>
      </c>
      <c r="I159">
        <f t="shared" si="131"/>
        <v>15</v>
      </c>
      <c r="J159" s="65" t="s">
        <v>164</v>
      </c>
      <c r="K159">
        <f t="shared" si="126"/>
        <v>54.989733059548257</v>
      </c>
      <c r="L159">
        <f t="shared" si="127"/>
        <v>54.989733059548257</v>
      </c>
    </row>
    <row r="160" spans="1:13" s="65" customFormat="1" hidden="1" outlineLevel="1">
      <c r="A160" s="139">
        <v>44161</v>
      </c>
      <c r="B160" s="139">
        <v>44210</v>
      </c>
      <c r="C160" s="123"/>
      <c r="D160" s="124">
        <v>40858</v>
      </c>
      <c r="E160" s="146">
        <f t="shared" ref="E160:E161" si="132">E159+C160-D160</f>
        <v>1381446</v>
      </c>
      <c r="F160" s="146">
        <f>-D160+C206</f>
        <v>2152</v>
      </c>
      <c r="G160" s="80">
        <f t="shared" si="121"/>
        <v>189312</v>
      </c>
      <c r="H160" s="80">
        <f t="shared" si="130"/>
        <v>49</v>
      </c>
      <c r="I160">
        <f t="shared" si="131"/>
        <v>49</v>
      </c>
      <c r="J160" s="65" t="s">
        <v>217</v>
      </c>
      <c r="K160">
        <f t="shared" si="126"/>
        <v>288.70088980150581</v>
      </c>
      <c r="L160">
        <f t="shared" si="127"/>
        <v>288.70088980150581</v>
      </c>
    </row>
    <row r="161" spans="1:13" s="65" customFormat="1" hidden="1" outlineLevel="1">
      <c r="A161" s="139">
        <v>44161</v>
      </c>
      <c r="B161" s="139">
        <v>44168</v>
      </c>
      <c r="C161" s="123"/>
      <c r="D161" s="124">
        <v>604860</v>
      </c>
      <c r="E161" s="146">
        <f t="shared" si="132"/>
        <v>776586</v>
      </c>
      <c r="F161" s="146">
        <f>-D161+C166</f>
        <v>29322</v>
      </c>
      <c r="G161" s="80">
        <f t="shared" si="121"/>
        <v>218634</v>
      </c>
      <c r="H161" s="80">
        <f t="shared" si="130"/>
        <v>7</v>
      </c>
      <c r="I161">
        <f t="shared" si="131"/>
        <v>7</v>
      </c>
      <c r="J161" s="65" t="s">
        <v>205</v>
      </c>
      <c r="K161">
        <f t="shared" si="126"/>
        <v>561.95482546201231</v>
      </c>
      <c r="L161">
        <f t="shared" si="127"/>
        <v>561.95482546201231</v>
      </c>
    </row>
    <row r="162" spans="1:13" s="65" customFormat="1" hidden="1" outlineLevel="1">
      <c r="A162" s="139">
        <v>44163</v>
      </c>
      <c r="B162" s="139">
        <v>44175</v>
      </c>
      <c r="C162" s="123"/>
      <c r="D162" s="124">
        <v>36451</v>
      </c>
      <c r="E162" s="146">
        <f t="shared" ref="E162" si="133">E161+C162-D162</f>
        <v>740135</v>
      </c>
      <c r="F162" s="146">
        <f>-D162+C175</f>
        <v>-2601</v>
      </c>
      <c r="G162" s="80">
        <f t="shared" ref="G162" si="134">G161+F162</f>
        <v>216033</v>
      </c>
      <c r="H162" s="80">
        <f t="shared" ref="H162" si="135">IF(B162="",DATEDIF(A162,$G$1,"d"),DATEDIF(A162,B162,"d"))</f>
        <v>12</v>
      </c>
      <c r="I162">
        <f t="shared" ref="I162:I163" si="136">IF(B162="",$C$1-A162,H162)</f>
        <v>12</v>
      </c>
      <c r="J162" s="65" t="s">
        <v>206</v>
      </c>
      <c r="K162">
        <f t="shared" ref="K162" si="137">IF(F162&gt;0,(H162*$F162)/365.25,0)</f>
        <v>0</v>
      </c>
      <c r="L162">
        <f t="shared" ref="L162" si="138">IF(F162&gt;0,(I162*$F162)/365.25,0)</f>
        <v>0</v>
      </c>
    </row>
    <row r="163" spans="1:13" s="65" customFormat="1" hidden="1" outlineLevel="1">
      <c r="A163" s="139">
        <v>44166</v>
      </c>
      <c r="B163" s="139">
        <v>44232</v>
      </c>
      <c r="C163" s="123"/>
      <c r="D163" s="124">
        <v>72703</v>
      </c>
      <c r="E163" s="146">
        <f t="shared" ref="E163" si="139">E162+C163-D163</f>
        <v>667432</v>
      </c>
      <c r="F163" s="146">
        <f>-D163+C232</f>
        <v>21480</v>
      </c>
      <c r="G163" s="80">
        <f t="shared" ref="G163" si="140">G162+F163</f>
        <v>237513</v>
      </c>
      <c r="H163" s="80">
        <f t="shared" ref="H163" si="141">IF(B163="",DATEDIF(A163,$G$1,"d"),DATEDIF(A163,B163,"d"))</f>
        <v>66</v>
      </c>
      <c r="I163">
        <f t="shared" si="136"/>
        <v>66</v>
      </c>
      <c r="J163" s="65" t="s">
        <v>163</v>
      </c>
      <c r="K163">
        <f t="shared" ref="K163" si="142">IF(F163&gt;0,(H163*$F163)/365.25,0)</f>
        <v>3881.3963039014375</v>
      </c>
      <c r="L163">
        <f t="shared" ref="L163" si="143">IF(F163&gt;0,(I163*$F163)/365.25,0)</f>
        <v>3881.3963039014375</v>
      </c>
    </row>
    <row r="164" spans="1:13" s="65" customFormat="1" hidden="1" outlineLevel="1">
      <c r="A164" s="139">
        <v>44167</v>
      </c>
      <c r="B164" s="139">
        <v>44230</v>
      </c>
      <c r="C164" s="123"/>
      <c r="D164" s="124">
        <v>35049</v>
      </c>
      <c r="E164" s="146">
        <f t="shared" ref="E164" si="144">E163+C164-D164</f>
        <v>632383</v>
      </c>
      <c r="F164" s="146">
        <f>-D164+C224</f>
        <v>-3837</v>
      </c>
      <c r="G164" s="80">
        <f t="shared" ref="G164" si="145">G163+F164</f>
        <v>233676</v>
      </c>
      <c r="H164" s="80">
        <f t="shared" ref="H164" si="146">IF(B164="",DATEDIF(A164,$G$1,"d"),DATEDIF(A164,B164,"d"))</f>
        <v>63</v>
      </c>
      <c r="I164">
        <f t="shared" ref="I164" si="147">IF(B164="",$C$1-A164,H164)</f>
        <v>63</v>
      </c>
      <c r="J164" s="65" t="s">
        <v>218</v>
      </c>
      <c r="K164">
        <f t="shared" ref="K164" si="148">IF(F164&gt;0,(H164*$F164)/365.25,0)</f>
        <v>0</v>
      </c>
      <c r="L164">
        <f t="shared" ref="L164" si="149">IF(F164&gt;0,(I164*$F164)/365.25,0)</f>
        <v>0</v>
      </c>
    </row>
    <row r="165" spans="1:13" s="65" customFormat="1" hidden="1" outlineLevel="1">
      <c r="A165" s="139">
        <v>44168</v>
      </c>
      <c r="B165" s="139">
        <v>44264</v>
      </c>
      <c r="C165" s="123"/>
      <c r="D165" s="124">
        <v>76809</v>
      </c>
      <c r="E165" s="146">
        <f t="shared" ref="E165" si="150">E164+C165-D165</f>
        <v>555574</v>
      </c>
      <c r="F165" s="146">
        <f>-D165+C259</f>
        <v>25238</v>
      </c>
      <c r="G165" s="80">
        <f t="shared" ref="G165" si="151">G164+F165</f>
        <v>258914</v>
      </c>
      <c r="H165" s="80">
        <f t="shared" ref="H165" si="152">IF(B165="",DATEDIF(A165,$G$1,"d"),DATEDIF(A165,B165,"d"))</f>
        <v>96</v>
      </c>
      <c r="I165">
        <f t="shared" ref="I165" si="153">IF(B165="",$C$1-A165,H165)</f>
        <v>96</v>
      </c>
      <c r="J165" s="65" t="s">
        <v>238</v>
      </c>
      <c r="K165">
        <f t="shared" ref="K165" si="154">IF(F165&gt;0,(H165*$F165)/365.25,0)</f>
        <v>6633.396303901437</v>
      </c>
      <c r="L165">
        <f t="shared" ref="L165" si="155">IF(F165&gt;0,(I165*$F165)/365.25,0)</f>
        <v>6633.396303901437</v>
      </c>
    </row>
    <row r="166" spans="1:13" s="65" customFormat="1" hidden="1" outlineLevel="1">
      <c r="A166" s="139">
        <v>44168</v>
      </c>
      <c r="B166" s="139">
        <v>44168</v>
      </c>
      <c r="C166" s="123">
        <v>634182</v>
      </c>
      <c r="D166" s="124"/>
      <c r="E166" s="146">
        <f t="shared" ref="E166" si="156">E165+C166-D166</f>
        <v>1189756</v>
      </c>
      <c r="F166" s="146"/>
      <c r="G166" s="80">
        <f t="shared" ref="G166" si="157">G165+F166</f>
        <v>258914</v>
      </c>
      <c r="H166" s="80">
        <f t="shared" ref="H166" si="158">IF(B166="",DATEDIF(A166,$G$1,"d"),DATEDIF(A166,B166,"d"))</f>
        <v>0</v>
      </c>
      <c r="I166">
        <f t="shared" ref="I166" si="159">IF(B166="",$C$1-A166,H166)</f>
        <v>0</v>
      </c>
      <c r="J166" s="65" t="s">
        <v>205</v>
      </c>
      <c r="K166">
        <f t="shared" ref="K166" si="160">IF(F166&gt;0,(H166*$F166)/365.25,0)</f>
        <v>0</v>
      </c>
      <c r="L166">
        <f t="shared" ref="L166" si="161">IF(F166&gt;0,(I166*$F166)/365.25,0)</f>
        <v>0</v>
      </c>
    </row>
    <row r="167" spans="1:13" s="65" customFormat="1" hidden="1" outlineLevel="1">
      <c r="A167" s="139">
        <v>44172</v>
      </c>
      <c r="B167" s="139">
        <v>44230</v>
      </c>
      <c r="C167" s="123"/>
      <c r="D167" s="124">
        <v>117166</v>
      </c>
      <c r="E167" s="146">
        <f t="shared" ref="E167" si="162">E166+C167-D167</f>
        <v>1072590</v>
      </c>
      <c r="F167" s="146">
        <f>-D167+C225</f>
        <v>-11635</v>
      </c>
      <c r="G167" s="80">
        <f t="shared" ref="G167" si="163">G166+F167</f>
        <v>247279</v>
      </c>
      <c r="H167" s="80">
        <f t="shared" ref="H167" si="164">IF(B167="",DATEDIF(A167,$G$1,"d"),DATEDIF(A167,B167,"d"))</f>
        <v>58</v>
      </c>
      <c r="I167">
        <f t="shared" ref="I167" si="165">IF(B167="",$C$1-A167,H167)</f>
        <v>58</v>
      </c>
      <c r="J167" s="65" t="s">
        <v>170</v>
      </c>
      <c r="K167">
        <f t="shared" ref="K167" si="166">IF(F167&gt;0,(H167*$F167)/365.25,0)</f>
        <v>0</v>
      </c>
      <c r="L167">
        <f t="shared" ref="L167" si="167">IF(F167&gt;0,(I167*$F167)/365.25,0)</f>
        <v>0</v>
      </c>
    </row>
    <row r="168" spans="1:13" s="65" customFormat="1" hidden="1" outlineLevel="1">
      <c r="A168" s="139">
        <v>44174</v>
      </c>
      <c r="B168" s="139">
        <v>44186</v>
      </c>
      <c r="C168" s="123"/>
      <c r="D168" s="124">
        <v>45815</v>
      </c>
      <c r="E168" s="146">
        <f t="shared" ref="E168:E170" si="168">E167+C168-D168</f>
        <v>1026775</v>
      </c>
      <c r="F168" s="146">
        <f>-D168+C193</f>
        <v>-2656</v>
      </c>
      <c r="G168" s="80">
        <f t="shared" ref="G168:G169" si="169">G167+F168</f>
        <v>244623</v>
      </c>
      <c r="H168" s="80">
        <f t="shared" ref="H168:H169" si="170">IF(B168="",DATEDIF(A168,$G$1,"d"),DATEDIF(A168,B168,"d"))</f>
        <v>12</v>
      </c>
      <c r="I168">
        <f t="shared" ref="I168:I170" si="171">IF(B168="",$C$1-A168,H168)</f>
        <v>12</v>
      </c>
      <c r="J168" s="65" t="s">
        <v>193</v>
      </c>
      <c r="K168">
        <f t="shared" ref="K168:K170" si="172">IF(F168&gt;0,(H168*$F168)/365.25,0)</f>
        <v>0</v>
      </c>
      <c r="L168">
        <f t="shared" ref="L168:L170" si="173">IF(F168&gt;0,(I168*$F168)/365.25,0)</f>
        <v>0</v>
      </c>
    </row>
    <row r="169" spans="1:13" s="65" customFormat="1" hidden="1" outlineLevel="1">
      <c r="A169" s="139">
        <v>44174</v>
      </c>
      <c r="B169" s="139">
        <v>44180</v>
      </c>
      <c r="C169" s="123"/>
      <c r="D169" s="124">
        <v>46265</v>
      </c>
      <c r="E169" s="146">
        <f t="shared" si="168"/>
        <v>980510</v>
      </c>
      <c r="F169" s="146">
        <f>-D169+C181</f>
        <v>-4251</v>
      </c>
      <c r="G169" s="80">
        <f t="shared" si="169"/>
        <v>240372</v>
      </c>
      <c r="H169" s="80">
        <f t="shared" si="170"/>
        <v>6</v>
      </c>
      <c r="I169">
        <f t="shared" si="171"/>
        <v>6</v>
      </c>
      <c r="J169" s="65" t="s">
        <v>192</v>
      </c>
      <c r="K169">
        <f t="shared" si="172"/>
        <v>0</v>
      </c>
      <c r="L169">
        <f t="shared" si="173"/>
        <v>0</v>
      </c>
    </row>
    <row r="170" spans="1:13" s="65" customFormat="1" hidden="1" outlineLevel="1">
      <c r="A170" s="147">
        <v>44175</v>
      </c>
      <c r="B170" s="147"/>
      <c r="C170" s="148">
        <v>863</v>
      </c>
      <c r="D170" s="149"/>
      <c r="E170" s="150">
        <f t="shared" si="168"/>
        <v>981373</v>
      </c>
      <c r="F170" s="150">
        <f t="shared" ref="F170" si="174">C170-D170</f>
        <v>863</v>
      </c>
      <c r="G170" s="151">
        <f>G169+F170</f>
        <v>241235</v>
      </c>
      <c r="H170" s="151">
        <f>IF(B170="",DATEDIF(A170,$G$1,"d"),DATEDIF(A170,B170,"d"))</f>
        <v>21</v>
      </c>
      <c r="I170" s="152">
        <f t="shared" ca="1" si="171"/>
        <v>2135</v>
      </c>
      <c r="J170" s="152" t="s">
        <v>84</v>
      </c>
      <c r="K170" s="152">
        <f t="shared" si="172"/>
        <v>49.618069815195071</v>
      </c>
      <c r="L170" s="152">
        <f t="shared" ca="1" si="173"/>
        <v>5044.5037645448319</v>
      </c>
      <c r="M170" s="152"/>
    </row>
    <row r="171" spans="1:13" s="65" customFormat="1" hidden="1" outlineLevel="1">
      <c r="A171" s="139">
        <v>44175</v>
      </c>
      <c r="B171" s="139">
        <v>44180</v>
      </c>
      <c r="C171" s="123"/>
      <c r="D171" s="124">
        <v>32596</v>
      </c>
      <c r="E171" s="146">
        <f t="shared" ref="E171:E172" si="175">E170+C171-D171</f>
        <v>948777</v>
      </c>
      <c r="F171" s="146">
        <f>-D171+C182</f>
        <v>-3076</v>
      </c>
      <c r="G171" s="80">
        <f t="shared" ref="G171:G172" si="176">G170+F171</f>
        <v>238159</v>
      </c>
      <c r="H171" s="80">
        <f t="shared" ref="H171:H172" si="177">IF(B171="",DATEDIF(A171,$G$1,"d"),DATEDIF(A171,B171,"d"))</f>
        <v>5</v>
      </c>
      <c r="I171">
        <f t="shared" ref="I171:I172" si="178">IF(B171="",$C$1-A171,H171)</f>
        <v>5</v>
      </c>
      <c r="J171" s="65" t="s">
        <v>191</v>
      </c>
      <c r="K171">
        <f t="shared" ref="K171:K172" si="179">IF(F171&gt;0,(H171*$F171)/365.25,0)</f>
        <v>0</v>
      </c>
      <c r="L171">
        <f t="shared" ref="L171:L172" si="180">IF(F171&gt;0,(I171*$F171)/365.25,0)</f>
        <v>0</v>
      </c>
    </row>
    <row r="172" spans="1:13" s="65" customFormat="1" hidden="1" outlineLevel="1">
      <c r="A172" s="139">
        <v>44175</v>
      </c>
      <c r="B172" s="139">
        <v>44232</v>
      </c>
      <c r="C172" s="123"/>
      <c r="D172" s="124">
        <v>89126</v>
      </c>
      <c r="E172" s="146">
        <f t="shared" si="175"/>
        <v>859651</v>
      </c>
      <c r="F172" s="146">
        <f>-D172+C228</f>
        <v>25864</v>
      </c>
      <c r="G172" s="80">
        <f t="shared" si="176"/>
        <v>264023</v>
      </c>
      <c r="H172" s="80">
        <f t="shared" si="177"/>
        <v>57</v>
      </c>
      <c r="I172">
        <f t="shared" si="178"/>
        <v>57</v>
      </c>
      <c r="J172" s="65" t="s">
        <v>171</v>
      </c>
      <c r="K172">
        <f t="shared" si="179"/>
        <v>4036.2710472279259</v>
      </c>
      <c r="L172">
        <f t="shared" si="180"/>
        <v>4036.2710472279259</v>
      </c>
    </row>
    <row r="173" spans="1:13" s="65" customFormat="1" hidden="1" outlineLevel="1">
      <c r="A173" s="139">
        <v>44175</v>
      </c>
      <c r="B173" s="139">
        <v>44175</v>
      </c>
      <c r="C173" s="123">
        <v>50576</v>
      </c>
      <c r="D173" s="124"/>
      <c r="E173" s="146">
        <f t="shared" ref="E173:E175" si="181">E172+C173-D173</f>
        <v>910227</v>
      </c>
      <c r="F173" s="146"/>
      <c r="G173" s="80">
        <f t="shared" ref="G173:G175" si="182">G172+F173</f>
        <v>264023</v>
      </c>
      <c r="H173" s="80">
        <f t="shared" ref="H173:H175" si="183">IF(B173="",DATEDIF(A173,$G$1,"d"),DATEDIF(A173,B173,"d"))</f>
        <v>0</v>
      </c>
      <c r="I173">
        <f t="shared" ref="I173:I175" si="184">IF(B173="",$C$1-A173,H173)</f>
        <v>0</v>
      </c>
      <c r="J173" s="65" t="s">
        <v>162</v>
      </c>
      <c r="K173">
        <f t="shared" ref="K173:K175" si="185">IF(F173&gt;0,(H173*$F173)/365.25,0)</f>
        <v>0</v>
      </c>
      <c r="L173">
        <f t="shared" ref="L173:L175" si="186">IF(F173&gt;0,(I173*$F173)/365.25,0)</f>
        <v>0</v>
      </c>
    </row>
    <row r="174" spans="1:13" s="65" customFormat="1" hidden="1" outlineLevel="1">
      <c r="A174" s="139">
        <v>44175</v>
      </c>
      <c r="B174" s="139">
        <v>44175</v>
      </c>
      <c r="C174" s="123">
        <v>10499</v>
      </c>
      <c r="D174" s="124"/>
      <c r="E174" s="146">
        <f t="shared" si="181"/>
        <v>920726</v>
      </c>
      <c r="F174" s="146"/>
      <c r="G174" s="80">
        <f t="shared" si="182"/>
        <v>264023</v>
      </c>
      <c r="H174" s="80">
        <f t="shared" si="183"/>
        <v>0</v>
      </c>
      <c r="I174">
        <f t="shared" si="184"/>
        <v>0</v>
      </c>
      <c r="J174" s="65" t="s">
        <v>164</v>
      </c>
      <c r="K174">
        <f t="shared" si="185"/>
        <v>0</v>
      </c>
      <c r="L174">
        <f t="shared" si="186"/>
        <v>0</v>
      </c>
    </row>
    <row r="175" spans="1:13" s="65" customFormat="1" hidden="1" outlineLevel="1">
      <c r="A175" s="139">
        <v>44175</v>
      </c>
      <c r="B175" s="139">
        <v>44175</v>
      </c>
      <c r="C175" s="123">
        <v>33850</v>
      </c>
      <c r="D175" s="124"/>
      <c r="E175" s="146">
        <f t="shared" si="181"/>
        <v>954576</v>
      </c>
      <c r="F175" s="146"/>
      <c r="G175" s="80">
        <f t="shared" si="182"/>
        <v>264023</v>
      </c>
      <c r="H175" s="80">
        <f t="shared" si="183"/>
        <v>0</v>
      </c>
      <c r="I175">
        <f t="shared" si="184"/>
        <v>0</v>
      </c>
      <c r="J175" s="65" t="s">
        <v>206</v>
      </c>
      <c r="K175">
        <f t="shared" si="185"/>
        <v>0</v>
      </c>
      <c r="L175">
        <f t="shared" si="186"/>
        <v>0</v>
      </c>
    </row>
    <row r="176" spans="1:13" s="65" customFormat="1" hidden="1" outlineLevel="1">
      <c r="A176" s="139">
        <v>44160</v>
      </c>
      <c r="B176" s="139">
        <v>44176</v>
      </c>
      <c r="C176" s="123">
        <v>125443</v>
      </c>
      <c r="D176" s="124"/>
      <c r="E176" s="146">
        <f t="shared" ref="E176" si="187">E175+C176-D176</f>
        <v>1080019</v>
      </c>
      <c r="F176" s="146">
        <f>-D176+C216</f>
        <v>113994</v>
      </c>
      <c r="G176" s="80">
        <f t="shared" ref="G176" si="188">G175+F176</f>
        <v>378017</v>
      </c>
      <c r="H176" s="80">
        <f t="shared" ref="H176" si="189">IF(B176="",DATEDIF(A176,$G$1,"d"),DATEDIF(A176,B176,"d"))</f>
        <v>16</v>
      </c>
      <c r="I176">
        <f t="shared" ref="I176" si="190">IF(B176="",$C$1-A176,H176)</f>
        <v>16</v>
      </c>
      <c r="J176" s="65" t="s">
        <v>194</v>
      </c>
      <c r="K176">
        <f t="shared" ref="K176" si="191">IF(F176&gt;0,(H176*$F176)/365.25,0)</f>
        <v>4993.5770020533882</v>
      </c>
      <c r="L176">
        <f t="shared" ref="L176" si="192">IF(F176&gt;0,(I176*$F176)/365.25,0)</f>
        <v>4993.5770020533882</v>
      </c>
    </row>
    <row r="177" spans="1:14" s="65" customFormat="1" hidden="1" outlineLevel="1">
      <c r="A177" s="139">
        <v>44176</v>
      </c>
      <c r="B177" s="139">
        <v>44232</v>
      </c>
      <c r="C177" s="123"/>
      <c r="D177" s="124">
        <v>73805</v>
      </c>
      <c r="E177" s="146">
        <f t="shared" ref="E177" si="193">E176+C177-D177</f>
        <v>1006214</v>
      </c>
      <c r="F177" s="146">
        <f>-D177+C229</f>
        <v>20178</v>
      </c>
      <c r="G177" s="80">
        <f t="shared" ref="G177" si="194">G176+F177</f>
        <v>398195</v>
      </c>
      <c r="H177" s="80">
        <f t="shared" ref="H177" si="195">IF(B177="",DATEDIF(A177,$G$1,"d"),DATEDIF(A177,B177,"d"))</f>
        <v>56</v>
      </c>
      <c r="I177">
        <f t="shared" ref="I177:I180" si="196">IF(B177="",$C$1-A177,H177)</f>
        <v>56</v>
      </c>
      <c r="J177" s="65" t="s">
        <v>163</v>
      </c>
      <c r="K177">
        <f t="shared" ref="K177" si="197">IF(F177&gt;0,(H177*$F177)/365.25,0)</f>
        <v>3093.6837782340863</v>
      </c>
      <c r="L177">
        <f t="shared" ref="L177" si="198">IF(F177&gt;0,(I177*$F177)/365.25,0)</f>
        <v>3093.6837782340863</v>
      </c>
    </row>
    <row r="178" spans="1:14" s="65" customFormat="1" hidden="1" outlineLevel="1">
      <c r="A178" s="139">
        <v>44179</v>
      </c>
      <c r="B178" s="139">
        <v>44210</v>
      </c>
      <c r="C178" s="123"/>
      <c r="D178" s="124">
        <v>29191</v>
      </c>
      <c r="E178" s="146">
        <f t="shared" ref="E178:E179" si="199">E177+C178-D178</f>
        <v>977023</v>
      </c>
      <c r="F178" s="146">
        <f>-D178+C207</f>
        <v>8592</v>
      </c>
      <c r="G178" s="80">
        <f t="shared" ref="G178:G179" si="200">G177+F178</f>
        <v>406787</v>
      </c>
      <c r="H178" s="80">
        <f t="shared" ref="H178:H179" si="201">IF(B178="",DATEDIF(A178,$G$1,"d"),DATEDIF(A178,B178,"d"))</f>
        <v>31</v>
      </c>
      <c r="I178">
        <f t="shared" si="196"/>
        <v>31</v>
      </c>
      <c r="J178" s="65" t="s">
        <v>180</v>
      </c>
      <c r="K178">
        <f t="shared" ref="K178:K179" si="202">IF(F178&gt;0,(H178*$F178)/365.25,0)</f>
        <v>729.23203285420948</v>
      </c>
      <c r="L178">
        <f t="shared" ref="L178:L179" si="203">IF(F178&gt;0,(I178*$F178)/365.25,0)</f>
        <v>729.23203285420948</v>
      </c>
    </row>
    <row r="179" spans="1:14" s="65" customFormat="1" hidden="1" outlineLevel="1">
      <c r="A179" s="139">
        <v>44179</v>
      </c>
      <c r="B179" s="139">
        <v>44186</v>
      </c>
      <c r="C179" s="123"/>
      <c r="D179" s="124">
        <v>41358</v>
      </c>
      <c r="E179" s="146">
        <f t="shared" si="199"/>
        <v>935665</v>
      </c>
      <c r="F179" s="146">
        <f>-D179+C194</f>
        <v>-3426</v>
      </c>
      <c r="G179" s="80">
        <f t="shared" si="200"/>
        <v>403361</v>
      </c>
      <c r="H179" s="80">
        <f t="shared" si="201"/>
        <v>7</v>
      </c>
      <c r="I179">
        <f t="shared" si="196"/>
        <v>7</v>
      </c>
      <c r="J179" s="65" t="s">
        <v>197</v>
      </c>
      <c r="K179">
        <f t="shared" si="202"/>
        <v>0</v>
      </c>
      <c r="L179">
        <f t="shared" si="203"/>
        <v>0</v>
      </c>
    </row>
    <row r="180" spans="1:14" s="65" customFormat="1" hidden="1" outlineLevel="1">
      <c r="A180" s="139">
        <v>44180</v>
      </c>
      <c r="B180" s="139">
        <v>44232</v>
      </c>
      <c r="C180" s="123"/>
      <c r="D180" s="124">
        <v>138697</v>
      </c>
      <c r="E180" s="146">
        <f t="shared" ref="E180:E181" si="204">E179+C180-D180</f>
        <v>796968</v>
      </c>
      <c r="F180" s="146">
        <f>-D180+C230</f>
        <v>1132</v>
      </c>
      <c r="G180" s="80">
        <f t="shared" ref="G180:G181" si="205">G179+F180</f>
        <v>404493</v>
      </c>
      <c r="H180" s="80">
        <f t="shared" ref="H180:H181" si="206">IF(B180="",DATEDIF(A180,$G$1,"d"),DATEDIF(A180,B180,"d"))</f>
        <v>52</v>
      </c>
      <c r="I180">
        <f t="shared" si="196"/>
        <v>52</v>
      </c>
      <c r="J180" s="65" t="s">
        <v>207</v>
      </c>
      <c r="K180">
        <f t="shared" ref="K180:K185" si="207">IF(F180&gt;0,(H180*$F180)/365.25,0)</f>
        <v>161.16084873374402</v>
      </c>
      <c r="L180">
        <f t="shared" ref="L180:L185" si="208">IF(F180&gt;0,(I180*$F180)/365.25,0)</f>
        <v>161.16084873374402</v>
      </c>
    </row>
    <row r="181" spans="1:14" s="65" customFormat="1" hidden="1" outlineLevel="1">
      <c r="A181" s="139">
        <v>44180</v>
      </c>
      <c r="B181" s="139">
        <v>44180</v>
      </c>
      <c r="C181" s="123">
        <v>42014</v>
      </c>
      <c r="D181" s="124"/>
      <c r="E181" s="146">
        <f t="shared" si="204"/>
        <v>838982</v>
      </c>
      <c r="F181" s="146"/>
      <c r="G181" s="80">
        <f t="shared" si="205"/>
        <v>404493</v>
      </c>
      <c r="H181" s="80">
        <f t="shared" si="206"/>
        <v>0</v>
      </c>
      <c r="I181">
        <f>IF(B181="",$C$1-A181,H181)</f>
        <v>0</v>
      </c>
      <c r="J181" s="65" t="s">
        <v>192</v>
      </c>
      <c r="K181">
        <f t="shared" si="207"/>
        <v>0</v>
      </c>
      <c r="L181">
        <f t="shared" si="208"/>
        <v>0</v>
      </c>
    </row>
    <row r="182" spans="1:14" s="65" customFormat="1" hidden="1" outlineLevel="1">
      <c r="A182" s="139">
        <v>44174</v>
      </c>
      <c r="B182" s="139">
        <v>44180</v>
      </c>
      <c r="C182" s="123">
        <v>29520</v>
      </c>
      <c r="D182" s="124"/>
      <c r="E182" s="146">
        <f t="shared" ref="E182:E195" si="209">E181+C182-D182</f>
        <v>868502</v>
      </c>
      <c r="F182" s="146"/>
      <c r="G182" s="80">
        <f t="shared" ref="G182:G188" si="210">G181+F182</f>
        <v>404493</v>
      </c>
      <c r="H182" s="80">
        <f t="shared" ref="H182:H188" si="211">IF(B182="",DATEDIF(A182,$G$1,"d"),DATEDIF(A182,B182,"d"))</f>
        <v>6</v>
      </c>
      <c r="I182">
        <f t="shared" ref="I182:I188" si="212">IF(B182="",$C$1-A182,H182)</f>
        <v>6</v>
      </c>
      <c r="J182" s="65" t="s">
        <v>191</v>
      </c>
      <c r="K182">
        <f t="shared" si="207"/>
        <v>0</v>
      </c>
      <c r="L182">
        <f t="shared" si="208"/>
        <v>0</v>
      </c>
    </row>
    <row r="183" spans="1:14" s="65" customFormat="1" hidden="1" outlineLevel="1">
      <c r="A183" s="139">
        <v>44181</v>
      </c>
      <c r="B183" s="139">
        <v>44183</v>
      </c>
      <c r="C183" s="123"/>
      <c r="D183" s="124">
        <v>20</v>
      </c>
      <c r="E183" s="146">
        <f t="shared" si="209"/>
        <v>868482</v>
      </c>
      <c r="F183" s="146">
        <f t="shared" ref="F183:F184" si="213">C183-D183</f>
        <v>-20</v>
      </c>
      <c r="G183" s="80">
        <f t="shared" si="210"/>
        <v>404473</v>
      </c>
      <c r="H183" s="80">
        <f t="shared" si="211"/>
        <v>2</v>
      </c>
      <c r="I183">
        <f t="shared" si="212"/>
        <v>2</v>
      </c>
      <c r="J183" s="65" t="s">
        <v>195</v>
      </c>
      <c r="K183">
        <f t="shared" si="207"/>
        <v>0</v>
      </c>
      <c r="L183">
        <f t="shared" si="208"/>
        <v>0</v>
      </c>
      <c r="M183" s="65" t="s">
        <v>2381</v>
      </c>
    </row>
    <row r="184" spans="1:14" s="65" customFormat="1" hidden="1" outlineLevel="1">
      <c r="A184" s="139">
        <v>44181</v>
      </c>
      <c r="B184" s="139">
        <v>44183</v>
      </c>
      <c r="C184" s="123"/>
      <c r="D184" s="124">
        <v>20</v>
      </c>
      <c r="E184" s="146">
        <f t="shared" si="209"/>
        <v>868462</v>
      </c>
      <c r="F184" s="146">
        <f t="shared" si="213"/>
        <v>-20</v>
      </c>
      <c r="G184" s="80">
        <f t="shared" si="210"/>
        <v>404453</v>
      </c>
      <c r="H184" s="80">
        <f t="shared" si="211"/>
        <v>2</v>
      </c>
      <c r="I184">
        <f t="shared" si="212"/>
        <v>2</v>
      </c>
      <c r="J184" s="65" t="s">
        <v>210</v>
      </c>
      <c r="K184">
        <f t="shared" si="207"/>
        <v>0</v>
      </c>
      <c r="L184">
        <f t="shared" si="208"/>
        <v>0</v>
      </c>
      <c r="M184" s="65" t="s">
        <v>2381</v>
      </c>
    </row>
    <row r="185" spans="1:14" s="65" customFormat="1" hidden="1" outlineLevel="1">
      <c r="A185" s="139">
        <v>44182</v>
      </c>
      <c r="B185" s="139">
        <v>44210</v>
      </c>
      <c r="C185" s="123"/>
      <c r="D185" s="124">
        <v>24935</v>
      </c>
      <c r="E185" s="146">
        <f t="shared" si="209"/>
        <v>843527</v>
      </c>
      <c r="F185" s="146">
        <f>-D185+C208</f>
        <v>353</v>
      </c>
      <c r="G185" s="80">
        <f t="shared" si="210"/>
        <v>404806</v>
      </c>
      <c r="H185" s="80">
        <f t="shared" si="211"/>
        <v>28</v>
      </c>
      <c r="I185">
        <f t="shared" si="212"/>
        <v>28</v>
      </c>
      <c r="J185" s="65" t="s">
        <v>174</v>
      </c>
      <c r="K185">
        <f t="shared" si="207"/>
        <v>27.060917180013689</v>
      </c>
      <c r="L185">
        <f t="shared" si="208"/>
        <v>27.060917180013689</v>
      </c>
    </row>
    <row r="186" spans="1:14" s="65" customFormat="1" hidden="1" outlineLevel="1">
      <c r="A186" s="139">
        <v>44182</v>
      </c>
      <c r="B186" s="139">
        <v>44210</v>
      </c>
      <c r="C186" s="123"/>
      <c r="D186" s="124">
        <v>134691</v>
      </c>
      <c r="E186" s="146">
        <f t="shared" si="209"/>
        <v>708836</v>
      </c>
      <c r="F186" s="146">
        <f>-D186+C209</f>
        <v>-16217</v>
      </c>
      <c r="G186" s="80">
        <f t="shared" si="210"/>
        <v>388589</v>
      </c>
      <c r="H186" s="80">
        <f t="shared" si="211"/>
        <v>28</v>
      </c>
      <c r="I186">
        <f t="shared" si="212"/>
        <v>28</v>
      </c>
      <c r="J186" s="65" t="s">
        <v>208</v>
      </c>
      <c r="K186">
        <f t="shared" ref="K186:K190" si="214">IF(F186&gt;0,(H186*$F186)/365.25,0)</f>
        <v>0</v>
      </c>
      <c r="L186">
        <f t="shared" ref="L186:L190" si="215">IF(F186&gt;0,(I186*$F186)/365.25,0)</f>
        <v>0</v>
      </c>
    </row>
    <row r="187" spans="1:14" s="65" customFormat="1" hidden="1" outlineLevel="1">
      <c r="A187" s="139">
        <v>44182</v>
      </c>
      <c r="B187" s="139">
        <v>44186</v>
      </c>
      <c r="C187" s="123"/>
      <c r="D187" s="124">
        <v>20</v>
      </c>
      <c r="E187" s="146">
        <f t="shared" si="209"/>
        <v>708816</v>
      </c>
      <c r="F187" s="146">
        <f t="shared" ref="F187:F189" si="216">C187-D187</f>
        <v>-20</v>
      </c>
      <c r="G187" s="80">
        <f t="shared" si="210"/>
        <v>388569</v>
      </c>
      <c r="H187" s="80">
        <f t="shared" si="211"/>
        <v>4</v>
      </c>
      <c r="I187">
        <f t="shared" si="212"/>
        <v>4</v>
      </c>
      <c r="J187" s="65" t="s">
        <v>212</v>
      </c>
      <c r="K187">
        <f t="shared" si="214"/>
        <v>0</v>
      </c>
      <c r="L187">
        <f t="shared" si="215"/>
        <v>0</v>
      </c>
      <c r="M187" s="65" t="s">
        <v>2381</v>
      </c>
    </row>
    <row r="188" spans="1:14" s="65" customFormat="1" hidden="1" outlineLevel="1">
      <c r="A188" s="139">
        <v>44182</v>
      </c>
      <c r="B188" s="139">
        <v>44186</v>
      </c>
      <c r="C188" s="123"/>
      <c r="D188" s="124">
        <v>20</v>
      </c>
      <c r="E188" s="146">
        <f t="shared" si="209"/>
        <v>708796</v>
      </c>
      <c r="F188" s="146">
        <f t="shared" si="216"/>
        <v>-20</v>
      </c>
      <c r="G188" s="80">
        <f t="shared" si="210"/>
        <v>388549</v>
      </c>
      <c r="H188" s="80">
        <f t="shared" si="211"/>
        <v>4</v>
      </c>
      <c r="I188">
        <f t="shared" si="212"/>
        <v>4</v>
      </c>
      <c r="J188" s="65" t="s">
        <v>196</v>
      </c>
      <c r="K188">
        <f t="shared" si="214"/>
        <v>0</v>
      </c>
      <c r="L188">
        <f t="shared" si="215"/>
        <v>0</v>
      </c>
      <c r="M188" s="65" t="s">
        <v>2381</v>
      </c>
    </row>
    <row r="189" spans="1:14" s="65" customFormat="1" hidden="1" outlineLevel="1">
      <c r="A189" s="139">
        <v>44182</v>
      </c>
      <c r="B189" s="139">
        <v>44186</v>
      </c>
      <c r="C189" s="123"/>
      <c r="D189" s="124">
        <v>20</v>
      </c>
      <c r="E189" s="146">
        <f t="shared" si="209"/>
        <v>708776</v>
      </c>
      <c r="F189" s="146">
        <f t="shared" si="216"/>
        <v>-20</v>
      </c>
      <c r="G189" s="80">
        <f t="shared" ref="G189:G192" si="217">G188+F189</f>
        <v>388529</v>
      </c>
      <c r="H189" s="80">
        <f t="shared" ref="H189:H192" si="218">IF(B189="",DATEDIF(A189,$G$1,"d"),DATEDIF(A189,B189,"d"))</f>
        <v>4</v>
      </c>
      <c r="I189">
        <f t="shared" ref="I189:I192" si="219">IF(B189="",$C$1-A189,H189)</f>
        <v>4</v>
      </c>
      <c r="J189" s="65" t="s">
        <v>213</v>
      </c>
      <c r="K189">
        <f t="shared" si="214"/>
        <v>0</v>
      </c>
      <c r="L189">
        <f t="shared" si="215"/>
        <v>0</v>
      </c>
      <c r="M189" s="65" t="s">
        <v>2381</v>
      </c>
    </row>
    <row r="190" spans="1:14" s="65" customFormat="1" hidden="1" outlineLevel="1">
      <c r="A190" s="139">
        <v>44183</v>
      </c>
      <c r="B190" s="139">
        <v>44232</v>
      </c>
      <c r="C190" s="123"/>
      <c r="D190" s="124">
        <v>86823</v>
      </c>
      <c r="E190" s="146">
        <f t="shared" si="209"/>
        <v>621953</v>
      </c>
      <c r="F190" s="146">
        <f>-D190+C231</f>
        <v>1485</v>
      </c>
      <c r="G190" s="80">
        <f t="shared" si="217"/>
        <v>390014</v>
      </c>
      <c r="H190" s="80">
        <f t="shared" si="218"/>
        <v>49</v>
      </c>
      <c r="I190">
        <f t="shared" si="219"/>
        <v>49</v>
      </c>
      <c r="J190" s="65" t="s">
        <v>183</v>
      </c>
      <c r="K190">
        <f t="shared" si="214"/>
        <v>199.21971252566735</v>
      </c>
      <c r="L190">
        <f t="shared" si="215"/>
        <v>199.21971252566735</v>
      </c>
      <c r="N190" s="211"/>
    </row>
    <row r="191" spans="1:14" s="65" customFormat="1" hidden="1" outlineLevel="1">
      <c r="A191" s="139">
        <v>44183</v>
      </c>
      <c r="B191" s="139">
        <v>44187</v>
      </c>
      <c r="C191" s="123"/>
      <c r="D191" s="124">
        <v>20</v>
      </c>
      <c r="E191" s="146">
        <f t="shared" si="209"/>
        <v>621933</v>
      </c>
      <c r="F191" s="146">
        <f t="shared" ref="F191:F192" si="220">C191-D191</f>
        <v>-20</v>
      </c>
      <c r="G191" s="80">
        <f t="shared" si="217"/>
        <v>389994</v>
      </c>
      <c r="H191" s="80">
        <f t="shared" si="218"/>
        <v>4</v>
      </c>
      <c r="I191">
        <f t="shared" si="219"/>
        <v>4</v>
      </c>
      <c r="J191" s="65" t="s">
        <v>215</v>
      </c>
      <c r="K191">
        <f t="shared" ref="K191:K194" si="221">IF(F191&gt;0,(H191*$F191)/365.25,0)</f>
        <v>0</v>
      </c>
      <c r="L191">
        <f t="shared" ref="L191:L194" si="222">IF(F191&gt;0,(I191*$F191)/365.25,0)</f>
        <v>0</v>
      </c>
      <c r="M191" s="65" t="s">
        <v>2381</v>
      </c>
      <c r="N191" s="141"/>
    </row>
    <row r="192" spans="1:14" s="65" customFormat="1" hidden="1" outlineLevel="1">
      <c r="A192" s="139">
        <v>44183</v>
      </c>
      <c r="B192" s="139">
        <v>44187</v>
      </c>
      <c r="C192" s="123"/>
      <c r="D192" s="124">
        <v>20</v>
      </c>
      <c r="E192" s="146">
        <f t="shared" si="209"/>
        <v>621913</v>
      </c>
      <c r="F192" s="146">
        <f t="shared" si="220"/>
        <v>-20</v>
      </c>
      <c r="G192" s="80">
        <f t="shared" si="217"/>
        <v>389974</v>
      </c>
      <c r="H192" s="80">
        <f t="shared" si="218"/>
        <v>4</v>
      </c>
      <c r="I192">
        <f t="shared" si="219"/>
        <v>4</v>
      </c>
      <c r="J192" s="65" t="s">
        <v>216</v>
      </c>
      <c r="K192">
        <f t="shared" si="221"/>
        <v>0</v>
      </c>
      <c r="L192">
        <f t="shared" si="222"/>
        <v>0</v>
      </c>
      <c r="M192" s="65" t="s">
        <v>2381</v>
      </c>
    </row>
    <row r="193" spans="1:15" s="65" customFormat="1" hidden="1" outlineLevel="1">
      <c r="A193" s="139">
        <v>44174</v>
      </c>
      <c r="B193" s="139">
        <v>44186</v>
      </c>
      <c r="C193" s="123">
        <v>43159</v>
      </c>
      <c r="D193" s="124"/>
      <c r="E193" s="146">
        <f t="shared" si="209"/>
        <v>665072</v>
      </c>
      <c r="F193" s="146"/>
      <c r="G193" s="80">
        <f t="shared" ref="G193" si="223">G192+F193</f>
        <v>389974</v>
      </c>
      <c r="H193" s="80">
        <f t="shared" ref="H193" si="224">IF(B193="",DATEDIF(A193,$G$1,"d"),DATEDIF(A193,B193,"d"))</f>
        <v>12</v>
      </c>
      <c r="I193">
        <f t="shared" ref="I193" si="225">IF(B193="",$C$1-A193,H193)</f>
        <v>12</v>
      </c>
      <c r="J193" s="65" t="s">
        <v>193</v>
      </c>
      <c r="K193">
        <f t="shared" si="221"/>
        <v>0</v>
      </c>
      <c r="L193">
        <f t="shared" si="222"/>
        <v>0</v>
      </c>
    </row>
    <row r="194" spans="1:15" s="65" customFormat="1" hidden="1" outlineLevel="1">
      <c r="A194" s="139">
        <v>44179</v>
      </c>
      <c r="B194" s="139">
        <v>44186</v>
      </c>
      <c r="C194" s="123">
        <v>37932</v>
      </c>
      <c r="D194" s="124"/>
      <c r="E194" s="146">
        <f t="shared" si="209"/>
        <v>703004</v>
      </c>
      <c r="F194" s="146"/>
      <c r="G194" s="80">
        <f t="shared" ref="G194" si="226">G193+F194</f>
        <v>389974</v>
      </c>
      <c r="H194" s="80">
        <f t="shared" ref="H194" si="227">IF(B194="",DATEDIF(A194,$G$1,"d"),DATEDIF(A194,B194,"d"))</f>
        <v>7</v>
      </c>
      <c r="I194">
        <f t="shared" ref="I194" si="228">IF(B194="",$C$1-A194,H194)</f>
        <v>7</v>
      </c>
      <c r="J194" s="65" t="s">
        <v>197</v>
      </c>
      <c r="K194">
        <f t="shared" si="221"/>
        <v>0</v>
      </c>
      <c r="L194">
        <f t="shared" si="222"/>
        <v>0</v>
      </c>
    </row>
    <row r="195" spans="1:15" s="65" customFormat="1" hidden="1" outlineLevel="1">
      <c r="A195" s="153">
        <v>44186</v>
      </c>
      <c r="B195" s="153"/>
      <c r="C195" s="154">
        <v>141</v>
      </c>
      <c r="D195" s="155"/>
      <c r="E195" s="156">
        <f t="shared" si="209"/>
        <v>703145</v>
      </c>
      <c r="F195" s="156">
        <f>C195-D195</f>
        <v>141</v>
      </c>
      <c r="G195" s="157">
        <f>G194+F195</f>
        <v>390115</v>
      </c>
      <c r="H195" s="157">
        <f>IF(B195="",DATEDIF(A195,$G$1,"d"),DATEDIF(A195,B195,"d"))</f>
        <v>10</v>
      </c>
      <c r="I195" s="158">
        <f ca="1">IF(B195="",$C$1-A195,H195)</f>
        <v>2124</v>
      </c>
      <c r="J195" s="158" t="s">
        <v>48</v>
      </c>
      <c r="K195" s="158">
        <f>IF(F195&gt;0,(H195*$F195)/365.25,0)</f>
        <v>3.8603696098562628</v>
      </c>
      <c r="L195" s="158">
        <f ca="1">IF(F195&gt;0,(I195*$F195)/365.25,0)</f>
        <v>819.94250513347026</v>
      </c>
      <c r="M195" s="159"/>
    </row>
    <row r="196" spans="1:15" s="65" customFormat="1" ht="17.25" thickBot="1">
      <c r="A196" s="139">
        <v>44187</v>
      </c>
      <c r="B196" s="139">
        <v>44204</v>
      </c>
      <c r="C196" s="123"/>
      <c r="D196" s="124">
        <v>43762</v>
      </c>
      <c r="E196" s="146">
        <f t="shared" ref="E196:E197" si="229">E195+C196-D196</f>
        <v>659383</v>
      </c>
      <c r="F196" s="146"/>
      <c r="G196" s="80">
        <f t="shared" ref="G196:G197" si="230">G195+F196</f>
        <v>390115</v>
      </c>
      <c r="H196" s="80">
        <f t="shared" ref="H196" si="231">IF(B196="",DATEDIF(A196,$G$1,"d"),DATEDIF(A196,B196,"d"))</f>
        <v>17</v>
      </c>
      <c r="I196">
        <f t="shared" ref="I196" si="232">IF(B196="",$C$1-A196,H196)</f>
        <v>17</v>
      </c>
      <c r="J196" s="65" t="s">
        <v>214</v>
      </c>
      <c r="K196">
        <f t="shared" ref="K196" si="233">IF(F196&gt;0,(H196*$F196)/365.25,0)</f>
        <v>0</v>
      </c>
      <c r="L196">
        <f t="shared" ref="L196" si="234">IF(F196&gt;0,(I196*$F196)/365.25,0)</f>
        <v>0</v>
      </c>
    </row>
    <row r="197" spans="1:15" s="65" customFormat="1">
      <c r="A197" s="139">
        <v>44201</v>
      </c>
      <c r="B197" s="139">
        <v>44205</v>
      </c>
      <c r="C197" s="123"/>
      <c r="D197" s="124">
        <v>20</v>
      </c>
      <c r="E197" s="146">
        <f t="shared" si="229"/>
        <v>659363</v>
      </c>
      <c r="F197" s="146">
        <f t="shared" ref="F197:F198" si="235">C197-D197</f>
        <v>-20</v>
      </c>
      <c r="G197" s="80">
        <f t="shared" si="230"/>
        <v>390095</v>
      </c>
      <c r="H197" s="80">
        <f t="shared" ref="H197" si="236">IF(B197="",DATEDIF(A197,$G$1,"d"),DATEDIF(A197,B197,"d"))</f>
        <v>4</v>
      </c>
      <c r="I197">
        <f t="shared" ref="I197" si="237">IF(B197="",$C$1-A197,H197)</f>
        <v>4</v>
      </c>
      <c r="J197" s="141" t="s">
        <v>233</v>
      </c>
      <c r="K197">
        <f t="shared" ref="K197:K199" si="238">IF(F197&gt;0,(H197*$F197)/365.25,0)</f>
        <v>0</v>
      </c>
      <c r="L197">
        <f t="shared" ref="L197:L199" si="239">IF(F197&gt;0,(I197*$F197)/365.25,0)</f>
        <v>0</v>
      </c>
      <c r="M197" s="65" t="s">
        <v>2381</v>
      </c>
      <c r="N197" s="217" t="s">
        <v>234</v>
      </c>
      <c r="O197" s="218">
        <f>SUM(D197:D456)</f>
        <v>10763479</v>
      </c>
    </row>
    <row r="198" spans="1:15" s="65" customFormat="1" ht="17.25" collapsed="1" thickBot="1">
      <c r="A198" s="147">
        <v>44204</v>
      </c>
      <c r="B198" s="147"/>
      <c r="C198" s="148">
        <v>1124</v>
      </c>
      <c r="D198" s="149"/>
      <c r="E198" s="150">
        <f t="shared" ref="E198:E199" si="240">E197+C198-D198</f>
        <v>660487</v>
      </c>
      <c r="F198" s="150">
        <f t="shared" si="235"/>
        <v>1124</v>
      </c>
      <c r="G198" s="151">
        <f>G197+F198</f>
        <v>391219</v>
      </c>
      <c r="H198" s="151">
        <f>IF(B198="",DATEDIF(A198,$F$1,"d"),DATEDIF(A198,B198,"d"))</f>
        <v>357</v>
      </c>
      <c r="I198" s="152">
        <f ca="1">IF(B198="",$C$1-A198,H198)</f>
        <v>2106</v>
      </c>
      <c r="J198" s="152" t="s">
        <v>84</v>
      </c>
      <c r="K198" s="152">
        <f t="shared" si="238"/>
        <v>1098.611909650924</v>
      </c>
      <c r="L198" s="152">
        <f t="shared" ca="1" si="239"/>
        <v>6480.8870636550309</v>
      </c>
      <c r="M198" s="152"/>
      <c r="N198" s="215" t="s">
        <v>235</v>
      </c>
      <c r="O198" s="216">
        <f ca="1">(SUMPRODUCT(C197:C456,I197:I456)+SUMPRODUCT(D197:D456,I197:I456))/($C$1-$A$197)</f>
        <v>3939074.0151730678</v>
      </c>
    </row>
    <row r="199" spans="1:15" s="65" customFormat="1" hidden="1" outlineLevel="1">
      <c r="A199" s="139">
        <v>44204</v>
      </c>
      <c r="B199" s="139">
        <v>44204</v>
      </c>
      <c r="C199" s="123">
        <v>53066</v>
      </c>
      <c r="D199" s="124"/>
      <c r="E199" s="146">
        <f t="shared" si="240"/>
        <v>713553</v>
      </c>
      <c r="F199" s="146"/>
      <c r="G199" s="80">
        <f t="shared" ref="G199" si="241">G198+F199</f>
        <v>391219</v>
      </c>
      <c r="H199" s="80">
        <f t="shared" ref="H199" si="242">IF(B199="",DATEDIF(A199,$G$1,"d"),DATEDIF(A199,B199,"d"))</f>
        <v>0</v>
      </c>
      <c r="I199">
        <f t="shared" ref="I199" si="243">IF(B199="",$C$1-A199,H199)</f>
        <v>0</v>
      </c>
      <c r="J199" s="65" t="s">
        <v>165</v>
      </c>
      <c r="K199">
        <f t="shared" si="238"/>
        <v>0</v>
      </c>
      <c r="L199">
        <f t="shared" si="239"/>
        <v>0</v>
      </c>
    </row>
    <row r="200" spans="1:15" s="65" customFormat="1" hidden="1" outlineLevel="1">
      <c r="A200" s="139">
        <v>44204</v>
      </c>
      <c r="B200" s="139">
        <v>44204</v>
      </c>
      <c r="C200" s="123">
        <v>29022</v>
      </c>
      <c r="D200" s="124"/>
      <c r="E200" s="146">
        <f t="shared" ref="E200:E201" si="244">E199+C200-D200</f>
        <v>742575</v>
      </c>
      <c r="F200" s="146"/>
      <c r="G200" s="80">
        <f t="shared" ref="G200:G201" si="245">G199+F200</f>
        <v>391219</v>
      </c>
      <c r="H200" s="80">
        <f t="shared" ref="H200:H201" si="246">IF(B200="",DATEDIF(A200,$G$1,"d"),DATEDIF(A200,B200,"d"))</f>
        <v>0</v>
      </c>
      <c r="I200">
        <f t="shared" ref="I200:I201" si="247">IF(B200="",$C$1-A200,H200)</f>
        <v>0</v>
      </c>
      <c r="J200" s="65" t="s">
        <v>166</v>
      </c>
      <c r="K200">
        <f t="shared" ref="K200" si="248">IF(F200&gt;0,(H200*$F200)/365.25,0)</f>
        <v>0</v>
      </c>
      <c r="L200">
        <f t="shared" ref="L200" si="249">IF(F200&gt;0,(I200*$F200)/365.25,0)</f>
        <v>0</v>
      </c>
    </row>
    <row r="201" spans="1:15" s="65" customFormat="1" hidden="1" outlineLevel="1">
      <c r="A201" s="139">
        <v>44204</v>
      </c>
      <c r="B201" s="139">
        <v>44204</v>
      </c>
      <c r="C201" s="123">
        <v>45400</v>
      </c>
      <c r="D201" s="124"/>
      <c r="E201" s="146">
        <f t="shared" si="244"/>
        <v>787975</v>
      </c>
      <c r="F201" s="146"/>
      <c r="G201" s="80">
        <f t="shared" si="245"/>
        <v>391219</v>
      </c>
      <c r="H201" s="80">
        <f t="shared" si="246"/>
        <v>0</v>
      </c>
      <c r="I201">
        <f t="shared" si="247"/>
        <v>0</v>
      </c>
      <c r="J201" s="65" t="s">
        <v>214</v>
      </c>
      <c r="K201">
        <f t="shared" ref="K201:K204" si="250">IF(F201&gt;0,(H201*$F201)/365.25,0)</f>
        <v>0</v>
      </c>
      <c r="L201">
        <f t="shared" ref="L201:L204" si="251">IF(F201&gt;0,(I201*$F201)/365.25,0)</f>
        <v>0</v>
      </c>
    </row>
    <row r="202" spans="1:15" s="65" customFormat="1" hidden="1" outlineLevel="1">
      <c r="A202" s="139">
        <v>44207</v>
      </c>
      <c r="B202" s="139">
        <v>44264</v>
      </c>
      <c r="C202" s="123"/>
      <c r="D202" s="124">
        <v>115163</v>
      </c>
      <c r="E202" s="146">
        <f t="shared" ref="E202:E204" si="252">E201+C202-D202</f>
        <v>672812</v>
      </c>
      <c r="F202" s="146"/>
      <c r="G202" s="80">
        <f t="shared" ref="G202:G204" si="253">G201+F202</f>
        <v>391219</v>
      </c>
      <c r="H202" s="80">
        <f t="shared" ref="H202:H204" si="254">IF(B202="",DATEDIF(A202,$G$1,"d"),DATEDIF(A202,B202,"d"))</f>
        <v>57</v>
      </c>
      <c r="I202">
        <f t="shared" ref="I202:I204" si="255">IF(B202="",$C$1-A202,H202)</f>
        <v>57</v>
      </c>
      <c r="J202" s="65" t="s">
        <v>178</v>
      </c>
      <c r="K202">
        <f t="shared" si="250"/>
        <v>0</v>
      </c>
      <c r="L202">
        <f t="shared" si="251"/>
        <v>0</v>
      </c>
    </row>
    <row r="203" spans="1:15" s="65" customFormat="1" hidden="1" outlineLevel="1">
      <c r="A203" s="139">
        <v>44209</v>
      </c>
      <c r="B203" s="139">
        <v>44232</v>
      </c>
      <c r="C203" s="123"/>
      <c r="D203" s="124">
        <v>49320</v>
      </c>
      <c r="E203" s="146">
        <f t="shared" si="252"/>
        <v>623492</v>
      </c>
      <c r="F203" s="146"/>
      <c r="G203" s="80">
        <f t="shared" si="253"/>
        <v>391219</v>
      </c>
      <c r="H203" s="80">
        <f t="shared" si="254"/>
        <v>23</v>
      </c>
      <c r="I203">
        <f t="shared" si="255"/>
        <v>23</v>
      </c>
      <c r="J203" s="65" t="s">
        <v>162</v>
      </c>
      <c r="K203">
        <f t="shared" si="250"/>
        <v>0</v>
      </c>
      <c r="L203">
        <f t="shared" si="251"/>
        <v>0</v>
      </c>
    </row>
    <row r="204" spans="1:15" s="65" customFormat="1" hidden="1" outlineLevel="1">
      <c r="A204" s="139">
        <v>44209</v>
      </c>
      <c r="B204" s="139">
        <v>44218</v>
      </c>
      <c r="C204" s="123"/>
      <c r="D204" s="124">
        <v>34449</v>
      </c>
      <c r="E204" s="146">
        <f t="shared" si="252"/>
        <v>589043</v>
      </c>
      <c r="F204" s="146"/>
      <c r="G204" s="80">
        <f t="shared" si="253"/>
        <v>391219</v>
      </c>
      <c r="H204" s="80">
        <f t="shared" si="254"/>
        <v>9</v>
      </c>
      <c r="I204">
        <f t="shared" si="255"/>
        <v>9</v>
      </c>
      <c r="J204" s="65" t="s">
        <v>389</v>
      </c>
      <c r="K204">
        <f t="shared" si="250"/>
        <v>0</v>
      </c>
      <c r="L204">
        <f t="shared" si="251"/>
        <v>0</v>
      </c>
    </row>
    <row r="205" spans="1:15" s="65" customFormat="1" hidden="1" outlineLevel="1">
      <c r="A205" s="139">
        <v>44209</v>
      </c>
      <c r="B205" s="139">
        <v>44209</v>
      </c>
      <c r="C205" s="123">
        <v>42064</v>
      </c>
      <c r="D205" s="124"/>
      <c r="E205" s="146">
        <f t="shared" ref="E205:E222" si="256">E204+C205-D205</f>
        <v>631107</v>
      </c>
      <c r="F205" s="146"/>
      <c r="G205" s="80">
        <f t="shared" ref="G205:G232" si="257">G204+F205</f>
        <v>391219</v>
      </c>
      <c r="H205" s="80">
        <f t="shared" ref="H205:H212" si="258">IF(B205="",DATEDIF(A205,$G$1,"d"),DATEDIF(A205,B205,"d"))</f>
        <v>0</v>
      </c>
      <c r="I205">
        <f t="shared" ref="I205:I212" si="259">IF(B205="",$C$1-A205,H205)</f>
        <v>0</v>
      </c>
      <c r="J205" s="65" t="s">
        <v>167</v>
      </c>
      <c r="K205">
        <f t="shared" ref="K205:K212" si="260">IF(F205&gt;0,(H205*$F205)/365.25,0)</f>
        <v>0</v>
      </c>
      <c r="L205">
        <f t="shared" ref="L205:L212" si="261">IF(F205&gt;0,(I205*$F205)/365.25,0)</f>
        <v>0</v>
      </c>
    </row>
    <row r="206" spans="1:15" s="65" customFormat="1" hidden="1" outlineLevel="1">
      <c r="A206" s="139">
        <v>44210</v>
      </c>
      <c r="B206" s="139">
        <v>44210</v>
      </c>
      <c r="C206" s="123">
        <v>43010</v>
      </c>
      <c r="D206" s="124"/>
      <c r="E206" s="146">
        <f t="shared" si="256"/>
        <v>674117</v>
      </c>
      <c r="F206" s="146"/>
      <c r="G206" s="80">
        <f t="shared" si="257"/>
        <v>391219</v>
      </c>
      <c r="H206" s="80">
        <f t="shared" si="258"/>
        <v>0</v>
      </c>
      <c r="I206">
        <f t="shared" si="259"/>
        <v>0</v>
      </c>
      <c r="J206" s="65" t="s">
        <v>217</v>
      </c>
      <c r="K206">
        <f t="shared" si="260"/>
        <v>0</v>
      </c>
      <c r="L206">
        <f t="shared" si="261"/>
        <v>0</v>
      </c>
    </row>
    <row r="207" spans="1:15" s="65" customFormat="1" hidden="1" outlineLevel="1">
      <c r="A207" s="139">
        <v>44210</v>
      </c>
      <c r="B207" s="139">
        <v>44210</v>
      </c>
      <c r="C207" s="123">
        <v>37783</v>
      </c>
      <c r="D207" s="124"/>
      <c r="E207" s="146">
        <f t="shared" si="256"/>
        <v>711900</v>
      </c>
      <c r="F207" s="146"/>
      <c r="G207" s="80">
        <f t="shared" si="257"/>
        <v>391219</v>
      </c>
      <c r="H207" s="80">
        <f t="shared" si="258"/>
        <v>0</v>
      </c>
      <c r="I207">
        <f t="shared" si="259"/>
        <v>0</v>
      </c>
      <c r="J207" s="65" t="s">
        <v>180</v>
      </c>
      <c r="K207">
        <f t="shared" si="260"/>
        <v>0</v>
      </c>
      <c r="L207">
        <f t="shared" si="261"/>
        <v>0</v>
      </c>
    </row>
    <row r="208" spans="1:15" s="65" customFormat="1" hidden="1" outlineLevel="1">
      <c r="A208" s="139">
        <v>44210</v>
      </c>
      <c r="B208" s="139">
        <v>44210</v>
      </c>
      <c r="C208" s="123">
        <v>25288</v>
      </c>
      <c r="D208" s="124"/>
      <c r="E208" s="146">
        <f t="shared" si="256"/>
        <v>737188</v>
      </c>
      <c r="F208" s="146"/>
      <c r="G208" s="80">
        <f t="shared" si="257"/>
        <v>391219</v>
      </c>
      <c r="H208" s="80">
        <f t="shared" si="258"/>
        <v>0</v>
      </c>
      <c r="I208">
        <f t="shared" si="259"/>
        <v>0</v>
      </c>
      <c r="J208" s="65" t="s">
        <v>174</v>
      </c>
      <c r="K208">
        <f t="shared" si="260"/>
        <v>0</v>
      </c>
      <c r="L208">
        <f t="shared" si="261"/>
        <v>0</v>
      </c>
    </row>
    <row r="209" spans="1:14" s="65" customFormat="1" hidden="1" outlineLevel="1">
      <c r="A209" s="139">
        <v>44210</v>
      </c>
      <c r="B209" s="139">
        <v>44210</v>
      </c>
      <c r="C209" s="123">
        <v>118474</v>
      </c>
      <c r="D209" s="124"/>
      <c r="E209" s="146">
        <f t="shared" si="256"/>
        <v>855662</v>
      </c>
      <c r="F209" s="146"/>
      <c r="G209" s="80">
        <f t="shared" si="257"/>
        <v>391219</v>
      </c>
      <c r="H209" s="80">
        <f t="shared" si="258"/>
        <v>0</v>
      </c>
      <c r="I209">
        <f t="shared" si="259"/>
        <v>0</v>
      </c>
      <c r="J209" s="65" t="s">
        <v>208</v>
      </c>
      <c r="K209">
        <f t="shared" si="260"/>
        <v>0</v>
      </c>
      <c r="L209">
        <f t="shared" si="261"/>
        <v>0</v>
      </c>
      <c r="N209" s="211"/>
    </row>
    <row r="210" spans="1:14" s="65" customFormat="1" hidden="1" outlineLevel="1">
      <c r="A210" s="139">
        <v>44210</v>
      </c>
      <c r="B210" s="139">
        <v>44264</v>
      </c>
      <c r="C210" s="123"/>
      <c r="D210" s="124">
        <v>30543</v>
      </c>
      <c r="E210" s="146">
        <f t="shared" si="256"/>
        <v>825119</v>
      </c>
      <c r="F210" s="146"/>
      <c r="G210" s="80">
        <f t="shared" si="257"/>
        <v>391219</v>
      </c>
      <c r="H210" s="80">
        <f t="shared" si="258"/>
        <v>54</v>
      </c>
      <c r="I210">
        <f t="shared" si="259"/>
        <v>54</v>
      </c>
      <c r="J210" s="65" t="s">
        <v>177</v>
      </c>
      <c r="K210">
        <f t="shared" si="260"/>
        <v>0</v>
      </c>
      <c r="L210">
        <f t="shared" si="261"/>
        <v>0</v>
      </c>
    </row>
    <row r="211" spans="1:14" s="65" customFormat="1" hidden="1" outlineLevel="1">
      <c r="A211" s="139">
        <v>44210</v>
      </c>
      <c r="B211" s="139">
        <v>44216</v>
      </c>
      <c r="C211" s="123"/>
      <c r="D211" s="124">
        <v>121673</v>
      </c>
      <c r="E211" s="146">
        <f t="shared" si="256"/>
        <v>703446</v>
      </c>
      <c r="F211" s="146"/>
      <c r="G211" s="80">
        <f t="shared" si="257"/>
        <v>391219</v>
      </c>
      <c r="H211" s="80">
        <f t="shared" si="258"/>
        <v>6</v>
      </c>
      <c r="I211">
        <f t="shared" si="259"/>
        <v>6</v>
      </c>
      <c r="J211" s="65" t="s">
        <v>194</v>
      </c>
      <c r="K211">
        <f t="shared" si="260"/>
        <v>0</v>
      </c>
      <c r="L211">
        <f t="shared" si="261"/>
        <v>0</v>
      </c>
      <c r="N211" s="141"/>
    </row>
    <row r="212" spans="1:14" s="65" customFormat="1" hidden="1" outlineLevel="1">
      <c r="A212" s="139">
        <v>44210</v>
      </c>
      <c r="B212" s="139">
        <v>44230</v>
      </c>
      <c r="C212" s="123"/>
      <c r="D212" s="124">
        <v>37052</v>
      </c>
      <c r="E212" s="146">
        <f t="shared" si="256"/>
        <v>666394</v>
      </c>
      <c r="F212" s="146"/>
      <c r="G212" s="80">
        <f t="shared" si="257"/>
        <v>391219</v>
      </c>
      <c r="H212" s="80">
        <f t="shared" si="258"/>
        <v>20</v>
      </c>
      <c r="I212">
        <f t="shared" si="259"/>
        <v>20</v>
      </c>
      <c r="J212" s="65" t="s">
        <v>224</v>
      </c>
      <c r="K212">
        <f t="shared" si="260"/>
        <v>0</v>
      </c>
      <c r="L212">
        <f t="shared" si="261"/>
        <v>0</v>
      </c>
    </row>
    <row r="213" spans="1:14" s="65" customFormat="1" hidden="1" outlineLevel="1">
      <c r="A213" s="139">
        <v>44216</v>
      </c>
      <c r="B213" s="139">
        <v>44220</v>
      </c>
      <c r="C213" s="123"/>
      <c r="D213" s="124">
        <v>20</v>
      </c>
      <c r="E213" s="146">
        <f t="shared" si="256"/>
        <v>666374</v>
      </c>
      <c r="F213" s="146">
        <f>C213-D213</f>
        <v>-20</v>
      </c>
      <c r="G213" s="80">
        <f t="shared" si="257"/>
        <v>391199</v>
      </c>
      <c r="H213" s="80">
        <f t="shared" ref="H213:H217" si="262">IF(B213="",DATEDIF(A213,$G$1,"d"),DATEDIF(A213,B213,"d"))</f>
        <v>4</v>
      </c>
      <c r="I213">
        <f t="shared" ref="I213:I217" si="263">IF(B213="",$C$1-A213,H213)</f>
        <v>4</v>
      </c>
      <c r="J213" s="141" t="s">
        <v>232</v>
      </c>
      <c r="K213">
        <f t="shared" ref="K213" si="264">IF(F213&gt;0,(H213*$F213)/365.25,0)</f>
        <v>0</v>
      </c>
      <c r="L213">
        <f t="shared" ref="L213" si="265">IF(F213&gt;0,(I213*$F213)/365.25,0)</f>
        <v>0</v>
      </c>
      <c r="M213" s="65" t="s">
        <v>2381</v>
      </c>
      <c r="N213" s="141"/>
    </row>
    <row r="214" spans="1:14" s="65" customFormat="1" hidden="1" outlineLevel="1">
      <c r="A214" s="139">
        <v>44216</v>
      </c>
      <c r="B214" s="139">
        <v>44220</v>
      </c>
      <c r="C214" s="123"/>
      <c r="D214" s="124">
        <v>20</v>
      </c>
      <c r="E214" s="146">
        <f t="shared" si="256"/>
        <v>666354</v>
      </c>
      <c r="F214" s="146">
        <f>C214-D214</f>
        <v>-20</v>
      </c>
      <c r="G214" s="80">
        <f t="shared" si="257"/>
        <v>391179</v>
      </c>
      <c r="H214" s="80">
        <f t="shared" si="262"/>
        <v>4</v>
      </c>
      <c r="I214">
        <f t="shared" si="263"/>
        <v>4</v>
      </c>
      <c r="J214" s="141" t="s">
        <v>122</v>
      </c>
      <c r="K214">
        <f t="shared" ref="K214:K217" si="266">IF(F214&gt;0,(H214*$F214)/365.25,0)</f>
        <v>0</v>
      </c>
      <c r="L214">
        <f t="shared" ref="L214:L217" si="267">IF(F214&gt;0,(I214*$F214)/365.25,0)</f>
        <v>0</v>
      </c>
      <c r="M214" s="65" t="s">
        <v>2381</v>
      </c>
    </row>
    <row r="215" spans="1:14" s="65" customFormat="1" hidden="1" outlineLevel="1">
      <c r="A215" s="139">
        <v>44217</v>
      </c>
      <c r="B215" s="139">
        <v>44221</v>
      </c>
      <c r="C215" s="123"/>
      <c r="D215" s="124">
        <v>20</v>
      </c>
      <c r="E215" s="146">
        <f t="shared" si="256"/>
        <v>666334</v>
      </c>
      <c r="F215" s="146">
        <f>C215-D215</f>
        <v>-20</v>
      </c>
      <c r="G215" s="80">
        <f t="shared" si="257"/>
        <v>391159</v>
      </c>
      <c r="H215" s="80">
        <f t="shared" si="262"/>
        <v>4</v>
      </c>
      <c r="I215">
        <f t="shared" si="263"/>
        <v>4</v>
      </c>
      <c r="J215" s="141" t="s">
        <v>231</v>
      </c>
      <c r="K215">
        <f t="shared" si="266"/>
        <v>0</v>
      </c>
      <c r="L215">
        <f t="shared" si="267"/>
        <v>0</v>
      </c>
      <c r="M215" s="65" t="s">
        <v>2381</v>
      </c>
    </row>
    <row r="216" spans="1:14" s="65" customFormat="1" hidden="1" outlineLevel="1">
      <c r="A216" s="139">
        <v>44216</v>
      </c>
      <c r="B216" s="139">
        <v>44216</v>
      </c>
      <c r="C216" s="123">
        <v>113994</v>
      </c>
      <c r="D216" s="124"/>
      <c r="E216" s="146">
        <f t="shared" si="256"/>
        <v>780328</v>
      </c>
      <c r="F216" s="146"/>
      <c r="G216" s="80">
        <f t="shared" si="257"/>
        <v>391159</v>
      </c>
      <c r="H216" s="80">
        <f t="shared" si="262"/>
        <v>0</v>
      </c>
      <c r="I216">
        <f t="shared" si="263"/>
        <v>0</v>
      </c>
      <c r="J216" s="65" t="s">
        <v>194</v>
      </c>
      <c r="K216">
        <f t="shared" si="266"/>
        <v>0</v>
      </c>
      <c r="L216">
        <f t="shared" si="267"/>
        <v>0</v>
      </c>
    </row>
    <row r="217" spans="1:14" s="65" customFormat="1" hidden="1" outlineLevel="1">
      <c r="A217" s="139">
        <v>44209</v>
      </c>
      <c r="B217" s="139">
        <v>44218</v>
      </c>
      <c r="C217" s="123">
        <v>31063</v>
      </c>
      <c r="D217" s="124"/>
      <c r="E217" s="146">
        <f t="shared" si="256"/>
        <v>811391</v>
      </c>
      <c r="F217" s="146">
        <f>-D204+C217</f>
        <v>-3386</v>
      </c>
      <c r="G217" s="80">
        <f t="shared" si="257"/>
        <v>387773</v>
      </c>
      <c r="H217" s="80">
        <f t="shared" si="262"/>
        <v>9</v>
      </c>
      <c r="I217">
        <f t="shared" si="263"/>
        <v>9</v>
      </c>
      <c r="J217" s="65" t="s">
        <v>389</v>
      </c>
      <c r="K217">
        <f t="shared" si="266"/>
        <v>0</v>
      </c>
      <c r="L217">
        <f t="shared" si="267"/>
        <v>0</v>
      </c>
    </row>
    <row r="218" spans="1:14" s="65" customFormat="1" hidden="1" outlineLevel="1">
      <c r="A218" s="139">
        <v>44224</v>
      </c>
      <c r="B218" s="139">
        <v>44228</v>
      </c>
      <c r="C218" s="123">
        <v>90050</v>
      </c>
      <c r="D218" s="124">
        <v>90070</v>
      </c>
      <c r="E218" s="146">
        <f t="shared" si="256"/>
        <v>811371</v>
      </c>
      <c r="F218" s="146">
        <f>C218-D218</f>
        <v>-20</v>
      </c>
      <c r="G218" s="80">
        <f t="shared" si="257"/>
        <v>387753</v>
      </c>
      <c r="H218" s="80">
        <f t="shared" ref="H218" si="268">IF(B218="",DATEDIF(A218,$G$1,"d"),DATEDIF(A218,B218,"d"))</f>
        <v>4</v>
      </c>
      <c r="I218">
        <f t="shared" ref="I218" si="269">IF(B218="",$C$1-A218,H218)</f>
        <v>4</v>
      </c>
      <c r="J218" s="65" t="s">
        <v>398</v>
      </c>
      <c r="K218">
        <f t="shared" ref="K218" si="270">IF(F218&gt;0,(H218*$F218)/365.25,0)</f>
        <v>0</v>
      </c>
      <c r="L218">
        <f t="shared" ref="L218" si="271">IF(F218&gt;0,(I218*$F218)/365.25,0)</f>
        <v>0</v>
      </c>
      <c r="M218" s="65" t="s">
        <v>2381</v>
      </c>
    </row>
    <row r="219" spans="1:14" s="65" customFormat="1" hidden="1" outlineLevel="1">
      <c r="A219" s="139">
        <v>44212</v>
      </c>
      <c r="B219" s="139">
        <v>44253</v>
      </c>
      <c r="C219" s="123"/>
      <c r="D219" s="124">
        <v>35800</v>
      </c>
      <c r="E219" s="146">
        <f t="shared" si="256"/>
        <v>775571</v>
      </c>
      <c r="F219" s="146"/>
      <c r="G219" s="80">
        <f t="shared" si="257"/>
        <v>387753</v>
      </c>
      <c r="H219" s="80">
        <f t="shared" ref="H219:H222" si="272">IF(B219="",DATEDIF(A219,$G$1,"d"),DATEDIF(A219,B219,"d"))</f>
        <v>41</v>
      </c>
      <c r="I219">
        <f t="shared" ref="I219:I222" si="273">IF(B219="",$C$1-A219,H219)</f>
        <v>41</v>
      </c>
      <c r="J219" s="65" t="s">
        <v>180</v>
      </c>
      <c r="K219">
        <f t="shared" ref="K219:K221" si="274">IF(F219&gt;0,(H219*$F219)/365.25,0)</f>
        <v>0</v>
      </c>
      <c r="L219">
        <f t="shared" ref="L219:L221" si="275">IF(F219&gt;0,(I219*$F219)/365.25,0)</f>
        <v>0</v>
      </c>
    </row>
    <row r="220" spans="1:14" s="65" customFormat="1" hidden="1" outlineLevel="1">
      <c r="A220" s="139">
        <v>44212</v>
      </c>
      <c r="B220" s="139">
        <v>44264</v>
      </c>
      <c r="C220" s="123"/>
      <c r="D220" s="124">
        <v>35801</v>
      </c>
      <c r="E220" s="146">
        <f t="shared" si="256"/>
        <v>739770</v>
      </c>
      <c r="F220" s="146"/>
      <c r="G220" s="80">
        <f t="shared" si="257"/>
        <v>387753</v>
      </c>
      <c r="H220" s="80">
        <f t="shared" si="272"/>
        <v>52</v>
      </c>
      <c r="I220">
        <f t="shared" si="273"/>
        <v>52</v>
      </c>
      <c r="J220" s="65" t="s">
        <v>180</v>
      </c>
      <c r="K220">
        <f t="shared" si="274"/>
        <v>0</v>
      </c>
      <c r="L220">
        <f t="shared" si="275"/>
        <v>0</v>
      </c>
    </row>
    <row r="221" spans="1:14" s="65" customFormat="1" hidden="1" outlineLevel="1">
      <c r="A221" s="139">
        <v>44225</v>
      </c>
      <c r="B221" s="139">
        <v>44229</v>
      </c>
      <c r="C221" s="123">
        <v>17050</v>
      </c>
      <c r="D221" s="124">
        <v>17070</v>
      </c>
      <c r="E221" s="146">
        <f t="shared" si="256"/>
        <v>739750</v>
      </c>
      <c r="F221" s="146">
        <f>C221-D221</f>
        <v>-20</v>
      </c>
      <c r="G221" s="80">
        <f t="shared" si="257"/>
        <v>387733</v>
      </c>
      <c r="H221" s="80">
        <f t="shared" si="272"/>
        <v>4</v>
      </c>
      <c r="I221">
        <f t="shared" si="273"/>
        <v>4</v>
      </c>
      <c r="J221" s="65" t="s">
        <v>399</v>
      </c>
      <c r="K221">
        <f t="shared" si="274"/>
        <v>0</v>
      </c>
      <c r="L221">
        <f t="shared" si="275"/>
        <v>0</v>
      </c>
      <c r="M221" s="65" t="s">
        <v>2381</v>
      </c>
    </row>
    <row r="222" spans="1:14" s="65" customFormat="1" hidden="1" outlineLevel="1">
      <c r="A222" s="139">
        <v>44225</v>
      </c>
      <c r="B222" s="139">
        <v>44229</v>
      </c>
      <c r="C222" s="123">
        <v>68050</v>
      </c>
      <c r="D222" s="124">
        <v>68070</v>
      </c>
      <c r="E222" s="146">
        <f t="shared" si="256"/>
        <v>739730</v>
      </c>
      <c r="F222" s="146">
        <f>C222-D222</f>
        <v>-20</v>
      </c>
      <c r="G222" s="80">
        <f t="shared" si="257"/>
        <v>387713</v>
      </c>
      <c r="H222" s="80">
        <f t="shared" si="272"/>
        <v>4</v>
      </c>
      <c r="I222">
        <f t="shared" si="273"/>
        <v>4</v>
      </c>
      <c r="J222" s="65" t="s">
        <v>400</v>
      </c>
      <c r="K222">
        <f t="shared" ref="K222:K223" si="276">IF(F222&gt;0,(H222*$F222)/365.25,0)</f>
        <v>0</v>
      </c>
      <c r="L222">
        <f t="shared" ref="L222:L223" si="277">IF(F222&gt;0,(I222*$F222)/365.25,0)</f>
        <v>0</v>
      </c>
      <c r="M222" s="65" t="s">
        <v>2381</v>
      </c>
    </row>
    <row r="223" spans="1:14" s="65" customFormat="1" hidden="1" outlineLevel="1">
      <c r="A223" s="139">
        <v>44210</v>
      </c>
      <c r="B223" s="139">
        <v>44230</v>
      </c>
      <c r="C223" s="123">
        <v>35593</v>
      </c>
      <c r="D223" s="124"/>
      <c r="E223" s="146">
        <f t="shared" ref="E223:E233" si="278">E222+C223-D223</f>
        <v>775323</v>
      </c>
      <c r="F223" s="146">
        <f>-D212+C223</f>
        <v>-1459</v>
      </c>
      <c r="G223" s="80">
        <f t="shared" si="257"/>
        <v>386254</v>
      </c>
      <c r="H223" s="80">
        <f t="shared" ref="H223" si="279">IF(B223="",DATEDIF(A223,$G$1,"d"),DATEDIF(A223,B223,"d"))</f>
        <v>20</v>
      </c>
      <c r="I223">
        <f t="shared" ref="I223" si="280">IF(B223="",$C$1-A223,H223)</f>
        <v>20</v>
      </c>
      <c r="J223" s="65" t="s">
        <v>224</v>
      </c>
      <c r="K223">
        <f t="shared" si="276"/>
        <v>0</v>
      </c>
      <c r="L223">
        <f t="shared" si="277"/>
        <v>0</v>
      </c>
      <c r="N223" s="141"/>
    </row>
    <row r="224" spans="1:14" s="65" customFormat="1" hidden="1" outlineLevel="1">
      <c r="A224" s="139">
        <v>44230</v>
      </c>
      <c r="B224" s="139">
        <v>44230</v>
      </c>
      <c r="C224" s="123">
        <v>31212</v>
      </c>
      <c r="D224" s="124"/>
      <c r="E224" s="146">
        <f t="shared" si="278"/>
        <v>806535</v>
      </c>
      <c r="F224" s="146"/>
      <c r="G224" s="80">
        <f t="shared" si="257"/>
        <v>386254</v>
      </c>
      <c r="H224" s="80">
        <f t="shared" ref="H224:H232" si="281">IF(B224="",DATEDIF(A224,$G$1,"d"),DATEDIF(A224,B224,"d"))</f>
        <v>0</v>
      </c>
      <c r="I224">
        <f t="shared" ref="I224:I232" si="282">IF(B224="",$C$1-A224,H224)</f>
        <v>0</v>
      </c>
      <c r="J224" s="65" t="s">
        <v>218</v>
      </c>
      <c r="K224">
        <f t="shared" ref="K224:K233" si="283">IF(F224&gt;0,(H224*$F224)/365.25,0)</f>
        <v>0</v>
      </c>
      <c r="L224">
        <f t="shared" ref="L224:L233" si="284">IF(F224&gt;0,(I224*$F224)/365.25,0)</f>
        <v>0</v>
      </c>
    </row>
    <row r="225" spans="1:13" s="65" customFormat="1" hidden="1" outlineLevel="1">
      <c r="A225" s="139">
        <v>44230</v>
      </c>
      <c r="B225" s="139">
        <v>44230</v>
      </c>
      <c r="C225" s="123">
        <v>105531</v>
      </c>
      <c r="D225" s="124"/>
      <c r="E225" s="146">
        <f t="shared" si="278"/>
        <v>912066</v>
      </c>
      <c r="F225" s="146"/>
      <c r="G225" s="80">
        <f t="shared" si="257"/>
        <v>386254</v>
      </c>
      <c r="H225" s="80">
        <f t="shared" si="281"/>
        <v>0</v>
      </c>
      <c r="I225">
        <f t="shared" si="282"/>
        <v>0</v>
      </c>
      <c r="J225" s="65" t="s">
        <v>170</v>
      </c>
      <c r="K225">
        <f t="shared" si="283"/>
        <v>0</v>
      </c>
      <c r="L225">
        <f t="shared" si="284"/>
        <v>0</v>
      </c>
    </row>
    <row r="226" spans="1:13" s="65" customFormat="1" hidden="1" outlineLevel="1">
      <c r="A226" s="139">
        <v>44209</v>
      </c>
      <c r="B226" s="139">
        <v>44232</v>
      </c>
      <c r="C226" s="123">
        <v>51970</v>
      </c>
      <c r="D226" s="124"/>
      <c r="E226" s="146">
        <f t="shared" si="278"/>
        <v>964036</v>
      </c>
      <c r="F226" s="146">
        <f>-D203+C226</f>
        <v>2650</v>
      </c>
      <c r="G226" s="80">
        <f t="shared" si="257"/>
        <v>388904</v>
      </c>
      <c r="H226" s="80">
        <f t="shared" si="281"/>
        <v>23</v>
      </c>
      <c r="I226">
        <f t="shared" si="282"/>
        <v>23</v>
      </c>
      <c r="J226" s="65" t="s">
        <v>162</v>
      </c>
      <c r="K226">
        <f t="shared" si="283"/>
        <v>166.87200547570157</v>
      </c>
      <c r="L226">
        <f t="shared" si="284"/>
        <v>166.87200547570157</v>
      </c>
    </row>
    <row r="227" spans="1:13" s="65" customFormat="1" hidden="1" outlineLevel="1">
      <c r="A227" s="139">
        <v>44232</v>
      </c>
      <c r="B227" s="139">
        <v>44232</v>
      </c>
      <c r="C227" s="123">
        <v>94183</v>
      </c>
      <c r="D227" s="124"/>
      <c r="E227" s="146">
        <f t="shared" si="278"/>
        <v>1058219</v>
      </c>
      <c r="F227" s="146"/>
      <c r="G227" s="80">
        <f t="shared" si="257"/>
        <v>388904</v>
      </c>
      <c r="H227" s="80">
        <f t="shared" si="281"/>
        <v>0</v>
      </c>
      <c r="I227">
        <f t="shared" si="282"/>
        <v>0</v>
      </c>
      <c r="J227" s="65" t="s">
        <v>163</v>
      </c>
      <c r="K227">
        <f t="shared" si="283"/>
        <v>0</v>
      </c>
      <c r="L227">
        <f t="shared" si="284"/>
        <v>0</v>
      </c>
    </row>
    <row r="228" spans="1:13" s="65" customFormat="1" hidden="1" outlineLevel="1">
      <c r="A228" s="139">
        <v>44232</v>
      </c>
      <c r="B228" s="139">
        <v>44232</v>
      </c>
      <c r="C228" s="123">
        <v>114990</v>
      </c>
      <c r="D228" s="124"/>
      <c r="E228" s="146">
        <f t="shared" si="278"/>
        <v>1173209</v>
      </c>
      <c r="F228" s="146"/>
      <c r="G228" s="80">
        <f t="shared" si="257"/>
        <v>388904</v>
      </c>
      <c r="H228" s="80">
        <f t="shared" si="281"/>
        <v>0</v>
      </c>
      <c r="I228">
        <f t="shared" si="282"/>
        <v>0</v>
      </c>
      <c r="J228" s="65" t="s">
        <v>171</v>
      </c>
      <c r="K228">
        <f t="shared" si="283"/>
        <v>0</v>
      </c>
      <c r="L228">
        <f t="shared" si="284"/>
        <v>0</v>
      </c>
    </row>
    <row r="229" spans="1:13" s="65" customFormat="1" hidden="1" outlineLevel="1">
      <c r="A229" s="139">
        <v>44232</v>
      </c>
      <c r="B229" s="139">
        <v>44232</v>
      </c>
      <c r="C229" s="123">
        <v>93983</v>
      </c>
      <c r="D229" s="124"/>
      <c r="E229" s="146">
        <f t="shared" si="278"/>
        <v>1267192</v>
      </c>
      <c r="F229" s="146"/>
      <c r="G229" s="80">
        <f t="shared" si="257"/>
        <v>388904</v>
      </c>
      <c r="H229" s="80">
        <f t="shared" si="281"/>
        <v>0</v>
      </c>
      <c r="I229">
        <f t="shared" si="282"/>
        <v>0</v>
      </c>
      <c r="J229" s="65" t="s">
        <v>163</v>
      </c>
      <c r="K229">
        <f t="shared" si="283"/>
        <v>0</v>
      </c>
      <c r="L229">
        <f t="shared" si="284"/>
        <v>0</v>
      </c>
    </row>
    <row r="230" spans="1:13" s="65" customFormat="1" hidden="1" outlineLevel="1">
      <c r="A230" s="139">
        <v>44232</v>
      </c>
      <c r="B230" s="139">
        <v>44232</v>
      </c>
      <c r="C230" s="123">
        <f>13938+125891</f>
        <v>139829</v>
      </c>
      <c r="D230" s="124"/>
      <c r="E230" s="146">
        <f t="shared" si="278"/>
        <v>1407021</v>
      </c>
      <c r="F230" s="146"/>
      <c r="G230" s="80">
        <f t="shared" si="257"/>
        <v>388904</v>
      </c>
      <c r="H230" s="80">
        <f t="shared" si="281"/>
        <v>0</v>
      </c>
      <c r="I230">
        <f t="shared" si="282"/>
        <v>0</v>
      </c>
      <c r="J230" s="65" t="s">
        <v>207</v>
      </c>
      <c r="K230">
        <f t="shared" si="283"/>
        <v>0</v>
      </c>
      <c r="L230">
        <f t="shared" si="284"/>
        <v>0</v>
      </c>
    </row>
    <row r="231" spans="1:13" s="65" customFormat="1" hidden="1" outlineLevel="1">
      <c r="A231" s="139">
        <v>44232</v>
      </c>
      <c r="B231" s="139">
        <v>44232</v>
      </c>
      <c r="C231" s="123">
        <v>88308</v>
      </c>
      <c r="D231" s="124"/>
      <c r="E231" s="146">
        <f t="shared" si="278"/>
        <v>1495329</v>
      </c>
      <c r="F231" s="146"/>
      <c r="G231" s="80">
        <f t="shared" si="257"/>
        <v>388904</v>
      </c>
      <c r="H231" s="80">
        <f t="shared" si="281"/>
        <v>0</v>
      </c>
      <c r="I231">
        <f t="shared" si="282"/>
        <v>0</v>
      </c>
      <c r="J231" s="65" t="s">
        <v>183</v>
      </c>
      <c r="K231">
        <f t="shared" si="283"/>
        <v>0</v>
      </c>
      <c r="L231">
        <f t="shared" si="284"/>
        <v>0</v>
      </c>
    </row>
    <row r="232" spans="1:13" s="65" customFormat="1" hidden="1" outlineLevel="1">
      <c r="A232" s="139">
        <v>44232</v>
      </c>
      <c r="B232" s="139">
        <v>44232</v>
      </c>
      <c r="C232" s="123">
        <v>94183</v>
      </c>
      <c r="D232" s="124"/>
      <c r="E232" s="146">
        <f t="shared" si="278"/>
        <v>1589512</v>
      </c>
      <c r="F232" s="146"/>
      <c r="G232" s="80">
        <f t="shared" si="257"/>
        <v>388904</v>
      </c>
      <c r="H232" s="80">
        <f t="shared" si="281"/>
        <v>0</v>
      </c>
      <c r="I232">
        <f t="shared" si="282"/>
        <v>0</v>
      </c>
      <c r="J232" s="65" t="s">
        <v>163</v>
      </c>
      <c r="K232">
        <f t="shared" si="283"/>
        <v>0</v>
      </c>
      <c r="L232">
        <f t="shared" si="284"/>
        <v>0</v>
      </c>
    </row>
    <row r="233" spans="1:13" s="65" customFormat="1" hidden="1" outlineLevel="1">
      <c r="A233" s="147">
        <v>44236</v>
      </c>
      <c r="B233" s="147"/>
      <c r="C233" s="148">
        <v>560</v>
      </c>
      <c r="D233" s="149"/>
      <c r="E233" s="150">
        <f t="shared" si="278"/>
        <v>1590072</v>
      </c>
      <c r="F233" s="150">
        <f t="shared" ref="F233" si="285">C233-D233</f>
        <v>560</v>
      </c>
      <c r="G233" s="151">
        <f>G232+F233</f>
        <v>389464</v>
      </c>
      <c r="H233" s="151">
        <f>IF(B233="",DATEDIF(A233,$F$1,"d"),DATEDIF(A233,B233,"d"))</f>
        <v>325</v>
      </c>
      <c r="I233" s="152">
        <f ca="1">IF(B233="",$C$1-A233,H233)</f>
        <v>2074</v>
      </c>
      <c r="J233" s="152" t="s">
        <v>84</v>
      </c>
      <c r="K233" s="152">
        <f t="shared" si="283"/>
        <v>498.28884325804245</v>
      </c>
      <c r="L233" s="152">
        <f t="shared" ca="1" si="284"/>
        <v>3179.8494182067079</v>
      </c>
      <c r="M233" s="152"/>
    </row>
    <row r="234" spans="1:13" s="65" customFormat="1" hidden="1" outlineLevel="1">
      <c r="A234" s="139">
        <v>44236</v>
      </c>
      <c r="B234" s="139">
        <v>44264</v>
      </c>
      <c r="C234" s="123"/>
      <c r="D234" s="124">
        <v>287408</v>
      </c>
      <c r="E234" s="146">
        <f t="shared" ref="E234" si="286">E233+C234-D234</f>
        <v>1302664</v>
      </c>
      <c r="F234" s="146"/>
      <c r="G234" s="80">
        <f t="shared" ref="G234" si="287">G233+F234</f>
        <v>389464</v>
      </c>
      <c r="H234" s="80">
        <f t="shared" ref="H234" si="288">IF(B234="",DATEDIF(A234,$G$1,"d"),DATEDIF(A234,B234,"d"))</f>
        <v>28</v>
      </c>
      <c r="I234">
        <f t="shared" ref="I234" si="289">IF(B234="",$C$1-A234,H234)</f>
        <v>28</v>
      </c>
      <c r="J234" s="65" t="s">
        <v>115</v>
      </c>
      <c r="K234">
        <f t="shared" ref="K234" si="290">IF(F234&gt;0,(H234*$F234)/365.25,0)</f>
        <v>0</v>
      </c>
      <c r="L234">
        <f t="shared" ref="L234" si="291">IF(F234&gt;0,(I234*$F234)/365.25,0)</f>
        <v>0</v>
      </c>
    </row>
    <row r="235" spans="1:13" s="65" customFormat="1" hidden="1" outlineLevel="1">
      <c r="A235" s="139">
        <v>44250</v>
      </c>
      <c r="B235" s="139">
        <v>44260</v>
      </c>
      <c r="C235" s="123"/>
      <c r="D235" s="124">
        <v>88025</v>
      </c>
      <c r="E235" s="146">
        <f t="shared" ref="E235:E247" si="292">E234+C235-D235</f>
        <v>1214639</v>
      </c>
      <c r="F235" s="146"/>
      <c r="G235" s="80">
        <f t="shared" ref="G235:G265" si="293">G234+F235</f>
        <v>389464</v>
      </c>
      <c r="H235" s="80">
        <f t="shared" ref="H235:H247" si="294">IF(B235="",DATEDIF(A235,$G$1,"d"),DATEDIF(A235,B235,"d"))</f>
        <v>10</v>
      </c>
      <c r="I235">
        <f t="shared" ref="I235:I247" si="295">IF(B235="",$C$1-A235,H235)</f>
        <v>10</v>
      </c>
      <c r="J235" s="65" t="s">
        <v>406</v>
      </c>
      <c r="K235">
        <f t="shared" ref="K235:K236" si="296">IF(F235&gt;0,(H235*$F235)/365.25,0)</f>
        <v>0</v>
      </c>
      <c r="L235">
        <f t="shared" ref="L235:L236" si="297">IF(F235&gt;0,(I235*$F235)/365.25,0)</f>
        <v>0</v>
      </c>
    </row>
    <row r="236" spans="1:13" s="65" customFormat="1" hidden="1" outlineLevel="1">
      <c r="A236" s="139">
        <v>44250</v>
      </c>
      <c r="B236" s="139">
        <v>44260</v>
      </c>
      <c r="C236" s="123"/>
      <c r="D236" s="124">
        <v>29191</v>
      </c>
      <c r="E236" s="146">
        <f t="shared" si="292"/>
        <v>1185448</v>
      </c>
      <c r="F236" s="146"/>
      <c r="G236" s="80">
        <f t="shared" si="293"/>
        <v>389464</v>
      </c>
      <c r="H236" s="80">
        <f t="shared" si="294"/>
        <v>10</v>
      </c>
      <c r="I236">
        <f t="shared" si="295"/>
        <v>10</v>
      </c>
      <c r="J236" s="65" t="s">
        <v>407</v>
      </c>
      <c r="K236">
        <f t="shared" si="296"/>
        <v>0</v>
      </c>
      <c r="L236">
        <f t="shared" si="297"/>
        <v>0</v>
      </c>
    </row>
    <row r="237" spans="1:13" s="65" customFormat="1" hidden="1" outlineLevel="1">
      <c r="A237" s="139">
        <v>44251</v>
      </c>
      <c r="B237" s="139">
        <v>44264</v>
      </c>
      <c r="C237" s="123"/>
      <c r="D237" s="124">
        <v>51573</v>
      </c>
      <c r="E237" s="146">
        <f t="shared" si="292"/>
        <v>1133875</v>
      </c>
      <c r="F237" s="146"/>
      <c r="G237" s="80">
        <f t="shared" si="293"/>
        <v>389464</v>
      </c>
      <c r="H237" s="80">
        <f t="shared" si="294"/>
        <v>13</v>
      </c>
      <c r="I237">
        <f t="shared" si="295"/>
        <v>13</v>
      </c>
      <c r="J237" s="65" t="s">
        <v>408</v>
      </c>
      <c r="K237">
        <f t="shared" ref="K237:K247" si="298">IF(F237&gt;0,(H237*$F237)/365.25,0)</f>
        <v>0</v>
      </c>
      <c r="L237">
        <f t="shared" ref="L237:L247" si="299">IF(F237&gt;0,(I237*$F237)/365.25,0)</f>
        <v>0</v>
      </c>
    </row>
    <row r="238" spans="1:13" s="65" customFormat="1" hidden="1" outlineLevel="1">
      <c r="A238" s="139">
        <v>44251</v>
      </c>
      <c r="B238" s="139">
        <v>44264</v>
      </c>
      <c r="C238" s="123"/>
      <c r="D238" s="124">
        <v>45815</v>
      </c>
      <c r="E238" s="146">
        <f t="shared" si="292"/>
        <v>1088060</v>
      </c>
      <c r="F238" s="146"/>
      <c r="G238" s="80">
        <f t="shared" si="293"/>
        <v>389464</v>
      </c>
      <c r="H238" s="80">
        <f t="shared" si="294"/>
        <v>13</v>
      </c>
      <c r="I238">
        <f t="shared" si="295"/>
        <v>13</v>
      </c>
      <c r="J238" s="65" t="s">
        <v>409</v>
      </c>
      <c r="K238">
        <f t="shared" si="298"/>
        <v>0</v>
      </c>
      <c r="L238">
        <f t="shared" si="299"/>
        <v>0</v>
      </c>
    </row>
    <row r="239" spans="1:13" s="65" customFormat="1" hidden="1" outlineLevel="1">
      <c r="A239" s="139">
        <v>44251</v>
      </c>
      <c r="B239" s="139">
        <v>44264</v>
      </c>
      <c r="C239" s="123"/>
      <c r="D239" s="124">
        <v>107152</v>
      </c>
      <c r="E239" s="146">
        <f t="shared" si="292"/>
        <v>980908</v>
      </c>
      <c r="F239" s="146"/>
      <c r="G239" s="80">
        <f t="shared" si="293"/>
        <v>389464</v>
      </c>
      <c r="H239" s="80">
        <f t="shared" si="294"/>
        <v>13</v>
      </c>
      <c r="I239">
        <f t="shared" si="295"/>
        <v>13</v>
      </c>
      <c r="J239" s="65" t="s">
        <v>179</v>
      </c>
      <c r="K239">
        <f t="shared" si="298"/>
        <v>0</v>
      </c>
      <c r="L239">
        <f t="shared" si="299"/>
        <v>0</v>
      </c>
    </row>
    <row r="240" spans="1:13" s="65" customFormat="1" hidden="1" outlineLevel="1">
      <c r="A240" s="139">
        <v>44252</v>
      </c>
      <c r="B240" s="139">
        <v>44264</v>
      </c>
      <c r="C240" s="123"/>
      <c r="D240" s="124">
        <v>30593</v>
      </c>
      <c r="E240" s="146">
        <f t="shared" si="292"/>
        <v>950315</v>
      </c>
      <c r="F240" s="146"/>
      <c r="G240" s="80">
        <f t="shared" si="293"/>
        <v>389464</v>
      </c>
      <c r="H240" s="80">
        <f t="shared" si="294"/>
        <v>12</v>
      </c>
      <c r="I240">
        <f t="shared" si="295"/>
        <v>12</v>
      </c>
      <c r="J240" s="65" t="s">
        <v>176</v>
      </c>
      <c r="K240">
        <f t="shared" si="298"/>
        <v>0</v>
      </c>
      <c r="L240">
        <f t="shared" si="299"/>
        <v>0</v>
      </c>
    </row>
    <row r="241" spans="1:13" s="65" customFormat="1" hidden="1" outlineLevel="1">
      <c r="A241" s="139">
        <v>44253</v>
      </c>
      <c r="B241" s="139">
        <v>44271</v>
      </c>
      <c r="C241" s="123"/>
      <c r="D241" s="124">
        <v>100142</v>
      </c>
      <c r="E241" s="146">
        <f>E240+C241-D241</f>
        <v>850173</v>
      </c>
      <c r="F241" s="146"/>
      <c r="G241" s="80">
        <f t="shared" si="293"/>
        <v>389464</v>
      </c>
      <c r="H241" s="80">
        <f t="shared" si="294"/>
        <v>18</v>
      </c>
      <c r="I241">
        <f t="shared" si="295"/>
        <v>18</v>
      </c>
      <c r="J241" s="65" t="s">
        <v>401</v>
      </c>
      <c r="K241">
        <f t="shared" si="298"/>
        <v>0</v>
      </c>
      <c r="L241">
        <f t="shared" si="299"/>
        <v>0</v>
      </c>
    </row>
    <row r="242" spans="1:13" s="65" customFormat="1" hidden="1" outlineLevel="1">
      <c r="A242" s="139">
        <v>44253</v>
      </c>
      <c r="B242" s="139">
        <v>44271</v>
      </c>
      <c r="C242" s="123"/>
      <c r="D242" s="124">
        <v>29892</v>
      </c>
      <c r="E242" s="146">
        <f t="shared" si="292"/>
        <v>820281</v>
      </c>
      <c r="F242" s="146"/>
      <c r="G242" s="80">
        <f t="shared" si="293"/>
        <v>389464</v>
      </c>
      <c r="H242" s="80">
        <f t="shared" si="294"/>
        <v>18</v>
      </c>
      <c r="I242">
        <f t="shared" si="295"/>
        <v>18</v>
      </c>
      <c r="J242" s="65" t="s">
        <v>402</v>
      </c>
      <c r="K242">
        <f t="shared" si="298"/>
        <v>0</v>
      </c>
      <c r="L242">
        <f t="shared" si="299"/>
        <v>0</v>
      </c>
    </row>
    <row r="243" spans="1:13" s="65" customFormat="1" hidden="1" outlineLevel="1">
      <c r="A243" s="139">
        <v>44253</v>
      </c>
      <c r="B243" s="139">
        <v>44271</v>
      </c>
      <c r="C243" s="123"/>
      <c r="D243" s="124">
        <v>39356</v>
      </c>
      <c r="E243" s="146">
        <f t="shared" si="292"/>
        <v>780925</v>
      </c>
      <c r="F243" s="146"/>
      <c r="G243" s="80">
        <f t="shared" si="293"/>
        <v>389464</v>
      </c>
      <c r="H243" s="80">
        <f t="shared" si="294"/>
        <v>18</v>
      </c>
      <c r="I243">
        <f t="shared" si="295"/>
        <v>18</v>
      </c>
      <c r="J243" s="65" t="s">
        <v>403</v>
      </c>
      <c r="K243">
        <f t="shared" si="298"/>
        <v>0</v>
      </c>
      <c r="L243">
        <f t="shared" si="299"/>
        <v>0</v>
      </c>
    </row>
    <row r="244" spans="1:13" s="65" customFormat="1" hidden="1" outlineLevel="1">
      <c r="A244" s="139">
        <v>44253</v>
      </c>
      <c r="B244" s="139">
        <v>44271</v>
      </c>
      <c r="C244" s="123"/>
      <c r="D244" s="124">
        <v>25486</v>
      </c>
      <c r="E244" s="146">
        <f t="shared" si="292"/>
        <v>755439</v>
      </c>
      <c r="F244" s="146"/>
      <c r="G244" s="80">
        <f t="shared" si="293"/>
        <v>389464</v>
      </c>
      <c r="H244" s="80">
        <f t="shared" si="294"/>
        <v>18</v>
      </c>
      <c r="I244">
        <f t="shared" si="295"/>
        <v>18</v>
      </c>
      <c r="J244" s="65" t="s">
        <v>211</v>
      </c>
      <c r="K244">
        <f t="shared" si="298"/>
        <v>0</v>
      </c>
      <c r="L244">
        <f t="shared" si="299"/>
        <v>0</v>
      </c>
    </row>
    <row r="245" spans="1:13" s="65" customFormat="1" hidden="1" outlineLevel="1">
      <c r="A245" s="139">
        <v>44253</v>
      </c>
      <c r="B245" s="139">
        <v>44260</v>
      </c>
      <c r="C245" s="123"/>
      <c r="D245" s="124">
        <v>34749</v>
      </c>
      <c r="E245" s="146">
        <f t="shared" si="292"/>
        <v>720690</v>
      </c>
      <c r="F245" s="146"/>
      <c r="G245" s="80">
        <f t="shared" si="293"/>
        <v>389464</v>
      </c>
      <c r="H245" s="80">
        <f t="shared" si="294"/>
        <v>7</v>
      </c>
      <c r="I245">
        <f t="shared" si="295"/>
        <v>7</v>
      </c>
      <c r="J245" s="65" t="s">
        <v>175</v>
      </c>
      <c r="K245">
        <f t="shared" si="298"/>
        <v>0</v>
      </c>
      <c r="L245">
        <f t="shared" si="299"/>
        <v>0</v>
      </c>
    </row>
    <row r="246" spans="1:13" s="65" customFormat="1" hidden="1" outlineLevel="1">
      <c r="A246" s="139">
        <v>44253</v>
      </c>
      <c r="B246" s="139">
        <v>44264</v>
      </c>
      <c r="C246" s="123"/>
      <c r="D246" s="124">
        <v>11820</v>
      </c>
      <c r="E246" s="146">
        <f t="shared" si="292"/>
        <v>708870</v>
      </c>
      <c r="F246" s="146"/>
      <c r="G246" s="80">
        <f t="shared" si="293"/>
        <v>389464</v>
      </c>
      <c r="H246" s="80">
        <f t="shared" si="294"/>
        <v>11</v>
      </c>
      <c r="I246">
        <f t="shared" si="295"/>
        <v>11</v>
      </c>
      <c r="J246" s="65" t="s">
        <v>181</v>
      </c>
      <c r="K246">
        <f t="shared" si="298"/>
        <v>0</v>
      </c>
      <c r="L246">
        <f t="shared" si="299"/>
        <v>0</v>
      </c>
    </row>
    <row r="247" spans="1:13" s="65" customFormat="1" hidden="1" outlineLevel="1">
      <c r="A247" s="139">
        <v>44253</v>
      </c>
      <c r="B247" s="139">
        <v>44264</v>
      </c>
      <c r="C247" s="123"/>
      <c r="D247" s="124">
        <v>20829</v>
      </c>
      <c r="E247" s="146">
        <f t="shared" si="292"/>
        <v>688041</v>
      </c>
      <c r="F247" s="146"/>
      <c r="G247" s="80">
        <f t="shared" si="293"/>
        <v>389464</v>
      </c>
      <c r="H247" s="80">
        <f t="shared" si="294"/>
        <v>11</v>
      </c>
      <c r="I247">
        <f t="shared" si="295"/>
        <v>11</v>
      </c>
      <c r="J247" s="65" t="s">
        <v>182</v>
      </c>
      <c r="K247">
        <f t="shared" si="298"/>
        <v>0</v>
      </c>
      <c r="L247">
        <f t="shared" si="299"/>
        <v>0</v>
      </c>
    </row>
    <row r="248" spans="1:13" s="65" customFormat="1" hidden="1" outlineLevel="1">
      <c r="A248" s="139">
        <v>44212</v>
      </c>
      <c r="B248" s="139">
        <v>44253</v>
      </c>
      <c r="C248" s="123">
        <v>37634</v>
      </c>
      <c r="D248" s="124"/>
      <c r="E248" s="146">
        <f t="shared" ref="E248:E249" si="300">E247+C248-D248</f>
        <v>725675</v>
      </c>
      <c r="F248" s="146">
        <f>-D219+C248</f>
        <v>1834</v>
      </c>
      <c r="G248" s="80">
        <f t="shared" si="293"/>
        <v>391298</v>
      </c>
      <c r="H248" s="80">
        <f t="shared" ref="H248" si="301">IF(B248="",DATEDIF(A248,$G$1,"d"),DATEDIF(A248,B248,"d"))</f>
        <v>41</v>
      </c>
      <c r="I248">
        <f t="shared" ref="I248" si="302">IF(B248="",$C$1-A248,H248)</f>
        <v>41</v>
      </c>
      <c r="J248" s="65" t="s">
        <v>180</v>
      </c>
      <c r="K248">
        <f t="shared" ref="K248" si="303">IF(F248&gt;0,(H248*$F248)/365.25,0)</f>
        <v>205.86995208761124</v>
      </c>
      <c r="L248">
        <f t="shared" ref="L248" si="304">IF(F248&gt;0,(I248*$F248)/365.25,0)</f>
        <v>205.86995208761124</v>
      </c>
    </row>
    <row r="249" spans="1:13" s="65" customFormat="1" hidden="1" outlineLevel="1">
      <c r="A249" s="139">
        <v>44253</v>
      </c>
      <c r="B249" s="139">
        <v>44258</v>
      </c>
      <c r="C249" s="123">
        <v>126050</v>
      </c>
      <c r="D249" s="124">
        <v>126070</v>
      </c>
      <c r="E249" s="146">
        <f t="shared" si="300"/>
        <v>725655</v>
      </c>
      <c r="F249" s="146">
        <f>C249-D249</f>
        <v>-20</v>
      </c>
      <c r="G249" s="80">
        <f t="shared" si="293"/>
        <v>391278</v>
      </c>
      <c r="H249" s="80">
        <f t="shared" ref="H249:H252" si="305">IF(B249="",DATEDIF(A249,$G$1,"d"),DATEDIF(A249,B249,"d"))</f>
        <v>5</v>
      </c>
      <c r="I249">
        <f t="shared" ref="I249:I252" si="306">IF(B249="",$C$1-A249,H249)</f>
        <v>5</v>
      </c>
      <c r="J249" s="65" t="s">
        <v>145</v>
      </c>
      <c r="K249">
        <f t="shared" ref="K249" si="307">IF(F249&gt;0,(H249*$F249)/365.25,0)</f>
        <v>0</v>
      </c>
      <c r="L249">
        <f t="shared" ref="L249" si="308">IF(F249&gt;0,(I249*$F249)/365.25,0)</f>
        <v>0</v>
      </c>
      <c r="M249" s="65" t="s">
        <v>2381</v>
      </c>
    </row>
    <row r="250" spans="1:13" s="65" customFormat="1" hidden="1" outlineLevel="1">
      <c r="A250" s="139">
        <v>44250</v>
      </c>
      <c r="B250" s="139">
        <v>44260</v>
      </c>
      <c r="C250" s="123">
        <v>81937</v>
      </c>
      <c r="D250" s="124"/>
      <c r="E250" s="146">
        <f t="shared" ref="E250:E252" si="309">E249+C250-D250</f>
        <v>807592</v>
      </c>
      <c r="F250" s="146">
        <f>-D235+C250</f>
        <v>-6088</v>
      </c>
      <c r="G250" s="80">
        <f t="shared" si="293"/>
        <v>385190</v>
      </c>
      <c r="H250" s="80">
        <f t="shared" si="305"/>
        <v>10</v>
      </c>
      <c r="I250">
        <f t="shared" si="306"/>
        <v>10</v>
      </c>
      <c r="J250" s="65" t="s">
        <v>406</v>
      </c>
      <c r="K250">
        <f t="shared" ref="K250:K252" si="310">IF(F250&gt;0,(H250*$F250)/365.25,0)</f>
        <v>0</v>
      </c>
      <c r="L250">
        <f t="shared" ref="L250:L252" si="311">IF(F250&gt;0,(I250*$F250)/365.25,0)</f>
        <v>0</v>
      </c>
    </row>
    <row r="251" spans="1:13" s="65" customFormat="1" hidden="1" outlineLevel="1">
      <c r="A251" s="139">
        <v>44250</v>
      </c>
      <c r="B251" s="139">
        <v>44260</v>
      </c>
      <c r="C251" s="123">
        <v>27678</v>
      </c>
      <c r="D251" s="124"/>
      <c r="E251" s="146">
        <f t="shared" si="309"/>
        <v>835270</v>
      </c>
      <c r="F251" s="146">
        <f>-D236+C251</f>
        <v>-1513</v>
      </c>
      <c r="G251" s="80">
        <f t="shared" si="293"/>
        <v>383677</v>
      </c>
      <c r="H251" s="80">
        <f t="shared" si="305"/>
        <v>10</v>
      </c>
      <c r="I251">
        <f t="shared" si="306"/>
        <v>10</v>
      </c>
      <c r="J251" s="65" t="s">
        <v>407</v>
      </c>
      <c r="K251">
        <f t="shared" si="310"/>
        <v>0</v>
      </c>
      <c r="L251">
        <f t="shared" si="311"/>
        <v>0</v>
      </c>
    </row>
    <row r="252" spans="1:13" s="65" customFormat="1" hidden="1" outlineLevel="1">
      <c r="A252" s="139">
        <v>44253</v>
      </c>
      <c r="B252" s="139">
        <v>44260</v>
      </c>
      <c r="C252" s="123">
        <v>29669</v>
      </c>
      <c r="D252" s="124"/>
      <c r="E252" s="146">
        <f t="shared" si="309"/>
        <v>864939</v>
      </c>
      <c r="F252" s="146">
        <f>-D245+C252</f>
        <v>-5080</v>
      </c>
      <c r="G252" s="80">
        <f t="shared" si="293"/>
        <v>378597</v>
      </c>
      <c r="H252" s="80">
        <f t="shared" si="305"/>
        <v>7</v>
      </c>
      <c r="I252">
        <f t="shared" si="306"/>
        <v>7</v>
      </c>
      <c r="J252" s="65" t="s">
        <v>175</v>
      </c>
      <c r="K252">
        <f t="shared" si="310"/>
        <v>0</v>
      </c>
      <c r="L252">
        <f t="shared" si="311"/>
        <v>0</v>
      </c>
    </row>
    <row r="253" spans="1:13" s="65" customFormat="1" hidden="1" outlineLevel="1">
      <c r="A253" s="139">
        <v>44260</v>
      </c>
      <c r="B253" s="139">
        <v>44263</v>
      </c>
      <c r="C253" s="123"/>
      <c r="D253" s="124">
        <v>79112</v>
      </c>
      <c r="E253" s="146">
        <f t="shared" ref="E253:E254" si="312">E252+C253-D253</f>
        <v>785827</v>
      </c>
      <c r="F253" s="146"/>
      <c r="G253" s="80">
        <f t="shared" si="293"/>
        <v>378597</v>
      </c>
      <c r="H253" s="80">
        <f t="shared" ref="H253" si="313">IF(B253="",DATEDIF(A253,$G$1,"d"),DATEDIF(A253,B253,"d"))</f>
        <v>3</v>
      </c>
      <c r="I253">
        <f t="shared" ref="I253" si="314">IF(B253="",$C$1-A253,H253)</f>
        <v>3</v>
      </c>
      <c r="J253" s="65" t="s">
        <v>390</v>
      </c>
      <c r="K253">
        <f t="shared" ref="K253" si="315">IF(F253&gt;0,(H253*$F253)/365.25,0)</f>
        <v>0</v>
      </c>
      <c r="L253">
        <f t="shared" ref="L253" si="316">IF(F253&gt;0,(I253*$F253)/365.25,0)</f>
        <v>0</v>
      </c>
    </row>
    <row r="254" spans="1:13" s="65" customFormat="1" hidden="1" outlineLevel="1">
      <c r="A254" s="139">
        <v>44260</v>
      </c>
      <c r="B254" s="139">
        <v>44263</v>
      </c>
      <c r="C254" s="123">
        <v>71583</v>
      </c>
      <c r="D254" s="124"/>
      <c r="E254" s="146">
        <f t="shared" si="312"/>
        <v>857410</v>
      </c>
      <c r="F254" s="146">
        <f>-D253+C254</f>
        <v>-7529</v>
      </c>
      <c r="G254" s="80">
        <f t="shared" si="293"/>
        <v>371068</v>
      </c>
      <c r="H254" s="80">
        <f t="shared" ref="H254" si="317">IF(B254="",DATEDIF(A254,$G$1,"d"),DATEDIF(A254,B254,"d"))</f>
        <v>3</v>
      </c>
      <c r="I254">
        <f t="shared" ref="I254" si="318">IF(B254="",$C$1-A254,H254)</f>
        <v>3</v>
      </c>
      <c r="J254" s="65" t="s">
        <v>390</v>
      </c>
      <c r="K254">
        <f t="shared" ref="K254" si="319">IF(F254&gt;0,(H254*$F254)/365.25,0)</f>
        <v>0</v>
      </c>
      <c r="L254">
        <f t="shared" ref="L254" si="320">IF(F254&gt;0,(I254*$F254)/365.25,0)</f>
        <v>0</v>
      </c>
    </row>
    <row r="255" spans="1:13" s="65" customFormat="1" hidden="1" outlineLevel="1">
      <c r="A255" s="139">
        <v>44207</v>
      </c>
      <c r="B255" s="139">
        <v>44264</v>
      </c>
      <c r="C255" s="123">
        <v>105034</v>
      </c>
      <c r="D255" s="124"/>
      <c r="E255" s="146">
        <f t="shared" ref="E255:E267" si="321">E254+C255-D255</f>
        <v>962444</v>
      </c>
      <c r="F255" s="146">
        <f>-D202+C255</f>
        <v>-10129</v>
      </c>
      <c r="G255" s="80">
        <f t="shared" si="293"/>
        <v>360939</v>
      </c>
      <c r="H255" s="80">
        <f t="shared" ref="H255:H266" si="322">IF(B255="",DATEDIF(A255,$G$1,"d"),DATEDIF(A255,B255,"d"))</f>
        <v>57</v>
      </c>
      <c r="I255">
        <f t="shared" ref="I255:I266" si="323">IF(B255="",$C$1-A255,H255)</f>
        <v>57</v>
      </c>
      <c r="J255" s="65" t="s">
        <v>178</v>
      </c>
      <c r="K255">
        <f t="shared" ref="K255:K267" si="324">IF(F255&gt;0,(H255*$F255)/365.25,0)</f>
        <v>0</v>
      </c>
      <c r="L255">
        <f t="shared" ref="L255:L267" si="325">IF(F255&gt;0,(I255*$F255)/365.25,0)</f>
        <v>0</v>
      </c>
    </row>
    <row r="256" spans="1:13" s="65" customFormat="1" hidden="1" outlineLevel="1">
      <c r="A256" s="139">
        <v>44210</v>
      </c>
      <c r="B256" s="139">
        <v>44264</v>
      </c>
      <c r="C256" s="123">
        <v>36638</v>
      </c>
      <c r="D256" s="124"/>
      <c r="E256" s="146">
        <f t="shared" si="321"/>
        <v>999082</v>
      </c>
      <c r="F256" s="146">
        <f>-D210+C256</f>
        <v>6095</v>
      </c>
      <c r="G256" s="80">
        <f t="shared" si="293"/>
        <v>367034</v>
      </c>
      <c r="H256" s="80">
        <f t="shared" si="322"/>
        <v>54</v>
      </c>
      <c r="I256">
        <f t="shared" si="323"/>
        <v>54</v>
      </c>
      <c r="J256" s="65" t="s">
        <v>177</v>
      </c>
      <c r="K256">
        <f t="shared" si="324"/>
        <v>901.10882956878845</v>
      </c>
      <c r="L256">
        <f t="shared" si="325"/>
        <v>901.10882956878845</v>
      </c>
    </row>
    <row r="257" spans="1:13" s="65" customFormat="1" hidden="1" outlineLevel="1">
      <c r="A257" s="139">
        <v>44253</v>
      </c>
      <c r="B257" s="139">
        <v>44264</v>
      </c>
      <c r="C257" s="123">
        <v>11596</v>
      </c>
      <c r="D257" s="124"/>
      <c r="E257" s="146">
        <f t="shared" si="321"/>
        <v>1010678</v>
      </c>
      <c r="F257" s="146">
        <f>-D246+C257</f>
        <v>-224</v>
      </c>
      <c r="G257" s="80">
        <f t="shared" si="293"/>
        <v>366810</v>
      </c>
      <c r="H257" s="80">
        <f t="shared" si="322"/>
        <v>11</v>
      </c>
      <c r="I257">
        <f t="shared" si="323"/>
        <v>11</v>
      </c>
      <c r="J257" s="65" t="s">
        <v>181</v>
      </c>
      <c r="K257">
        <f t="shared" si="324"/>
        <v>0</v>
      </c>
      <c r="L257">
        <f t="shared" si="325"/>
        <v>0</v>
      </c>
    </row>
    <row r="258" spans="1:13" s="65" customFormat="1" hidden="1" outlineLevel="1">
      <c r="A258" s="139">
        <v>44253</v>
      </c>
      <c r="B258" s="139">
        <v>44264</v>
      </c>
      <c r="C258" s="123">
        <v>20062</v>
      </c>
      <c r="D258" s="124"/>
      <c r="E258" s="146">
        <f t="shared" si="321"/>
        <v>1030740</v>
      </c>
      <c r="F258" s="146">
        <f>-D247+C258</f>
        <v>-767</v>
      </c>
      <c r="G258" s="80">
        <f t="shared" si="293"/>
        <v>366043</v>
      </c>
      <c r="H258" s="80">
        <f t="shared" si="322"/>
        <v>11</v>
      </c>
      <c r="I258">
        <f t="shared" si="323"/>
        <v>11</v>
      </c>
      <c r="J258" s="65" t="s">
        <v>182</v>
      </c>
      <c r="K258">
        <f t="shared" si="324"/>
        <v>0</v>
      </c>
      <c r="L258">
        <f t="shared" si="325"/>
        <v>0</v>
      </c>
    </row>
    <row r="259" spans="1:13" s="65" customFormat="1" hidden="1" outlineLevel="1">
      <c r="A259" s="139">
        <v>44168</v>
      </c>
      <c r="B259" s="139">
        <v>44264</v>
      </c>
      <c r="C259" s="123">
        <v>102047</v>
      </c>
      <c r="D259" s="124"/>
      <c r="E259" s="146">
        <f t="shared" si="321"/>
        <v>1132787</v>
      </c>
      <c r="F259" s="146"/>
      <c r="G259" s="80">
        <f t="shared" si="293"/>
        <v>366043</v>
      </c>
      <c r="H259" s="80">
        <f t="shared" si="322"/>
        <v>96</v>
      </c>
      <c r="I259">
        <f t="shared" si="323"/>
        <v>96</v>
      </c>
      <c r="J259" s="65" t="s">
        <v>238</v>
      </c>
      <c r="K259">
        <f t="shared" si="324"/>
        <v>0</v>
      </c>
      <c r="L259">
        <f t="shared" si="325"/>
        <v>0</v>
      </c>
    </row>
    <row r="260" spans="1:13" s="65" customFormat="1" hidden="1" outlineLevel="1">
      <c r="A260" s="139">
        <v>44159</v>
      </c>
      <c r="B260" s="139">
        <v>44264</v>
      </c>
      <c r="C260" s="123">
        <v>33353</v>
      </c>
      <c r="D260" s="124"/>
      <c r="E260" s="146">
        <f t="shared" si="321"/>
        <v>1166140</v>
      </c>
      <c r="F260" s="146"/>
      <c r="G260" s="80">
        <f t="shared" si="293"/>
        <v>366043</v>
      </c>
      <c r="H260" s="80">
        <f t="shared" si="322"/>
        <v>105</v>
      </c>
      <c r="I260">
        <f t="shared" si="323"/>
        <v>105</v>
      </c>
      <c r="J260" s="65" t="s">
        <v>410</v>
      </c>
      <c r="K260">
        <f t="shared" si="324"/>
        <v>0</v>
      </c>
      <c r="L260">
        <f t="shared" si="325"/>
        <v>0</v>
      </c>
    </row>
    <row r="261" spans="1:13" s="65" customFormat="1" hidden="1" outlineLevel="1">
      <c r="A261" s="139">
        <v>44236</v>
      </c>
      <c r="B261" s="139">
        <v>44264</v>
      </c>
      <c r="C261" s="123">
        <v>309624</v>
      </c>
      <c r="D261" s="124"/>
      <c r="E261" s="146">
        <f t="shared" si="321"/>
        <v>1475764</v>
      </c>
      <c r="F261" s="146">
        <f>-D234+C261</f>
        <v>22216</v>
      </c>
      <c r="G261" s="80">
        <f t="shared" si="293"/>
        <v>388259</v>
      </c>
      <c r="H261" s="80">
        <f t="shared" si="322"/>
        <v>28</v>
      </c>
      <c r="I261">
        <f t="shared" si="323"/>
        <v>28</v>
      </c>
      <c r="J261" s="65" t="s">
        <v>115</v>
      </c>
      <c r="K261">
        <f t="shared" si="324"/>
        <v>1703.0746064339494</v>
      </c>
      <c r="L261">
        <f t="shared" si="325"/>
        <v>1703.0746064339494</v>
      </c>
    </row>
    <row r="262" spans="1:13" s="65" customFormat="1" hidden="1" outlineLevel="1">
      <c r="A262" s="139">
        <v>44251</v>
      </c>
      <c r="B262" s="139">
        <v>44264</v>
      </c>
      <c r="C262" s="123">
        <v>50875</v>
      </c>
      <c r="D262" s="124"/>
      <c r="E262" s="146">
        <f t="shared" si="321"/>
        <v>1526639</v>
      </c>
      <c r="F262" s="146">
        <f>-D237+C262</f>
        <v>-698</v>
      </c>
      <c r="G262" s="80">
        <f t="shared" si="293"/>
        <v>387561</v>
      </c>
      <c r="H262" s="80">
        <f t="shared" si="322"/>
        <v>13</v>
      </c>
      <c r="I262">
        <f t="shared" si="323"/>
        <v>13</v>
      </c>
      <c r="J262" s="65" t="s">
        <v>408</v>
      </c>
      <c r="K262">
        <f t="shared" si="324"/>
        <v>0</v>
      </c>
      <c r="L262">
        <f t="shared" si="325"/>
        <v>0</v>
      </c>
    </row>
    <row r="263" spans="1:13" s="65" customFormat="1" hidden="1" outlineLevel="1">
      <c r="A263" s="139">
        <v>44251</v>
      </c>
      <c r="B263" s="139">
        <v>44264</v>
      </c>
      <c r="C263" s="123">
        <v>43906</v>
      </c>
      <c r="D263" s="124"/>
      <c r="E263" s="146">
        <f t="shared" si="321"/>
        <v>1570545</v>
      </c>
      <c r="F263" s="146">
        <f>-D238+C263</f>
        <v>-1909</v>
      </c>
      <c r="G263" s="80">
        <f t="shared" si="293"/>
        <v>385652</v>
      </c>
      <c r="H263" s="80">
        <f t="shared" si="322"/>
        <v>13</v>
      </c>
      <c r="I263">
        <f t="shared" si="323"/>
        <v>13</v>
      </c>
      <c r="J263" s="65" t="s">
        <v>409</v>
      </c>
      <c r="K263">
        <f t="shared" si="324"/>
        <v>0</v>
      </c>
      <c r="L263">
        <f t="shared" si="325"/>
        <v>0</v>
      </c>
    </row>
    <row r="264" spans="1:13" s="65" customFormat="1" hidden="1" outlineLevel="1">
      <c r="A264" s="139">
        <v>44251</v>
      </c>
      <c r="B264" s="139">
        <v>44264</v>
      </c>
      <c r="C264" s="123">
        <v>108518</v>
      </c>
      <c r="D264" s="124"/>
      <c r="E264" s="146">
        <f t="shared" si="321"/>
        <v>1679063</v>
      </c>
      <c r="F264" s="146">
        <f>-D239+C264</f>
        <v>1366</v>
      </c>
      <c r="G264" s="80">
        <f t="shared" si="293"/>
        <v>387018</v>
      </c>
      <c r="H264" s="80">
        <f t="shared" si="322"/>
        <v>13</v>
      </c>
      <c r="I264">
        <f t="shared" si="323"/>
        <v>13</v>
      </c>
      <c r="J264" s="65" t="s">
        <v>179</v>
      </c>
      <c r="K264">
        <f t="shared" si="324"/>
        <v>48.618754277891853</v>
      </c>
      <c r="L264">
        <f t="shared" si="325"/>
        <v>48.618754277891853</v>
      </c>
    </row>
    <row r="265" spans="1:13" s="65" customFormat="1" hidden="1" outlineLevel="1">
      <c r="A265" s="139">
        <v>44252</v>
      </c>
      <c r="B265" s="139">
        <v>44264</v>
      </c>
      <c r="C265" s="123">
        <v>27628</v>
      </c>
      <c r="D265" s="124"/>
      <c r="E265" s="146">
        <f t="shared" si="321"/>
        <v>1706691</v>
      </c>
      <c r="F265" s="146">
        <f>-D240+C265</f>
        <v>-2965</v>
      </c>
      <c r="G265" s="80">
        <f t="shared" si="293"/>
        <v>384053</v>
      </c>
      <c r="H265" s="80">
        <f t="shared" si="322"/>
        <v>12</v>
      </c>
      <c r="I265">
        <f t="shared" si="323"/>
        <v>12</v>
      </c>
      <c r="J265" s="65" t="s">
        <v>176</v>
      </c>
      <c r="K265">
        <f t="shared" si="324"/>
        <v>0</v>
      </c>
      <c r="L265">
        <f t="shared" si="325"/>
        <v>0</v>
      </c>
    </row>
    <row r="266" spans="1:13" s="65" customFormat="1" hidden="1" outlineLevel="1">
      <c r="A266" s="139">
        <v>44212</v>
      </c>
      <c r="B266" s="139">
        <v>44264</v>
      </c>
      <c r="C266" s="123">
        <v>37136</v>
      </c>
      <c r="D266" s="124"/>
      <c r="E266" s="146">
        <f t="shared" si="321"/>
        <v>1743827</v>
      </c>
      <c r="F266" s="146">
        <f>-D220+C266</f>
        <v>1335</v>
      </c>
      <c r="G266" s="80">
        <f>G265+F266</f>
        <v>385388</v>
      </c>
      <c r="H266" s="80">
        <f t="shared" si="322"/>
        <v>52</v>
      </c>
      <c r="I266">
        <f t="shared" si="323"/>
        <v>52</v>
      </c>
      <c r="J266" s="65" t="s">
        <v>180</v>
      </c>
      <c r="K266">
        <f t="shared" si="324"/>
        <v>190.06160164271049</v>
      </c>
      <c r="L266">
        <f t="shared" si="325"/>
        <v>190.06160164271049</v>
      </c>
    </row>
    <row r="267" spans="1:13" s="65" customFormat="1" hidden="1" outlineLevel="1">
      <c r="A267" s="147">
        <v>44265</v>
      </c>
      <c r="B267" s="147"/>
      <c r="C267" s="148">
        <v>1008</v>
      </c>
      <c r="D267" s="149"/>
      <c r="E267" s="150">
        <f t="shared" si="321"/>
        <v>1744835</v>
      </c>
      <c r="F267" s="150">
        <f t="shared" ref="F267" si="326">C267-D267</f>
        <v>1008</v>
      </c>
      <c r="G267" s="151">
        <f>G266+F267</f>
        <v>386396</v>
      </c>
      <c r="H267" s="151">
        <f>IF(B267="",DATEDIF(A267,$F$1,"d"),DATEDIF(A267,B267,"d"))</f>
        <v>296</v>
      </c>
      <c r="I267" s="152">
        <f ca="1">IF(B267="",$C$1-A267,H267)</f>
        <v>2045</v>
      </c>
      <c r="J267" s="152" t="s">
        <v>84</v>
      </c>
      <c r="K267" s="152">
        <f t="shared" si="324"/>
        <v>816.88706365503083</v>
      </c>
      <c r="L267" s="152">
        <f t="shared" ca="1" si="325"/>
        <v>5643.6960985626283</v>
      </c>
      <c r="M267" s="152"/>
    </row>
    <row r="268" spans="1:13" s="65" customFormat="1" hidden="1" outlineLevel="1">
      <c r="A268" s="139">
        <v>44160</v>
      </c>
      <c r="B268" s="66">
        <v>44266</v>
      </c>
      <c r="C268" s="123">
        <v>25288</v>
      </c>
      <c r="D268" s="124"/>
      <c r="E268" s="146">
        <f t="shared" ref="E268" si="327">E267+C268-D268</f>
        <v>1770123</v>
      </c>
      <c r="F268" s="146"/>
      <c r="G268" s="80">
        <f>G267+F268</f>
        <v>386396</v>
      </c>
      <c r="H268" s="80">
        <f t="shared" ref="H268" si="328">IF(B268="",DATEDIF(A268,$G$1,"d"),DATEDIF(A268,B268,"d"))</f>
        <v>106</v>
      </c>
      <c r="I268">
        <f t="shared" ref="I268" si="329">IF(B268="",$C$1-A268,H268)</f>
        <v>106</v>
      </c>
      <c r="J268" s="65" t="s">
        <v>2396</v>
      </c>
      <c r="K268">
        <f t="shared" ref="K268" si="330">IF(F268&gt;0,(H268*$F268)/365.25,0)</f>
        <v>0</v>
      </c>
      <c r="L268">
        <f t="shared" ref="L268" si="331">IF(F268&gt;0,(I268*$F268)/365.25,0)</f>
        <v>0</v>
      </c>
    </row>
    <row r="269" spans="1:13" s="65" customFormat="1" hidden="1" outlineLevel="1">
      <c r="A269" s="139">
        <v>44253</v>
      </c>
      <c r="B269" s="139">
        <v>44271</v>
      </c>
      <c r="C269" s="123">
        <v>104039</v>
      </c>
      <c r="D269" s="124"/>
      <c r="E269" s="146">
        <f t="shared" ref="E269:E293" si="332">E268+C269-D269</f>
        <v>1874162</v>
      </c>
      <c r="F269" s="146">
        <f>-D241+C269</f>
        <v>3897</v>
      </c>
      <c r="G269" s="80">
        <f t="shared" ref="G269:G333" si="333">G268+F269</f>
        <v>390293</v>
      </c>
      <c r="H269" s="80">
        <f t="shared" ref="H269:H276" si="334">IF(B269="",DATEDIF(A269,$G$1,"d"),DATEDIF(A269,B269,"d"))</f>
        <v>18</v>
      </c>
      <c r="I269">
        <f t="shared" ref="I269:I276" si="335">IF(B269="",$C$1-A269,H269)</f>
        <v>18</v>
      </c>
      <c r="J269" s="65" t="s">
        <v>401</v>
      </c>
      <c r="K269">
        <f t="shared" ref="K269:K279" si="336">IF(F269&gt;0,(H269*$F269)/365.25,0)</f>
        <v>192.04928131416838</v>
      </c>
      <c r="L269">
        <f t="shared" ref="L269:L279" si="337">IF(F269&gt;0,(I269*$F269)/365.25,0)</f>
        <v>192.04928131416838</v>
      </c>
    </row>
    <row r="270" spans="1:13" s="65" customFormat="1" hidden="1" outlineLevel="1">
      <c r="A270" s="139">
        <v>44253</v>
      </c>
      <c r="B270" s="139">
        <v>44271</v>
      </c>
      <c r="C270" s="123">
        <v>32904</v>
      </c>
      <c r="D270" s="124"/>
      <c r="E270" s="146">
        <f t="shared" si="332"/>
        <v>1907066</v>
      </c>
      <c r="F270" s="146">
        <f>-D242+C270</f>
        <v>3012</v>
      </c>
      <c r="G270" s="80">
        <f t="shared" si="333"/>
        <v>393305</v>
      </c>
      <c r="H270" s="80">
        <f t="shared" si="334"/>
        <v>18</v>
      </c>
      <c r="I270">
        <f t="shared" si="335"/>
        <v>18</v>
      </c>
      <c r="J270" s="65" t="s">
        <v>402</v>
      </c>
      <c r="K270">
        <f t="shared" si="336"/>
        <v>148.435318275154</v>
      </c>
      <c r="L270">
        <f t="shared" si="337"/>
        <v>148.435318275154</v>
      </c>
    </row>
    <row r="271" spans="1:13" s="65" customFormat="1" hidden="1" outlineLevel="1">
      <c r="A271" s="139">
        <v>44253</v>
      </c>
      <c r="B271" s="139">
        <v>44271</v>
      </c>
      <c r="C271" s="123">
        <v>39923</v>
      </c>
      <c r="D271" s="124"/>
      <c r="E271" s="146">
        <f t="shared" si="332"/>
        <v>1946989</v>
      </c>
      <c r="F271" s="146">
        <f>-D243+C271</f>
        <v>567</v>
      </c>
      <c r="G271" s="80">
        <f t="shared" si="333"/>
        <v>393872</v>
      </c>
      <c r="H271" s="80">
        <f t="shared" si="334"/>
        <v>18</v>
      </c>
      <c r="I271">
        <f t="shared" si="335"/>
        <v>18</v>
      </c>
      <c r="J271" s="65" t="s">
        <v>403</v>
      </c>
      <c r="K271">
        <f t="shared" si="336"/>
        <v>27.942505133470227</v>
      </c>
      <c r="L271">
        <f t="shared" si="337"/>
        <v>27.942505133470227</v>
      </c>
    </row>
    <row r="272" spans="1:13" s="65" customFormat="1" hidden="1" outlineLevel="1">
      <c r="A272" s="139">
        <v>44253</v>
      </c>
      <c r="B272" s="139">
        <v>44271</v>
      </c>
      <c r="C272" s="123">
        <v>25687</v>
      </c>
      <c r="D272" s="124"/>
      <c r="E272" s="146">
        <f t="shared" si="332"/>
        <v>1972676</v>
      </c>
      <c r="F272" s="146">
        <f>-D244+C272</f>
        <v>201</v>
      </c>
      <c r="G272" s="80">
        <f t="shared" si="333"/>
        <v>394073</v>
      </c>
      <c r="H272" s="80">
        <f t="shared" si="334"/>
        <v>18</v>
      </c>
      <c r="I272">
        <f t="shared" si="335"/>
        <v>18</v>
      </c>
      <c r="J272" s="65" t="s">
        <v>211</v>
      </c>
      <c r="K272">
        <f t="shared" si="336"/>
        <v>9.9055441478439423</v>
      </c>
      <c r="L272">
        <f t="shared" si="337"/>
        <v>9.9055441478439423</v>
      </c>
    </row>
    <row r="273" spans="1:14" s="65" customFormat="1" hidden="1" outlineLevel="1">
      <c r="A273" s="139">
        <v>44271</v>
      </c>
      <c r="B273" s="139">
        <v>44271</v>
      </c>
      <c r="C273" s="123">
        <v>53544</v>
      </c>
      <c r="D273" s="124">
        <v>51473</v>
      </c>
      <c r="E273" s="146">
        <f t="shared" si="332"/>
        <v>1974747</v>
      </c>
      <c r="F273" s="146">
        <f>-D273+C273</f>
        <v>2071</v>
      </c>
      <c r="G273" s="80">
        <f t="shared" si="333"/>
        <v>396144</v>
      </c>
      <c r="H273" s="80">
        <f t="shared" si="334"/>
        <v>0</v>
      </c>
      <c r="I273">
        <f t="shared" si="335"/>
        <v>0</v>
      </c>
      <c r="J273" s="65" t="s">
        <v>404</v>
      </c>
      <c r="K273">
        <f t="shared" si="336"/>
        <v>0</v>
      </c>
      <c r="L273">
        <f t="shared" si="337"/>
        <v>0</v>
      </c>
      <c r="M273" s="65" t="s">
        <v>413</v>
      </c>
    </row>
    <row r="274" spans="1:14" s="65" customFormat="1" hidden="1" outlineLevel="1">
      <c r="A274" s="139">
        <v>44271</v>
      </c>
      <c r="B274" s="139">
        <v>44271</v>
      </c>
      <c r="C274" s="123">
        <v>115163</v>
      </c>
      <c r="D274" s="124">
        <v>114663</v>
      </c>
      <c r="E274" s="146">
        <f t="shared" si="332"/>
        <v>1975247</v>
      </c>
      <c r="F274" s="146">
        <f>-D274+C274</f>
        <v>500</v>
      </c>
      <c r="G274" s="80">
        <f t="shared" si="333"/>
        <v>396644</v>
      </c>
      <c r="H274" s="80">
        <f t="shared" si="334"/>
        <v>0</v>
      </c>
      <c r="I274">
        <f t="shared" si="335"/>
        <v>0</v>
      </c>
      <c r="J274" s="65" t="s">
        <v>405</v>
      </c>
      <c r="K274">
        <f t="shared" si="336"/>
        <v>0</v>
      </c>
      <c r="L274">
        <f t="shared" si="337"/>
        <v>0</v>
      </c>
      <c r="M274" s="65" t="s">
        <v>413</v>
      </c>
    </row>
    <row r="275" spans="1:14" s="65" customFormat="1" hidden="1" outlineLevel="1">
      <c r="A275" s="139">
        <v>44272</v>
      </c>
      <c r="B275" s="139">
        <v>44273</v>
      </c>
      <c r="C275" s="123"/>
      <c r="D275" s="124">
        <v>53976</v>
      </c>
      <c r="E275" s="146">
        <f t="shared" si="332"/>
        <v>1921271</v>
      </c>
      <c r="F275" s="146"/>
      <c r="G275" s="80">
        <f t="shared" si="333"/>
        <v>396644</v>
      </c>
      <c r="H275" s="80">
        <f t="shared" si="334"/>
        <v>1</v>
      </c>
      <c r="I275">
        <f t="shared" si="335"/>
        <v>1</v>
      </c>
      <c r="J275" s="65" t="s">
        <v>2397</v>
      </c>
      <c r="K275">
        <f t="shared" si="336"/>
        <v>0</v>
      </c>
      <c r="L275">
        <f t="shared" si="337"/>
        <v>0</v>
      </c>
    </row>
    <row r="276" spans="1:14" s="65" customFormat="1" hidden="1" outlineLevel="1">
      <c r="A276" s="139">
        <v>44272</v>
      </c>
      <c r="B276" s="139">
        <v>44272</v>
      </c>
      <c r="C276" s="123">
        <v>107685</v>
      </c>
      <c r="D276" s="124">
        <v>107152</v>
      </c>
      <c r="E276" s="146">
        <f t="shared" si="332"/>
        <v>1921804</v>
      </c>
      <c r="F276" s="146">
        <f>-D276+C276</f>
        <v>533</v>
      </c>
      <c r="G276" s="80">
        <f t="shared" si="333"/>
        <v>397177</v>
      </c>
      <c r="H276" s="80">
        <f t="shared" si="334"/>
        <v>0</v>
      </c>
      <c r="I276">
        <f t="shared" si="335"/>
        <v>0</v>
      </c>
      <c r="J276" s="65" t="s">
        <v>415</v>
      </c>
      <c r="K276">
        <f t="shared" si="336"/>
        <v>0</v>
      </c>
      <c r="L276">
        <f t="shared" si="337"/>
        <v>0</v>
      </c>
    </row>
    <row r="277" spans="1:14" s="65" customFormat="1" hidden="1" outlineLevel="1">
      <c r="A277" s="139">
        <v>44272</v>
      </c>
      <c r="B277" s="139">
        <v>44281</v>
      </c>
      <c r="C277" s="123"/>
      <c r="D277" s="124">
        <v>107653</v>
      </c>
      <c r="E277" s="146">
        <f t="shared" si="332"/>
        <v>1814151</v>
      </c>
      <c r="F277" s="146"/>
      <c r="G277" s="80">
        <f t="shared" si="333"/>
        <v>397177</v>
      </c>
      <c r="H277" s="80">
        <f t="shared" ref="H277:H294" si="338">IF(B277="",DATEDIF(A277,$G$1,"d"),DATEDIF(A277,B277,"d"))</f>
        <v>9</v>
      </c>
      <c r="I277">
        <f t="shared" ref="I277:I294" si="339">IF(B277="",$C$1-A277,H277)</f>
        <v>9</v>
      </c>
      <c r="J277" s="65" t="s">
        <v>415</v>
      </c>
      <c r="K277">
        <f t="shared" si="336"/>
        <v>0</v>
      </c>
      <c r="L277">
        <f t="shared" si="337"/>
        <v>0</v>
      </c>
    </row>
    <row r="278" spans="1:14" s="65" customFormat="1" hidden="1" outlineLevel="1">
      <c r="A278" s="139">
        <v>44272</v>
      </c>
      <c r="B278" s="139">
        <v>44287</v>
      </c>
      <c r="C278" s="123"/>
      <c r="D278" s="124">
        <v>42610</v>
      </c>
      <c r="E278" s="146">
        <f t="shared" si="332"/>
        <v>1771541</v>
      </c>
      <c r="F278" s="146"/>
      <c r="G278" s="80">
        <f t="shared" si="333"/>
        <v>397177</v>
      </c>
      <c r="H278" s="80">
        <f t="shared" si="338"/>
        <v>15</v>
      </c>
      <c r="I278">
        <f t="shared" si="339"/>
        <v>15</v>
      </c>
      <c r="J278" s="65" t="s">
        <v>416</v>
      </c>
      <c r="K278">
        <f t="shared" si="336"/>
        <v>0</v>
      </c>
      <c r="L278">
        <f t="shared" si="337"/>
        <v>0</v>
      </c>
    </row>
    <row r="279" spans="1:14" s="65" customFormat="1" hidden="1" outlineLevel="1">
      <c r="A279" s="139">
        <v>44272</v>
      </c>
      <c r="B279" s="139">
        <v>44273</v>
      </c>
      <c r="C279" s="123">
        <v>54658</v>
      </c>
      <c r="D279" s="124"/>
      <c r="E279" s="146">
        <f t="shared" si="332"/>
        <v>1826199</v>
      </c>
      <c r="F279" s="146">
        <f>-D275+C279</f>
        <v>682</v>
      </c>
      <c r="G279" s="80">
        <f t="shared" si="333"/>
        <v>397859</v>
      </c>
      <c r="H279" s="80">
        <f t="shared" si="338"/>
        <v>1</v>
      </c>
      <c r="I279">
        <f t="shared" si="339"/>
        <v>1</v>
      </c>
      <c r="J279" s="65" t="s">
        <v>2397</v>
      </c>
      <c r="K279">
        <f t="shared" si="336"/>
        <v>1.8672142368240932</v>
      </c>
      <c r="L279">
        <f t="shared" si="337"/>
        <v>1.8672142368240932</v>
      </c>
    </row>
    <row r="280" spans="1:14" s="65" customFormat="1" hidden="1" outlineLevel="1">
      <c r="A280" s="139">
        <v>44274</v>
      </c>
      <c r="B280" s="139">
        <v>44287</v>
      </c>
      <c r="C280" s="123"/>
      <c r="D280" s="124">
        <v>43662</v>
      </c>
      <c r="E280" s="146">
        <f t="shared" si="332"/>
        <v>1782537</v>
      </c>
      <c r="F280" s="146"/>
      <c r="G280" s="80">
        <f t="shared" si="333"/>
        <v>397859</v>
      </c>
      <c r="H280" s="80">
        <f t="shared" si="338"/>
        <v>13</v>
      </c>
      <c r="I280">
        <f t="shared" si="339"/>
        <v>13</v>
      </c>
      <c r="J280" s="65" t="s">
        <v>417</v>
      </c>
      <c r="K280">
        <f t="shared" ref="K280:K285" si="340">IF(F280&gt;0,(H280*$F280)/365.25,0)</f>
        <v>0</v>
      </c>
      <c r="L280">
        <f t="shared" ref="L280:L285" si="341">IF(F280&gt;0,(I280*$F280)/365.25,0)</f>
        <v>0</v>
      </c>
    </row>
    <row r="281" spans="1:14" s="65" customFormat="1" hidden="1" outlineLevel="1">
      <c r="A281" s="139">
        <v>44274</v>
      </c>
      <c r="B281" s="139">
        <v>44277</v>
      </c>
      <c r="C281" s="123"/>
      <c r="D281" s="124">
        <v>78912</v>
      </c>
      <c r="E281" s="146">
        <f t="shared" si="332"/>
        <v>1703625</v>
      </c>
      <c r="F281" s="146"/>
      <c r="G281" s="80">
        <f t="shared" si="333"/>
        <v>397859</v>
      </c>
      <c r="H281" s="80">
        <f t="shared" si="338"/>
        <v>3</v>
      </c>
      <c r="I281">
        <f t="shared" si="339"/>
        <v>3</v>
      </c>
      <c r="J281" s="65" t="s">
        <v>418</v>
      </c>
      <c r="K281">
        <f t="shared" si="340"/>
        <v>0</v>
      </c>
      <c r="L281">
        <f t="shared" si="341"/>
        <v>0</v>
      </c>
    </row>
    <row r="282" spans="1:14" s="65" customFormat="1" hidden="1" outlineLevel="1">
      <c r="A282" s="139">
        <v>44274</v>
      </c>
      <c r="B282" s="139">
        <v>44292</v>
      </c>
      <c r="C282" s="123"/>
      <c r="D282" s="124">
        <v>51373</v>
      </c>
      <c r="E282" s="146">
        <f t="shared" si="332"/>
        <v>1652252</v>
      </c>
      <c r="F282" s="146"/>
      <c r="G282" s="80">
        <f t="shared" si="333"/>
        <v>397859</v>
      </c>
      <c r="H282" s="80">
        <f t="shared" si="338"/>
        <v>18</v>
      </c>
      <c r="I282">
        <f t="shared" si="339"/>
        <v>18</v>
      </c>
      <c r="J282" s="65" t="s">
        <v>419</v>
      </c>
      <c r="K282">
        <f t="shared" si="340"/>
        <v>0</v>
      </c>
      <c r="L282">
        <f t="shared" si="341"/>
        <v>0</v>
      </c>
    </row>
    <row r="283" spans="1:14" s="65" customFormat="1" hidden="1" outlineLevel="1">
      <c r="A283" s="139">
        <v>44274</v>
      </c>
      <c r="B283" s="139">
        <v>44277</v>
      </c>
      <c r="C283" s="123"/>
      <c r="D283" s="124">
        <v>71301</v>
      </c>
      <c r="E283" s="146">
        <f t="shared" si="332"/>
        <v>1580951</v>
      </c>
      <c r="F283" s="146"/>
      <c r="G283" s="80">
        <f t="shared" si="333"/>
        <v>397859</v>
      </c>
      <c r="H283" s="80">
        <f t="shared" si="338"/>
        <v>3</v>
      </c>
      <c r="I283">
        <f t="shared" si="339"/>
        <v>3</v>
      </c>
      <c r="J283" s="65" t="s">
        <v>420</v>
      </c>
      <c r="K283">
        <f t="shared" si="340"/>
        <v>0</v>
      </c>
      <c r="L283">
        <f t="shared" si="341"/>
        <v>0</v>
      </c>
      <c r="N283" s="141"/>
    </row>
    <row r="284" spans="1:14" s="65" customFormat="1" hidden="1" outlineLevel="1">
      <c r="A284" s="139">
        <v>44274</v>
      </c>
      <c r="B284" s="139">
        <v>44279</v>
      </c>
      <c r="C284" s="123"/>
      <c r="D284" s="124">
        <v>70600</v>
      </c>
      <c r="E284" s="146">
        <f t="shared" si="332"/>
        <v>1510351</v>
      </c>
      <c r="F284" s="146"/>
      <c r="G284" s="80">
        <f t="shared" si="333"/>
        <v>397859</v>
      </c>
      <c r="H284" s="80">
        <f t="shared" si="338"/>
        <v>5</v>
      </c>
      <c r="I284">
        <f t="shared" si="339"/>
        <v>5</v>
      </c>
      <c r="J284" s="65" t="s">
        <v>420</v>
      </c>
      <c r="K284">
        <f t="shared" si="340"/>
        <v>0</v>
      </c>
      <c r="L284">
        <f t="shared" si="341"/>
        <v>0</v>
      </c>
      <c r="N284" s="141"/>
    </row>
    <row r="285" spans="1:14" s="65" customFormat="1" hidden="1" outlineLevel="1">
      <c r="A285" s="139">
        <v>44274</v>
      </c>
      <c r="B285" s="139">
        <v>44277</v>
      </c>
      <c r="C285" s="123">
        <v>105050</v>
      </c>
      <c r="D285" s="124">
        <v>105070</v>
      </c>
      <c r="E285" s="146">
        <f t="shared" si="332"/>
        <v>1510331</v>
      </c>
      <c r="F285" s="146">
        <f>C285-D285</f>
        <v>-20</v>
      </c>
      <c r="G285" s="80">
        <f t="shared" si="333"/>
        <v>397839</v>
      </c>
      <c r="H285" s="80">
        <f t="shared" si="338"/>
        <v>3</v>
      </c>
      <c r="I285">
        <f t="shared" si="339"/>
        <v>3</v>
      </c>
      <c r="J285" s="65" t="s">
        <v>223</v>
      </c>
      <c r="K285">
        <f t="shared" si="340"/>
        <v>0</v>
      </c>
      <c r="L285">
        <f t="shared" si="341"/>
        <v>0</v>
      </c>
      <c r="M285" s="65" t="s">
        <v>2381</v>
      </c>
    </row>
    <row r="286" spans="1:14" s="65" customFormat="1" hidden="1" outlineLevel="1">
      <c r="A286" s="139">
        <v>44274</v>
      </c>
      <c r="B286" s="139">
        <v>44279</v>
      </c>
      <c r="C286" s="123">
        <v>35050</v>
      </c>
      <c r="D286" s="124">
        <v>35070</v>
      </c>
      <c r="E286" s="146">
        <f t="shared" si="332"/>
        <v>1510311</v>
      </c>
      <c r="F286" s="146">
        <f>C286-D286</f>
        <v>-20</v>
      </c>
      <c r="G286" s="80">
        <f t="shared" si="333"/>
        <v>397819</v>
      </c>
      <c r="H286" s="80">
        <f t="shared" si="338"/>
        <v>5</v>
      </c>
      <c r="I286">
        <f t="shared" si="339"/>
        <v>5</v>
      </c>
      <c r="J286" s="65" t="s">
        <v>44</v>
      </c>
      <c r="K286">
        <f t="shared" ref="K286:K287" si="342">IF(F286&gt;0,(H286*$F286)/365.25,0)</f>
        <v>0</v>
      </c>
      <c r="L286">
        <f t="shared" ref="L286:L287" si="343">IF(F286&gt;0,(I286*$F286)/365.25,0)</f>
        <v>0</v>
      </c>
      <c r="M286" s="65" t="s">
        <v>2381</v>
      </c>
    </row>
    <row r="287" spans="1:14" s="65" customFormat="1" hidden="1" outlineLevel="1">
      <c r="A287" s="139">
        <v>44274</v>
      </c>
      <c r="B287" s="139">
        <v>44277</v>
      </c>
      <c r="C287" s="123">
        <v>71483</v>
      </c>
      <c r="D287" s="124"/>
      <c r="E287" s="146">
        <f t="shared" si="332"/>
        <v>1581794</v>
      </c>
      <c r="F287" s="146">
        <f>-D283+C287</f>
        <v>182</v>
      </c>
      <c r="G287" s="80">
        <f t="shared" si="333"/>
        <v>398001</v>
      </c>
      <c r="H287" s="80">
        <f t="shared" si="338"/>
        <v>3</v>
      </c>
      <c r="I287">
        <f t="shared" si="339"/>
        <v>3</v>
      </c>
      <c r="J287" s="65" t="s">
        <v>420</v>
      </c>
      <c r="K287">
        <f t="shared" si="342"/>
        <v>1.4948665297741273</v>
      </c>
      <c r="L287">
        <f t="shared" si="343"/>
        <v>1.4948665297741273</v>
      </c>
      <c r="N287" s="141"/>
    </row>
    <row r="288" spans="1:14" s="65" customFormat="1" hidden="1" outlineLevel="1">
      <c r="A288" s="139">
        <v>44274</v>
      </c>
      <c r="B288" s="139">
        <v>44277</v>
      </c>
      <c r="C288" s="123">
        <v>73574</v>
      </c>
      <c r="D288" s="124"/>
      <c r="E288" s="146">
        <f t="shared" si="332"/>
        <v>1655368</v>
      </c>
      <c r="F288" s="146">
        <f>-D281+C288</f>
        <v>-5338</v>
      </c>
      <c r="G288" s="80">
        <f t="shared" si="333"/>
        <v>392663</v>
      </c>
      <c r="H288" s="80">
        <f t="shared" si="338"/>
        <v>3</v>
      </c>
      <c r="I288">
        <f t="shared" si="339"/>
        <v>3</v>
      </c>
      <c r="J288" s="65" t="s">
        <v>418</v>
      </c>
      <c r="K288">
        <f t="shared" ref="K288" si="344">IF(F288&gt;0,(H288*$F288)/365.25,0)</f>
        <v>0</v>
      </c>
      <c r="L288">
        <f t="shared" ref="L288" si="345">IF(F288&gt;0,(I288*$F288)/365.25,0)</f>
        <v>0</v>
      </c>
    </row>
    <row r="289" spans="1:14" s="65" customFormat="1" hidden="1" outlineLevel="1">
      <c r="A289" s="139">
        <v>44277</v>
      </c>
      <c r="B289" s="139">
        <v>44390</v>
      </c>
      <c r="C289" s="123"/>
      <c r="D289" s="124">
        <v>74105</v>
      </c>
      <c r="E289" s="146">
        <f t="shared" si="332"/>
        <v>1581263</v>
      </c>
      <c r="F289" s="146"/>
      <c r="G289" s="80">
        <f t="shared" si="333"/>
        <v>392663</v>
      </c>
      <c r="H289" s="80">
        <f t="shared" si="338"/>
        <v>113</v>
      </c>
      <c r="I289">
        <f t="shared" si="339"/>
        <v>113</v>
      </c>
      <c r="J289" s="65" t="s">
        <v>1502</v>
      </c>
      <c r="K289">
        <f t="shared" ref="K289" si="346">IF(F289&gt;0,(H289*$F289)/365.25,0)</f>
        <v>0</v>
      </c>
      <c r="L289">
        <f t="shared" ref="L289" si="347">IF(F289&gt;0,(I289*$F289)/365.25,0)</f>
        <v>0</v>
      </c>
    </row>
    <row r="290" spans="1:14" s="65" customFormat="1" hidden="1" outlineLevel="1">
      <c r="A290" s="139">
        <v>44278</v>
      </c>
      <c r="B290" s="139">
        <v>44413</v>
      </c>
      <c r="C290" s="123"/>
      <c r="D290" s="124">
        <v>109656</v>
      </c>
      <c r="E290" s="146">
        <f t="shared" si="332"/>
        <v>1471607</v>
      </c>
      <c r="F290" s="146"/>
      <c r="G290" s="80">
        <f t="shared" si="333"/>
        <v>392663</v>
      </c>
      <c r="H290" s="80">
        <f t="shared" si="338"/>
        <v>135</v>
      </c>
      <c r="I290">
        <f t="shared" si="339"/>
        <v>135</v>
      </c>
      <c r="J290" s="65" t="s">
        <v>1503</v>
      </c>
      <c r="K290">
        <f t="shared" ref="K290:K295" si="348">IF(F290&gt;0,(H290*$F290)/365.25,0)</f>
        <v>0</v>
      </c>
      <c r="L290">
        <f t="shared" ref="L290:L295" si="349">IF(F290&gt;0,(I290*$F290)/365.25,0)</f>
        <v>0</v>
      </c>
    </row>
    <row r="291" spans="1:14" s="65" customFormat="1" hidden="1" outlineLevel="1">
      <c r="A291" s="139">
        <v>44278</v>
      </c>
      <c r="B291" s="139"/>
      <c r="C291" s="123"/>
      <c r="D291" s="124">
        <v>113561</v>
      </c>
      <c r="E291" s="146">
        <f t="shared" si="332"/>
        <v>1358046</v>
      </c>
      <c r="F291" s="146"/>
      <c r="G291" s="80">
        <f t="shared" si="333"/>
        <v>392663</v>
      </c>
      <c r="H291" s="80"/>
      <c r="I291">
        <f t="shared" ca="1" si="339"/>
        <v>2032</v>
      </c>
      <c r="J291" s="65" t="s">
        <v>1504</v>
      </c>
      <c r="K291">
        <f t="shared" si="348"/>
        <v>0</v>
      </c>
      <c r="L291">
        <f t="shared" si="349"/>
        <v>0</v>
      </c>
    </row>
    <row r="292" spans="1:14" s="65" customFormat="1" hidden="1" outlineLevel="1">
      <c r="A292" s="139">
        <v>44274</v>
      </c>
      <c r="B292" s="139">
        <v>44279</v>
      </c>
      <c r="C292" s="123">
        <v>78651</v>
      </c>
      <c r="D292" s="124"/>
      <c r="E292" s="146">
        <f t="shared" si="332"/>
        <v>1436697</v>
      </c>
      <c r="F292" s="146">
        <f>-D284+C292</f>
        <v>8051</v>
      </c>
      <c r="G292" s="80">
        <f t="shared" si="333"/>
        <v>400714</v>
      </c>
      <c r="H292" s="80">
        <f t="shared" si="338"/>
        <v>5</v>
      </c>
      <c r="I292">
        <f t="shared" si="339"/>
        <v>5</v>
      </c>
      <c r="J292" s="65" t="s">
        <v>2418</v>
      </c>
      <c r="K292">
        <f t="shared" si="348"/>
        <v>110.21218343600273</v>
      </c>
      <c r="L292">
        <f t="shared" si="349"/>
        <v>110.21218343600273</v>
      </c>
    </row>
    <row r="293" spans="1:14" s="65" customFormat="1" hidden="1" outlineLevel="1">
      <c r="A293" s="139">
        <v>44281</v>
      </c>
      <c r="B293" s="139"/>
      <c r="C293" s="123"/>
      <c r="D293" s="124">
        <v>150328</v>
      </c>
      <c r="E293" s="146">
        <f t="shared" si="332"/>
        <v>1286369</v>
      </c>
      <c r="F293" s="146"/>
      <c r="G293" s="80">
        <f t="shared" si="333"/>
        <v>400714</v>
      </c>
      <c r="H293" s="80"/>
      <c r="I293">
        <f t="shared" ca="1" si="339"/>
        <v>2029</v>
      </c>
      <c r="J293" s="65" t="s">
        <v>1506</v>
      </c>
      <c r="K293">
        <f t="shared" si="348"/>
        <v>0</v>
      </c>
      <c r="L293">
        <f t="shared" si="349"/>
        <v>0</v>
      </c>
    </row>
    <row r="294" spans="1:14" s="65" customFormat="1" hidden="1" outlineLevel="1">
      <c r="A294" s="139">
        <v>44272</v>
      </c>
      <c r="B294" s="139">
        <v>44281</v>
      </c>
      <c r="C294" s="123">
        <v>104039</v>
      </c>
      <c r="D294" s="124"/>
      <c r="E294" s="146">
        <f t="shared" ref="E294" si="350">E293+C294-D294</f>
        <v>1390408</v>
      </c>
      <c r="F294" s="146">
        <f>-D277+C294</f>
        <v>-3614</v>
      </c>
      <c r="G294" s="80">
        <f t="shared" si="333"/>
        <v>397100</v>
      </c>
      <c r="H294" s="80">
        <f t="shared" si="338"/>
        <v>9</v>
      </c>
      <c r="I294">
        <f t="shared" si="339"/>
        <v>9</v>
      </c>
      <c r="J294" s="65" t="s">
        <v>2404</v>
      </c>
      <c r="K294">
        <f t="shared" si="348"/>
        <v>0</v>
      </c>
      <c r="L294">
        <f t="shared" si="349"/>
        <v>0</v>
      </c>
    </row>
    <row r="295" spans="1:14" s="65" customFormat="1" hidden="1" outlineLevel="1">
      <c r="A295" s="139">
        <v>44281</v>
      </c>
      <c r="B295" s="139">
        <v>44292</v>
      </c>
      <c r="C295" s="123"/>
      <c r="D295" s="124">
        <v>41358</v>
      </c>
      <c r="E295" s="146">
        <f t="shared" ref="E295:E301" si="351">E294+C295-D295</f>
        <v>1349050</v>
      </c>
      <c r="F295" s="146"/>
      <c r="G295" s="80">
        <f t="shared" si="333"/>
        <v>397100</v>
      </c>
      <c r="H295" s="80">
        <f t="shared" ref="H295:H299" si="352">IF(B295="",DATEDIF(A295,$G$1,"d"),DATEDIF(A295,B295,"d"))</f>
        <v>11</v>
      </c>
      <c r="I295">
        <f t="shared" ref="I295:I301" si="353">IF(B295="",$C$1-A295,H295)</f>
        <v>11</v>
      </c>
      <c r="J295" s="65" t="s">
        <v>1505</v>
      </c>
      <c r="K295">
        <f t="shared" si="348"/>
        <v>0</v>
      </c>
      <c r="L295">
        <f t="shared" si="349"/>
        <v>0</v>
      </c>
    </row>
    <row r="296" spans="1:14" s="65" customFormat="1" hidden="1" outlineLevel="1">
      <c r="A296" s="139">
        <v>44284</v>
      </c>
      <c r="B296" s="139">
        <v>44292</v>
      </c>
      <c r="C296" s="123"/>
      <c r="D296" s="124">
        <v>598852</v>
      </c>
      <c r="E296" s="146">
        <f t="shared" si="351"/>
        <v>750198</v>
      </c>
      <c r="F296" s="146"/>
      <c r="G296" s="80">
        <f t="shared" si="333"/>
        <v>397100</v>
      </c>
      <c r="H296" s="80">
        <f t="shared" si="352"/>
        <v>8</v>
      </c>
      <c r="I296">
        <f t="shared" si="353"/>
        <v>8</v>
      </c>
      <c r="J296" s="65" t="s">
        <v>1507</v>
      </c>
      <c r="K296">
        <f t="shared" ref="K296:K297" si="354">IF(F296&gt;0,(H296*$F296)/365.25,0)</f>
        <v>0</v>
      </c>
      <c r="L296">
        <f t="shared" ref="L296:L297" si="355">IF(F296&gt;0,(I296*$F296)/365.25,0)</f>
        <v>0</v>
      </c>
    </row>
    <row r="297" spans="1:14" s="65" customFormat="1" hidden="1" outlineLevel="1">
      <c r="A297" s="139">
        <v>44285</v>
      </c>
      <c r="B297" s="139">
        <v>44292</v>
      </c>
      <c r="C297" s="123"/>
      <c r="D297" s="124">
        <v>35750</v>
      </c>
      <c r="E297" s="146">
        <f t="shared" si="351"/>
        <v>714448</v>
      </c>
      <c r="F297" s="146"/>
      <c r="G297" s="80">
        <f t="shared" si="333"/>
        <v>397100</v>
      </c>
      <c r="H297" s="80">
        <f t="shared" si="352"/>
        <v>7</v>
      </c>
      <c r="I297">
        <f t="shared" si="353"/>
        <v>7</v>
      </c>
      <c r="J297" s="65" t="s">
        <v>1508</v>
      </c>
      <c r="K297">
        <f t="shared" si="354"/>
        <v>0</v>
      </c>
      <c r="L297">
        <f t="shared" si="355"/>
        <v>0</v>
      </c>
    </row>
    <row r="298" spans="1:14" s="65" customFormat="1" hidden="1" outlineLevel="1">
      <c r="A298" s="139">
        <v>44285</v>
      </c>
      <c r="B298" s="139">
        <v>44571</v>
      </c>
      <c r="C298" s="123"/>
      <c r="D298" s="124">
        <v>30142</v>
      </c>
      <c r="E298" s="146">
        <f t="shared" si="351"/>
        <v>684306</v>
      </c>
      <c r="F298" s="146"/>
      <c r="G298" s="80">
        <f t="shared" si="333"/>
        <v>397100</v>
      </c>
      <c r="H298" s="80"/>
      <c r="I298">
        <f t="shared" si="353"/>
        <v>0</v>
      </c>
      <c r="J298" s="65" t="s">
        <v>2398</v>
      </c>
      <c r="K298">
        <f t="shared" ref="K298:K311" si="356">IF(F298&gt;0,(H298*$F298)/365.25,0)</f>
        <v>0</v>
      </c>
      <c r="L298">
        <f t="shared" ref="L298:L311" si="357">IF(F298&gt;0,(I298*$F298)/365.25,0)</f>
        <v>0</v>
      </c>
      <c r="N298" s="141"/>
    </row>
    <row r="299" spans="1:14" s="65" customFormat="1" hidden="1" outlineLevel="1">
      <c r="A299" s="139">
        <v>44285</v>
      </c>
      <c r="B299" s="139">
        <v>44292</v>
      </c>
      <c r="C299" s="123"/>
      <c r="D299" s="124">
        <v>64491</v>
      </c>
      <c r="E299" s="146">
        <f t="shared" si="351"/>
        <v>619815</v>
      </c>
      <c r="F299" s="146"/>
      <c r="G299" s="80">
        <f t="shared" si="333"/>
        <v>397100</v>
      </c>
      <c r="H299" s="80">
        <f t="shared" si="352"/>
        <v>7</v>
      </c>
      <c r="I299">
        <f t="shared" si="353"/>
        <v>7</v>
      </c>
      <c r="J299" s="65" t="s">
        <v>2399</v>
      </c>
      <c r="K299">
        <f t="shared" si="356"/>
        <v>0</v>
      </c>
      <c r="L299">
        <f t="shared" si="357"/>
        <v>0</v>
      </c>
    </row>
    <row r="300" spans="1:14" s="65" customFormat="1" hidden="1" outlineLevel="1">
      <c r="A300" s="139">
        <v>44293</v>
      </c>
      <c r="B300" s="139">
        <v>44293</v>
      </c>
      <c r="C300" s="123">
        <v>41050</v>
      </c>
      <c r="D300" s="124">
        <v>41070</v>
      </c>
      <c r="E300" s="146">
        <f t="shared" si="351"/>
        <v>619795</v>
      </c>
      <c r="F300" s="146">
        <f>C300-D300</f>
        <v>-20</v>
      </c>
      <c r="G300" s="80">
        <f t="shared" si="333"/>
        <v>397080</v>
      </c>
      <c r="H300" s="80">
        <f t="shared" ref="H300:H301" si="358">IF(B300="",$C$1-A300,DATEDIF(A300,B300,"d"))</f>
        <v>0</v>
      </c>
      <c r="I300">
        <f t="shared" si="353"/>
        <v>0</v>
      </c>
      <c r="J300" s="65" t="s">
        <v>1537</v>
      </c>
      <c r="K300">
        <f t="shared" si="356"/>
        <v>0</v>
      </c>
      <c r="L300">
        <f t="shared" si="357"/>
        <v>0</v>
      </c>
      <c r="M300" s="65" t="s">
        <v>2381</v>
      </c>
    </row>
    <row r="301" spans="1:14" s="65" customFormat="1" hidden="1" outlineLevel="1">
      <c r="A301" s="139">
        <v>44287</v>
      </c>
      <c r="B301" s="139">
        <v>44292</v>
      </c>
      <c r="C301" s="123"/>
      <c r="D301" s="124">
        <v>41358</v>
      </c>
      <c r="E301" s="146">
        <f t="shared" si="351"/>
        <v>578437</v>
      </c>
      <c r="F301" s="146"/>
      <c r="G301" s="80">
        <f>G300+F301</f>
        <v>397080</v>
      </c>
      <c r="H301" s="80">
        <f t="shared" si="358"/>
        <v>5</v>
      </c>
      <c r="I301">
        <f t="shared" si="353"/>
        <v>5</v>
      </c>
      <c r="J301" s="65" t="s">
        <v>1509</v>
      </c>
      <c r="K301">
        <f t="shared" si="356"/>
        <v>0</v>
      </c>
      <c r="L301">
        <f t="shared" si="357"/>
        <v>0</v>
      </c>
    </row>
    <row r="302" spans="1:14" s="65" customFormat="1" hidden="1" outlineLevel="1">
      <c r="A302" s="139">
        <v>44272</v>
      </c>
      <c r="B302" s="139">
        <v>44287</v>
      </c>
      <c r="C302" s="123">
        <v>44801</v>
      </c>
      <c r="D302" s="124"/>
      <c r="E302" s="146">
        <f t="shared" ref="E302:E303" si="359">E301+C302-D302</f>
        <v>623238</v>
      </c>
      <c r="F302" s="146">
        <f>-D278+C302</f>
        <v>2191</v>
      </c>
      <c r="G302" s="80">
        <f t="shared" si="333"/>
        <v>399271</v>
      </c>
      <c r="H302" s="80">
        <f t="shared" ref="H302:H303" si="360">IF(B302="",$C$1-A302,DATEDIF(A302,B302,"d"))</f>
        <v>15</v>
      </c>
      <c r="I302">
        <f t="shared" ref="I302:I303" si="361">IF(B302="",$C$1-A302,H302)</f>
        <v>15</v>
      </c>
      <c r="J302" s="65" t="s">
        <v>416</v>
      </c>
      <c r="K302">
        <f t="shared" si="356"/>
        <v>89.979466119096514</v>
      </c>
      <c r="L302">
        <f t="shared" si="357"/>
        <v>89.979466119096514</v>
      </c>
    </row>
    <row r="303" spans="1:14" s="65" customFormat="1" hidden="1" outlineLevel="1">
      <c r="A303" s="139">
        <v>44274</v>
      </c>
      <c r="B303" s="139">
        <v>44287</v>
      </c>
      <c r="C303" s="123">
        <v>44254</v>
      </c>
      <c r="D303" s="124"/>
      <c r="E303" s="146">
        <f t="shared" si="359"/>
        <v>667492</v>
      </c>
      <c r="F303" s="146">
        <f>-D280+C303</f>
        <v>592</v>
      </c>
      <c r="G303" s="80">
        <f t="shared" si="333"/>
        <v>399863</v>
      </c>
      <c r="H303" s="80">
        <f t="shared" si="360"/>
        <v>13</v>
      </c>
      <c r="I303">
        <f t="shared" si="361"/>
        <v>13</v>
      </c>
      <c r="J303" s="65" t="s">
        <v>417</v>
      </c>
      <c r="K303">
        <f t="shared" si="356"/>
        <v>21.07049965776865</v>
      </c>
      <c r="L303">
        <f t="shared" si="357"/>
        <v>21.07049965776865</v>
      </c>
    </row>
    <row r="304" spans="1:14" s="65" customFormat="1" hidden="1" outlineLevel="1">
      <c r="A304" s="139">
        <v>44274</v>
      </c>
      <c r="B304" s="139">
        <v>44292</v>
      </c>
      <c r="C304" s="123">
        <v>64116</v>
      </c>
      <c r="D304" s="124"/>
      <c r="E304" s="146">
        <f t="shared" ref="E304:E311" si="362">E303+C304-D304</f>
        <v>731608</v>
      </c>
      <c r="F304" s="146">
        <f>-D282+C304</f>
        <v>12743</v>
      </c>
      <c r="G304" s="80">
        <f t="shared" si="333"/>
        <v>412606</v>
      </c>
      <c r="H304" s="80">
        <f t="shared" ref="H304:H310" si="363">IF(B304="",$C$1-A304,DATEDIF(A304,B304,"d"))</f>
        <v>18</v>
      </c>
      <c r="I304">
        <f t="shared" ref="I304:I310" si="364">IF(B304="",$C$1-A304,H304)</f>
        <v>18</v>
      </c>
      <c r="J304" s="65" t="s">
        <v>419</v>
      </c>
      <c r="K304">
        <f t="shared" si="356"/>
        <v>627.99178644763856</v>
      </c>
      <c r="L304">
        <f t="shared" si="357"/>
        <v>627.99178644763856</v>
      </c>
    </row>
    <row r="305" spans="1:14" s="65" customFormat="1" hidden="1" outlineLevel="1">
      <c r="A305" s="139">
        <v>44281</v>
      </c>
      <c r="B305" s="139">
        <v>44292</v>
      </c>
      <c r="C305" s="123">
        <v>45400</v>
      </c>
      <c r="D305" s="124"/>
      <c r="E305" s="146">
        <f t="shared" si="362"/>
        <v>777008</v>
      </c>
      <c r="F305" s="146">
        <f>-D295+C305</f>
        <v>4042</v>
      </c>
      <c r="G305" s="80">
        <f t="shared" si="333"/>
        <v>416648</v>
      </c>
      <c r="H305" s="80">
        <f t="shared" si="363"/>
        <v>11</v>
      </c>
      <c r="I305">
        <f t="shared" si="364"/>
        <v>11</v>
      </c>
      <c r="J305" s="65" t="s">
        <v>1505</v>
      </c>
      <c r="K305">
        <f t="shared" si="356"/>
        <v>121.73032169746749</v>
      </c>
      <c r="L305">
        <f t="shared" si="357"/>
        <v>121.73032169746749</v>
      </c>
    </row>
    <row r="306" spans="1:14" s="65" customFormat="1" hidden="1" outlineLevel="1">
      <c r="A306" s="139">
        <v>44284</v>
      </c>
      <c r="B306" s="139">
        <v>44292</v>
      </c>
      <c r="C306" s="123">
        <v>607301</v>
      </c>
      <c r="D306" s="124"/>
      <c r="E306" s="146">
        <f t="shared" si="362"/>
        <v>1384309</v>
      </c>
      <c r="F306" s="146">
        <f>-D296+C306</f>
        <v>8449</v>
      </c>
      <c r="G306" s="80">
        <f t="shared" si="333"/>
        <v>425097</v>
      </c>
      <c r="H306" s="80">
        <f t="shared" si="363"/>
        <v>8</v>
      </c>
      <c r="I306">
        <f t="shared" si="364"/>
        <v>8</v>
      </c>
      <c r="J306" s="65" t="s">
        <v>1507</v>
      </c>
      <c r="K306">
        <f t="shared" si="356"/>
        <v>185.056810403833</v>
      </c>
      <c r="L306">
        <f t="shared" si="357"/>
        <v>185.056810403833</v>
      </c>
    </row>
    <row r="307" spans="1:14" s="65" customFormat="1" hidden="1" outlineLevel="1">
      <c r="A307" s="139">
        <v>44285</v>
      </c>
      <c r="B307" s="139">
        <v>44292</v>
      </c>
      <c r="C307" s="123">
        <v>34100</v>
      </c>
      <c r="D307" s="124"/>
      <c r="E307" s="146">
        <f t="shared" si="362"/>
        <v>1418409</v>
      </c>
      <c r="F307" s="146">
        <f>-D297+C307</f>
        <v>-1650</v>
      </c>
      <c r="G307" s="80">
        <f t="shared" si="333"/>
        <v>423447</v>
      </c>
      <c r="H307" s="80">
        <f t="shared" si="363"/>
        <v>7</v>
      </c>
      <c r="I307">
        <f t="shared" si="364"/>
        <v>7</v>
      </c>
      <c r="J307" s="65" t="s">
        <v>1508</v>
      </c>
      <c r="K307">
        <f t="shared" si="356"/>
        <v>0</v>
      </c>
      <c r="L307">
        <f t="shared" si="357"/>
        <v>0</v>
      </c>
    </row>
    <row r="308" spans="1:14" s="65" customFormat="1" collapsed="1">
      <c r="A308" s="139">
        <v>44285</v>
      </c>
      <c r="B308" s="139">
        <v>44292</v>
      </c>
      <c r="C308" s="123">
        <v>58142</v>
      </c>
      <c r="D308" s="124"/>
      <c r="E308" s="146">
        <f t="shared" si="362"/>
        <v>1476551</v>
      </c>
      <c r="F308" s="146">
        <f>-D299+C308</f>
        <v>-6349</v>
      </c>
      <c r="G308" s="80">
        <f t="shared" si="333"/>
        <v>417098</v>
      </c>
      <c r="H308" s="80">
        <f t="shared" si="363"/>
        <v>7</v>
      </c>
      <c r="I308">
        <f t="shared" si="364"/>
        <v>7</v>
      </c>
      <c r="J308" s="65" t="s">
        <v>2399</v>
      </c>
      <c r="K308">
        <f t="shared" si="356"/>
        <v>0</v>
      </c>
      <c r="L308">
        <f t="shared" si="357"/>
        <v>0</v>
      </c>
    </row>
    <row r="309" spans="1:14" s="65" customFormat="1" hidden="1" outlineLevel="1">
      <c r="A309" s="139">
        <v>44287</v>
      </c>
      <c r="B309" s="139">
        <v>44292</v>
      </c>
      <c r="C309" s="123">
        <v>41815</v>
      </c>
      <c r="D309" s="124"/>
      <c r="E309" s="146">
        <f t="shared" si="362"/>
        <v>1518366</v>
      </c>
      <c r="F309" s="146">
        <f>-D301+C309</f>
        <v>457</v>
      </c>
      <c r="G309" s="80">
        <f t="shared" si="333"/>
        <v>417555</v>
      </c>
      <c r="H309" s="80">
        <f t="shared" si="363"/>
        <v>5</v>
      </c>
      <c r="I309">
        <f t="shared" si="364"/>
        <v>5</v>
      </c>
      <c r="J309" s="65" t="s">
        <v>1509</v>
      </c>
      <c r="K309">
        <f t="shared" si="356"/>
        <v>6.2559890485968515</v>
      </c>
      <c r="L309">
        <f t="shared" si="357"/>
        <v>6.2559890485968515</v>
      </c>
    </row>
    <row r="310" spans="1:14" s="65" customFormat="1" hidden="1" outlineLevel="1">
      <c r="A310" s="139">
        <v>44292</v>
      </c>
      <c r="B310" s="139">
        <v>44308</v>
      </c>
      <c r="C310" s="123"/>
      <c r="D310" s="124">
        <v>57682</v>
      </c>
      <c r="E310" s="146">
        <f t="shared" si="362"/>
        <v>1460684</v>
      </c>
      <c r="F310" s="146"/>
      <c r="G310" s="80">
        <f t="shared" si="333"/>
        <v>417555</v>
      </c>
      <c r="H310" s="80">
        <f t="shared" si="363"/>
        <v>16</v>
      </c>
      <c r="I310">
        <f t="shared" si="364"/>
        <v>16</v>
      </c>
      <c r="J310" s="65" t="s">
        <v>1510</v>
      </c>
      <c r="K310">
        <f t="shared" si="356"/>
        <v>0</v>
      </c>
      <c r="L310">
        <f t="shared" si="357"/>
        <v>0</v>
      </c>
    </row>
    <row r="311" spans="1:14" s="65" customFormat="1" hidden="1" outlineLevel="1">
      <c r="A311" s="147">
        <v>44295</v>
      </c>
      <c r="B311" s="147"/>
      <c r="C311" s="148">
        <v>2211</v>
      </c>
      <c r="D311" s="149"/>
      <c r="E311" s="150">
        <f t="shared" si="362"/>
        <v>1462895</v>
      </c>
      <c r="F311" s="150">
        <f t="shared" ref="F311" si="365">C311-D311</f>
        <v>2211</v>
      </c>
      <c r="G311" s="151">
        <f>G310+F311</f>
        <v>419766</v>
      </c>
      <c r="H311" s="151">
        <f>IF(B311="",DATEDIF(A311,$F$1,"d"),DATEDIF(A311,B311,"d"))</f>
        <v>266</v>
      </c>
      <c r="I311" s="152">
        <f ca="1">IF(B311="",$C$1-A311,H311)</f>
        <v>2015</v>
      </c>
      <c r="J311" s="152" t="s">
        <v>84</v>
      </c>
      <c r="K311" s="152">
        <f t="shared" si="356"/>
        <v>1610.2012320328543</v>
      </c>
      <c r="L311" s="152">
        <f t="shared" ca="1" si="357"/>
        <v>12197.577002053387</v>
      </c>
      <c r="M311" s="152"/>
    </row>
    <row r="312" spans="1:14" s="65" customFormat="1" hidden="1" outlineLevel="1">
      <c r="A312" s="139">
        <v>44293</v>
      </c>
      <c r="B312" s="139">
        <v>44299</v>
      </c>
      <c r="C312" s="123"/>
      <c r="D312" s="124">
        <v>100643</v>
      </c>
      <c r="E312" s="146">
        <f t="shared" ref="E312:E317" si="366">E311+C312-D312</f>
        <v>1362252</v>
      </c>
      <c r="F312" s="146"/>
      <c r="G312" s="80">
        <f t="shared" si="333"/>
        <v>419766</v>
      </c>
      <c r="H312" s="80">
        <f t="shared" ref="H312:H313" si="367">IF(B312="",$C$1-A312,DATEDIF(A312,B312,"d"))</f>
        <v>6</v>
      </c>
      <c r="I312">
        <f t="shared" ref="I312:I313" si="368">IF(B312="",$C$1-A312,H312)</f>
        <v>6</v>
      </c>
      <c r="J312" s="65" t="s">
        <v>1511</v>
      </c>
      <c r="K312">
        <f t="shared" ref="K312" si="369">IF(F312&gt;0,(H312*$F312)/365.25,0)</f>
        <v>0</v>
      </c>
      <c r="L312">
        <f t="shared" ref="L312" si="370">IF(F312&gt;0,(I312*$F312)/365.25,0)</f>
        <v>0</v>
      </c>
    </row>
    <row r="313" spans="1:14" s="65" customFormat="1" hidden="1" outlineLevel="1">
      <c r="A313" s="139">
        <v>44293</v>
      </c>
      <c r="B313" s="139">
        <v>44558</v>
      </c>
      <c r="C313" s="123"/>
      <c r="D313" s="124">
        <v>280899</v>
      </c>
      <c r="E313" s="146">
        <f t="shared" si="366"/>
        <v>1081353</v>
      </c>
      <c r="F313" s="146"/>
      <c r="G313" s="80">
        <f t="shared" si="333"/>
        <v>419766</v>
      </c>
      <c r="H313" s="80">
        <f t="shared" si="367"/>
        <v>265</v>
      </c>
      <c r="I313">
        <f t="shared" si="368"/>
        <v>265</v>
      </c>
      <c r="J313" s="65" t="s">
        <v>1512</v>
      </c>
      <c r="K313">
        <f t="shared" ref="K313:K318" si="371">IF(F313&gt;0,(H313*$F313)/365.25,0)</f>
        <v>0</v>
      </c>
      <c r="L313">
        <f t="shared" ref="L313:L318" si="372">IF(F313&gt;0,(I313*$F313)/365.25,0)</f>
        <v>0</v>
      </c>
    </row>
    <row r="314" spans="1:14" s="65" customFormat="1" hidden="1" outlineLevel="1">
      <c r="B314" s="139">
        <v>44299</v>
      </c>
      <c r="C314" s="123"/>
      <c r="D314" s="124">
        <v>118668</v>
      </c>
      <c r="E314" s="146">
        <f t="shared" si="366"/>
        <v>962685</v>
      </c>
      <c r="F314" s="146"/>
      <c r="G314" s="80">
        <f t="shared" si="333"/>
        <v>419766</v>
      </c>
      <c r="H314" s="80">
        <f>IF(B314="",$C$1-A323,DATEDIF(A323,B314,"d"))</f>
        <v>6</v>
      </c>
      <c r="I314">
        <f>IF(B314="",$C$1-A323,H314)</f>
        <v>6</v>
      </c>
      <c r="J314" s="65" t="s">
        <v>1513</v>
      </c>
      <c r="K314">
        <f t="shared" si="371"/>
        <v>0</v>
      </c>
      <c r="L314">
        <f t="shared" si="372"/>
        <v>0</v>
      </c>
    </row>
    <row r="315" spans="1:14" s="65" customFormat="1" hidden="1" outlineLevel="1">
      <c r="A315" s="139">
        <v>44293</v>
      </c>
      <c r="B315" s="139"/>
      <c r="C315" s="123"/>
      <c r="D315" s="124">
        <v>165735</v>
      </c>
      <c r="E315" s="146">
        <f t="shared" si="366"/>
        <v>796950</v>
      </c>
      <c r="F315" s="146"/>
      <c r="G315" s="80">
        <f t="shared" si="333"/>
        <v>419766</v>
      </c>
      <c r="H315" s="80">
        <f t="shared" ref="H315:H317" ca="1" si="373">IF(B315="",$C$1-A315,DATEDIF(A315,B315,"d"))</f>
        <v>2017</v>
      </c>
      <c r="I315">
        <f t="shared" ref="I315:I317" ca="1" si="374">IF(B315="",$C$1-A315,H315)</f>
        <v>2017</v>
      </c>
      <c r="J315" s="65" t="s">
        <v>1514</v>
      </c>
      <c r="K315">
        <f t="shared" si="371"/>
        <v>0</v>
      </c>
      <c r="L315">
        <f t="shared" si="372"/>
        <v>0</v>
      </c>
    </row>
    <row r="316" spans="1:14" s="65" customFormat="1" hidden="1" outlineLevel="1">
      <c r="A316" s="139">
        <v>44294</v>
      </c>
      <c r="B316" s="139">
        <v>44294</v>
      </c>
      <c r="C316" s="123">
        <v>46266</v>
      </c>
      <c r="D316" s="124">
        <v>45664</v>
      </c>
      <c r="E316" s="146">
        <f t="shared" si="366"/>
        <v>797552</v>
      </c>
      <c r="F316" s="146">
        <f>-D316+C316</f>
        <v>602</v>
      </c>
      <c r="G316" s="80">
        <f t="shared" si="333"/>
        <v>420368</v>
      </c>
      <c r="H316" s="80">
        <f t="shared" si="373"/>
        <v>0</v>
      </c>
      <c r="I316">
        <f t="shared" si="374"/>
        <v>0</v>
      </c>
      <c r="J316" s="65" t="s">
        <v>1515</v>
      </c>
      <c r="K316">
        <f t="shared" si="371"/>
        <v>0</v>
      </c>
      <c r="L316">
        <f t="shared" si="372"/>
        <v>0</v>
      </c>
      <c r="M316" s="65" t="s">
        <v>413</v>
      </c>
    </row>
    <row r="317" spans="1:14" s="65" customFormat="1" hidden="1" outlineLevel="1">
      <c r="A317" s="139">
        <v>44294</v>
      </c>
      <c r="B317" s="139"/>
      <c r="C317" s="123"/>
      <c r="D317" s="124">
        <v>619882</v>
      </c>
      <c r="E317" s="146">
        <f t="shared" si="366"/>
        <v>177670</v>
      </c>
      <c r="F317" s="146"/>
      <c r="G317" s="80">
        <f t="shared" si="333"/>
        <v>420368</v>
      </c>
      <c r="H317" s="80">
        <f t="shared" ca="1" si="373"/>
        <v>2016</v>
      </c>
      <c r="I317">
        <f t="shared" ca="1" si="374"/>
        <v>2016</v>
      </c>
      <c r="J317" s="65" t="s">
        <v>1516</v>
      </c>
      <c r="K317">
        <f t="shared" si="371"/>
        <v>0</v>
      </c>
      <c r="L317">
        <f t="shared" si="372"/>
        <v>0</v>
      </c>
    </row>
    <row r="318" spans="1:14" s="65" customFormat="1" hidden="1" outlineLevel="1">
      <c r="A318" s="161">
        <v>44300</v>
      </c>
      <c r="B318" s="162"/>
      <c r="C318" s="163">
        <v>1000000</v>
      </c>
      <c r="D318" s="164"/>
      <c r="E318" s="165">
        <f>E317+C318-D318</f>
        <v>1177670</v>
      </c>
      <c r="F318" s="165"/>
      <c r="G318" s="166">
        <f t="shared" ref="G318" si="375">G317+F318</f>
        <v>420368</v>
      </c>
      <c r="H318" s="166">
        <f>IF(B318="",DATEDIF(A318,$F$1,"d"),DATEDIF(A318,B318,"d"))</f>
        <v>261</v>
      </c>
      <c r="I318" s="167">
        <f ca="1">IF(B318="",$C$1-A318,H318)</f>
        <v>2010</v>
      </c>
      <c r="J318" s="168" t="s">
        <v>189</v>
      </c>
      <c r="K318" s="167">
        <f t="shared" si="371"/>
        <v>0</v>
      </c>
      <c r="L318" s="167">
        <f t="shared" si="372"/>
        <v>0</v>
      </c>
      <c r="M318" s="168" t="s">
        <v>190</v>
      </c>
    </row>
    <row r="319" spans="1:14" s="65" customFormat="1" hidden="1" outlineLevel="1">
      <c r="A319" s="139">
        <v>44299</v>
      </c>
      <c r="B319" s="139">
        <v>44312</v>
      </c>
      <c r="C319" s="123"/>
      <c r="D319" s="124">
        <v>58883</v>
      </c>
      <c r="E319" s="146">
        <f>E318+C319-D319</f>
        <v>1118787</v>
      </c>
      <c r="F319" s="146"/>
      <c r="G319" s="80">
        <f t="shared" si="333"/>
        <v>420368</v>
      </c>
      <c r="H319" s="80">
        <f t="shared" ref="H319" si="376">IF(B319="",$C$1-A319,DATEDIF(A319,B319,"d"))</f>
        <v>13</v>
      </c>
      <c r="I319">
        <f t="shared" ref="I319" si="377">IF(B319="",$C$1-A319,H319)</f>
        <v>13</v>
      </c>
      <c r="J319" s="65" t="s">
        <v>1517</v>
      </c>
      <c r="K319">
        <f t="shared" ref="K319" si="378">IF(F319&gt;0,(H319*$F319)/365.25,0)</f>
        <v>0</v>
      </c>
      <c r="L319">
        <f t="shared" ref="L319" si="379">IF(F319&gt;0,(I319*$F319)/365.25,0)</f>
        <v>0</v>
      </c>
      <c r="N319" s="65">
        <v>58883</v>
      </c>
    </row>
    <row r="320" spans="1:14" s="65" customFormat="1" hidden="1" outlineLevel="1">
      <c r="A320" s="139">
        <v>44299</v>
      </c>
      <c r="B320" s="139">
        <v>44308</v>
      </c>
      <c r="C320" s="123"/>
      <c r="D320" s="124">
        <v>49370</v>
      </c>
      <c r="E320" s="146">
        <f t="shared" ref="E320:E323" si="380">E319+C320-D320</f>
        <v>1069417</v>
      </c>
      <c r="F320" s="146"/>
      <c r="G320" s="80">
        <f t="shared" si="333"/>
        <v>420368</v>
      </c>
      <c r="H320" s="80">
        <f t="shared" ref="H320:H331" si="381">IF(B320="",$C$1-A320,DATEDIF(A320,B320,"d"))</f>
        <v>9</v>
      </c>
      <c r="I320">
        <f t="shared" ref="I320:I331" si="382">IF(B320="",$C$1-A320,H320)</f>
        <v>9</v>
      </c>
      <c r="J320" s="65" t="s">
        <v>2409</v>
      </c>
      <c r="K320">
        <f t="shared" ref="K320:K331" si="383">IF(F320&gt;0,(H320*$F320)/365.25,0)</f>
        <v>0</v>
      </c>
      <c r="L320">
        <f t="shared" ref="L320:L331" si="384">IF(F320&gt;0,(I320*$F320)/365.25,0)</f>
        <v>0</v>
      </c>
      <c r="N320" s="65">
        <v>49370</v>
      </c>
    </row>
    <row r="321" spans="1:14" s="65" customFormat="1" hidden="1" outlineLevel="1">
      <c r="A321" s="139">
        <v>44299</v>
      </c>
      <c r="B321" s="139"/>
      <c r="C321" s="123"/>
      <c r="D321" s="124">
        <v>36001</v>
      </c>
      <c r="E321" s="146">
        <f t="shared" si="380"/>
        <v>1033416</v>
      </c>
      <c r="F321" s="146"/>
      <c r="G321" s="80">
        <f t="shared" si="333"/>
        <v>420368</v>
      </c>
      <c r="H321" s="80">
        <f t="shared" ca="1" si="381"/>
        <v>2011</v>
      </c>
      <c r="I321">
        <f t="shared" ca="1" si="382"/>
        <v>2011</v>
      </c>
      <c r="J321" s="65" t="s">
        <v>1518</v>
      </c>
      <c r="K321">
        <f t="shared" si="383"/>
        <v>0</v>
      </c>
      <c r="L321">
        <f t="shared" si="384"/>
        <v>0</v>
      </c>
      <c r="N321" s="65">
        <v>36001</v>
      </c>
    </row>
    <row r="322" spans="1:14" s="65" customFormat="1" hidden="1" outlineLevel="1">
      <c r="A322" s="139">
        <v>44293</v>
      </c>
      <c r="B322" s="139">
        <v>44299</v>
      </c>
      <c r="C322" s="123">
        <v>104039</v>
      </c>
      <c r="D322" s="124"/>
      <c r="E322" s="146">
        <f t="shared" si="380"/>
        <v>1137455</v>
      </c>
      <c r="F322" s="146">
        <f>-D312+C322</f>
        <v>3396</v>
      </c>
      <c r="G322" s="80">
        <f t="shared" si="333"/>
        <v>423764</v>
      </c>
      <c r="H322" s="80">
        <f t="shared" si="381"/>
        <v>6</v>
      </c>
      <c r="I322">
        <f t="shared" si="382"/>
        <v>6</v>
      </c>
      <c r="J322" s="65" t="s">
        <v>2407</v>
      </c>
      <c r="K322">
        <f t="shared" si="383"/>
        <v>55.786447638603697</v>
      </c>
      <c r="L322">
        <f t="shared" si="384"/>
        <v>55.786447638603697</v>
      </c>
    </row>
    <row r="323" spans="1:14" s="65" customFormat="1" hidden="1" outlineLevel="1">
      <c r="A323" s="139">
        <v>44293</v>
      </c>
      <c r="B323" s="139">
        <v>44299</v>
      </c>
      <c r="C323" s="123">
        <v>125443</v>
      </c>
      <c r="D323" s="124"/>
      <c r="E323" s="146">
        <f t="shared" si="380"/>
        <v>1262898</v>
      </c>
      <c r="F323" s="146">
        <f>-D314+C323</f>
        <v>6775</v>
      </c>
      <c r="G323" s="80">
        <f t="shared" si="333"/>
        <v>430539</v>
      </c>
      <c r="H323" s="80">
        <f t="shared" si="381"/>
        <v>6</v>
      </c>
      <c r="I323">
        <f t="shared" si="382"/>
        <v>6</v>
      </c>
      <c r="J323" s="65" t="s">
        <v>1513</v>
      </c>
      <c r="K323">
        <f t="shared" si="383"/>
        <v>111.29363449691992</v>
      </c>
      <c r="L323">
        <f t="shared" si="384"/>
        <v>111.29363449691992</v>
      </c>
    </row>
    <row r="324" spans="1:14" s="65" customFormat="1" hidden="1" outlineLevel="1">
      <c r="A324" s="139">
        <v>44300</v>
      </c>
      <c r="B324" s="139">
        <v>44571</v>
      </c>
      <c r="C324" s="123"/>
      <c r="D324" s="124">
        <v>607864</v>
      </c>
      <c r="E324" s="146">
        <f t="shared" ref="E324:E327" si="385">E323+C324-D324</f>
        <v>655034</v>
      </c>
      <c r="F324" s="146"/>
      <c r="G324" s="80">
        <f t="shared" si="333"/>
        <v>430539</v>
      </c>
      <c r="H324" s="80">
        <f t="shared" si="381"/>
        <v>271</v>
      </c>
      <c r="I324">
        <f t="shared" si="382"/>
        <v>271</v>
      </c>
      <c r="J324" s="65" t="s">
        <v>1507</v>
      </c>
      <c r="K324">
        <f t="shared" si="383"/>
        <v>0</v>
      </c>
      <c r="L324">
        <f t="shared" si="384"/>
        <v>0</v>
      </c>
    </row>
    <row r="325" spans="1:14" s="65" customFormat="1" hidden="1" outlineLevel="1">
      <c r="A325" s="139">
        <v>44300</v>
      </c>
      <c r="B325" s="139"/>
      <c r="C325" s="123"/>
      <c r="D325" s="124">
        <v>204791</v>
      </c>
      <c r="E325" s="146">
        <f t="shared" si="385"/>
        <v>450243</v>
      </c>
      <c r="F325" s="146"/>
      <c r="G325" s="80">
        <f t="shared" si="333"/>
        <v>430539</v>
      </c>
      <c r="H325" s="80">
        <f t="shared" ca="1" si="381"/>
        <v>2010</v>
      </c>
      <c r="I325">
        <f t="shared" ca="1" si="382"/>
        <v>2010</v>
      </c>
      <c r="J325" s="65" t="s">
        <v>1519</v>
      </c>
      <c r="K325">
        <f t="shared" si="383"/>
        <v>0</v>
      </c>
      <c r="L325">
        <f t="shared" si="384"/>
        <v>0</v>
      </c>
    </row>
    <row r="326" spans="1:14" s="65" customFormat="1" hidden="1" outlineLevel="1">
      <c r="A326" s="139">
        <v>44300</v>
      </c>
      <c r="B326" s="139">
        <v>44505</v>
      </c>
      <c r="C326" s="123"/>
      <c r="D326" s="124">
        <v>89877</v>
      </c>
      <c r="E326" s="146">
        <f t="shared" si="385"/>
        <v>360366</v>
      </c>
      <c r="F326" s="146"/>
      <c r="G326" s="80">
        <f t="shared" si="333"/>
        <v>430539</v>
      </c>
      <c r="H326" s="80">
        <f t="shared" si="381"/>
        <v>205</v>
      </c>
      <c r="I326">
        <f t="shared" si="382"/>
        <v>205</v>
      </c>
      <c r="J326" s="65" t="s">
        <v>1520</v>
      </c>
      <c r="K326">
        <f t="shared" si="383"/>
        <v>0</v>
      </c>
      <c r="L326">
        <f t="shared" si="384"/>
        <v>0</v>
      </c>
    </row>
    <row r="327" spans="1:14" s="65" customFormat="1" hidden="1" outlineLevel="1">
      <c r="A327" s="139">
        <v>44300</v>
      </c>
      <c r="B327" s="139">
        <v>44308</v>
      </c>
      <c r="C327" s="123"/>
      <c r="D327" s="124">
        <v>109155</v>
      </c>
      <c r="E327" s="146">
        <f t="shared" si="385"/>
        <v>251211</v>
      </c>
      <c r="F327" s="146"/>
      <c r="G327" s="80">
        <f t="shared" si="333"/>
        <v>430539</v>
      </c>
      <c r="H327" s="80">
        <f t="shared" si="381"/>
        <v>8</v>
      </c>
      <c r="I327">
        <f t="shared" si="382"/>
        <v>8</v>
      </c>
      <c r="J327" s="65" t="s">
        <v>1521</v>
      </c>
      <c r="K327">
        <f t="shared" si="383"/>
        <v>0</v>
      </c>
      <c r="L327">
        <f t="shared" si="384"/>
        <v>0</v>
      </c>
    </row>
    <row r="328" spans="1:14" s="65" customFormat="1" hidden="1" outlineLevel="1">
      <c r="A328" s="139">
        <v>44301</v>
      </c>
      <c r="B328" s="139">
        <v>44308</v>
      </c>
      <c r="C328" s="123"/>
      <c r="D328" s="124">
        <v>115664</v>
      </c>
      <c r="E328" s="146">
        <f t="shared" ref="E328:E330" si="386">E327+C328-D328</f>
        <v>135547</v>
      </c>
      <c r="F328" s="146"/>
      <c r="G328" s="80">
        <f t="shared" si="333"/>
        <v>430539</v>
      </c>
      <c r="H328" s="80">
        <f t="shared" si="381"/>
        <v>7</v>
      </c>
      <c r="I328">
        <f t="shared" si="382"/>
        <v>7</v>
      </c>
      <c r="J328" s="65" t="s">
        <v>1513</v>
      </c>
      <c r="K328">
        <f t="shared" si="383"/>
        <v>0</v>
      </c>
      <c r="L328">
        <f t="shared" si="384"/>
        <v>0</v>
      </c>
    </row>
    <row r="329" spans="1:14" s="65" customFormat="1" hidden="1" outlineLevel="1">
      <c r="A329" s="139">
        <v>44302</v>
      </c>
      <c r="B329" s="139">
        <v>44308</v>
      </c>
      <c r="C329" s="123"/>
      <c r="D329" s="124">
        <v>30793</v>
      </c>
      <c r="E329" s="146">
        <f t="shared" si="386"/>
        <v>104754</v>
      </c>
      <c r="F329" s="146"/>
      <c r="G329" s="80">
        <f t="shared" si="333"/>
        <v>430539</v>
      </c>
      <c r="H329" s="80">
        <f t="shared" si="381"/>
        <v>6</v>
      </c>
      <c r="I329">
        <f t="shared" si="382"/>
        <v>6</v>
      </c>
      <c r="J329" s="65" t="s">
        <v>1522</v>
      </c>
      <c r="K329">
        <f t="shared" si="383"/>
        <v>0</v>
      </c>
      <c r="L329">
        <f t="shared" si="384"/>
        <v>0</v>
      </c>
    </row>
    <row r="330" spans="1:14" s="65" customFormat="1" hidden="1" outlineLevel="1">
      <c r="A330" s="139">
        <v>44306</v>
      </c>
      <c r="B330" s="139">
        <v>44313</v>
      </c>
      <c r="C330" s="123"/>
      <c r="D330" s="124">
        <v>50371</v>
      </c>
      <c r="E330" s="146">
        <f t="shared" si="386"/>
        <v>54383</v>
      </c>
      <c r="F330" s="146"/>
      <c r="G330" s="80">
        <f t="shared" si="333"/>
        <v>430539</v>
      </c>
      <c r="H330" s="80">
        <f t="shared" si="381"/>
        <v>7</v>
      </c>
      <c r="I330">
        <f t="shared" si="382"/>
        <v>7</v>
      </c>
      <c r="J330" s="65" t="s">
        <v>1523</v>
      </c>
      <c r="K330">
        <f t="shared" si="383"/>
        <v>0</v>
      </c>
      <c r="L330">
        <f t="shared" si="384"/>
        <v>0</v>
      </c>
    </row>
    <row r="331" spans="1:14" s="65" customFormat="1" hidden="1" outlineLevel="1">
      <c r="A331" s="139">
        <v>44306</v>
      </c>
      <c r="B331" s="139">
        <v>44308</v>
      </c>
      <c r="C331" s="123"/>
      <c r="D331" s="124">
        <v>46315</v>
      </c>
      <c r="E331" s="146">
        <f>E330+C331-D331</f>
        <v>8068</v>
      </c>
      <c r="F331" s="146"/>
      <c r="G331" s="80">
        <f t="shared" si="333"/>
        <v>430539</v>
      </c>
      <c r="H331" s="80">
        <f t="shared" si="381"/>
        <v>2</v>
      </c>
      <c r="I331">
        <f t="shared" si="382"/>
        <v>2</v>
      </c>
      <c r="J331" s="65" t="s">
        <v>1524</v>
      </c>
      <c r="K331">
        <f t="shared" si="383"/>
        <v>0</v>
      </c>
      <c r="L331">
        <f t="shared" si="384"/>
        <v>0</v>
      </c>
    </row>
    <row r="332" spans="1:14" s="65" customFormat="1" hidden="1" outlineLevel="1">
      <c r="A332" s="161">
        <v>44309</v>
      </c>
      <c r="B332" s="162"/>
      <c r="C332" s="163">
        <v>300000</v>
      </c>
      <c r="D332" s="164"/>
      <c r="E332" s="165">
        <f>E331+C332-D332</f>
        <v>308068</v>
      </c>
      <c r="F332" s="165"/>
      <c r="G332" s="166">
        <f t="shared" ref="G332" si="387">G331+F332</f>
        <v>430539</v>
      </c>
      <c r="H332" s="166">
        <f>IF(B332="",DATEDIF(A332,$F$1,"d"),DATEDIF(A332,B332,"d"))</f>
        <v>252</v>
      </c>
      <c r="I332" s="167">
        <f ca="1">IF(B332="",$C$1-A332,H332)</f>
        <v>2001</v>
      </c>
      <c r="J332" s="168" t="s">
        <v>189</v>
      </c>
      <c r="K332" s="167">
        <f t="shared" ref="K332" si="388">IF(F332&gt;0,(H332*$F332)/365.25,0)</f>
        <v>0</v>
      </c>
      <c r="L332" s="167">
        <f t="shared" ref="L332" si="389">IF(F332&gt;0,(I332*$F332)/365.25,0)</f>
        <v>0</v>
      </c>
      <c r="M332" s="168" t="s">
        <v>190</v>
      </c>
    </row>
    <row r="333" spans="1:14" s="65" customFormat="1" hidden="1" outlineLevel="1">
      <c r="A333" s="139">
        <v>44307</v>
      </c>
      <c r="B333" s="139">
        <v>44308</v>
      </c>
      <c r="C333" s="123"/>
      <c r="D333" s="124">
        <v>192273</v>
      </c>
      <c r="E333" s="146">
        <f>E332+C333-D333</f>
        <v>115795</v>
      </c>
      <c r="F333" s="146"/>
      <c r="G333" s="80">
        <f t="shared" si="333"/>
        <v>430539</v>
      </c>
      <c r="H333" s="80">
        <f t="shared" ref="H333" si="390">IF(B333="",$C$1-A333,DATEDIF(A333,B333,"d"))</f>
        <v>1</v>
      </c>
      <c r="I333">
        <f t="shared" ref="I333" si="391">IF(B333="",$C$1-A333,H333)</f>
        <v>1</v>
      </c>
      <c r="J333" s="65" t="s">
        <v>1525</v>
      </c>
      <c r="K333">
        <f t="shared" ref="K333" si="392">IF(F333&gt;0,(H333*$F333)/365.25,0)</f>
        <v>0</v>
      </c>
      <c r="L333">
        <f t="shared" ref="L333" si="393">IF(F333&gt;0,(I333*$F333)/365.25,0)</f>
        <v>0</v>
      </c>
    </row>
    <row r="334" spans="1:14" s="65" customFormat="1" hidden="1" outlineLevel="1">
      <c r="A334" s="139">
        <v>44292</v>
      </c>
      <c r="B334" s="139">
        <v>44308</v>
      </c>
      <c r="C334" s="123">
        <v>61229</v>
      </c>
      <c r="D334" s="124"/>
      <c r="E334" s="146">
        <f>E333+C334-D334</f>
        <v>177024</v>
      </c>
      <c r="F334" s="146">
        <f>-D310+C334</f>
        <v>3547</v>
      </c>
      <c r="G334" s="80">
        <f t="shared" ref="G334:G352" si="394">G333+F334</f>
        <v>434086</v>
      </c>
      <c r="H334" s="80">
        <f t="shared" ref="H334:H352" si="395">IF(B334="",$C$1-A334,DATEDIF(A334,B334,"d"))</f>
        <v>16</v>
      </c>
      <c r="I334">
        <f t="shared" ref="I334:I353" si="396">IF(B334="",$C$1-A334,H334)</f>
        <v>16</v>
      </c>
      <c r="J334" s="65" t="s">
        <v>2408</v>
      </c>
      <c r="K334">
        <f t="shared" ref="K334:K345" si="397">IF(F334&gt;0,(H334*$F334)/365.25,0)</f>
        <v>155.37850787132101</v>
      </c>
      <c r="L334">
        <f t="shared" ref="L334:L345" si="398">IF(F334&gt;0,(I334*$F334)/365.25,0)</f>
        <v>155.37850787132101</v>
      </c>
    </row>
    <row r="335" spans="1:14" s="65" customFormat="1" hidden="1" outlineLevel="1">
      <c r="A335" s="139">
        <v>44299</v>
      </c>
      <c r="B335" s="139">
        <v>44308</v>
      </c>
      <c r="C335" s="123">
        <v>27578</v>
      </c>
      <c r="D335" s="124"/>
      <c r="E335" s="146">
        <f t="shared" ref="E335:E352" si="399">E334+C335-D335</f>
        <v>204602</v>
      </c>
      <c r="F335" s="146">
        <f>-D320/2+C335</f>
        <v>2893</v>
      </c>
      <c r="G335" s="80">
        <f t="shared" si="394"/>
        <v>436979</v>
      </c>
      <c r="H335" s="80">
        <f t="shared" si="395"/>
        <v>9</v>
      </c>
      <c r="I335">
        <f t="shared" si="396"/>
        <v>9</v>
      </c>
      <c r="J335" s="65" t="s">
        <v>2409</v>
      </c>
      <c r="K335">
        <f t="shared" si="397"/>
        <v>71.285420944558524</v>
      </c>
      <c r="L335">
        <f t="shared" si="398"/>
        <v>71.285420944558524</v>
      </c>
      <c r="N335" s="65">
        <v>54112</v>
      </c>
    </row>
    <row r="336" spans="1:14" s="65" customFormat="1" hidden="1" outlineLevel="1">
      <c r="A336" s="139">
        <v>44300</v>
      </c>
      <c r="B336" s="139">
        <v>44308</v>
      </c>
      <c r="C336" s="123">
        <v>114492</v>
      </c>
      <c r="D336" s="124"/>
      <c r="E336" s="146">
        <f t="shared" si="399"/>
        <v>319094</v>
      </c>
      <c r="F336" s="146">
        <f>-D327+C336</f>
        <v>5337</v>
      </c>
      <c r="G336" s="80">
        <f t="shared" si="394"/>
        <v>442316</v>
      </c>
      <c r="H336" s="80">
        <f t="shared" si="395"/>
        <v>8</v>
      </c>
      <c r="I336">
        <f t="shared" si="396"/>
        <v>8</v>
      </c>
      <c r="J336" s="65" t="s">
        <v>2410</v>
      </c>
      <c r="K336">
        <f t="shared" si="397"/>
        <v>116.8952772073922</v>
      </c>
      <c r="L336">
        <f t="shared" si="398"/>
        <v>116.8952772073922</v>
      </c>
    </row>
    <row r="337" spans="1:12" s="65" customFormat="1" hidden="1" outlineLevel="1">
      <c r="A337" s="139">
        <v>44301</v>
      </c>
      <c r="B337" s="139">
        <v>44308</v>
      </c>
      <c r="C337" s="123">
        <v>113496</v>
      </c>
      <c r="D337" s="124"/>
      <c r="E337" s="146">
        <f t="shared" si="399"/>
        <v>432590</v>
      </c>
      <c r="F337" s="146">
        <f>-D328+C337</f>
        <v>-2168</v>
      </c>
      <c r="G337" s="80">
        <f t="shared" si="394"/>
        <v>440148</v>
      </c>
      <c r="H337" s="80">
        <f t="shared" si="395"/>
        <v>7</v>
      </c>
      <c r="I337">
        <f t="shared" si="396"/>
        <v>7</v>
      </c>
      <c r="J337" s="65" t="s">
        <v>2411</v>
      </c>
      <c r="K337">
        <f t="shared" si="397"/>
        <v>0</v>
      </c>
      <c r="L337">
        <f t="shared" si="398"/>
        <v>0</v>
      </c>
    </row>
    <row r="338" spans="1:12" s="65" customFormat="1" hidden="1" outlineLevel="1">
      <c r="A338" s="139">
        <v>44302</v>
      </c>
      <c r="B338" s="139">
        <v>44308</v>
      </c>
      <c r="C338" s="123">
        <v>32756</v>
      </c>
      <c r="D338" s="124"/>
      <c r="E338" s="146">
        <f t="shared" si="399"/>
        <v>465346</v>
      </c>
      <c r="F338" s="146">
        <f>-D329+C338</f>
        <v>1963</v>
      </c>
      <c r="G338" s="80">
        <f t="shared" si="394"/>
        <v>442111</v>
      </c>
      <c r="H338" s="80">
        <f t="shared" si="395"/>
        <v>6</v>
      </c>
      <c r="I338">
        <f t="shared" si="396"/>
        <v>6</v>
      </c>
      <c r="J338" s="65" t="s">
        <v>2412</v>
      </c>
      <c r="K338">
        <f t="shared" si="397"/>
        <v>32.246406570841891</v>
      </c>
      <c r="L338">
        <f t="shared" si="398"/>
        <v>32.246406570841891</v>
      </c>
    </row>
    <row r="339" spans="1:12" s="65" customFormat="1" hidden="1" outlineLevel="1">
      <c r="A339" s="139">
        <v>44306</v>
      </c>
      <c r="B339" s="139">
        <v>44308</v>
      </c>
      <c r="C339" s="123">
        <v>48535</v>
      </c>
      <c r="D339" s="124"/>
      <c r="E339" s="146">
        <f t="shared" si="399"/>
        <v>513881</v>
      </c>
      <c r="F339" s="146">
        <f>-D331+C339</f>
        <v>2220</v>
      </c>
      <c r="G339" s="80">
        <f t="shared" si="394"/>
        <v>444331</v>
      </c>
      <c r="H339" s="80">
        <f t="shared" si="395"/>
        <v>2</v>
      </c>
      <c r="I339">
        <f t="shared" si="396"/>
        <v>2</v>
      </c>
      <c r="J339" s="65" t="s">
        <v>2413</v>
      </c>
      <c r="K339">
        <f t="shared" si="397"/>
        <v>12.156057494866531</v>
      </c>
      <c r="L339">
        <f t="shared" si="398"/>
        <v>12.156057494866531</v>
      </c>
    </row>
    <row r="340" spans="1:12" s="65" customFormat="1" hidden="1" outlineLevel="1">
      <c r="A340" s="139">
        <v>44307</v>
      </c>
      <c r="B340" s="139">
        <v>44308</v>
      </c>
      <c r="C340" s="123">
        <v>196129</v>
      </c>
      <c r="D340" s="124"/>
      <c r="E340" s="146">
        <f t="shared" si="399"/>
        <v>710010</v>
      </c>
      <c r="F340" s="146">
        <f>-D333+C340</f>
        <v>3856</v>
      </c>
      <c r="G340" s="80">
        <f t="shared" si="394"/>
        <v>448187</v>
      </c>
      <c r="H340" s="80">
        <f t="shared" si="395"/>
        <v>1</v>
      </c>
      <c r="I340">
        <f t="shared" si="396"/>
        <v>1</v>
      </c>
      <c r="J340" s="65" t="s">
        <v>2414</v>
      </c>
      <c r="K340">
        <f t="shared" si="397"/>
        <v>10.557152635181383</v>
      </c>
      <c r="L340">
        <f t="shared" si="398"/>
        <v>10.557152635181383</v>
      </c>
    </row>
    <row r="341" spans="1:12" s="65" customFormat="1" hidden="1" outlineLevel="1">
      <c r="A341" s="139">
        <v>44308</v>
      </c>
      <c r="B341" s="139">
        <v>44439</v>
      </c>
      <c r="C341" s="123"/>
      <c r="D341" s="124">
        <v>26437</v>
      </c>
      <c r="E341" s="146">
        <f t="shared" si="399"/>
        <v>683573</v>
      </c>
      <c r="F341" s="146"/>
      <c r="G341" s="80">
        <f t="shared" si="394"/>
        <v>448187</v>
      </c>
      <c r="H341" s="80">
        <f t="shared" si="395"/>
        <v>131</v>
      </c>
      <c r="I341">
        <f t="shared" si="396"/>
        <v>131</v>
      </c>
      <c r="J341" s="65" t="s">
        <v>1526</v>
      </c>
      <c r="K341">
        <f t="shared" si="397"/>
        <v>0</v>
      </c>
      <c r="L341">
        <f t="shared" si="398"/>
        <v>0</v>
      </c>
    </row>
    <row r="342" spans="1:12" s="65" customFormat="1" hidden="1" outlineLevel="1">
      <c r="A342" s="139">
        <v>44308</v>
      </c>
      <c r="B342" s="139"/>
      <c r="C342" s="123"/>
      <c r="D342" s="124">
        <v>39956</v>
      </c>
      <c r="E342" s="146">
        <f t="shared" si="399"/>
        <v>643617</v>
      </c>
      <c r="F342" s="146"/>
      <c r="G342" s="80">
        <f t="shared" si="394"/>
        <v>448187</v>
      </c>
      <c r="H342" s="80">
        <f t="shared" ca="1" si="395"/>
        <v>2002</v>
      </c>
      <c r="I342">
        <f t="shared" ca="1" si="396"/>
        <v>2002</v>
      </c>
      <c r="J342" s="65" t="s">
        <v>211</v>
      </c>
      <c r="K342">
        <f t="shared" si="397"/>
        <v>0</v>
      </c>
      <c r="L342">
        <f t="shared" si="398"/>
        <v>0</v>
      </c>
    </row>
    <row r="343" spans="1:12" s="65" customFormat="1" hidden="1" outlineLevel="1">
      <c r="A343" s="139">
        <v>44308</v>
      </c>
      <c r="B343" s="139"/>
      <c r="C343" s="123"/>
      <c r="D343" s="124">
        <v>78511</v>
      </c>
      <c r="E343" s="146">
        <f t="shared" si="399"/>
        <v>565106</v>
      </c>
      <c r="F343" s="146"/>
      <c r="G343" s="80">
        <f t="shared" si="394"/>
        <v>448187</v>
      </c>
      <c r="H343" s="80">
        <f t="shared" ca="1" si="395"/>
        <v>2002</v>
      </c>
      <c r="I343">
        <f t="shared" ca="1" si="396"/>
        <v>2002</v>
      </c>
      <c r="J343" s="65" t="s">
        <v>211</v>
      </c>
      <c r="K343">
        <f t="shared" si="397"/>
        <v>0</v>
      </c>
      <c r="L343">
        <f t="shared" si="398"/>
        <v>0</v>
      </c>
    </row>
    <row r="344" spans="1:12" s="65" customFormat="1" hidden="1" outlineLevel="1">
      <c r="A344" s="139">
        <v>44308</v>
      </c>
      <c r="B344" s="139">
        <v>44445</v>
      </c>
      <c r="C344" s="123"/>
      <c r="D344" s="124">
        <v>61287</v>
      </c>
      <c r="E344" s="146">
        <f t="shared" si="399"/>
        <v>503819</v>
      </c>
      <c r="F344" s="146"/>
      <c r="G344" s="80">
        <f t="shared" si="394"/>
        <v>448187</v>
      </c>
      <c r="H344" s="80">
        <f t="shared" si="395"/>
        <v>137</v>
      </c>
      <c r="I344">
        <f t="shared" si="396"/>
        <v>137</v>
      </c>
      <c r="J344" s="65" t="s">
        <v>1527</v>
      </c>
      <c r="K344">
        <f t="shared" si="397"/>
        <v>0</v>
      </c>
      <c r="L344">
        <f t="shared" si="398"/>
        <v>0</v>
      </c>
    </row>
    <row r="345" spans="1:12" s="65" customFormat="1" hidden="1" outlineLevel="1">
      <c r="A345" s="139">
        <v>44308</v>
      </c>
      <c r="B345" s="139">
        <v>44558</v>
      </c>
      <c r="C345" s="123"/>
      <c r="D345" s="124">
        <v>58783</v>
      </c>
      <c r="E345" s="146">
        <f t="shared" si="399"/>
        <v>445036</v>
      </c>
      <c r="F345" s="146"/>
      <c r="G345" s="80">
        <f t="shared" si="394"/>
        <v>448187</v>
      </c>
      <c r="H345" s="80">
        <f t="shared" si="395"/>
        <v>250</v>
      </c>
      <c r="I345">
        <f t="shared" si="396"/>
        <v>250</v>
      </c>
      <c r="J345" s="65" t="s">
        <v>1528</v>
      </c>
      <c r="K345">
        <f t="shared" si="397"/>
        <v>0</v>
      </c>
      <c r="L345">
        <f t="shared" si="398"/>
        <v>0</v>
      </c>
    </row>
    <row r="346" spans="1:12" s="65" customFormat="1" hidden="1" outlineLevel="1">
      <c r="A346" s="139">
        <v>44308</v>
      </c>
      <c r="B346" s="139">
        <v>44442</v>
      </c>
      <c r="C346" s="123"/>
      <c r="D346" s="124">
        <v>30243</v>
      </c>
      <c r="E346" s="146">
        <f t="shared" si="399"/>
        <v>414793</v>
      </c>
      <c r="F346" s="146"/>
      <c r="G346" s="80">
        <f t="shared" si="394"/>
        <v>448187</v>
      </c>
      <c r="H346" s="80">
        <f t="shared" si="395"/>
        <v>134</v>
      </c>
      <c r="I346">
        <f t="shared" si="396"/>
        <v>134</v>
      </c>
      <c r="J346" s="65" t="s">
        <v>2415</v>
      </c>
      <c r="K346">
        <f t="shared" ref="K346:K352" si="400">IF(F346&gt;0,(H346*$F346)/365.25,0)</f>
        <v>0</v>
      </c>
      <c r="L346">
        <f t="shared" ref="L346:L352" si="401">IF(F346&gt;0,(I346*$F346)/365.25,0)</f>
        <v>0</v>
      </c>
    </row>
    <row r="347" spans="1:12" s="65" customFormat="1" hidden="1" outlineLevel="1">
      <c r="A347" s="139">
        <v>44308</v>
      </c>
      <c r="B347" s="139"/>
      <c r="C347" s="123"/>
      <c r="D347" s="124">
        <v>30343</v>
      </c>
      <c r="E347" s="146">
        <f t="shared" si="399"/>
        <v>384450</v>
      </c>
      <c r="F347" s="146"/>
      <c r="G347" s="80">
        <f t="shared" si="394"/>
        <v>448187</v>
      </c>
      <c r="H347" s="80">
        <f t="shared" ca="1" si="395"/>
        <v>2002</v>
      </c>
      <c r="I347">
        <f t="shared" ca="1" si="396"/>
        <v>2002</v>
      </c>
      <c r="J347" s="65" t="s">
        <v>1529</v>
      </c>
      <c r="K347">
        <f t="shared" si="400"/>
        <v>0</v>
      </c>
      <c r="L347">
        <f t="shared" si="401"/>
        <v>0</v>
      </c>
    </row>
    <row r="348" spans="1:12" s="65" customFormat="1" hidden="1" outlineLevel="1">
      <c r="A348" s="139">
        <v>44308</v>
      </c>
      <c r="B348" s="139">
        <v>44323</v>
      </c>
      <c r="C348" s="123"/>
      <c r="D348" s="124">
        <v>53976</v>
      </c>
      <c r="E348" s="146">
        <f t="shared" si="399"/>
        <v>330474</v>
      </c>
      <c r="F348" s="146"/>
      <c r="G348" s="80">
        <f t="shared" si="394"/>
        <v>448187</v>
      </c>
      <c r="H348" s="80">
        <f t="shared" si="395"/>
        <v>15</v>
      </c>
      <c r="I348">
        <f t="shared" si="396"/>
        <v>15</v>
      </c>
      <c r="J348" s="65" t="s">
        <v>1530</v>
      </c>
      <c r="K348">
        <f t="shared" si="400"/>
        <v>0</v>
      </c>
      <c r="L348">
        <f t="shared" si="401"/>
        <v>0</v>
      </c>
    </row>
    <row r="349" spans="1:12" s="65" customFormat="1" hidden="1" outlineLevel="1">
      <c r="A349" s="139">
        <v>44308</v>
      </c>
      <c r="B349" s="139"/>
      <c r="C349" s="123"/>
      <c r="D349" s="124">
        <v>59284</v>
      </c>
      <c r="E349" s="146">
        <f t="shared" si="399"/>
        <v>271190</v>
      </c>
      <c r="F349" s="146"/>
      <c r="G349" s="80">
        <f t="shared" si="394"/>
        <v>448187</v>
      </c>
      <c r="H349" s="80">
        <f t="shared" ca="1" si="395"/>
        <v>2002</v>
      </c>
      <c r="I349">
        <f t="shared" ca="1" si="396"/>
        <v>2002</v>
      </c>
      <c r="J349" s="65" t="s">
        <v>1531</v>
      </c>
      <c r="K349">
        <f t="shared" si="400"/>
        <v>0</v>
      </c>
      <c r="L349">
        <f t="shared" si="401"/>
        <v>0</v>
      </c>
    </row>
    <row r="350" spans="1:12" s="65" customFormat="1" hidden="1" outlineLevel="1">
      <c r="A350" s="139">
        <v>44308</v>
      </c>
      <c r="B350" s="139">
        <v>44442</v>
      </c>
      <c r="C350" s="123"/>
      <c r="D350" s="124">
        <v>29391</v>
      </c>
      <c r="E350" s="146">
        <f t="shared" si="399"/>
        <v>241799</v>
      </c>
      <c r="F350" s="146"/>
      <c r="G350" s="80">
        <f t="shared" si="394"/>
        <v>448187</v>
      </c>
      <c r="H350" s="80">
        <f t="shared" si="395"/>
        <v>134</v>
      </c>
      <c r="I350">
        <f t="shared" si="396"/>
        <v>134</v>
      </c>
      <c r="J350" s="65" t="s">
        <v>2416</v>
      </c>
      <c r="K350">
        <f t="shared" si="400"/>
        <v>0</v>
      </c>
      <c r="L350">
        <f t="shared" si="401"/>
        <v>0</v>
      </c>
    </row>
    <row r="351" spans="1:12" s="65" customFormat="1" hidden="1" outlineLevel="1">
      <c r="A351" s="139">
        <v>44308</v>
      </c>
      <c r="B351" s="139"/>
      <c r="C351" s="123"/>
      <c r="D351" s="124">
        <v>29141</v>
      </c>
      <c r="E351" s="146">
        <f t="shared" si="399"/>
        <v>212658</v>
      </c>
      <c r="F351" s="146"/>
      <c r="G351" s="80">
        <f t="shared" si="394"/>
        <v>448187</v>
      </c>
      <c r="H351" s="80">
        <f t="shared" ca="1" si="395"/>
        <v>2002</v>
      </c>
      <c r="I351">
        <f t="shared" ca="1" si="396"/>
        <v>2002</v>
      </c>
      <c r="J351" s="65" t="s">
        <v>1532</v>
      </c>
      <c r="K351">
        <f t="shared" si="400"/>
        <v>0</v>
      </c>
      <c r="L351">
        <f t="shared" si="401"/>
        <v>0</v>
      </c>
    </row>
    <row r="352" spans="1:12" s="65" customFormat="1" hidden="1" outlineLevel="1">
      <c r="A352" s="139">
        <v>44299</v>
      </c>
      <c r="B352" s="139">
        <v>44312</v>
      </c>
      <c r="C352" s="123">
        <f>36837</f>
        <v>36837</v>
      </c>
      <c r="D352" s="124"/>
      <c r="E352" s="146">
        <f t="shared" si="399"/>
        <v>249495</v>
      </c>
      <c r="F352" s="146">
        <f>-D319/2+C352</f>
        <v>7395.5</v>
      </c>
      <c r="G352" s="80">
        <f t="shared" si="394"/>
        <v>455582.5</v>
      </c>
      <c r="H352" s="80">
        <f t="shared" si="395"/>
        <v>13</v>
      </c>
      <c r="I352">
        <f t="shared" si="396"/>
        <v>13</v>
      </c>
      <c r="J352" s="65" t="s">
        <v>2417</v>
      </c>
      <c r="K352">
        <f t="shared" si="400"/>
        <v>263.22108145106091</v>
      </c>
      <c r="L352">
        <f t="shared" si="401"/>
        <v>263.22108145106091</v>
      </c>
    </row>
    <row r="353" spans="1:14" s="65" customFormat="1" hidden="1" outlineLevel="1">
      <c r="A353" s="195">
        <v>44314</v>
      </c>
      <c r="B353" s="195">
        <v>44314</v>
      </c>
      <c r="C353" s="196">
        <v>3577</v>
      </c>
      <c r="D353" s="197">
        <v>0</v>
      </c>
      <c r="E353" s="198">
        <f>E352+C353-D353</f>
        <v>253072</v>
      </c>
      <c r="F353" s="198">
        <f>C353</f>
        <v>3577</v>
      </c>
      <c r="G353" s="199">
        <f t="shared" ref="G353" si="402">G352+C353-D353</f>
        <v>459159.5</v>
      </c>
      <c r="H353" s="199">
        <f t="shared" ref="H353" si="403">IF(B353="",DATEDIF(A353,$G$1,"d"),DATEDIF(A353,B353,"d"))</f>
        <v>0</v>
      </c>
      <c r="I353" s="200">
        <f t="shared" si="396"/>
        <v>0</v>
      </c>
      <c r="J353" s="200" t="s">
        <v>1538</v>
      </c>
      <c r="K353" s="200">
        <f t="shared" ref="K353" si="404">(H353*$C353)/365.25</f>
        <v>0</v>
      </c>
      <c r="L353" s="200">
        <f t="shared" ref="L353" si="405">(I353*$C353)/365.25</f>
        <v>0</v>
      </c>
      <c r="M353" s="200" t="s">
        <v>101</v>
      </c>
    </row>
    <row r="354" spans="1:14" s="65" customFormat="1" hidden="1" outlineLevel="1">
      <c r="A354" s="139">
        <v>44306</v>
      </c>
      <c r="B354" s="139">
        <v>44313</v>
      </c>
      <c r="C354" s="123">
        <v>47391</v>
      </c>
      <c r="D354" s="124"/>
      <c r="E354" s="146">
        <f t="shared" ref="E354:E362" si="406">E353+C354-D354</f>
        <v>300463</v>
      </c>
      <c r="F354" s="146">
        <f>-D330+C354</f>
        <v>-2980</v>
      </c>
      <c r="G354" s="80">
        <f t="shared" ref="G354" si="407">G353+F354</f>
        <v>456179.5</v>
      </c>
      <c r="H354" s="80">
        <f t="shared" ref="H354" si="408">IF(B354="",$C$1-A354,DATEDIF(A354,B354,"d"))</f>
        <v>7</v>
      </c>
      <c r="I354">
        <f t="shared" ref="I354" si="409">IF(B354="",$C$1-A354,H354)</f>
        <v>7</v>
      </c>
      <c r="J354" s="65" t="s">
        <v>2406</v>
      </c>
      <c r="K354">
        <f>IF(F354&gt;0,(H354*$F354)/365.25,0)</f>
        <v>0</v>
      </c>
      <c r="L354">
        <f t="shared" ref="L354" si="410">IF(F354&gt;0,(I354*$F354)/365.25,0)</f>
        <v>0</v>
      </c>
    </row>
    <row r="355" spans="1:14" s="65" customFormat="1" hidden="1" outlineLevel="1">
      <c r="A355" s="139">
        <v>44313</v>
      </c>
      <c r="B355" s="139"/>
      <c r="C355" s="123"/>
      <c r="D355" s="124">
        <v>68697</v>
      </c>
      <c r="E355" s="146">
        <f t="shared" si="406"/>
        <v>231766</v>
      </c>
      <c r="F355" s="146"/>
      <c r="G355" s="80">
        <f t="shared" ref="G355:G356" si="411">G354+F355</f>
        <v>456179.5</v>
      </c>
      <c r="H355" s="80">
        <f t="shared" ref="H355:H356" ca="1" si="412">IF(B355="",$C$1-A355,DATEDIF(A355,B355,"d"))</f>
        <v>1997</v>
      </c>
      <c r="I355">
        <f t="shared" ref="I355:I358" ca="1" si="413">IF(B355="",$C$1-A355,H355)</f>
        <v>1997</v>
      </c>
      <c r="J355" s="65" t="s">
        <v>1533</v>
      </c>
      <c r="K355">
        <f t="shared" ref="K355:K356" si="414">IF(F355&gt;0,(H355*$F355)/365.25,0)</f>
        <v>0</v>
      </c>
      <c r="L355">
        <f t="shared" ref="L355:L356" si="415">IF(F355&gt;0,(I355*$F355)/365.25,0)</f>
        <v>0</v>
      </c>
    </row>
    <row r="356" spans="1:14" s="65" customFormat="1" hidden="1" outlineLevel="1">
      <c r="A356" s="139">
        <v>44313</v>
      </c>
      <c r="B356" s="139">
        <v>44439</v>
      </c>
      <c r="C356" s="123"/>
      <c r="D356" s="124">
        <v>45464</v>
      </c>
      <c r="E356" s="146">
        <f t="shared" si="406"/>
        <v>186302</v>
      </c>
      <c r="F356" s="146"/>
      <c r="G356" s="80">
        <f t="shared" si="411"/>
        <v>456179.5</v>
      </c>
      <c r="H356" s="80">
        <f t="shared" si="412"/>
        <v>126</v>
      </c>
      <c r="I356">
        <f t="shared" si="413"/>
        <v>126</v>
      </c>
      <c r="J356" s="65" t="s">
        <v>1534</v>
      </c>
      <c r="K356">
        <f t="shared" si="414"/>
        <v>0</v>
      </c>
      <c r="L356">
        <f t="shared" si="415"/>
        <v>0</v>
      </c>
    </row>
    <row r="357" spans="1:14" s="65" customFormat="1" hidden="1" outlineLevel="1">
      <c r="A357" s="195">
        <v>44314</v>
      </c>
      <c r="B357" s="195">
        <v>44314</v>
      </c>
      <c r="C357" s="196">
        <v>1990</v>
      </c>
      <c r="D357" s="197">
        <v>0</v>
      </c>
      <c r="E357" s="198">
        <f>E356+C357-D357</f>
        <v>188292</v>
      </c>
      <c r="F357" s="198">
        <f t="shared" ref="F357:F358" si="416">C357</f>
        <v>1990</v>
      </c>
      <c r="G357" s="199">
        <f t="shared" ref="G357:G358" si="417">G356+C357-D357</f>
        <v>458169.5</v>
      </c>
      <c r="H357" s="199">
        <f t="shared" ref="H357:H358" si="418">IF(B357="",DATEDIF(A357,$G$1,"d"),DATEDIF(A357,B357,"d"))</f>
        <v>0</v>
      </c>
      <c r="I357" s="200">
        <f t="shared" si="413"/>
        <v>0</v>
      </c>
      <c r="J357" s="200" t="s">
        <v>2382</v>
      </c>
      <c r="K357" s="200">
        <f t="shared" ref="K357:K358" si="419">(H357*$C357)/365.25</f>
        <v>0</v>
      </c>
      <c r="L357" s="200">
        <f t="shared" ref="L357:L358" si="420">(I357*$C357)/365.25</f>
        <v>0</v>
      </c>
      <c r="M357" s="200" t="s">
        <v>101</v>
      </c>
      <c r="N357" s="141"/>
    </row>
    <row r="358" spans="1:14" s="65" customFormat="1" hidden="1" outlineLevel="1">
      <c r="A358" s="195">
        <v>44314</v>
      </c>
      <c r="B358" s="195">
        <v>44314</v>
      </c>
      <c r="C358" s="196">
        <v>3490</v>
      </c>
      <c r="D358" s="197">
        <v>0</v>
      </c>
      <c r="E358" s="198">
        <f>E357+C358-D358</f>
        <v>191782</v>
      </c>
      <c r="F358" s="198">
        <f t="shared" si="416"/>
        <v>3490</v>
      </c>
      <c r="G358" s="199">
        <f t="shared" si="417"/>
        <v>461659.5</v>
      </c>
      <c r="H358" s="199">
        <f t="shared" si="418"/>
        <v>0</v>
      </c>
      <c r="I358" s="200">
        <f t="shared" si="413"/>
        <v>0</v>
      </c>
      <c r="J358" s="200" t="s">
        <v>2383</v>
      </c>
      <c r="K358" s="200">
        <f t="shared" si="419"/>
        <v>0</v>
      </c>
      <c r="L358" s="200">
        <f t="shared" si="420"/>
        <v>0</v>
      </c>
      <c r="M358" s="200" t="s">
        <v>101</v>
      </c>
    </row>
    <row r="359" spans="1:14" s="65" customFormat="1" hidden="1" outlineLevel="1">
      <c r="A359" s="139">
        <v>44320</v>
      </c>
      <c r="B359" s="139">
        <v>44322</v>
      </c>
      <c r="C359" s="123">
        <v>26850</v>
      </c>
      <c r="D359" s="124">
        <v>26870</v>
      </c>
      <c r="E359" s="146">
        <f t="shared" si="406"/>
        <v>191762</v>
      </c>
      <c r="F359" s="146">
        <f>C359-D359</f>
        <v>-20</v>
      </c>
      <c r="G359" s="80">
        <f t="shared" ref="G359" si="421">G358+F359</f>
        <v>461639.5</v>
      </c>
      <c r="H359" s="80">
        <f t="shared" ref="H359" si="422">IF(B359="",$C$1-A359,DATEDIF(A359,B359,"d"))</f>
        <v>2</v>
      </c>
      <c r="I359">
        <f t="shared" ref="I359" si="423">IF(B359="",$C$1-A359,H359)</f>
        <v>2</v>
      </c>
      <c r="J359" s="65" t="s">
        <v>517</v>
      </c>
      <c r="K359">
        <f t="shared" ref="K359" si="424">IF(F359&gt;0,(H359*$F359)/365.25,0)</f>
        <v>0</v>
      </c>
      <c r="L359">
        <f t="shared" ref="L359" si="425">IF(F359&gt;0,(I359*$F359)/365.25,0)</f>
        <v>0</v>
      </c>
      <c r="M359" s="65" t="s">
        <v>2381</v>
      </c>
    </row>
    <row r="360" spans="1:14" s="65" customFormat="1" hidden="1" outlineLevel="1">
      <c r="A360" s="139">
        <v>44321</v>
      </c>
      <c r="B360" s="139">
        <v>44323</v>
      </c>
      <c r="C360" s="123">
        <v>91550</v>
      </c>
      <c r="D360" s="124">
        <v>91570</v>
      </c>
      <c r="E360" s="146">
        <f t="shared" si="406"/>
        <v>191742</v>
      </c>
      <c r="F360" s="146">
        <f>C360-D360</f>
        <v>-20</v>
      </c>
      <c r="G360" s="80">
        <f t="shared" ref="G360:G361" si="426">G359+F360</f>
        <v>461619.5</v>
      </c>
      <c r="H360" s="80">
        <f t="shared" ref="H360:H361" si="427">IF(B360="",$C$1-A360,DATEDIF(A360,B360,"d"))</f>
        <v>2</v>
      </c>
      <c r="I360">
        <f t="shared" ref="I360:I361" si="428">IF(B360="",$C$1-A360,H360)</f>
        <v>2</v>
      </c>
      <c r="J360" s="65" t="s">
        <v>382</v>
      </c>
      <c r="K360">
        <f t="shared" ref="K360:K364" si="429">IF(F360&gt;0,(H360*$F360)/365.25,0)</f>
        <v>0</v>
      </c>
      <c r="L360">
        <f t="shared" ref="L360:L364" si="430">IF(F360&gt;0,(I360*$F360)/365.25,0)</f>
        <v>0</v>
      </c>
      <c r="M360" s="65" t="s">
        <v>2381</v>
      </c>
    </row>
    <row r="361" spans="1:14" s="65" customFormat="1" hidden="1" outlineLevel="1">
      <c r="A361" s="139">
        <v>44313</v>
      </c>
      <c r="B361" s="139">
        <v>44321</v>
      </c>
      <c r="C361" s="123">
        <v>60830</v>
      </c>
      <c r="D361" s="124"/>
      <c r="E361" s="146">
        <f t="shared" si="406"/>
        <v>252572</v>
      </c>
      <c r="F361" s="146">
        <f>-D355+C361</f>
        <v>-7867</v>
      </c>
      <c r="G361" s="80">
        <f t="shared" si="426"/>
        <v>453752.5</v>
      </c>
      <c r="H361" s="80">
        <f t="shared" si="427"/>
        <v>8</v>
      </c>
      <c r="I361">
        <f t="shared" si="428"/>
        <v>8</v>
      </c>
      <c r="J361" s="65" t="s">
        <v>2419</v>
      </c>
      <c r="K361">
        <f t="shared" si="429"/>
        <v>0</v>
      </c>
      <c r="L361">
        <f t="shared" si="430"/>
        <v>0</v>
      </c>
    </row>
    <row r="362" spans="1:14" s="65" customFormat="1" hidden="1" outlineLevel="1">
      <c r="A362" s="147">
        <v>44326</v>
      </c>
      <c r="B362" s="147"/>
      <c r="C362" s="148">
        <v>3117</v>
      </c>
      <c r="D362" s="149"/>
      <c r="E362" s="150">
        <f t="shared" si="406"/>
        <v>255689</v>
      </c>
      <c r="F362" s="150">
        <f t="shared" ref="F362" si="431">C362-D362</f>
        <v>3117</v>
      </c>
      <c r="G362" s="151">
        <f>G361+F362</f>
        <v>456869.5</v>
      </c>
      <c r="H362" s="151">
        <f>IF(B362="",DATEDIF(A362,$F$1,"d"),DATEDIF(A362,B362,"d"))</f>
        <v>235</v>
      </c>
      <c r="I362" s="152">
        <f ca="1">IF(B362="",$C$1-A362,H362)</f>
        <v>1984</v>
      </c>
      <c r="J362" s="152" t="s">
        <v>84</v>
      </c>
      <c r="K362" s="152">
        <f t="shared" si="429"/>
        <v>2005.4620123203285</v>
      </c>
      <c r="L362" s="152">
        <f t="shared" ca="1" si="430"/>
        <v>16931.219712525668</v>
      </c>
      <c r="M362" s="160"/>
    </row>
    <row r="363" spans="1:14" s="65" customFormat="1" hidden="1" outlineLevel="1">
      <c r="A363" s="139">
        <v>44326</v>
      </c>
      <c r="B363" s="139"/>
      <c r="C363" s="123">
        <v>98265</v>
      </c>
      <c r="D363" s="124"/>
      <c r="E363" s="146">
        <f t="shared" ref="E363" si="432">E362+C363-D363</f>
        <v>353954</v>
      </c>
      <c r="F363" s="146"/>
      <c r="G363" s="80">
        <f t="shared" ref="G363:G364" si="433">G362+F363</f>
        <v>456869.5</v>
      </c>
      <c r="H363" s="80">
        <f t="shared" ref="H363" ca="1" si="434">IF(B363="",$C$1-A363,DATEDIF(A363,B363,"d"))</f>
        <v>1984</v>
      </c>
      <c r="I363">
        <f t="shared" ref="I363" ca="1" si="435">IF(B363="",$C$1-A363,H363)</f>
        <v>1984</v>
      </c>
      <c r="J363" s="65" t="s">
        <v>2420</v>
      </c>
      <c r="K363">
        <f t="shared" si="429"/>
        <v>0</v>
      </c>
      <c r="L363">
        <f t="shared" si="430"/>
        <v>0</v>
      </c>
    </row>
    <row r="364" spans="1:14" s="65" customFormat="1" hidden="1" outlineLevel="1">
      <c r="A364" s="161">
        <v>44328</v>
      </c>
      <c r="B364" s="161">
        <v>44328</v>
      </c>
      <c r="C364" s="163"/>
      <c r="D364" s="170">
        <v>100000</v>
      </c>
      <c r="E364" s="165">
        <f>E363+C364-D364</f>
        <v>253954</v>
      </c>
      <c r="F364" s="165"/>
      <c r="G364" s="166">
        <f t="shared" si="433"/>
        <v>456869.5</v>
      </c>
      <c r="H364" s="166">
        <f>IF(B364="",DATEDIF(A364,$F$1,"d"),DATEDIF(A364,B364,"d"))</f>
        <v>0</v>
      </c>
      <c r="I364" s="167">
        <f>IF(B364="",$C$1-A364,H364)</f>
        <v>0</v>
      </c>
      <c r="J364" s="168" t="s">
        <v>189</v>
      </c>
      <c r="K364" s="167">
        <f t="shared" si="429"/>
        <v>0</v>
      </c>
      <c r="L364" s="167">
        <f t="shared" si="430"/>
        <v>0</v>
      </c>
      <c r="M364" s="168" t="s">
        <v>1539</v>
      </c>
    </row>
    <row r="365" spans="1:14" s="65" customFormat="1" hidden="1" outlineLevel="1">
      <c r="A365" s="195">
        <v>44333</v>
      </c>
      <c r="B365" s="195">
        <v>44333</v>
      </c>
      <c r="C365" s="196">
        <v>972</v>
      </c>
      <c r="D365" s="197">
        <v>0</v>
      </c>
      <c r="E365" s="198">
        <f>E364+C365-D365</f>
        <v>254926</v>
      </c>
      <c r="F365" s="198">
        <f>C365</f>
        <v>972</v>
      </c>
      <c r="G365" s="199">
        <f t="shared" ref="G365" si="436">G364+C365-D365</f>
        <v>457841.5</v>
      </c>
      <c r="H365" s="199">
        <f t="shared" ref="H365" si="437">IF(B365="",DATEDIF(A365,$G$1,"d"),DATEDIF(A365,B365,"d"))</f>
        <v>0</v>
      </c>
      <c r="I365" s="200">
        <f t="shared" ref="I365:I366" si="438">IF(B365="",$C$1-A365,H365)</f>
        <v>0</v>
      </c>
      <c r="J365" s="200" t="s">
        <v>2364</v>
      </c>
      <c r="K365" s="200">
        <f t="shared" ref="K365" si="439">(H365*$C365)/365.25</f>
        <v>0</v>
      </c>
      <c r="L365" s="200">
        <f t="shared" ref="L365" si="440">(I365*$C365)/365.25</f>
        <v>0</v>
      </c>
      <c r="M365" s="200" t="s">
        <v>101</v>
      </c>
    </row>
    <row r="366" spans="1:14" s="65" customFormat="1" hidden="1" outlineLevel="1">
      <c r="A366" s="139">
        <v>44299</v>
      </c>
      <c r="B366" s="139">
        <v>44330</v>
      </c>
      <c r="C366" s="123">
        <v>26534</v>
      </c>
      <c r="D366" s="124"/>
      <c r="E366" s="146">
        <f t="shared" ref="E366:E367" si="441">E365+C366-D366</f>
        <v>281460</v>
      </c>
      <c r="F366" s="146">
        <f>-D320/2+C366</f>
        <v>1849</v>
      </c>
      <c r="G366" s="80">
        <f t="shared" ref="G366" si="442">G365+F366</f>
        <v>459690.5</v>
      </c>
      <c r="H366" s="80">
        <f t="shared" ref="H366" si="443">IF(B366="",$C$1-A366,DATEDIF(A366,B366,"d"))</f>
        <v>31</v>
      </c>
      <c r="I366">
        <f t="shared" si="438"/>
        <v>31</v>
      </c>
      <c r="J366" s="65" t="s">
        <v>2409</v>
      </c>
      <c r="K366">
        <f t="shared" ref="K366:K367" si="444">IF(F366&gt;0,(H366*$F366)/365.25,0)</f>
        <v>156.93086926762493</v>
      </c>
      <c r="L366">
        <f t="shared" ref="L366:L367" si="445">IF(F366&gt;0,(I366*$F366)/365.25,0)</f>
        <v>156.93086926762493</v>
      </c>
    </row>
    <row r="367" spans="1:14" s="65" customFormat="1" hidden="1" outlineLevel="1">
      <c r="A367" s="147">
        <v>44357</v>
      </c>
      <c r="B367" s="147"/>
      <c r="C367" s="148">
        <v>103</v>
      </c>
      <c r="D367" s="149"/>
      <c r="E367" s="150">
        <f t="shared" si="441"/>
        <v>281563</v>
      </c>
      <c r="F367" s="150">
        <f t="shared" ref="F367" si="446">C367-D367</f>
        <v>103</v>
      </c>
      <c r="G367" s="151">
        <f>G366+F367</f>
        <v>459793.5</v>
      </c>
      <c r="H367" s="151">
        <f>IF(B367="",DATEDIF(A367,$F$1,"d"),DATEDIF(A367,B367,"d"))</f>
        <v>204</v>
      </c>
      <c r="I367" s="152">
        <f ca="1">IF(B367="",$C$1-A367,H367)</f>
        <v>1953</v>
      </c>
      <c r="J367" s="152" t="s">
        <v>84</v>
      </c>
      <c r="K367" s="152">
        <f t="shared" si="444"/>
        <v>57.52772073921971</v>
      </c>
      <c r="L367" s="152">
        <f t="shared" ca="1" si="445"/>
        <v>550.74332648870632</v>
      </c>
      <c r="M367" s="160"/>
    </row>
    <row r="368" spans="1:14" s="65" customFormat="1" hidden="1" outlineLevel="1">
      <c r="A368" s="195">
        <v>44358</v>
      </c>
      <c r="B368" s="195">
        <v>44358</v>
      </c>
      <c r="C368" s="196">
        <v>590</v>
      </c>
      <c r="D368" s="197">
        <v>0</v>
      </c>
      <c r="E368" s="198">
        <f>E367+C368-D368</f>
        <v>282153</v>
      </c>
      <c r="F368" s="198">
        <f>C368</f>
        <v>590</v>
      </c>
      <c r="G368" s="199">
        <f t="shared" ref="G368" si="447">G367+C368-D368</f>
        <v>460383.5</v>
      </c>
      <c r="H368" s="199">
        <f t="shared" ref="H368" si="448">IF(B368="",DATEDIF(A368,$G$1,"d"),DATEDIF(A368,B368,"d"))</f>
        <v>0</v>
      </c>
      <c r="I368" s="200">
        <f t="shared" ref="I368" si="449">IF(B368="",$C$1-A368,H368)</f>
        <v>0</v>
      </c>
      <c r="J368" s="200" t="s">
        <v>2384</v>
      </c>
      <c r="K368" s="200">
        <f t="shared" ref="K368" si="450">(H368*$C368)/365.25</f>
        <v>0</v>
      </c>
      <c r="L368" s="200">
        <f t="shared" ref="L368" si="451">(I368*$C368)/365.25</f>
        <v>0</v>
      </c>
      <c r="M368" s="200" t="s">
        <v>101</v>
      </c>
    </row>
    <row r="369" spans="1:14" s="65" customFormat="1" collapsed="1">
      <c r="A369" s="153">
        <v>44368</v>
      </c>
      <c r="B369" s="153"/>
      <c r="C369" s="154">
        <v>176</v>
      </c>
      <c r="D369" s="155"/>
      <c r="E369" s="156">
        <f>E368+C369-D369</f>
        <v>282329</v>
      </c>
      <c r="F369" s="156">
        <f>C369-D369</f>
        <v>176</v>
      </c>
      <c r="G369" s="157">
        <f>IF(B369="",G368,G368+C369-D369)</f>
        <v>460383.5</v>
      </c>
      <c r="H369" s="157">
        <f t="shared" ref="H369:H370" ca="1" si="452">IF(B369="",$C$1-A369,DATEDIF(A369,B369,"d"))</f>
        <v>1942</v>
      </c>
      <c r="I369" s="158">
        <f ca="1">IF(B369="",$C$1-A369,H369)</f>
        <v>1942</v>
      </c>
      <c r="J369" s="158" t="s">
        <v>48</v>
      </c>
      <c r="K369" s="158">
        <f ca="1">(H369*$C369)/365.25</f>
        <v>935.77549623545519</v>
      </c>
      <c r="L369" s="158">
        <f ca="1">(I369*$C369)/365.25</f>
        <v>935.77549623545519</v>
      </c>
      <c r="M369" s="159"/>
      <c r="N369" s="141"/>
    </row>
    <row r="370" spans="1:14" hidden="1" outlineLevel="1">
      <c r="A370" s="139">
        <v>44390</v>
      </c>
      <c r="B370" s="139"/>
      <c r="C370" s="123"/>
      <c r="D370" s="124">
        <v>49570</v>
      </c>
      <c r="E370" s="146">
        <f t="shared" ref="E370:E378" si="453">E369+C370-D370</f>
        <v>232759</v>
      </c>
      <c r="F370" s="146"/>
      <c r="G370" s="80">
        <f t="shared" ref="G370" si="454">G369+F370</f>
        <v>460383.5</v>
      </c>
      <c r="H370" s="80">
        <f t="shared" ca="1" si="452"/>
        <v>1920</v>
      </c>
      <c r="I370">
        <f t="shared" ref="I370" ca="1" si="455">IF(B370="",$C$1-A370,H370)</f>
        <v>1920</v>
      </c>
      <c r="J370" s="65" t="s">
        <v>1535</v>
      </c>
      <c r="K370">
        <f t="shared" ref="K370:K371" si="456">IF(F370&gt;0,(H370*$F370)/365.25,0)</f>
        <v>0</v>
      </c>
      <c r="L370">
        <f t="shared" ref="L370:L371" si="457">IF(F370&gt;0,(I370*$F370)/365.25,0)</f>
        <v>0</v>
      </c>
      <c r="M370" s="65"/>
    </row>
    <row r="371" spans="1:14" s="65" customFormat="1" hidden="1" outlineLevel="1">
      <c r="A371" s="139">
        <v>44277</v>
      </c>
      <c r="B371" s="139">
        <v>44390</v>
      </c>
      <c r="C371" s="123">
        <v>67700</v>
      </c>
      <c r="D371" s="124"/>
      <c r="E371" s="146">
        <f t="shared" si="453"/>
        <v>300459</v>
      </c>
      <c r="F371" s="146">
        <f>-D289+C371</f>
        <v>-6405</v>
      </c>
      <c r="G371" s="80">
        <f t="shared" ref="G371" si="458">G370+F371</f>
        <v>453978.5</v>
      </c>
      <c r="H371" s="80">
        <f t="shared" ref="H371" si="459">IF(B371="",$C$1-A371,DATEDIF(A371,B371,"d"))</f>
        <v>113</v>
      </c>
      <c r="I371">
        <f t="shared" ref="I371" si="460">IF(B371="",$C$1-A371,H371)</f>
        <v>113</v>
      </c>
      <c r="J371" s="65" t="s">
        <v>1502</v>
      </c>
      <c r="K371">
        <f t="shared" si="456"/>
        <v>0</v>
      </c>
      <c r="L371">
        <f t="shared" si="457"/>
        <v>0</v>
      </c>
    </row>
    <row r="372" spans="1:14" hidden="1" outlineLevel="1">
      <c r="A372" s="139">
        <v>44396</v>
      </c>
      <c r="B372" s="139">
        <v>44398</v>
      </c>
      <c r="C372" s="123">
        <v>14550</v>
      </c>
      <c r="D372" s="124">
        <v>14570</v>
      </c>
      <c r="E372" s="146">
        <f t="shared" si="453"/>
        <v>300439</v>
      </c>
      <c r="F372" s="146">
        <f>C372-D372</f>
        <v>-20</v>
      </c>
      <c r="G372" s="80">
        <f t="shared" ref="G372:G373" si="461">G371+F372</f>
        <v>453958.5</v>
      </c>
      <c r="H372" s="80">
        <f t="shared" ref="H372:H373" si="462">IF(B372="",$C$1-A372,DATEDIF(A372,B372,"d"))</f>
        <v>2</v>
      </c>
      <c r="I372">
        <f t="shared" ref="I372:I375" si="463">IF(B372="",$C$1-A372,H372)</f>
        <v>2</v>
      </c>
      <c r="J372" s="65" t="s">
        <v>313</v>
      </c>
      <c r="K372">
        <f t="shared" ref="K372:K373" si="464">IF(F372&gt;0,(H372*$F372)/365.25,0)</f>
        <v>0</v>
      </c>
      <c r="L372">
        <f t="shared" ref="L372:L373" si="465">IF(F372&gt;0,(I372*$F372)/365.25,0)</f>
        <v>0</v>
      </c>
      <c r="M372" s="65" t="s">
        <v>2381</v>
      </c>
    </row>
    <row r="373" spans="1:14" hidden="1" outlineLevel="1">
      <c r="A373" s="139">
        <v>44399</v>
      </c>
      <c r="B373" s="139">
        <v>44412</v>
      </c>
      <c r="C373" s="123"/>
      <c r="D373" s="124">
        <v>111658</v>
      </c>
      <c r="E373" s="146">
        <f t="shared" si="453"/>
        <v>188781</v>
      </c>
      <c r="F373" s="146"/>
      <c r="G373" s="80">
        <f t="shared" si="461"/>
        <v>453958.5</v>
      </c>
      <c r="H373" s="80">
        <f t="shared" si="462"/>
        <v>13</v>
      </c>
      <c r="I373">
        <f t="shared" si="463"/>
        <v>13</v>
      </c>
      <c r="J373" s="65" t="s">
        <v>1536</v>
      </c>
      <c r="K373">
        <f t="shared" si="464"/>
        <v>0</v>
      </c>
      <c r="L373">
        <f t="shared" si="465"/>
        <v>0</v>
      </c>
      <c r="M373" s="65"/>
    </row>
    <row r="374" spans="1:14" hidden="1" outlineLevel="1">
      <c r="A374" s="195">
        <v>44407</v>
      </c>
      <c r="B374" s="195">
        <v>44407</v>
      </c>
      <c r="C374" s="196">
        <v>600</v>
      </c>
      <c r="D374" s="197">
        <v>0</v>
      </c>
      <c r="E374" s="198">
        <f t="shared" si="453"/>
        <v>189381</v>
      </c>
      <c r="F374" s="198">
        <f t="shared" ref="F374:F375" si="466">C374</f>
        <v>600</v>
      </c>
      <c r="G374" s="199">
        <f t="shared" ref="G374:G375" si="467">G373+C374-D374</f>
        <v>454558.5</v>
      </c>
      <c r="H374" s="199">
        <f t="shared" ref="H374:H375" si="468">IF(B374="",DATEDIF(A374,$G$1,"d"),DATEDIF(A374,B374,"d"))</f>
        <v>0</v>
      </c>
      <c r="I374" s="200">
        <f t="shared" si="463"/>
        <v>0</v>
      </c>
      <c r="J374" s="200" t="s">
        <v>2385</v>
      </c>
      <c r="K374" s="200">
        <f t="shared" ref="K374:K375" si="469">(H374*$C374)/365.25</f>
        <v>0</v>
      </c>
      <c r="L374" s="200">
        <f t="shared" ref="L374:L375" si="470">(I374*$C374)/365.25</f>
        <v>0</v>
      </c>
      <c r="M374" s="200" t="s">
        <v>101</v>
      </c>
    </row>
    <row r="375" spans="1:14" hidden="1" outlineLevel="1">
      <c r="A375" s="195">
        <v>44407</v>
      </c>
      <c r="B375" s="195">
        <v>44407</v>
      </c>
      <c r="C375" s="196">
        <v>190</v>
      </c>
      <c r="D375" s="197">
        <v>0</v>
      </c>
      <c r="E375" s="198">
        <f t="shared" si="453"/>
        <v>189571</v>
      </c>
      <c r="F375" s="198">
        <f t="shared" si="466"/>
        <v>190</v>
      </c>
      <c r="G375" s="199">
        <f t="shared" si="467"/>
        <v>454748.5</v>
      </c>
      <c r="H375" s="199">
        <f t="shared" si="468"/>
        <v>0</v>
      </c>
      <c r="I375" s="200">
        <f t="shared" si="463"/>
        <v>0</v>
      </c>
      <c r="J375" s="200" t="s">
        <v>2386</v>
      </c>
      <c r="K375" s="200">
        <f t="shared" si="469"/>
        <v>0</v>
      </c>
      <c r="L375" s="200">
        <f t="shared" si="470"/>
        <v>0</v>
      </c>
      <c r="M375" s="200" t="s">
        <v>101</v>
      </c>
    </row>
    <row r="376" spans="1:14" hidden="1" outlineLevel="1">
      <c r="A376" s="139">
        <v>44399</v>
      </c>
      <c r="B376" s="139">
        <v>44412</v>
      </c>
      <c r="C376" s="123">
        <v>112003</v>
      </c>
      <c r="D376" s="124"/>
      <c r="E376" s="146">
        <f t="shared" si="453"/>
        <v>301574</v>
      </c>
      <c r="F376" s="146">
        <f>-D373+C376</f>
        <v>345</v>
      </c>
      <c r="G376" s="80">
        <f t="shared" ref="G376" si="471">G375+F376</f>
        <v>455093.5</v>
      </c>
      <c r="H376" s="80">
        <f t="shared" ref="H376" si="472">IF(B376="",$C$1-A376,DATEDIF(A376,B376,"d"))</f>
        <v>13</v>
      </c>
      <c r="I376">
        <f t="shared" ref="I376" si="473">IF(B376="",$C$1-A376,H376)</f>
        <v>13</v>
      </c>
      <c r="J376" s="65" t="s">
        <v>1536</v>
      </c>
      <c r="K376">
        <f t="shared" ref="K376:K377" si="474">IF(F376&gt;0,(H376*$F376)/365.25,0)</f>
        <v>12.279260780287474</v>
      </c>
      <c r="L376">
        <f t="shared" ref="L376:L377" si="475">IF(F376&gt;0,(I376*$F376)/365.25,0)</f>
        <v>12.279260780287474</v>
      </c>
      <c r="M376" s="65"/>
    </row>
    <row r="377" spans="1:14" s="65" customFormat="1" hidden="1" outlineLevel="1">
      <c r="A377" s="139">
        <v>44278</v>
      </c>
      <c r="B377" s="139">
        <v>44413</v>
      </c>
      <c r="C377" s="123">
        <v>132412</v>
      </c>
      <c r="D377" s="124"/>
      <c r="E377" s="146">
        <f t="shared" si="453"/>
        <v>433986</v>
      </c>
      <c r="F377" s="146">
        <f>-D290+C377</f>
        <v>22756</v>
      </c>
      <c r="G377" s="80">
        <f t="shared" ref="G377" si="476">G376+F377</f>
        <v>477849.5</v>
      </c>
      <c r="H377" s="80">
        <f t="shared" ref="H377" si="477">IF(B377="",$C$1-A377,DATEDIF(A377,B377,"d"))</f>
        <v>135</v>
      </c>
      <c r="I377">
        <f t="shared" ref="I377" si="478">IF(B377="",$C$1-A377,H377)</f>
        <v>135</v>
      </c>
      <c r="J377" s="65" t="s">
        <v>1503</v>
      </c>
      <c r="K377">
        <f t="shared" si="474"/>
        <v>8410.8418891170422</v>
      </c>
      <c r="L377">
        <f t="shared" si="475"/>
        <v>8410.8418891170422</v>
      </c>
    </row>
    <row r="378" spans="1:14" hidden="1" outlineLevel="1">
      <c r="A378" s="147">
        <v>44418</v>
      </c>
      <c r="B378" s="147"/>
      <c r="C378" s="148">
        <v>129</v>
      </c>
      <c r="D378" s="149"/>
      <c r="E378" s="150">
        <f t="shared" si="453"/>
        <v>434115</v>
      </c>
      <c r="F378" s="150">
        <f t="shared" ref="F378" si="479">C378-D378</f>
        <v>129</v>
      </c>
      <c r="G378" s="151">
        <f>G377+F378</f>
        <v>477978.5</v>
      </c>
      <c r="H378" s="151">
        <f>IF(B378="",DATEDIF(A378,$F$1,"d"),DATEDIF(A378,B378,"d"))</f>
        <v>143</v>
      </c>
      <c r="I378" s="152">
        <f ca="1">IF(B378="",$C$1-A378,H378)</f>
        <v>1892</v>
      </c>
      <c r="J378" s="152" t="s">
        <v>84</v>
      </c>
      <c r="K378" s="152">
        <f t="shared" ref="K378" si="480">IF(F378&gt;0,(H378*$F378)/365.25,0)</f>
        <v>50.505133470225871</v>
      </c>
      <c r="L378" s="152">
        <f t="shared" ref="L378" ca="1" si="481">IF(F378&gt;0,(I378*$F378)/365.25,0)</f>
        <v>668.22176591375774</v>
      </c>
      <c r="M378" s="160"/>
    </row>
    <row r="379" spans="1:14" hidden="1" outlineLevel="1">
      <c r="A379" s="195">
        <v>44419</v>
      </c>
      <c r="B379" s="195">
        <v>44419</v>
      </c>
      <c r="C379" s="196">
        <v>8990</v>
      </c>
      <c r="D379" s="197">
        <v>0</v>
      </c>
      <c r="E379" s="198">
        <f t="shared" ref="E379:E385" si="482">E378+C379-D379</f>
        <v>443105</v>
      </c>
      <c r="F379" s="198">
        <f t="shared" ref="F379:F380" si="483">C379</f>
        <v>8990</v>
      </c>
      <c r="G379" s="199">
        <f t="shared" ref="G379:G380" si="484">G378+C379-D379</f>
        <v>486968.5</v>
      </c>
      <c r="H379" s="199">
        <f t="shared" ref="H379:H380" si="485">IF(B379="",DATEDIF(A379,$G$1,"d"),DATEDIF(A379,B379,"d"))</f>
        <v>0</v>
      </c>
      <c r="I379" s="200">
        <f t="shared" ref="I379:I380" si="486">IF(B379="",$C$1-A379,H379)</f>
        <v>0</v>
      </c>
      <c r="J379" s="200" t="s">
        <v>2387</v>
      </c>
      <c r="K379" s="200">
        <f t="shared" ref="K379:K380" si="487">(H379*$C379)/365.25</f>
        <v>0</v>
      </c>
      <c r="L379" s="200">
        <f t="shared" ref="L379:L380" si="488">(I379*$C379)/365.25</f>
        <v>0</v>
      </c>
      <c r="M379" s="200" t="s">
        <v>101</v>
      </c>
      <c r="N379" s="141"/>
    </row>
    <row r="380" spans="1:14" hidden="1" outlineLevel="1">
      <c r="A380" s="195">
        <v>44419</v>
      </c>
      <c r="B380" s="195">
        <v>44419</v>
      </c>
      <c r="C380" s="196">
        <v>2990</v>
      </c>
      <c r="D380" s="197">
        <v>0</v>
      </c>
      <c r="E380" s="198">
        <f t="shared" si="482"/>
        <v>446095</v>
      </c>
      <c r="F380" s="198">
        <f t="shared" si="483"/>
        <v>2990</v>
      </c>
      <c r="G380" s="199">
        <f t="shared" si="484"/>
        <v>489958.5</v>
      </c>
      <c r="H380" s="199">
        <f t="shared" si="485"/>
        <v>0</v>
      </c>
      <c r="I380" s="200">
        <f t="shared" si="486"/>
        <v>0</v>
      </c>
      <c r="J380" s="200" t="s">
        <v>2388</v>
      </c>
      <c r="K380" s="200">
        <f t="shared" si="487"/>
        <v>0</v>
      </c>
      <c r="L380" s="200">
        <f t="shared" si="488"/>
        <v>0</v>
      </c>
      <c r="M380" s="200" t="s">
        <v>101</v>
      </c>
    </row>
    <row r="381" spans="1:14" hidden="1" outlineLevel="1">
      <c r="A381" s="139">
        <v>44420</v>
      </c>
      <c r="B381" s="139">
        <v>44424</v>
      </c>
      <c r="C381" s="123"/>
      <c r="D381" s="124">
        <v>30070</v>
      </c>
      <c r="E381" s="146">
        <f t="shared" si="482"/>
        <v>416025</v>
      </c>
      <c r="F381" s="146">
        <f>C381-D381</f>
        <v>-30070</v>
      </c>
      <c r="G381" s="80">
        <f>IF(B381="",G380,G380+C381-D381)</f>
        <v>459888.5</v>
      </c>
      <c r="H381" s="80">
        <f>IF(B381="",$C$1-A381,DATEDIF(A381,B381,"d"))</f>
        <v>4</v>
      </c>
      <c r="I381">
        <f>IF(B381="",$C$1-A381,H381)</f>
        <v>4</v>
      </c>
      <c r="J381" s="65" t="s">
        <v>942</v>
      </c>
      <c r="K381">
        <f t="shared" ref="K381" si="489">IF(F381&gt;0,(H381*$F381)/365.25,0)</f>
        <v>0</v>
      </c>
      <c r="L381">
        <f t="shared" ref="L381" si="490">IF(F381&gt;0,(I381*$F381)/365.25,0)</f>
        <v>0</v>
      </c>
      <c r="M381" s="65" t="s">
        <v>2381</v>
      </c>
    </row>
    <row r="382" spans="1:14" hidden="1" outlineLevel="1">
      <c r="A382" s="195">
        <v>44420</v>
      </c>
      <c r="B382" s="195">
        <v>44420</v>
      </c>
      <c r="C382" s="196">
        <v>2000</v>
      </c>
      <c r="D382" s="197">
        <v>0</v>
      </c>
      <c r="E382" s="198">
        <f t="shared" si="482"/>
        <v>418025</v>
      </c>
      <c r="F382" s="198">
        <f t="shared" ref="F382:F384" si="491">C382</f>
        <v>2000</v>
      </c>
      <c r="G382" s="199">
        <f t="shared" ref="G382:G384" si="492">G381+C382-D382</f>
        <v>461888.5</v>
      </c>
      <c r="H382" s="199">
        <f t="shared" ref="H382:H384" si="493">IF(B382="",DATEDIF(A382,$G$1,"d"),DATEDIF(A382,B382,"d"))</f>
        <v>0</v>
      </c>
      <c r="I382" s="200">
        <f t="shared" ref="I382:I386" si="494">IF(B382="",$C$1-A382,H382)</f>
        <v>0</v>
      </c>
      <c r="J382" s="200" t="s">
        <v>2389</v>
      </c>
      <c r="K382" s="200">
        <f t="shared" ref="K382:K384" si="495">(H382*$C382)/365.25</f>
        <v>0</v>
      </c>
      <c r="L382" s="200">
        <f t="shared" ref="L382:L384" si="496">(I382*$C382)/365.25</f>
        <v>0</v>
      </c>
      <c r="M382" s="200" t="s">
        <v>101</v>
      </c>
    </row>
    <row r="383" spans="1:14" hidden="1" outlineLevel="1">
      <c r="A383" s="195">
        <v>44420</v>
      </c>
      <c r="B383" s="195">
        <v>44420</v>
      </c>
      <c r="C383" s="196">
        <v>2500</v>
      </c>
      <c r="D383" s="197">
        <v>0</v>
      </c>
      <c r="E383" s="198">
        <f t="shared" si="482"/>
        <v>420525</v>
      </c>
      <c r="F383" s="198">
        <f t="shared" si="491"/>
        <v>2500</v>
      </c>
      <c r="G383" s="199">
        <f t="shared" si="492"/>
        <v>464388.5</v>
      </c>
      <c r="H383" s="199">
        <f t="shared" si="493"/>
        <v>0</v>
      </c>
      <c r="I383" s="200">
        <f t="shared" si="494"/>
        <v>0</v>
      </c>
      <c r="J383" s="200" t="s">
        <v>2390</v>
      </c>
      <c r="K383" s="200">
        <f t="shared" si="495"/>
        <v>0</v>
      </c>
      <c r="L383" s="200">
        <f t="shared" si="496"/>
        <v>0</v>
      </c>
      <c r="M383" s="200" t="s">
        <v>101</v>
      </c>
      <c r="N383" s="141"/>
    </row>
    <row r="384" spans="1:14" hidden="1" outlineLevel="1">
      <c r="A384" s="195">
        <v>44420</v>
      </c>
      <c r="B384" s="195">
        <v>44420</v>
      </c>
      <c r="C384" s="196">
        <v>4484</v>
      </c>
      <c r="D384" s="197">
        <v>0</v>
      </c>
      <c r="E384" s="198">
        <f t="shared" si="482"/>
        <v>425009</v>
      </c>
      <c r="F384" s="198">
        <f t="shared" si="491"/>
        <v>4484</v>
      </c>
      <c r="G384" s="199">
        <f t="shared" si="492"/>
        <v>468872.5</v>
      </c>
      <c r="H384" s="199">
        <f t="shared" si="493"/>
        <v>0</v>
      </c>
      <c r="I384" s="200">
        <f t="shared" si="494"/>
        <v>0</v>
      </c>
      <c r="J384" s="200" t="s">
        <v>2391</v>
      </c>
      <c r="K384" s="200">
        <f t="shared" si="495"/>
        <v>0</v>
      </c>
      <c r="L384" s="200">
        <f t="shared" si="496"/>
        <v>0</v>
      </c>
      <c r="M384" s="200" t="s">
        <v>101</v>
      </c>
    </row>
    <row r="385" spans="1:14" hidden="1" outlineLevel="1">
      <c r="A385" s="139">
        <v>44421</v>
      </c>
      <c r="B385" s="139">
        <v>44425</v>
      </c>
      <c r="C385" s="123"/>
      <c r="D385" s="124">
        <v>43070</v>
      </c>
      <c r="E385" s="146">
        <f t="shared" si="482"/>
        <v>381939</v>
      </c>
      <c r="F385" s="146"/>
      <c r="G385" s="80">
        <f t="shared" ref="G385:G386" si="497">G384+F385</f>
        <v>468872.5</v>
      </c>
      <c r="H385" s="80">
        <f t="shared" ref="H385:H386" si="498">IF(B385="",$C$1-A385,DATEDIF(A385,B385,"d"))</f>
        <v>4</v>
      </c>
      <c r="I385">
        <f t="shared" si="494"/>
        <v>4</v>
      </c>
      <c r="J385" s="65" t="s">
        <v>766</v>
      </c>
      <c r="K385">
        <f t="shared" ref="K385:K386" si="499">IF(F385&gt;0,(H385*$F385)/365.25,0)</f>
        <v>0</v>
      </c>
      <c r="L385">
        <f t="shared" ref="L385:L386" si="500">IF(F385&gt;0,(I385*$F385)/365.25,0)</f>
        <v>0</v>
      </c>
      <c r="M385" s="65" t="s">
        <v>2381</v>
      </c>
    </row>
    <row r="386" spans="1:14" hidden="1" outlineLevel="1">
      <c r="A386" s="139">
        <v>44421</v>
      </c>
      <c r="B386" s="139">
        <v>44425</v>
      </c>
      <c r="C386" s="123"/>
      <c r="D386" s="124">
        <v>76070</v>
      </c>
      <c r="E386" s="146">
        <f t="shared" ref="E386:E390" si="501">E385+C386-D386</f>
        <v>305869</v>
      </c>
      <c r="F386" s="146"/>
      <c r="G386" s="80">
        <f t="shared" si="497"/>
        <v>468872.5</v>
      </c>
      <c r="H386" s="80">
        <f t="shared" si="498"/>
        <v>4</v>
      </c>
      <c r="I386">
        <f t="shared" si="494"/>
        <v>4</v>
      </c>
      <c r="J386" s="65" t="s">
        <v>1037</v>
      </c>
      <c r="K386">
        <f t="shared" si="499"/>
        <v>0</v>
      </c>
      <c r="L386">
        <f t="shared" si="500"/>
        <v>0</v>
      </c>
      <c r="M386" s="65" t="s">
        <v>2381</v>
      </c>
      <c r="N386" s="141"/>
    </row>
    <row r="387" spans="1:14" hidden="1" outlineLevel="1">
      <c r="A387" s="195">
        <v>44421</v>
      </c>
      <c r="B387" s="195">
        <v>44421</v>
      </c>
      <c r="C387" s="196">
        <v>2790</v>
      </c>
      <c r="D387" s="197">
        <v>0</v>
      </c>
      <c r="E387" s="198">
        <f>E386+C387-D387</f>
        <v>308659</v>
      </c>
      <c r="F387" s="198">
        <f>C387</f>
        <v>2790</v>
      </c>
      <c r="G387" s="199">
        <f t="shared" ref="G387" si="502">G386+C387-D387</f>
        <v>471662.5</v>
      </c>
      <c r="H387" s="199">
        <f t="shared" ref="H387" si="503">IF(B387="",DATEDIF(A387,$G$1,"d"),DATEDIF(A387,B387,"d"))</f>
        <v>0</v>
      </c>
      <c r="I387" s="200">
        <f t="shared" ref="I387:I388" si="504">IF(B387="",$C$1-A387,H387)</f>
        <v>0</v>
      </c>
      <c r="J387" s="200" t="s">
        <v>2394</v>
      </c>
      <c r="K387" s="200">
        <f t="shared" ref="K387" si="505">(H387*$C387)/365.25</f>
        <v>0</v>
      </c>
      <c r="L387" s="200">
        <f t="shared" ref="L387" si="506">(I387*$C387)/365.25</f>
        <v>0</v>
      </c>
      <c r="M387" s="65" t="s">
        <v>2381</v>
      </c>
      <c r="N387" s="141"/>
    </row>
    <row r="388" spans="1:14" hidden="1" outlineLevel="1">
      <c r="A388" s="139">
        <v>44420</v>
      </c>
      <c r="B388" s="139">
        <v>44424</v>
      </c>
      <c r="C388" s="123">
        <v>30050</v>
      </c>
      <c r="D388" s="124"/>
      <c r="E388" s="146">
        <f t="shared" si="501"/>
        <v>338709</v>
      </c>
      <c r="F388" s="146">
        <f>C388-D381</f>
        <v>-20</v>
      </c>
      <c r="G388" s="80">
        <f t="shared" ref="G388" si="507">G387+F388</f>
        <v>471642.5</v>
      </c>
      <c r="H388" s="80">
        <f t="shared" ref="H388" si="508">IF(B388="",$C$1-A388,DATEDIF(A388,B388,"d"))</f>
        <v>4</v>
      </c>
      <c r="I388">
        <f t="shared" si="504"/>
        <v>4</v>
      </c>
      <c r="J388" s="65" t="s">
        <v>942</v>
      </c>
      <c r="K388">
        <f t="shared" ref="K388" si="509">IF(F388&gt;0,(H388*$F388)/365.25,0)</f>
        <v>0</v>
      </c>
      <c r="L388">
        <f t="shared" ref="L388" si="510">IF(F388&gt;0,(I388*$F388)/365.25,0)</f>
        <v>0</v>
      </c>
      <c r="M388" s="65" t="s">
        <v>2381</v>
      </c>
    </row>
    <row r="389" spans="1:14" hidden="1" outlineLevel="1">
      <c r="A389" s="139">
        <v>44421</v>
      </c>
      <c r="B389" s="139">
        <v>44425</v>
      </c>
      <c r="C389" s="123">
        <v>43050</v>
      </c>
      <c r="D389" s="124"/>
      <c r="E389" s="146">
        <f t="shared" si="501"/>
        <v>381759</v>
      </c>
      <c r="F389" s="146">
        <f>C389-D385</f>
        <v>-20</v>
      </c>
      <c r="G389" s="80">
        <f t="shared" ref="G389:G390" si="511">G388+F389</f>
        <v>471622.5</v>
      </c>
      <c r="H389" s="80">
        <f t="shared" ref="H389:H390" si="512">IF(B389="",$C$1-A389,DATEDIF(A389,B389,"d"))</f>
        <v>4</v>
      </c>
      <c r="I389">
        <f t="shared" ref="I389:I390" si="513">IF(B389="",$C$1-A389,H389)</f>
        <v>4</v>
      </c>
      <c r="J389" s="65" t="s">
        <v>766</v>
      </c>
      <c r="K389">
        <f t="shared" ref="K389:K393" si="514">IF(F389&gt;0,(H389*$F389)/365.25,0)</f>
        <v>0</v>
      </c>
      <c r="L389">
        <f t="shared" ref="L389:L393" si="515">IF(F389&gt;0,(I389*$F389)/365.25,0)</f>
        <v>0</v>
      </c>
      <c r="M389" s="65" t="s">
        <v>2381</v>
      </c>
    </row>
    <row r="390" spans="1:14" hidden="1" outlineLevel="1">
      <c r="A390" s="139">
        <v>44421</v>
      </c>
      <c r="B390" s="139">
        <v>44425</v>
      </c>
      <c r="C390" s="123">
        <v>76050</v>
      </c>
      <c r="D390" s="124"/>
      <c r="E390" s="146">
        <f t="shared" si="501"/>
        <v>457809</v>
      </c>
      <c r="F390" s="146">
        <f>C390-D386</f>
        <v>-20</v>
      </c>
      <c r="G390" s="80">
        <f t="shared" si="511"/>
        <v>471602.5</v>
      </c>
      <c r="H390" s="80">
        <f t="shared" si="512"/>
        <v>4</v>
      </c>
      <c r="I390">
        <f t="shared" si="513"/>
        <v>4</v>
      </c>
      <c r="J390" s="65" t="s">
        <v>1037</v>
      </c>
      <c r="K390">
        <f t="shared" si="514"/>
        <v>0</v>
      </c>
      <c r="L390">
        <f t="shared" si="515"/>
        <v>0</v>
      </c>
      <c r="M390" s="65" t="s">
        <v>2381</v>
      </c>
      <c r="N390" s="141"/>
    </row>
    <row r="391" spans="1:14" hidden="1" outlineLevel="1">
      <c r="A391" s="139">
        <v>44427</v>
      </c>
      <c r="B391" s="139">
        <v>44431</v>
      </c>
      <c r="C391" s="123">
        <v>50050</v>
      </c>
      <c r="D391" s="124">
        <v>50070</v>
      </c>
      <c r="E391" s="146">
        <f t="shared" ref="E391:E395" si="516">E390+C391-D391</f>
        <v>457789</v>
      </c>
      <c r="F391" s="146">
        <f t="shared" ref="F391:F393" si="517">C391-D391</f>
        <v>-20</v>
      </c>
      <c r="G391" s="80">
        <f t="shared" ref="G391:G393" si="518">G390+F391</f>
        <v>471582.5</v>
      </c>
      <c r="H391" s="80">
        <f t="shared" ref="H391:H393" si="519">IF(B391="",$C$1-A391,DATEDIF(A391,B391,"d"))</f>
        <v>4</v>
      </c>
      <c r="I391">
        <f t="shared" ref="I391:I395" si="520">IF(B391="",$C$1-A391,H391)</f>
        <v>4</v>
      </c>
      <c r="J391" s="65" t="s">
        <v>327</v>
      </c>
      <c r="K391">
        <f t="shared" si="514"/>
        <v>0</v>
      </c>
      <c r="L391">
        <f t="shared" si="515"/>
        <v>0</v>
      </c>
      <c r="M391" s="65" t="s">
        <v>2381</v>
      </c>
    </row>
    <row r="392" spans="1:14" hidden="1" outlineLevel="1">
      <c r="A392" s="139">
        <v>44428</v>
      </c>
      <c r="B392" s="139">
        <v>44432</v>
      </c>
      <c r="C392" s="123">
        <v>16050</v>
      </c>
      <c r="D392" s="124">
        <v>16070</v>
      </c>
      <c r="E392" s="146">
        <f t="shared" si="516"/>
        <v>457769</v>
      </c>
      <c r="F392" s="146">
        <f t="shared" si="517"/>
        <v>-20</v>
      </c>
      <c r="G392" s="80">
        <f t="shared" si="518"/>
        <v>471562.5</v>
      </c>
      <c r="H392" s="80">
        <f t="shared" si="519"/>
        <v>4</v>
      </c>
      <c r="I392">
        <f t="shared" si="520"/>
        <v>4</v>
      </c>
      <c r="J392" s="65" t="s">
        <v>1438</v>
      </c>
      <c r="K392">
        <f t="shared" si="514"/>
        <v>0</v>
      </c>
      <c r="L392">
        <f t="shared" si="515"/>
        <v>0</v>
      </c>
      <c r="M392" s="65" t="s">
        <v>2381</v>
      </c>
    </row>
    <row r="393" spans="1:14" hidden="1" outlineLevel="1">
      <c r="A393" s="139">
        <v>44428</v>
      </c>
      <c r="B393" s="139">
        <v>44432</v>
      </c>
      <c r="C393" s="123">
        <v>19050</v>
      </c>
      <c r="D393" s="124">
        <v>19070</v>
      </c>
      <c r="E393" s="146">
        <f t="shared" si="516"/>
        <v>457749</v>
      </c>
      <c r="F393" s="146">
        <f t="shared" si="517"/>
        <v>-20</v>
      </c>
      <c r="G393" s="80">
        <f t="shared" si="518"/>
        <v>471542.5</v>
      </c>
      <c r="H393" s="80">
        <f t="shared" si="519"/>
        <v>4</v>
      </c>
      <c r="I393">
        <f t="shared" si="520"/>
        <v>4</v>
      </c>
      <c r="J393" s="65" t="s">
        <v>1444</v>
      </c>
      <c r="K393">
        <f t="shared" si="514"/>
        <v>0</v>
      </c>
      <c r="L393">
        <f t="shared" si="515"/>
        <v>0</v>
      </c>
      <c r="M393" s="65" t="s">
        <v>2381</v>
      </c>
    </row>
    <row r="394" spans="1:14" hidden="1" outlineLevel="1">
      <c r="A394" s="195">
        <v>44432</v>
      </c>
      <c r="B394" s="195">
        <v>44432</v>
      </c>
      <c r="C394" s="196">
        <v>787</v>
      </c>
      <c r="D394" s="197">
        <v>0</v>
      </c>
      <c r="E394" s="198">
        <f t="shared" si="516"/>
        <v>458536</v>
      </c>
      <c r="F394" s="198">
        <f t="shared" ref="F394:F395" si="521">C394</f>
        <v>787</v>
      </c>
      <c r="G394" s="199">
        <f t="shared" ref="G394:G395" si="522">G393+C394-D394</f>
        <v>472329.5</v>
      </c>
      <c r="H394" s="199">
        <f t="shared" ref="H394:H395" si="523">IF(B394="",DATEDIF(A394,$G$1,"d"),DATEDIF(A394,B394,"d"))</f>
        <v>0</v>
      </c>
      <c r="I394" s="200">
        <f t="shared" si="520"/>
        <v>0</v>
      </c>
      <c r="J394" s="200" t="s">
        <v>2392</v>
      </c>
      <c r="K394" s="200">
        <f t="shared" ref="K394:K395" si="524">(H394*$C394)/365.25</f>
        <v>0</v>
      </c>
      <c r="L394" s="200">
        <f t="shared" ref="L394:L395" si="525">(I394*$C394)/365.25</f>
        <v>0</v>
      </c>
      <c r="M394" s="200" t="s">
        <v>101</v>
      </c>
      <c r="N394" s="141"/>
    </row>
    <row r="395" spans="1:14" hidden="1" outlineLevel="1">
      <c r="A395" s="195">
        <v>44433</v>
      </c>
      <c r="B395" s="195">
        <v>44433</v>
      </c>
      <c r="C395" s="196">
        <v>3090</v>
      </c>
      <c r="D395" s="197">
        <v>0</v>
      </c>
      <c r="E395" s="198">
        <f t="shared" si="516"/>
        <v>461626</v>
      </c>
      <c r="F395" s="198">
        <f t="shared" si="521"/>
        <v>3090</v>
      </c>
      <c r="G395" s="199">
        <f t="shared" si="522"/>
        <v>475419.5</v>
      </c>
      <c r="H395" s="199">
        <f t="shared" si="523"/>
        <v>0</v>
      </c>
      <c r="I395" s="200">
        <f t="shared" si="520"/>
        <v>0</v>
      </c>
      <c r="J395" s="200" t="s">
        <v>2393</v>
      </c>
      <c r="K395" s="200">
        <f t="shared" si="524"/>
        <v>0</v>
      </c>
      <c r="L395" s="200">
        <f t="shared" si="525"/>
        <v>0</v>
      </c>
      <c r="M395" s="200" t="s">
        <v>101</v>
      </c>
      <c r="N395" s="141"/>
    </row>
    <row r="396" spans="1:14" hidden="1" outlineLevel="1">
      <c r="A396" s="139">
        <v>44434</v>
      </c>
      <c r="B396" s="139">
        <v>44438</v>
      </c>
      <c r="C396" s="123">
        <v>25250</v>
      </c>
      <c r="D396" s="124">
        <v>25270</v>
      </c>
      <c r="E396" s="146">
        <f t="shared" ref="E396:E408" si="526">E395+C396-D396</f>
        <v>461606</v>
      </c>
      <c r="F396" s="146">
        <f t="shared" ref="F396:F397" si="527">C396-D396</f>
        <v>-20</v>
      </c>
      <c r="G396" s="80">
        <f t="shared" ref="G396:G398" si="528">G395+F396</f>
        <v>475399.5</v>
      </c>
      <c r="H396" s="80">
        <f t="shared" ref="H396:H397" si="529">IF(B396="",$C$1-A396,DATEDIF(A396,B396,"d"))</f>
        <v>4</v>
      </c>
      <c r="I396">
        <f t="shared" ref="I396:I397" si="530">IF(B396="",$C$1-A396,H396)</f>
        <v>4</v>
      </c>
      <c r="J396" s="65" t="s">
        <v>534</v>
      </c>
      <c r="K396">
        <f t="shared" ref="K396:K398" si="531">IF(F396&gt;0,(H396*$F396)/365.25,0)</f>
        <v>0</v>
      </c>
      <c r="L396">
        <f t="shared" ref="L396:L398" si="532">IF(F396&gt;0,(I396*$F396)/365.25,0)</f>
        <v>0</v>
      </c>
      <c r="M396" s="65" t="s">
        <v>2381</v>
      </c>
      <c r="N396" s="65"/>
    </row>
    <row r="397" spans="1:14" hidden="1" outlineLevel="1">
      <c r="A397" s="139">
        <v>44434</v>
      </c>
      <c r="B397" s="139">
        <v>44438</v>
      </c>
      <c r="C397" s="123">
        <v>32850</v>
      </c>
      <c r="D397" s="124">
        <v>32870</v>
      </c>
      <c r="E397" s="146">
        <f t="shared" si="526"/>
        <v>461586</v>
      </c>
      <c r="F397" s="146">
        <f t="shared" si="527"/>
        <v>-20</v>
      </c>
      <c r="G397" s="80">
        <f t="shared" si="528"/>
        <v>475379.5</v>
      </c>
      <c r="H397" s="80">
        <f t="shared" si="529"/>
        <v>4</v>
      </c>
      <c r="I397">
        <f t="shared" si="530"/>
        <v>4</v>
      </c>
      <c r="J397" s="65" t="s">
        <v>309</v>
      </c>
      <c r="K397">
        <f t="shared" si="531"/>
        <v>0</v>
      </c>
      <c r="L397">
        <f t="shared" si="532"/>
        <v>0</v>
      </c>
      <c r="M397" s="65" t="s">
        <v>2381</v>
      </c>
      <c r="N397" s="65"/>
    </row>
    <row r="398" spans="1:14" hidden="1" outlineLevel="1">
      <c r="A398" s="161">
        <v>44438</v>
      </c>
      <c r="B398" s="162"/>
      <c r="C398" s="163">
        <v>500000</v>
      </c>
      <c r="D398" s="164"/>
      <c r="E398" s="165">
        <f>E397+C398-D398</f>
        <v>961586</v>
      </c>
      <c r="F398" s="165"/>
      <c r="G398" s="166">
        <f t="shared" si="528"/>
        <v>475379.5</v>
      </c>
      <c r="H398" s="166">
        <f>IF(B398="",DATEDIF(A398,$F$1,"d"),DATEDIF(A398,B398,"d"))</f>
        <v>123</v>
      </c>
      <c r="I398" s="167">
        <f ca="1">IF(B398="",$C$1-A398,H398)</f>
        <v>1872</v>
      </c>
      <c r="J398" s="168" t="s">
        <v>189</v>
      </c>
      <c r="K398" s="167">
        <f t="shared" si="531"/>
        <v>0</v>
      </c>
      <c r="L398" s="167">
        <f t="shared" si="532"/>
        <v>0</v>
      </c>
      <c r="M398" s="168" t="s">
        <v>190</v>
      </c>
      <c r="N398" s="65"/>
    </row>
    <row r="399" spans="1:14" s="65" customFormat="1" hidden="1" outlineLevel="1">
      <c r="A399" s="139">
        <v>44313</v>
      </c>
      <c r="B399" s="139">
        <v>44439</v>
      </c>
      <c r="C399" s="123">
        <v>18718</v>
      </c>
      <c r="D399" s="124"/>
      <c r="E399" s="146">
        <f t="shared" si="526"/>
        <v>980304</v>
      </c>
      <c r="F399" s="146">
        <f>-D356/2+C399</f>
        <v>-4014</v>
      </c>
      <c r="G399" s="80">
        <f t="shared" ref="G399" si="533">G398+F399</f>
        <v>471365.5</v>
      </c>
      <c r="H399" s="80">
        <f t="shared" ref="H399" si="534">IF(B399="",$C$1-A399,DATEDIF(A399,B399,"d"))</f>
        <v>126</v>
      </c>
      <c r="I399">
        <f t="shared" ref="I399" si="535">IF(B399="",$C$1-A399,H399)</f>
        <v>126</v>
      </c>
      <c r="J399" s="65" t="s">
        <v>1534</v>
      </c>
      <c r="K399">
        <f t="shared" ref="K399" si="536">IF(F399&gt;0,(H399*$F399)/365.25,0)</f>
        <v>0</v>
      </c>
      <c r="L399">
        <f t="shared" ref="L399" si="537">IF(F399&gt;0,(I399*$F399)/365.25,0)</f>
        <v>0</v>
      </c>
    </row>
    <row r="400" spans="1:14" s="65" customFormat="1" hidden="1" outlineLevel="1">
      <c r="A400" s="139">
        <v>44308</v>
      </c>
      <c r="B400" s="139">
        <v>44439</v>
      </c>
      <c r="C400" s="123">
        <v>24243</v>
      </c>
      <c r="D400" s="124"/>
      <c r="E400" s="146">
        <f t="shared" si="526"/>
        <v>1004547</v>
      </c>
      <c r="F400" s="146">
        <f>-D341+C400</f>
        <v>-2194</v>
      </c>
      <c r="G400" s="80">
        <f t="shared" ref="G400:G404" si="538">G399+F400</f>
        <v>469171.5</v>
      </c>
      <c r="H400" s="80">
        <f t="shared" ref="H400:H405" si="539">IF(B400="",$C$1-A400,DATEDIF(A400,B400,"d"))</f>
        <v>131</v>
      </c>
      <c r="I400">
        <f t="shared" ref="I400:I405" si="540">IF(B400="",$C$1-A400,H400)</f>
        <v>131</v>
      </c>
      <c r="J400" s="65" t="s">
        <v>1526</v>
      </c>
      <c r="K400">
        <f t="shared" ref="K400:K406" si="541">IF(F400&gt;0,(H400*$F400)/365.25,0)</f>
        <v>0</v>
      </c>
      <c r="L400">
        <f t="shared" ref="L400:L406" si="542">IF(F400&gt;0,(I400*$F400)/365.25,0)</f>
        <v>0</v>
      </c>
    </row>
    <row r="401" spans="1:14" hidden="1" outlineLevel="1">
      <c r="A401" s="139">
        <v>44439</v>
      </c>
      <c r="B401" s="139">
        <v>44571</v>
      </c>
      <c r="C401" s="123"/>
      <c r="D401" s="124">
        <v>447636</v>
      </c>
      <c r="E401" s="146">
        <f t="shared" si="526"/>
        <v>556911</v>
      </c>
      <c r="F401" s="146"/>
      <c r="G401" s="80">
        <f t="shared" si="538"/>
        <v>469171.5</v>
      </c>
      <c r="H401" s="80">
        <f t="shared" si="539"/>
        <v>132</v>
      </c>
      <c r="I401">
        <f t="shared" si="540"/>
        <v>132</v>
      </c>
      <c r="J401" s="65" t="s">
        <v>1516</v>
      </c>
      <c r="K401">
        <f t="shared" si="541"/>
        <v>0</v>
      </c>
      <c r="L401">
        <f t="shared" si="542"/>
        <v>0</v>
      </c>
      <c r="M401" s="65"/>
    </row>
    <row r="402" spans="1:14" s="65" customFormat="1" hidden="1" outlineLevel="1">
      <c r="A402" s="139">
        <v>44308</v>
      </c>
      <c r="B402" s="139">
        <v>44442</v>
      </c>
      <c r="C402" s="123">
        <v>17274</v>
      </c>
      <c r="D402" s="124"/>
      <c r="E402" s="146">
        <f t="shared" si="526"/>
        <v>574185</v>
      </c>
      <c r="F402" s="146">
        <f>-D346+C402</f>
        <v>-12969</v>
      </c>
      <c r="G402" s="80">
        <f t="shared" si="538"/>
        <v>456202.5</v>
      </c>
      <c r="H402" s="80">
        <f t="shared" si="539"/>
        <v>134</v>
      </c>
      <c r="I402">
        <f t="shared" si="540"/>
        <v>134</v>
      </c>
      <c r="J402" s="65" t="s">
        <v>2415</v>
      </c>
      <c r="K402">
        <f t="shared" si="541"/>
        <v>0</v>
      </c>
      <c r="L402">
        <f t="shared" si="542"/>
        <v>0</v>
      </c>
    </row>
    <row r="403" spans="1:14" s="65" customFormat="1" hidden="1" outlineLevel="1">
      <c r="A403" s="139">
        <v>44308</v>
      </c>
      <c r="B403" s="139">
        <v>44442</v>
      </c>
      <c r="C403" s="123">
        <v>16776</v>
      </c>
      <c r="D403" s="124"/>
      <c r="E403" s="146">
        <f t="shared" si="526"/>
        <v>590961</v>
      </c>
      <c r="F403" s="146">
        <f>-D350+C403</f>
        <v>-12615</v>
      </c>
      <c r="G403" s="80">
        <f t="shared" si="538"/>
        <v>443587.5</v>
      </c>
      <c r="H403" s="80">
        <f t="shared" si="539"/>
        <v>134</v>
      </c>
      <c r="I403">
        <f t="shared" si="540"/>
        <v>134</v>
      </c>
      <c r="J403" s="65" t="s">
        <v>2416</v>
      </c>
      <c r="K403">
        <f t="shared" si="541"/>
        <v>0</v>
      </c>
      <c r="L403">
        <f t="shared" si="542"/>
        <v>0</v>
      </c>
    </row>
    <row r="404" spans="1:14" s="65" customFormat="1" hidden="1" outlineLevel="1">
      <c r="A404" s="139">
        <v>44300</v>
      </c>
      <c r="B404" s="139">
        <v>44442</v>
      </c>
      <c r="C404" s="123">
        <v>18369</v>
      </c>
      <c r="D404" s="124"/>
      <c r="E404" s="146">
        <f t="shared" si="526"/>
        <v>609330</v>
      </c>
      <c r="F404" s="146">
        <f>-D326/5+C404</f>
        <v>393.59999999999854</v>
      </c>
      <c r="G404" s="80">
        <f t="shared" si="538"/>
        <v>443981.1</v>
      </c>
      <c r="H404" s="80">
        <f t="shared" si="539"/>
        <v>142</v>
      </c>
      <c r="I404">
        <f t="shared" si="540"/>
        <v>142</v>
      </c>
      <c r="J404" s="65" t="s">
        <v>1520</v>
      </c>
      <c r="K404">
        <f>IF(F404&gt;0,(H404*$F404)/365.25,0)</f>
        <v>153.02176591375712</v>
      </c>
      <c r="L404">
        <f t="shared" si="542"/>
        <v>153.02176591375712</v>
      </c>
    </row>
    <row r="405" spans="1:14" s="65" customFormat="1" hidden="1" outlineLevel="1">
      <c r="A405" s="139">
        <v>44308</v>
      </c>
      <c r="B405" s="139">
        <v>44445</v>
      </c>
      <c r="C405" s="123">
        <v>66704</v>
      </c>
      <c r="D405" s="124"/>
      <c r="E405" s="146">
        <f t="shared" si="526"/>
        <v>676034</v>
      </c>
      <c r="F405" s="146">
        <f>-D344+C405</f>
        <v>5417</v>
      </c>
      <c r="G405" s="80">
        <f>G404+F405</f>
        <v>449398.1</v>
      </c>
      <c r="H405" s="80">
        <f t="shared" si="539"/>
        <v>137</v>
      </c>
      <c r="I405">
        <f t="shared" si="540"/>
        <v>137</v>
      </c>
      <c r="J405" s="65" t="s">
        <v>1527</v>
      </c>
      <c r="K405">
        <f t="shared" si="541"/>
        <v>2031.8384668035592</v>
      </c>
      <c r="L405">
        <f t="shared" si="542"/>
        <v>2031.8384668035592</v>
      </c>
    </row>
    <row r="406" spans="1:14" hidden="1" outlineLevel="1">
      <c r="A406" s="139">
        <v>44445</v>
      </c>
      <c r="B406" s="139">
        <v>44547</v>
      </c>
      <c r="C406" s="123"/>
      <c r="D406" s="124">
        <v>116165</v>
      </c>
      <c r="E406" s="146">
        <f t="shared" si="526"/>
        <v>559869</v>
      </c>
      <c r="F406" s="146"/>
      <c r="G406" s="80">
        <f t="shared" ref="G406" si="543">G405+F406</f>
        <v>449398.1</v>
      </c>
      <c r="H406" s="80">
        <f t="shared" ref="H406" si="544">IF(B406="",$C$1-A406,DATEDIF(A406,B406,"d"))</f>
        <v>102</v>
      </c>
      <c r="I406">
        <f t="shared" ref="I406:I407" si="545">IF(B406="",$C$1-A406,H406)</f>
        <v>102</v>
      </c>
      <c r="J406" s="65" t="s">
        <v>2421</v>
      </c>
      <c r="K406">
        <f t="shared" si="541"/>
        <v>0</v>
      </c>
      <c r="L406">
        <f t="shared" si="542"/>
        <v>0</v>
      </c>
      <c r="M406" s="65"/>
    </row>
    <row r="407" spans="1:14" hidden="1" outlineLevel="1">
      <c r="A407" s="195">
        <v>44448</v>
      </c>
      <c r="B407" s="195">
        <v>44448</v>
      </c>
      <c r="C407" s="196">
        <v>1910</v>
      </c>
      <c r="D407" s="197">
        <v>0</v>
      </c>
      <c r="E407" s="198">
        <f t="shared" si="526"/>
        <v>561779</v>
      </c>
      <c r="F407" s="198">
        <f>C407</f>
        <v>1910</v>
      </c>
      <c r="G407" s="199">
        <f t="shared" ref="G407" si="546">G406+C407-D407</f>
        <v>451308.1</v>
      </c>
      <c r="H407" s="199">
        <f t="shared" ref="H407" si="547">IF(B407="",DATEDIF(A407,$G$1,"d"),DATEDIF(A407,B407,"d"))</f>
        <v>0</v>
      </c>
      <c r="I407" s="200">
        <f t="shared" si="545"/>
        <v>0</v>
      </c>
      <c r="J407" s="200" t="s">
        <v>2359</v>
      </c>
      <c r="K407" s="200">
        <f t="shared" ref="K407" si="548">(H407*$C407)/365.25</f>
        <v>0</v>
      </c>
      <c r="L407" s="200">
        <f t="shared" ref="L407" si="549">(I407*$C407)/365.25</f>
        <v>0</v>
      </c>
      <c r="M407" s="200" t="s">
        <v>101</v>
      </c>
      <c r="N407" s="141"/>
    </row>
    <row r="408" spans="1:14" hidden="1" outlineLevel="1">
      <c r="A408" s="147">
        <v>44449</v>
      </c>
      <c r="B408" s="147"/>
      <c r="C408" s="148">
        <v>416</v>
      </c>
      <c r="D408" s="149"/>
      <c r="E408" s="150">
        <f t="shared" si="526"/>
        <v>562195</v>
      </c>
      <c r="F408" s="150">
        <f t="shared" ref="F408:F409" si="550">C408-D408</f>
        <v>416</v>
      </c>
      <c r="G408" s="151">
        <f>G407+F408</f>
        <v>451724.1</v>
      </c>
      <c r="H408" s="151">
        <f>IF(B408="",DATEDIF(A408,$F$1,"d"),DATEDIF(A408,B408,"d"))</f>
        <v>112</v>
      </c>
      <c r="I408" s="152">
        <f ca="1">IF(B408="",$C$1-A408,H408)</f>
        <v>1861</v>
      </c>
      <c r="J408" s="152" t="s">
        <v>84</v>
      </c>
      <c r="K408" s="152">
        <f t="shared" ref="K408:K409" si="551">IF(F408&gt;0,(H408*$F408)/365.25,0)</f>
        <v>127.56194387405887</v>
      </c>
      <c r="L408" s="152">
        <f t="shared" ref="L408:L409" ca="1" si="552">IF(F408&gt;0,(I408*$F408)/365.25,0)</f>
        <v>2119.5783709787815</v>
      </c>
      <c r="M408" s="160"/>
    </row>
    <row r="409" spans="1:14" hidden="1" outlineLevel="1">
      <c r="A409" s="139">
        <v>44449</v>
      </c>
      <c r="B409" s="139">
        <v>44453</v>
      </c>
      <c r="C409" s="123">
        <v>140050</v>
      </c>
      <c r="D409" s="124">
        <v>140070</v>
      </c>
      <c r="E409" s="146">
        <f t="shared" ref="E409:E414" si="553">E408+C409-D409</f>
        <v>562175</v>
      </c>
      <c r="F409" s="146">
        <f t="shared" si="550"/>
        <v>-20</v>
      </c>
      <c r="G409" s="80">
        <f t="shared" ref="G409" si="554">G408+F409</f>
        <v>451704.1</v>
      </c>
      <c r="H409" s="80">
        <f t="shared" ref="H409" si="555">IF(B409="",$C$1-A409,DATEDIF(A409,B409,"d"))</f>
        <v>4</v>
      </c>
      <c r="I409">
        <f t="shared" ref="I409:I415" si="556">IF(B409="",$C$1-A409,H409)</f>
        <v>4</v>
      </c>
      <c r="J409" s="65" t="s">
        <v>2358</v>
      </c>
      <c r="K409">
        <f t="shared" si="551"/>
        <v>0</v>
      </c>
      <c r="L409">
        <f t="shared" si="552"/>
        <v>0</v>
      </c>
      <c r="M409" s="65" t="s">
        <v>2381</v>
      </c>
    </row>
    <row r="410" spans="1:14" hidden="1" outlineLevel="1">
      <c r="A410" s="195">
        <v>44455</v>
      </c>
      <c r="B410" s="195">
        <v>44455</v>
      </c>
      <c r="C410" s="196">
        <v>1490</v>
      </c>
      <c r="D410" s="197">
        <v>0</v>
      </c>
      <c r="E410" s="198">
        <f t="shared" si="553"/>
        <v>563665</v>
      </c>
      <c r="F410" s="198">
        <f t="shared" ref="F410:F414" si="557">C410</f>
        <v>1490</v>
      </c>
      <c r="G410" s="199">
        <f t="shared" ref="G410:G414" si="558">G409+C410-D410</f>
        <v>453194.1</v>
      </c>
      <c r="H410" s="199">
        <f t="shared" ref="H410:H414" si="559">IF(B410="",DATEDIF(A410,$G$1,"d"),DATEDIF(A410,B410,"d"))</f>
        <v>0</v>
      </c>
      <c r="I410" s="200">
        <f t="shared" si="556"/>
        <v>0</v>
      </c>
      <c r="J410" s="200" t="s">
        <v>2360</v>
      </c>
      <c r="K410" s="200">
        <f t="shared" ref="K410:K414" si="560">(H410*$C410)/365.25</f>
        <v>0</v>
      </c>
      <c r="L410" s="200">
        <f t="shared" ref="L410:L414" si="561">(I410*$C410)/365.25</f>
        <v>0</v>
      </c>
      <c r="M410" s="200" t="s">
        <v>101</v>
      </c>
    </row>
    <row r="411" spans="1:14" hidden="1" outlineLevel="1">
      <c r="A411" s="195">
        <v>44456</v>
      </c>
      <c r="B411" s="195">
        <v>44456</v>
      </c>
      <c r="C411" s="196">
        <v>6278</v>
      </c>
      <c r="D411" s="197">
        <v>0</v>
      </c>
      <c r="E411" s="198">
        <f t="shared" si="553"/>
        <v>569943</v>
      </c>
      <c r="F411" s="198">
        <f t="shared" si="557"/>
        <v>6278</v>
      </c>
      <c r="G411" s="199">
        <f t="shared" si="558"/>
        <v>459472.1</v>
      </c>
      <c r="H411" s="199">
        <f t="shared" si="559"/>
        <v>0</v>
      </c>
      <c r="I411" s="200">
        <f t="shared" si="556"/>
        <v>0</v>
      </c>
      <c r="J411" s="200" t="s">
        <v>2361</v>
      </c>
      <c r="K411" s="200">
        <f t="shared" si="560"/>
        <v>0</v>
      </c>
      <c r="L411" s="200">
        <f t="shared" si="561"/>
        <v>0</v>
      </c>
      <c r="M411" s="200" t="s">
        <v>101</v>
      </c>
    </row>
    <row r="412" spans="1:14" hidden="1" outlineLevel="1">
      <c r="A412" s="195">
        <v>44456</v>
      </c>
      <c r="B412" s="195">
        <v>44456</v>
      </c>
      <c r="C412" s="196">
        <v>893</v>
      </c>
      <c r="D412" s="197">
        <v>0</v>
      </c>
      <c r="E412" s="198">
        <f t="shared" si="553"/>
        <v>570836</v>
      </c>
      <c r="F412" s="198">
        <f t="shared" si="557"/>
        <v>893</v>
      </c>
      <c r="G412" s="199">
        <f t="shared" si="558"/>
        <v>460365.1</v>
      </c>
      <c r="H412" s="199">
        <f t="shared" si="559"/>
        <v>0</v>
      </c>
      <c r="I412" s="200">
        <f t="shared" si="556"/>
        <v>0</v>
      </c>
      <c r="J412" s="200" t="s">
        <v>2362</v>
      </c>
      <c r="K412" s="200">
        <f t="shared" si="560"/>
        <v>0</v>
      </c>
      <c r="L412" s="200">
        <f t="shared" si="561"/>
        <v>0</v>
      </c>
      <c r="M412" s="200" t="s">
        <v>101</v>
      </c>
    </row>
    <row r="413" spans="1:14" hidden="1" outlineLevel="1">
      <c r="A413" s="195">
        <v>44456</v>
      </c>
      <c r="B413" s="195">
        <v>44456</v>
      </c>
      <c r="C413" s="196">
        <v>15590</v>
      </c>
      <c r="D413" s="197">
        <v>0</v>
      </c>
      <c r="E413" s="198">
        <f t="shared" si="553"/>
        <v>586426</v>
      </c>
      <c r="F413" s="198">
        <f t="shared" si="557"/>
        <v>15590</v>
      </c>
      <c r="G413" s="199">
        <f t="shared" si="558"/>
        <v>475955.1</v>
      </c>
      <c r="H413" s="199">
        <f t="shared" si="559"/>
        <v>0</v>
      </c>
      <c r="I413" s="200">
        <f t="shared" si="556"/>
        <v>0</v>
      </c>
      <c r="J413" s="200" t="s">
        <v>2363</v>
      </c>
      <c r="K413" s="200">
        <f t="shared" si="560"/>
        <v>0</v>
      </c>
      <c r="L413" s="200">
        <f t="shared" si="561"/>
        <v>0</v>
      </c>
      <c r="M413" s="200" t="s">
        <v>101</v>
      </c>
      <c r="N413" s="141"/>
    </row>
    <row r="414" spans="1:14" hidden="1" outlineLevel="1">
      <c r="A414" s="195">
        <v>44456</v>
      </c>
      <c r="B414" s="195">
        <v>44456</v>
      </c>
      <c r="C414" s="196">
        <v>1402</v>
      </c>
      <c r="D414" s="197">
        <v>0</v>
      </c>
      <c r="E414" s="198">
        <f t="shared" si="553"/>
        <v>587828</v>
      </c>
      <c r="F414" s="198">
        <f t="shared" si="557"/>
        <v>1402</v>
      </c>
      <c r="G414" s="199">
        <f t="shared" si="558"/>
        <v>477357.1</v>
      </c>
      <c r="H414" s="199">
        <f t="shared" si="559"/>
        <v>0</v>
      </c>
      <c r="I414" s="200">
        <f t="shared" si="556"/>
        <v>0</v>
      </c>
      <c r="J414" s="200" t="s">
        <v>2364</v>
      </c>
      <c r="K414" s="200">
        <f t="shared" si="560"/>
        <v>0</v>
      </c>
      <c r="L414" s="200">
        <f t="shared" si="561"/>
        <v>0</v>
      </c>
      <c r="M414" s="200" t="s">
        <v>101</v>
      </c>
    </row>
    <row r="415" spans="1:14" hidden="1" outlineLevel="1">
      <c r="A415" s="139">
        <v>44461</v>
      </c>
      <c r="B415" s="139">
        <v>44463</v>
      </c>
      <c r="C415" s="123">
        <v>40050</v>
      </c>
      <c r="D415" s="124">
        <v>40070</v>
      </c>
      <c r="E415" s="146">
        <f>E414+C415-D415</f>
        <v>587808</v>
      </c>
      <c r="F415" s="146">
        <f t="shared" ref="F415" si="562">C415-D415</f>
        <v>-20</v>
      </c>
      <c r="G415" s="80">
        <f t="shared" ref="G415" si="563">G414+F415</f>
        <v>477337.1</v>
      </c>
      <c r="H415" s="80">
        <f t="shared" ref="H415" si="564">IF(B415="",$C$1-A415,DATEDIF(A415,B415,"d"))</f>
        <v>2</v>
      </c>
      <c r="I415">
        <f t="shared" si="556"/>
        <v>2</v>
      </c>
      <c r="J415" s="65" t="s">
        <v>2365</v>
      </c>
      <c r="K415">
        <f t="shared" ref="K415" si="565">IF(F415&gt;0,(H415*$F415)/365.25,0)</f>
        <v>0</v>
      </c>
      <c r="L415">
        <f t="shared" ref="L415" si="566">IF(F415&gt;0,(I415*$F415)/365.25,0)</f>
        <v>0</v>
      </c>
      <c r="M415" s="65" t="s">
        <v>2381</v>
      </c>
      <c r="N415" s="141"/>
    </row>
    <row r="416" spans="1:14" hidden="1" outlineLevel="1">
      <c r="A416" s="139">
        <v>44461</v>
      </c>
      <c r="B416" s="139">
        <v>44463</v>
      </c>
      <c r="C416" s="123">
        <v>52050</v>
      </c>
      <c r="D416" s="124">
        <v>52070</v>
      </c>
      <c r="E416" s="146">
        <f t="shared" ref="E416:E421" si="567">E415+C416-D416</f>
        <v>587788</v>
      </c>
      <c r="F416" s="146">
        <f t="shared" ref="F416:F417" si="568">C416-D416</f>
        <v>-20</v>
      </c>
      <c r="G416" s="80">
        <f t="shared" ref="G416:G421" si="569">G415+F416</f>
        <v>477317.1</v>
      </c>
      <c r="H416" s="80">
        <f t="shared" ref="H416:H421" si="570">IF(B416="",$C$1-A416,DATEDIF(A416,B416,"d"))</f>
        <v>2</v>
      </c>
      <c r="I416">
        <f t="shared" ref="I416:I421" si="571">IF(B416="",$C$1-A416,H416)</f>
        <v>2</v>
      </c>
      <c r="J416" s="65" t="s">
        <v>2366</v>
      </c>
      <c r="K416">
        <f t="shared" ref="K416:K421" si="572">IF(F416&gt;0,(H416*$F416)/365.25,0)</f>
        <v>0</v>
      </c>
      <c r="L416">
        <f t="shared" ref="L416:L421" si="573">IF(F416&gt;0,(I416*$F416)/365.25,0)</f>
        <v>0</v>
      </c>
      <c r="M416" s="65" t="s">
        <v>2381</v>
      </c>
      <c r="N416" s="141"/>
    </row>
    <row r="417" spans="1:14" hidden="1" outlineLevel="1">
      <c r="A417" s="139">
        <v>44461</v>
      </c>
      <c r="B417" s="139">
        <v>44463</v>
      </c>
      <c r="C417" s="123">
        <v>125050</v>
      </c>
      <c r="D417" s="124">
        <v>125070</v>
      </c>
      <c r="E417" s="146">
        <f t="shared" si="567"/>
        <v>587768</v>
      </c>
      <c r="F417" s="146">
        <f t="shared" si="568"/>
        <v>-20</v>
      </c>
      <c r="G417" s="80">
        <f t="shared" si="569"/>
        <v>477297.1</v>
      </c>
      <c r="H417" s="80">
        <f t="shared" si="570"/>
        <v>2</v>
      </c>
      <c r="I417">
        <f t="shared" si="571"/>
        <v>2</v>
      </c>
      <c r="J417" s="65" t="s">
        <v>2367</v>
      </c>
      <c r="K417">
        <f t="shared" si="572"/>
        <v>0</v>
      </c>
      <c r="L417">
        <f t="shared" si="573"/>
        <v>0</v>
      </c>
      <c r="M417" s="65" t="s">
        <v>2381</v>
      </c>
      <c r="N417" s="141"/>
    </row>
    <row r="418" spans="1:14" hidden="1" outlineLevel="1">
      <c r="A418" s="139">
        <v>44390</v>
      </c>
      <c r="B418" s="139">
        <v>44456</v>
      </c>
      <c r="C418" s="123">
        <v>45698</v>
      </c>
      <c r="D418" s="124"/>
      <c r="E418" s="146">
        <f t="shared" si="567"/>
        <v>633466</v>
      </c>
      <c r="F418" s="146">
        <f>-D370+C418</f>
        <v>-3872</v>
      </c>
      <c r="G418" s="80">
        <f t="shared" si="569"/>
        <v>473425.1</v>
      </c>
      <c r="H418" s="80">
        <f t="shared" si="570"/>
        <v>66</v>
      </c>
      <c r="I418">
        <f t="shared" si="571"/>
        <v>66</v>
      </c>
      <c r="J418" s="65" t="s">
        <v>1535</v>
      </c>
      <c r="K418">
        <f t="shared" si="572"/>
        <v>0</v>
      </c>
      <c r="L418">
        <f t="shared" si="573"/>
        <v>0</v>
      </c>
      <c r="M418" s="65"/>
    </row>
    <row r="419" spans="1:14" hidden="1" outlineLevel="1">
      <c r="A419" s="139">
        <v>44462</v>
      </c>
      <c r="B419" s="139">
        <v>44466</v>
      </c>
      <c r="C419" s="123">
        <v>42050</v>
      </c>
      <c r="D419" s="124">
        <v>42070</v>
      </c>
      <c r="E419" s="146">
        <f t="shared" si="567"/>
        <v>633446</v>
      </c>
      <c r="F419" s="146">
        <f t="shared" ref="F419" si="574">C419-D419</f>
        <v>-20</v>
      </c>
      <c r="G419" s="80">
        <f t="shared" si="569"/>
        <v>473405.1</v>
      </c>
      <c r="H419" s="80">
        <f t="shared" si="570"/>
        <v>4</v>
      </c>
      <c r="I419">
        <f t="shared" si="571"/>
        <v>4</v>
      </c>
      <c r="J419" s="65" t="s">
        <v>2368</v>
      </c>
      <c r="K419">
        <f t="shared" si="572"/>
        <v>0</v>
      </c>
      <c r="L419">
        <f t="shared" si="573"/>
        <v>0</v>
      </c>
      <c r="M419" s="65" t="s">
        <v>2381</v>
      </c>
      <c r="N419" s="141"/>
    </row>
    <row r="420" spans="1:14" hidden="1" outlineLevel="1">
      <c r="A420" s="139">
        <v>44463</v>
      </c>
      <c r="B420" s="139">
        <v>44467</v>
      </c>
      <c r="C420" s="123">
        <v>24050</v>
      </c>
      <c r="D420" s="124">
        <v>24070</v>
      </c>
      <c r="E420" s="146">
        <f t="shared" si="567"/>
        <v>633426</v>
      </c>
      <c r="F420" s="146">
        <f>C420-D420</f>
        <v>-20</v>
      </c>
      <c r="G420" s="80">
        <f t="shared" si="569"/>
        <v>473385.1</v>
      </c>
      <c r="H420" s="80">
        <f t="shared" si="570"/>
        <v>4</v>
      </c>
      <c r="I420">
        <f t="shared" si="571"/>
        <v>4</v>
      </c>
      <c r="J420" s="65" t="s">
        <v>2369</v>
      </c>
      <c r="K420">
        <f t="shared" si="572"/>
        <v>0</v>
      </c>
      <c r="L420">
        <f t="shared" si="573"/>
        <v>0</v>
      </c>
      <c r="M420" s="65" t="s">
        <v>2381</v>
      </c>
    </row>
    <row r="421" spans="1:14" hidden="1" outlineLevel="1">
      <c r="A421" s="139">
        <v>44463</v>
      </c>
      <c r="B421" s="139">
        <v>44467</v>
      </c>
      <c r="C421" s="123">
        <v>60050</v>
      </c>
      <c r="D421" s="124">
        <v>60070</v>
      </c>
      <c r="E421" s="146">
        <f t="shared" si="567"/>
        <v>633406</v>
      </c>
      <c r="F421" s="146">
        <f>C421-D421</f>
        <v>-20</v>
      </c>
      <c r="G421" s="80">
        <f t="shared" si="569"/>
        <v>473365.1</v>
      </c>
      <c r="H421" s="80">
        <f t="shared" si="570"/>
        <v>4</v>
      </c>
      <c r="I421">
        <f t="shared" si="571"/>
        <v>4</v>
      </c>
      <c r="J421" s="65" t="s">
        <v>2370</v>
      </c>
      <c r="K421">
        <f t="shared" si="572"/>
        <v>0</v>
      </c>
      <c r="L421">
        <f t="shared" si="573"/>
        <v>0</v>
      </c>
      <c r="M421" s="65" t="s">
        <v>2381</v>
      </c>
      <c r="N421" s="141"/>
    </row>
    <row r="422" spans="1:14" hidden="1" outlineLevel="1">
      <c r="A422" s="147">
        <v>44477</v>
      </c>
      <c r="B422" s="147"/>
      <c r="C422" s="148">
        <v>158</v>
      </c>
      <c r="D422" s="149"/>
      <c r="E422" s="150">
        <f t="shared" ref="E422" si="575">E421+C422-D422</f>
        <v>633564</v>
      </c>
      <c r="F422" s="150">
        <f t="shared" ref="F422:F426" si="576">C422-D422</f>
        <v>158</v>
      </c>
      <c r="G422" s="151">
        <f>G421+F422</f>
        <v>473523.1</v>
      </c>
      <c r="H422" s="151">
        <f>IF(B422="",DATEDIF(A422,$F$1,"d"),DATEDIF(A422,B422,"d"))</f>
        <v>84</v>
      </c>
      <c r="I422" s="152">
        <f ca="1">IF(B422="",$C$1-A422,H422)</f>
        <v>1833</v>
      </c>
      <c r="J422" s="152" t="s">
        <v>84</v>
      </c>
      <c r="K422" s="152">
        <f t="shared" ref="K422:K423" si="577">IF(F422&gt;0,(H422*$F422)/365.25,0)</f>
        <v>36.336755646817245</v>
      </c>
      <c r="L422" s="152">
        <f t="shared" ref="L422:L423" ca="1" si="578">IF(F422&gt;0,(I422*$F422)/365.25,0)</f>
        <v>792.91991786447636</v>
      </c>
      <c r="M422" s="160"/>
    </row>
    <row r="423" spans="1:14" hidden="1" outlineLevel="1">
      <c r="A423" s="139">
        <v>44483</v>
      </c>
      <c r="B423" s="139">
        <v>44487</v>
      </c>
      <c r="C423" s="123">
        <v>15050</v>
      </c>
      <c r="D423" s="124">
        <v>15070</v>
      </c>
      <c r="E423" s="146">
        <f>E422+C423-D423</f>
        <v>633544</v>
      </c>
      <c r="F423" s="146">
        <f t="shared" si="576"/>
        <v>-20</v>
      </c>
      <c r="G423" s="80">
        <f t="shared" ref="G423" si="579">G422+F423</f>
        <v>473503.1</v>
      </c>
      <c r="H423" s="80">
        <f t="shared" ref="H423" si="580">IF(B423="",$C$1-A423,DATEDIF(A423,B423,"d"))</f>
        <v>4</v>
      </c>
      <c r="I423">
        <f t="shared" ref="I423" si="581">IF(B423="",$C$1-A423,H423)</f>
        <v>4</v>
      </c>
      <c r="J423" s="65" t="s">
        <v>2371</v>
      </c>
      <c r="K423">
        <f t="shared" si="577"/>
        <v>0</v>
      </c>
      <c r="L423">
        <f t="shared" si="578"/>
        <v>0</v>
      </c>
      <c r="M423" s="65" t="s">
        <v>2381</v>
      </c>
      <c r="N423" s="141"/>
    </row>
    <row r="424" spans="1:14" hidden="1" outlineLevel="1">
      <c r="A424" s="139">
        <v>44489</v>
      </c>
      <c r="B424" s="139">
        <v>44491</v>
      </c>
      <c r="C424" s="123">
        <v>58950</v>
      </c>
      <c r="D424" s="124">
        <v>58970</v>
      </c>
      <c r="E424" s="146">
        <f t="shared" ref="E424:E455" si="582">E423+C424-D424</f>
        <v>633524</v>
      </c>
      <c r="F424" s="146">
        <f t="shared" si="576"/>
        <v>-20</v>
      </c>
      <c r="G424" s="80">
        <f t="shared" ref="G424:G428" si="583">G423+F424</f>
        <v>473483.1</v>
      </c>
      <c r="H424" s="80">
        <f t="shared" ref="H424:H428" si="584">IF(B424="",$C$1-A424,DATEDIF(A424,B424,"d"))</f>
        <v>2</v>
      </c>
      <c r="I424">
        <f t="shared" ref="I424:I428" si="585">IF(B424="",$C$1-A424,H424)</f>
        <v>2</v>
      </c>
      <c r="J424" s="65" t="s">
        <v>2372</v>
      </c>
      <c r="K424">
        <f t="shared" ref="K424:K428" si="586">IF(F424&gt;0,(H424*$F424)/365.25,0)</f>
        <v>0</v>
      </c>
      <c r="L424">
        <f t="shared" ref="L424:L428" si="587">IF(F424&gt;0,(I424*$F424)/365.25,0)</f>
        <v>0</v>
      </c>
      <c r="M424" s="65" t="s">
        <v>2381</v>
      </c>
      <c r="N424" s="141"/>
    </row>
    <row r="425" spans="1:14" hidden="1" outlineLevel="1">
      <c r="A425" s="139">
        <v>44490</v>
      </c>
      <c r="B425" s="139">
        <v>44494</v>
      </c>
      <c r="C425" s="123">
        <v>28050</v>
      </c>
      <c r="D425" s="124">
        <v>28070</v>
      </c>
      <c r="E425" s="146">
        <f t="shared" si="582"/>
        <v>633504</v>
      </c>
      <c r="F425" s="146">
        <f t="shared" si="576"/>
        <v>-20</v>
      </c>
      <c r="G425" s="80">
        <f t="shared" si="583"/>
        <v>473463.1</v>
      </c>
      <c r="H425" s="80">
        <f t="shared" si="584"/>
        <v>4</v>
      </c>
      <c r="I425">
        <f t="shared" si="585"/>
        <v>4</v>
      </c>
      <c r="J425" s="65" t="s">
        <v>2373</v>
      </c>
      <c r="K425">
        <f t="shared" si="586"/>
        <v>0</v>
      </c>
      <c r="L425">
        <f t="shared" si="587"/>
        <v>0</v>
      </c>
      <c r="M425" s="65" t="s">
        <v>2381</v>
      </c>
      <c r="N425" s="141"/>
    </row>
    <row r="426" spans="1:14" hidden="1" outlineLevel="1">
      <c r="A426" s="139">
        <v>44490</v>
      </c>
      <c r="B426" s="139">
        <v>44494</v>
      </c>
      <c r="C426" s="123">
        <v>125050</v>
      </c>
      <c r="D426" s="124">
        <v>125070</v>
      </c>
      <c r="E426" s="146">
        <f t="shared" si="582"/>
        <v>633484</v>
      </c>
      <c r="F426" s="146">
        <f t="shared" si="576"/>
        <v>-20</v>
      </c>
      <c r="G426" s="80">
        <f t="shared" si="583"/>
        <v>473443.1</v>
      </c>
      <c r="H426" s="80">
        <f t="shared" si="584"/>
        <v>4</v>
      </c>
      <c r="I426">
        <f t="shared" si="585"/>
        <v>4</v>
      </c>
      <c r="J426" s="65" t="s">
        <v>2374</v>
      </c>
      <c r="K426">
        <f t="shared" si="586"/>
        <v>0</v>
      </c>
      <c r="L426">
        <f t="shared" si="587"/>
        <v>0</v>
      </c>
      <c r="M426" s="65" t="s">
        <v>2381</v>
      </c>
      <c r="N426" s="141"/>
    </row>
    <row r="427" spans="1:14" s="65" customFormat="1" hidden="1" outlineLevel="1">
      <c r="A427" s="139">
        <v>44300</v>
      </c>
      <c r="B427" s="139">
        <v>44505</v>
      </c>
      <c r="C427" s="123">
        <f>81638</f>
        <v>81638</v>
      </c>
      <c r="D427" s="124"/>
      <c r="E427" s="146">
        <f t="shared" si="582"/>
        <v>715122</v>
      </c>
      <c r="F427" s="146">
        <f>-D326/5*4+C427</f>
        <v>9736.3999999999942</v>
      </c>
      <c r="G427" s="80">
        <f t="shared" si="583"/>
        <v>483179.5</v>
      </c>
      <c r="H427" s="80">
        <f t="shared" si="584"/>
        <v>205</v>
      </c>
      <c r="I427">
        <f t="shared" si="585"/>
        <v>205</v>
      </c>
      <c r="J427" s="65" t="s">
        <v>1520</v>
      </c>
      <c r="K427">
        <f t="shared" si="586"/>
        <v>5464.6461327857596</v>
      </c>
      <c r="L427">
        <f t="shared" si="587"/>
        <v>5464.6461327857596</v>
      </c>
    </row>
    <row r="428" spans="1:14" hidden="1" outlineLevel="1">
      <c r="A428" s="139">
        <v>44508</v>
      </c>
      <c r="B428" s="139">
        <v>44510</v>
      </c>
      <c r="C428" s="123">
        <v>104450</v>
      </c>
      <c r="D428" s="124">
        <v>104470</v>
      </c>
      <c r="E428" s="146">
        <f t="shared" si="582"/>
        <v>715102</v>
      </c>
      <c r="F428" s="146">
        <f t="shared" ref="F428:F430" si="588">C428-D428</f>
        <v>-20</v>
      </c>
      <c r="G428" s="80">
        <f t="shared" si="583"/>
        <v>483159.5</v>
      </c>
      <c r="H428" s="80">
        <f t="shared" si="584"/>
        <v>2</v>
      </c>
      <c r="I428">
        <f t="shared" si="585"/>
        <v>2</v>
      </c>
      <c r="J428" s="65" t="s">
        <v>2375</v>
      </c>
      <c r="K428">
        <f t="shared" si="586"/>
        <v>0</v>
      </c>
      <c r="L428">
        <f t="shared" si="587"/>
        <v>0</v>
      </c>
      <c r="M428" s="65" t="s">
        <v>2381</v>
      </c>
      <c r="N428" s="141"/>
    </row>
    <row r="429" spans="1:14" hidden="1" outlineLevel="1">
      <c r="A429" s="139">
        <v>44510</v>
      </c>
      <c r="B429" s="139">
        <v>44512</v>
      </c>
      <c r="C429" s="123">
        <v>19050</v>
      </c>
      <c r="D429" s="124">
        <v>19070</v>
      </c>
      <c r="E429" s="146">
        <f t="shared" si="582"/>
        <v>715082</v>
      </c>
      <c r="F429" s="146">
        <f t="shared" si="588"/>
        <v>-20</v>
      </c>
      <c r="G429" s="80">
        <f t="shared" ref="G429" si="589">G428+F429</f>
        <v>483139.5</v>
      </c>
      <c r="H429" s="80">
        <f t="shared" ref="H429" si="590">IF(B429="",$C$1-A429,DATEDIF(A429,B429,"d"))</f>
        <v>2</v>
      </c>
      <c r="I429">
        <f t="shared" ref="I429" si="591">IF(B429="",$C$1-A429,H429)</f>
        <v>2</v>
      </c>
      <c r="J429" s="65" t="s">
        <v>2376</v>
      </c>
      <c r="K429">
        <f t="shared" ref="K429:K435" si="592">IF(F429&gt;0,(H429*$F429)/365.25,0)</f>
        <v>0</v>
      </c>
      <c r="L429">
        <f t="shared" ref="L429:L435" si="593">IF(F429&gt;0,(I429*$F429)/365.25,0)</f>
        <v>0</v>
      </c>
      <c r="M429" s="65" t="s">
        <v>2381</v>
      </c>
      <c r="N429" s="65"/>
    </row>
    <row r="430" spans="1:14" hidden="1" outlineLevel="1">
      <c r="A430" s="139">
        <v>44512</v>
      </c>
      <c r="B430" s="139">
        <v>44516</v>
      </c>
      <c r="C430" s="123">
        <v>21050</v>
      </c>
      <c r="D430" s="124">
        <v>21070</v>
      </c>
      <c r="E430" s="146">
        <f t="shared" si="582"/>
        <v>715062</v>
      </c>
      <c r="F430" s="146">
        <f t="shared" si="588"/>
        <v>-20</v>
      </c>
      <c r="G430" s="80">
        <f t="shared" ref="G430:G435" si="594">G429+F430</f>
        <v>483119.5</v>
      </c>
      <c r="H430" s="80">
        <f t="shared" ref="H430:H435" si="595">IF(B430="",$C$1-A430,DATEDIF(A430,B430,"d"))</f>
        <v>4</v>
      </c>
      <c r="I430">
        <f t="shared" ref="I430:I435" si="596">IF(B430="",$C$1-A430,H430)</f>
        <v>4</v>
      </c>
      <c r="J430" s="65" t="s">
        <v>2377</v>
      </c>
      <c r="K430">
        <f t="shared" si="592"/>
        <v>0</v>
      </c>
      <c r="L430">
        <f t="shared" si="593"/>
        <v>0</v>
      </c>
      <c r="M430" s="65" t="s">
        <v>2381</v>
      </c>
    </row>
    <row r="431" spans="1:14" hidden="1" outlineLevel="1">
      <c r="A431" s="139">
        <v>44517</v>
      </c>
      <c r="B431" s="139"/>
      <c r="C431" s="123"/>
      <c r="D431" s="124">
        <v>63390</v>
      </c>
      <c r="E431" s="146">
        <f t="shared" si="582"/>
        <v>651672</v>
      </c>
      <c r="F431" s="146"/>
      <c r="G431" s="80">
        <f t="shared" si="594"/>
        <v>483119.5</v>
      </c>
      <c r="H431" s="80">
        <f t="shared" ca="1" si="595"/>
        <v>1793</v>
      </c>
      <c r="I431">
        <f t="shared" ca="1" si="596"/>
        <v>1793</v>
      </c>
      <c r="J431" s="65" t="s">
        <v>2378</v>
      </c>
      <c r="K431">
        <f t="shared" si="592"/>
        <v>0</v>
      </c>
      <c r="L431">
        <f t="shared" si="593"/>
        <v>0</v>
      </c>
      <c r="M431" s="65"/>
      <c r="N431" s="65"/>
    </row>
    <row r="432" spans="1:14" hidden="1" outlineLevel="1">
      <c r="A432" s="139">
        <v>44517</v>
      </c>
      <c r="B432" s="139">
        <v>44519</v>
      </c>
      <c r="C432" s="123">
        <v>27250</v>
      </c>
      <c r="D432" s="124">
        <v>27270</v>
      </c>
      <c r="E432" s="146">
        <f t="shared" si="582"/>
        <v>651652</v>
      </c>
      <c r="F432" s="146">
        <f>C432-D432</f>
        <v>-20</v>
      </c>
      <c r="G432" s="80">
        <f t="shared" si="594"/>
        <v>483099.5</v>
      </c>
      <c r="H432" s="80">
        <f t="shared" si="595"/>
        <v>2</v>
      </c>
      <c r="I432">
        <f t="shared" si="596"/>
        <v>2</v>
      </c>
      <c r="J432" s="65" t="s">
        <v>2423</v>
      </c>
      <c r="K432">
        <f t="shared" si="592"/>
        <v>0</v>
      </c>
      <c r="L432">
        <f t="shared" si="593"/>
        <v>0</v>
      </c>
      <c r="M432" s="65" t="s">
        <v>2381</v>
      </c>
      <c r="N432" s="141"/>
    </row>
    <row r="433" spans="1:14" hidden="1" outlineLevel="1">
      <c r="A433" s="139">
        <v>44518</v>
      </c>
      <c r="B433" s="139">
        <v>44522</v>
      </c>
      <c r="C433" s="123">
        <v>21050</v>
      </c>
      <c r="D433" s="124">
        <v>21070</v>
      </c>
      <c r="E433" s="146">
        <f t="shared" si="582"/>
        <v>651632</v>
      </c>
      <c r="F433" s="146">
        <f>C433-D433</f>
        <v>-20</v>
      </c>
      <c r="G433" s="80">
        <f t="shared" si="594"/>
        <v>483079.5</v>
      </c>
      <c r="H433" s="80">
        <f t="shared" si="595"/>
        <v>4</v>
      </c>
      <c r="I433">
        <f t="shared" si="596"/>
        <v>4</v>
      </c>
      <c r="J433" s="65" t="s">
        <v>2424</v>
      </c>
      <c r="K433">
        <f t="shared" si="592"/>
        <v>0</v>
      </c>
      <c r="L433">
        <f t="shared" si="593"/>
        <v>0</v>
      </c>
      <c r="M433" s="65" t="s">
        <v>2381</v>
      </c>
      <c r="N433" s="65"/>
    </row>
    <row r="434" spans="1:14" hidden="1" outlineLevel="1">
      <c r="A434" s="139">
        <v>44518</v>
      </c>
      <c r="B434" s="139">
        <v>44522</v>
      </c>
      <c r="C434" s="123">
        <v>77050</v>
      </c>
      <c r="D434" s="124">
        <v>77070</v>
      </c>
      <c r="E434" s="146">
        <f t="shared" si="582"/>
        <v>651612</v>
      </c>
      <c r="F434" s="146">
        <f>C434-D434</f>
        <v>-20</v>
      </c>
      <c r="G434" s="80">
        <f t="shared" si="594"/>
        <v>483059.5</v>
      </c>
      <c r="H434" s="80">
        <f t="shared" si="595"/>
        <v>4</v>
      </c>
      <c r="I434">
        <f t="shared" si="596"/>
        <v>4</v>
      </c>
      <c r="J434" s="65" t="s">
        <v>2425</v>
      </c>
      <c r="K434">
        <f t="shared" si="592"/>
        <v>0</v>
      </c>
      <c r="L434">
        <f t="shared" si="593"/>
        <v>0</v>
      </c>
      <c r="M434" s="65" t="s">
        <v>2381</v>
      </c>
    </row>
    <row r="435" spans="1:14" hidden="1" outlineLevel="1">
      <c r="A435" s="139">
        <v>44519</v>
      </c>
      <c r="B435" s="139"/>
      <c r="C435" s="123"/>
      <c r="D435" s="124">
        <v>164233</v>
      </c>
      <c r="E435" s="146">
        <f t="shared" si="582"/>
        <v>487379</v>
      </c>
      <c r="F435" s="146"/>
      <c r="G435" s="80">
        <f t="shared" si="594"/>
        <v>483059.5</v>
      </c>
      <c r="H435" s="80">
        <f t="shared" ca="1" si="595"/>
        <v>1791</v>
      </c>
      <c r="I435">
        <f t="shared" ca="1" si="596"/>
        <v>1791</v>
      </c>
      <c r="J435" s="65" t="s">
        <v>2422</v>
      </c>
      <c r="K435">
        <f t="shared" si="592"/>
        <v>0</v>
      </c>
      <c r="L435">
        <f t="shared" si="593"/>
        <v>0</v>
      </c>
      <c r="M435" s="65"/>
      <c r="N435" s="65"/>
    </row>
    <row r="436" spans="1:14" hidden="1" outlineLevel="1">
      <c r="A436" s="139">
        <v>44519</v>
      </c>
      <c r="B436" s="139">
        <v>44523</v>
      </c>
      <c r="C436" s="123">
        <v>77050</v>
      </c>
      <c r="D436" s="124">
        <v>77070</v>
      </c>
      <c r="E436" s="146">
        <f t="shared" si="582"/>
        <v>487359</v>
      </c>
      <c r="F436" s="146">
        <f>C436-D436</f>
        <v>-20</v>
      </c>
      <c r="G436" s="80">
        <f t="shared" ref="G436:G443" si="597">G435+F436</f>
        <v>483039.5</v>
      </c>
      <c r="H436" s="80">
        <f t="shared" ref="H436:H443" si="598">IF(B436="",$C$1-A436,DATEDIF(A436,B436,"d"))</f>
        <v>4</v>
      </c>
      <c r="I436">
        <f t="shared" ref="I436:I443" si="599">IF(B436="",$C$1-A436,H436)</f>
        <v>4</v>
      </c>
      <c r="J436" s="65" t="s">
        <v>2426</v>
      </c>
      <c r="K436">
        <f t="shared" ref="K436:K439" si="600">IF(F436&gt;0,(H436*$F436)/365.25,0)</f>
        <v>0</v>
      </c>
      <c r="L436">
        <f t="shared" ref="L436:L439" si="601">IF(F436&gt;0,(I436*$F436)/365.25,0)</f>
        <v>0</v>
      </c>
      <c r="M436" s="65" t="s">
        <v>2381</v>
      </c>
      <c r="N436" s="65"/>
    </row>
    <row r="437" spans="1:14" hidden="1" outlineLevel="1">
      <c r="A437" s="139">
        <v>44523</v>
      </c>
      <c r="B437" s="139">
        <v>44525</v>
      </c>
      <c r="C437" s="123">
        <v>69050</v>
      </c>
      <c r="D437" s="124">
        <v>69070</v>
      </c>
      <c r="E437" s="146">
        <f t="shared" si="582"/>
        <v>487339</v>
      </c>
      <c r="F437" s="146">
        <f>C437-D437</f>
        <v>-20</v>
      </c>
      <c r="G437" s="80">
        <f t="shared" si="597"/>
        <v>483019.5</v>
      </c>
      <c r="H437" s="80">
        <f t="shared" si="598"/>
        <v>2</v>
      </c>
      <c r="I437">
        <f t="shared" si="599"/>
        <v>2</v>
      </c>
      <c r="J437" s="65" t="s">
        <v>2427</v>
      </c>
      <c r="K437">
        <f t="shared" si="600"/>
        <v>0</v>
      </c>
      <c r="L437">
        <f t="shared" si="601"/>
        <v>0</v>
      </c>
      <c r="M437" s="65" t="s">
        <v>2381</v>
      </c>
      <c r="N437" s="65"/>
    </row>
    <row r="438" spans="1:14" s="65" customFormat="1" hidden="1" outlineLevel="1">
      <c r="A438" s="139">
        <v>44524</v>
      </c>
      <c r="B438" s="139">
        <v>44558</v>
      </c>
      <c r="C438" s="123"/>
      <c r="D438" s="124">
        <v>21981</v>
      </c>
      <c r="E438" s="146">
        <f t="shared" si="582"/>
        <v>465358</v>
      </c>
      <c r="F438" s="146"/>
      <c r="G438" s="80">
        <f t="shared" si="597"/>
        <v>483019.5</v>
      </c>
      <c r="H438" s="80">
        <f t="shared" si="598"/>
        <v>34</v>
      </c>
      <c r="I438">
        <f t="shared" si="599"/>
        <v>34</v>
      </c>
      <c r="J438" s="65" t="s">
        <v>2415</v>
      </c>
      <c r="K438">
        <f t="shared" si="600"/>
        <v>0</v>
      </c>
      <c r="L438">
        <f t="shared" si="601"/>
        <v>0</v>
      </c>
    </row>
    <row r="439" spans="1:14" s="65" customFormat="1" hidden="1" outlineLevel="1">
      <c r="A439" s="139">
        <v>44524</v>
      </c>
      <c r="B439" s="139">
        <v>44553</v>
      </c>
      <c r="C439" s="123"/>
      <c r="D439" s="124">
        <v>19077</v>
      </c>
      <c r="E439" s="146">
        <f t="shared" si="582"/>
        <v>446281</v>
      </c>
      <c r="F439" s="146"/>
      <c r="G439" s="80">
        <f t="shared" si="597"/>
        <v>483019.5</v>
      </c>
      <c r="H439" s="80">
        <f t="shared" si="598"/>
        <v>29</v>
      </c>
      <c r="I439">
        <f t="shared" si="599"/>
        <v>29</v>
      </c>
      <c r="J439" s="65" t="s">
        <v>2416</v>
      </c>
      <c r="K439">
        <f t="shared" si="600"/>
        <v>0</v>
      </c>
      <c r="L439">
        <f t="shared" si="601"/>
        <v>0</v>
      </c>
    </row>
    <row r="440" spans="1:14" s="65" customFormat="1" hidden="1" outlineLevel="1">
      <c r="A440" s="139">
        <v>44525</v>
      </c>
      <c r="B440" s="139">
        <v>44558</v>
      </c>
      <c r="C440" s="123"/>
      <c r="D440" s="124">
        <v>108153</v>
      </c>
      <c r="E440" s="146">
        <f t="shared" si="582"/>
        <v>338128</v>
      </c>
      <c r="F440" s="146"/>
      <c r="G440" s="80">
        <f t="shared" si="597"/>
        <v>483019.5</v>
      </c>
      <c r="H440" s="80">
        <f t="shared" si="598"/>
        <v>33</v>
      </c>
      <c r="I440">
        <f t="shared" si="599"/>
        <v>33</v>
      </c>
      <c r="J440" s="65" t="s">
        <v>2429</v>
      </c>
      <c r="K440">
        <f t="shared" ref="K440" si="602">IF(F440&gt;0,(H440*$F440)/365.25,0)</f>
        <v>0</v>
      </c>
      <c r="L440">
        <f t="shared" ref="L440" si="603">IF(F440&gt;0,(I440*$F440)/365.25,0)</f>
        <v>0</v>
      </c>
    </row>
    <row r="441" spans="1:14" hidden="1" outlineLevel="1">
      <c r="A441" s="139">
        <v>44529</v>
      </c>
      <c r="B441" s="139">
        <v>44531</v>
      </c>
      <c r="C441" s="123">
        <v>16300</v>
      </c>
      <c r="D441" s="124">
        <v>16320</v>
      </c>
      <c r="E441" s="146">
        <f t="shared" si="582"/>
        <v>338108</v>
      </c>
      <c r="F441" s="146">
        <f>C441-D441</f>
        <v>-20</v>
      </c>
      <c r="G441" s="80">
        <f t="shared" si="597"/>
        <v>482999.5</v>
      </c>
      <c r="H441" s="80">
        <f t="shared" si="598"/>
        <v>2</v>
      </c>
      <c r="I441">
        <f t="shared" si="599"/>
        <v>2</v>
      </c>
      <c r="J441" s="65" t="s">
        <v>2426</v>
      </c>
      <c r="K441">
        <f t="shared" ref="K441:K445" si="604">IF(F441&gt;0,(H441*$F441)/365.25,0)</f>
        <v>0</v>
      </c>
      <c r="L441">
        <f t="shared" ref="L441:L445" si="605">IF(F441&gt;0,(I441*$F441)/365.25,0)</f>
        <v>0</v>
      </c>
      <c r="M441" s="65" t="s">
        <v>2381</v>
      </c>
      <c r="N441" s="65"/>
    </row>
    <row r="442" spans="1:14" hidden="1" outlineLevel="1">
      <c r="A442" s="139">
        <v>44529</v>
      </c>
      <c r="B442" s="139">
        <v>44531</v>
      </c>
      <c r="C442" s="123">
        <v>49930</v>
      </c>
      <c r="D442" s="124">
        <v>49950</v>
      </c>
      <c r="E442" s="146">
        <f t="shared" si="582"/>
        <v>338088</v>
      </c>
      <c r="F442" s="146">
        <f>C442-D442</f>
        <v>-20</v>
      </c>
      <c r="G442" s="80">
        <f t="shared" si="597"/>
        <v>482979.5</v>
      </c>
      <c r="H442" s="80">
        <f t="shared" si="598"/>
        <v>2</v>
      </c>
      <c r="I442">
        <f t="shared" si="599"/>
        <v>2</v>
      </c>
      <c r="J442" s="65" t="s">
        <v>2427</v>
      </c>
      <c r="K442">
        <f t="shared" si="604"/>
        <v>0</v>
      </c>
      <c r="L442">
        <f t="shared" si="605"/>
        <v>0</v>
      </c>
      <c r="M442" s="65" t="s">
        <v>2381</v>
      </c>
      <c r="N442" s="65"/>
    </row>
    <row r="443" spans="1:14" s="65" customFormat="1" hidden="1" outlineLevel="1">
      <c r="A443" s="139">
        <v>44313</v>
      </c>
      <c r="B443" s="139">
        <v>44533</v>
      </c>
      <c r="C443" s="123">
        <v>18319</v>
      </c>
      <c r="D443" s="124"/>
      <c r="E443" s="146">
        <f t="shared" si="582"/>
        <v>356407</v>
      </c>
      <c r="F443" s="146">
        <f>-D356/2+C443</f>
        <v>-4413</v>
      </c>
      <c r="G443" s="80">
        <f t="shared" si="597"/>
        <v>478566.5</v>
      </c>
      <c r="H443" s="80">
        <f t="shared" si="598"/>
        <v>220</v>
      </c>
      <c r="I443">
        <f t="shared" si="599"/>
        <v>220</v>
      </c>
      <c r="J443" s="65" t="s">
        <v>1534</v>
      </c>
      <c r="K443">
        <f t="shared" si="604"/>
        <v>0</v>
      </c>
      <c r="L443">
        <f t="shared" si="605"/>
        <v>0</v>
      </c>
    </row>
    <row r="444" spans="1:14" hidden="1" outlineLevel="1">
      <c r="A444" s="147">
        <v>44540</v>
      </c>
      <c r="B444" s="147"/>
      <c r="C444" s="148">
        <v>258</v>
      </c>
      <c r="D444" s="149"/>
      <c r="E444" s="150">
        <f t="shared" si="582"/>
        <v>356665</v>
      </c>
      <c r="F444" s="150">
        <f t="shared" ref="F444" si="606">C444-D444</f>
        <v>258</v>
      </c>
      <c r="G444" s="151">
        <f>G443+F444</f>
        <v>478824.5</v>
      </c>
      <c r="H444" s="151">
        <f>IF(B444="",DATEDIF(A444,$F$1,"d"),DATEDIF(A444,B444,"d"))</f>
        <v>21</v>
      </c>
      <c r="I444" s="152">
        <f ca="1">IF(B444="",$C$1-A444,H444)</f>
        <v>1770</v>
      </c>
      <c r="J444" s="152" t="s">
        <v>84</v>
      </c>
      <c r="K444" s="152">
        <f t="shared" si="604"/>
        <v>14.833675564681725</v>
      </c>
      <c r="L444" s="152">
        <f t="shared" ca="1" si="605"/>
        <v>1250.2669404517453</v>
      </c>
      <c r="M444" s="160"/>
    </row>
    <row r="445" spans="1:14" hidden="1" outlineLevel="1">
      <c r="A445" s="139">
        <v>44445</v>
      </c>
      <c r="B445" s="139">
        <v>44547</v>
      </c>
      <c r="C445" s="123">
        <v>148341</v>
      </c>
      <c r="D445" s="124"/>
      <c r="E445" s="146">
        <f t="shared" si="582"/>
        <v>505006</v>
      </c>
      <c r="F445" s="146"/>
      <c r="G445" s="80">
        <f t="shared" ref="G445" si="607">G444+F445</f>
        <v>478824.5</v>
      </c>
      <c r="H445" s="80">
        <f t="shared" ref="H445:H446" si="608">IF(B445="",$C$1-A445,DATEDIF(A445,B445,"d"))</f>
        <v>102</v>
      </c>
      <c r="I445">
        <f t="shared" ref="I445" si="609">IF(B445="",$C$1-A445,H445)</f>
        <v>102</v>
      </c>
      <c r="J445" s="65" t="s">
        <v>2421</v>
      </c>
      <c r="K445">
        <f t="shared" si="604"/>
        <v>0</v>
      </c>
      <c r="L445">
        <f t="shared" si="605"/>
        <v>0</v>
      </c>
      <c r="M445" s="65"/>
    </row>
    <row r="446" spans="1:14" s="65" customFormat="1" hidden="1" outlineLevel="1">
      <c r="A446" s="153">
        <v>44551</v>
      </c>
      <c r="B446" s="153"/>
      <c r="C446" s="154">
        <v>113</v>
      </c>
      <c r="D446" s="155"/>
      <c r="E446" s="156">
        <f>E445+C446-D446</f>
        <v>505119</v>
      </c>
      <c r="F446" s="156">
        <f>C446-D446</f>
        <v>113</v>
      </c>
      <c r="G446" s="157">
        <f>IF(B446="",G445,G445+C446-D446)</f>
        <v>478824.5</v>
      </c>
      <c r="H446" s="157">
        <f t="shared" ca="1" si="608"/>
        <v>1759</v>
      </c>
      <c r="I446" s="158">
        <f ca="1">IF(B446="",$C$1-A446,H446)</f>
        <v>1759</v>
      </c>
      <c r="J446" s="158" t="s">
        <v>48</v>
      </c>
      <c r="K446" s="158">
        <f ca="1">(H446*$C446)/365.25</f>
        <v>544.19438740588635</v>
      </c>
      <c r="L446" s="158">
        <f ca="1">(I446*$C446)/365.25</f>
        <v>544.19438740588635</v>
      </c>
      <c r="M446" s="159"/>
    </row>
    <row r="447" spans="1:14" s="65" customFormat="1" hidden="1" outlineLevel="1">
      <c r="A447" s="139">
        <v>44553</v>
      </c>
      <c r="B447" s="139"/>
      <c r="C447" s="123"/>
      <c r="D447" s="124">
        <v>38354</v>
      </c>
      <c r="E447" s="146">
        <f t="shared" si="582"/>
        <v>466765</v>
      </c>
      <c r="F447" s="146"/>
      <c r="G447" s="80">
        <f t="shared" ref="G447" si="610">G446+F447</f>
        <v>478824.5</v>
      </c>
      <c r="H447" s="80">
        <f t="shared" ref="H447" ca="1" si="611">IF(B447="",$C$1-A447,DATEDIF(A447,B447,"d"))</f>
        <v>1757</v>
      </c>
      <c r="I447">
        <f t="shared" ref="I447" ca="1" si="612">IF(B447="",$C$1-A447,H447)</f>
        <v>1757</v>
      </c>
      <c r="J447" s="65" t="s">
        <v>2412</v>
      </c>
      <c r="K447">
        <f t="shared" ref="K447" si="613">IF(F447&gt;0,(H447*$F447)/365.25,0)</f>
        <v>0</v>
      </c>
      <c r="L447">
        <f t="shared" ref="L447" si="614">IF(F447&gt;0,(I447*$F447)/365.25,0)</f>
        <v>0</v>
      </c>
    </row>
    <row r="448" spans="1:14" s="65" customFormat="1" hidden="1" outlineLevel="1">
      <c r="A448" s="139">
        <v>44553</v>
      </c>
      <c r="B448" s="139"/>
      <c r="C448" s="123"/>
      <c r="D448" s="124">
        <v>27989</v>
      </c>
      <c r="E448" s="146">
        <f t="shared" si="582"/>
        <v>438776</v>
      </c>
      <c r="F448" s="146"/>
      <c r="G448" s="80">
        <f t="shared" ref="G448:G457" si="615">G447+F448</f>
        <v>478824.5</v>
      </c>
      <c r="H448" s="80">
        <f t="shared" ref="H448:H456" ca="1" si="616">IF(B448="",$C$1-A448,DATEDIF(A448,B448,"d"))</f>
        <v>1757</v>
      </c>
      <c r="I448">
        <f t="shared" ref="I448:I456" ca="1" si="617">IF(B448="",$C$1-A448,H448)</f>
        <v>1757</v>
      </c>
      <c r="J448" s="65" t="s">
        <v>2430</v>
      </c>
      <c r="K448">
        <f t="shared" ref="K448:K456" si="618">IF(F448&gt;0,(H448*$F448)/365.25,0)</f>
        <v>0</v>
      </c>
      <c r="L448">
        <f t="shared" ref="L448:L456" si="619">IF(F448&gt;0,(I448*$F448)/365.25,0)</f>
        <v>0</v>
      </c>
    </row>
    <row r="449" spans="1:15" s="65" customFormat="1" hidden="1" outlineLevel="1">
      <c r="A449" s="139">
        <v>44524</v>
      </c>
      <c r="B449" s="139">
        <v>44553</v>
      </c>
      <c r="C449" s="123">
        <v>19265</v>
      </c>
      <c r="D449" s="124"/>
      <c r="E449" s="146">
        <f t="shared" si="582"/>
        <v>458041</v>
      </c>
      <c r="F449" s="146">
        <f>-D439+C449</f>
        <v>188</v>
      </c>
      <c r="G449" s="80">
        <f t="shared" si="615"/>
        <v>479012.5</v>
      </c>
      <c r="H449" s="80">
        <f t="shared" si="616"/>
        <v>29</v>
      </c>
      <c r="I449">
        <f t="shared" si="617"/>
        <v>29</v>
      </c>
      <c r="J449" s="65" t="s">
        <v>2416</v>
      </c>
      <c r="K449">
        <f t="shared" si="618"/>
        <v>14.926762491444217</v>
      </c>
      <c r="L449">
        <f t="shared" si="619"/>
        <v>14.926762491444217</v>
      </c>
    </row>
    <row r="450" spans="1:15" s="65" customFormat="1" hidden="1" outlineLevel="1">
      <c r="A450" s="139">
        <v>44293</v>
      </c>
      <c r="B450" s="139">
        <v>44558</v>
      </c>
      <c r="C450" s="123">
        <f>289500-412-868</f>
        <v>288220</v>
      </c>
      <c r="D450" s="124"/>
      <c r="E450" s="146">
        <f t="shared" si="582"/>
        <v>746261</v>
      </c>
      <c r="F450" s="146">
        <f>-D313+C450</f>
        <v>7321</v>
      </c>
      <c r="G450" s="80">
        <f t="shared" si="615"/>
        <v>486333.5</v>
      </c>
      <c r="H450" s="80">
        <f t="shared" si="616"/>
        <v>265</v>
      </c>
      <c r="I450">
        <f t="shared" si="617"/>
        <v>265</v>
      </c>
      <c r="J450" s="65" t="s">
        <v>1512</v>
      </c>
      <c r="K450">
        <f t="shared" si="618"/>
        <v>5311.6084873374402</v>
      </c>
      <c r="L450">
        <f t="shared" si="619"/>
        <v>5311.6084873374402</v>
      </c>
    </row>
    <row r="451" spans="1:15" s="65" customFormat="1" hidden="1" outlineLevel="1">
      <c r="A451" s="139">
        <v>44308</v>
      </c>
      <c r="B451" s="139">
        <v>44558</v>
      </c>
      <c r="C451" s="123">
        <f>42900-60-128</f>
        <v>42712</v>
      </c>
      <c r="D451" s="124"/>
      <c r="E451" s="146">
        <f t="shared" si="582"/>
        <v>788973</v>
      </c>
      <c r="F451" s="146">
        <f>-D345+C451</f>
        <v>-16071</v>
      </c>
      <c r="G451" s="80">
        <f t="shared" si="615"/>
        <v>470262.5</v>
      </c>
      <c r="H451" s="80">
        <f t="shared" si="616"/>
        <v>250</v>
      </c>
      <c r="I451">
        <f t="shared" si="617"/>
        <v>250</v>
      </c>
      <c r="J451" s="65" t="s">
        <v>1528</v>
      </c>
      <c r="K451">
        <f t="shared" si="618"/>
        <v>0</v>
      </c>
      <c r="L451">
        <f t="shared" si="619"/>
        <v>0</v>
      </c>
    </row>
    <row r="452" spans="1:15" s="65" customFormat="1" hidden="1" outlineLevel="1">
      <c r="A452" s="139">
        <v>44308</v>
      </c>
      <c r="B452" s="139">
        <v>44558</v>
      </c>
      <c r="C452" s="123">
        <f>22350-31-67</f>
        <v>22252</v>
      </c>
      <c r="D452" s="124"/>
      <c r="E452" s="146">
        <f t="shared" si="582"/>
        <v>811225</v>
      </c>
      <c r="F452" s="146">
        <f>-D438+C452</f>
        <v>271</v>
      </c>
      <c r="G452" s="80">
        <f t="shared" si="615"/>
        <v>470533.5</v>
      </c>
      <c r="H452" s="80">
        <f t="shared" si="616"/>
        <v>250</v>
      </c>
      <c r="I452">
        <f t="shared" si="617"/>
        <v>250</v>
      </c>
      <c r="J452" s="65" t="s">
        <v>2415</v>
      </c>
      <c r="K452">
        <f t="shared" si="618"/>
        <v>185.48939082819987</v>
      </c>
      <c r="L452">
        <f t="shared" si="619"/>
        <v>185.48939082819987</v>
      </c>
    </row>
    <row r="453" spans="1:15" s="65" customFormat="1" hidden="1" outlineLevel="1">
      <c r="A453" s="139">
        <v>44525</v>
      </c>
      <c r="B453" s="139">
        <v>44558</v>
      </c>
      <c r="C453" s="123">
        <f>109000-155-327</f>
        <v>108518</v>
      </c>
      <c r="D453" s="124"/>
      <c r="E453" s="146">
        <f t="shared" si="582"/>
        <v>919743</v>
      </c>
      <c r="F453" s="146">
        <f>-D440+C453</f>
        <v>365</v>
      </c>
      <c r="G453" s="80">
        <f t="shared" si="615"/>
        <v>470898.5</v>
      </c>
      <c r="H453" s="80">
        <f t="shared" si="616"/>
        <v>33</v>
      </c>
      <c r="I453">
        <f t="shared" si="617"/>
        <v>33</v>
      </c>
      <c r="J453" s="65" t="s">
        <v>2429</v>
      </c>
      <c r="K453">
        <f t="shared" si="618"/>
        <v>32.977412731006162</v>
      </c>
      <c r="L453">
        <f t="shared" si="619"/>
        <v>32.977412731006162</v>
      </c>
    </row>
    <row r="454" spans="1:15" s="65" customFormat="1" hidden="1" outlineLevel="1">
      <c r="A454" s="139">
        <v>44553</v>
      </c>
      <c r="B454" s="139">
        <v>44558</v>
      </c>
      <c r="C454" s="123">
        <f>40950-58-122</f>
        <v>40770</v>
      </c>
      <c r="D454" s="124"/>
      <c r="E454" s="146">
        <f t="shared" si="582"/>
        <v>960513</v>
      </c>
      <c r="F454" s="146">
        <f>-D447+C454</f>
        <v>2416</v>
      </c>
      <c r="G454" s="80">
        <f t="shared" si="615"/>
        <v>473314.5</v>
      </c>
      <c r="H454" s="80">
        <f t="shared" si="616"/>
        <v>5</v>
      </c>
      <c r="I454">
        <f t="shared" si="617"/>
        <v>5</v>
      </c>
      <c r="J454" s="65" t="s">
        <v>2412</v>
      </c>
      <c r="K454">
        <f t="shared" si="618"/>
        <v>33.073237508555785</v>
      </c>
      <c r="L454">
        <f t="shared" si="619"/>
        <v>33.073237508555785</v>
      </c>
    </row>
    <row r="455" spans="1:15" s="65" customFormat="1" hidden="1" outlineLevel="1">
      <c r="A455" s="139">
        <v>44553</v>
      </c>
      <c r="B455" s="139">
        <v>44558</v>
      </c>
      <c r="C455" s="123">
        <f>26300-37-78</f>
        <v>26185</v>
      </c>
      <c r="D455" s="124"/>
      <c r="E455" s="146">
        <f t="shared" si="582"/>
        <v>986698</v>
      </c>
      <c r="F455" s="146">
        <f>-D448+C455</f>
        <v>-1804</v>
      </c>
      <c r="G455" s="80">
        <f t="shared" si="615"/>
        <v>471510.5</v>
      </c>
      <c r="H455" s="80">
        <f t="shared" si="616"/>
        <v>5</v>
      </c>
      <c r="I455">
        <f t="shared" si="617"/>
        <v>5</v>
      </c>
      <c r="J455" s="65" t="s">
        <v>2430</v>
      </c>
      <c r="K455">
        <f t="shared" si="618"/>
        <v>0</v>
      </c>
      <c r="L455">
        <f t="shared" si="619"/>
        <v>0</v>
      </c>
    </row>
    <row r="456" spans="1:15" ht="17.25" thickBot="1">
      <c r="A456" s="139">
        <v>44560</v>
      </c>
      <c r="B456" s="139">
        <v>44565</v>
      </c>
      <c r="C456" s="123">
        <v>308050</v>
      </c>
      <c r="D456" s="124">
        <v>308070</v>
      </c>
      <c r="E456" s="146">
        <f t="shared" ref="E456:E457" si="620">E455+C456-D456</f>
        <v>986678</v>
      </c>
      <c r="F456" s="146">
        <f>C456-D456</f>
        <v>-20</v>
      </c>
      <c r="G456" s="80">
        <f t="shared" si="615"/>
        <v>471490.5</v>
      </c>
      <c r="H456" s="80">
        <f t="shared" si="616"/>
        <v>5</v>
      </c>
      <c r="I456">
        <f t="shared" si="617"/>
        <v>5</v>
      </c>
      <c r="J456" s="65" t="s">
        <v>2431</v>
      </c>
      <c r="K456">
        <f t="shared" si="618"/>
        <v>0</v>
      </c>
      <c r="L456">
        <f t="shared" si="619"/>
        <v>0</v>
      </c>
      <c r="M456" s="65" t="s">
        <v>2381</v>
      </c>
      <c r="N456" s="65"/>
    </row>
    <row r="457" spans="1:15">
      <c r="A457" s="139">
        <v>44567</v>
      </c>
      <c r="B457" s="139"/>
      <c r="C457" s="123"/>
      <c r="D457" s="124">
        <v>79813</v>
      </c>
      <c r="E457" s="146">
        <f t="shared" si="620"/>
        <v>906865</v>
      </c>
      <c r="F457" s="146"/>
      <c r="G457" s="80">
        <f t="shared" si="615"/>
        <v>471490.5</v>
      </c>
      <c r="H457" s="80">
        <f t="shared" ref="H457" ca="1" si="621">IF(B457="",$C$1-A457,DATEDIF(A457,B457,"d"))</f>
        <v>1743</v>
      </c>
      <c r="I457">
        <f t="shared" ref="I457" ca="1" si="622">IF(B457="",$C$1-A457,H457)</f>
        <v>1743</v>
      </c>
      <c r="J457" s="65" t="s">
        <v>2434</v>
      </c>
      <c r="K457" t="s">
        <v>2449</v>
      </c>
      <c r="L457">
        <f t="shared" ref="L457" si="623">IF(F457&gt;0,(I457*$F457)/365.25,0)</f>
        <v>0</v>
      </c>
      <c r="M457" s="65"/>
      <c r="N457" s="217" t="s">
        <v>2432</v>
      </c>
      <c r="O457" s="218">
        <f>SUM(D457:D571)</f>
        <v>4727956</v>
      </c>
    </row>
    <row r="458" spans="1:15" ht="17.25" collapsed="1" thickBot="1">
      <c r="A458" s="139">
        <v>44567</v>
      </c>
      <c r="B458" s="139">
        <v>44571</v>
      </c>
      <c r="C458" s="123">
        <v>589050</v>
      </c>
      <c r="D458" s="124">
        <v>589070</v>
      </c>
      <c r="E458" s="146">
        <f t="shared" ref="E458:E482" si="624">E457+C458-D458</f>
        <v>906845</v>
      </c>
      <c r="F458" s="146">
        <f t="shared" ref="F458:F467" si="625">C458-D458</f>
        <v>-20</v>
      </c>
      <c r="G458" s="80">
        <f t="shared" ref="G458:G482" si="626">G457+F458</f>
        <v>471470.5</v>
      </c>
      <c r="H458" s="80">
        <f t="shared" ref="H458:H482" si="627">IF(B458="",$C$1-A458,DATEDIF(A458,B458,"d"))</f>
        <v>4</v>
      </c>
      <c r="I458">
        <f t="shared" ref="I458:I482" si="628">IF(B458="",$C$1-A458,H458)</f>
        <v>4</v>
      </c>
      <c r="J458" s="65" t="s">
        <v>2450</v>
      </c>
      <c r="K458">
        <f t="shared" ref="K458:K482" si="629">IF(F458&gt;0,(H458*$F458)/365.25,0)</f>
        <v>0</v>
      </c>
      <c r="L458">
        <f t="shared" ref="L458:L482" si="630">IF(F458&gt;0,(I458*$F458)/365.25,0)</f>
        <v>0</v>
      </c>
      <c r="M458" s="65" t="s">
        <v>2381</v>
      </c>
      <c r="N458" s="215" t="s">
        <v>2433</v>
      </c>
      <c r="O458" s="216">
        <f ca="1">(SUMPRODUCT(C457:C571,I457:I571)+SUMPRODUCT(D457:D571,I457:I571))/($C$1-$A$457)</f>
        <v>1815958.4084911074</v>
      </c>
    </row>
    <row r="459" spans="1:15" hidden="1" outlineLevel="1">
      <c r="A459" s="147">
        <v>44571</v>
      </c>
      <c r="B459" s="147"/>
      <c r="C459" s="148">
        <v>439</v>
      </c>
      <c r="D459" s="149"/>
      <c r="E459" s="150">
        <f t="shared" si="624"/>
        <v>907284</v>
      </c>
      <c r="F459" s="150">
        <f t="shared" si="625"/>
        <v>439</v>
      </c>
      <c r="G459" s="151">
        <f>G458+F459</f>
        <v>471909.5</v>
      </c>
      <c r="H459" s="151">
        <f>IF(B459="",DATEDIF(A459,$E$1,"d"),DATEDIF(A459,B459,"d"))</f>
        <v>355</v>
      </c>
      <c r="I459" s="152">
        <f ca="1">IF(B459="",$C$1-A459,H459)</f>
        <v>1739</v>
      </c>
      <c r="J459" s="152" t="s">
        <v>84</v>
      </c>
      <c r="K459" s="152">
        <f t="shared" si="629"/>
        <v>426.68035592060232</v>
      </c>
      <c r="L459" s="152">
        <f t="shared" ca="1" si="630"/>
        <v>2090.1327857631759</v>
      </c>
      <c r="M459" s="160"/>
      <c r="N459" s="65"/>
    </row>
    <row r="460" spans="1:15" hidden="1" outlineLevel="1">
      <c r="A460" s="139">
        <v>44285</v>
      </c>
      <c r="B460" s="139">
        <v>44571</v>
      </c>
      <c r="C460" s="123">
        <v>30615</v>
      </c>
      <c r="D460" s="124"/>
      <c r="E460" s="146">
        <f t="shared" si="624"/>
        <v>937899</v>
      </c>
      <c r="F460" s="146">
        <f>-D298+C460</f>
        <v>473</v>
      </c>
      <c r="G460" s="80">
        <f t="shared" si="626"/>
        <v>472382.5</v>
      </c>
      <c r="H460" s="80">
        <f t="shared" si="627"/>
        <v>286</v>
      </c>
      <c r="I460">
        <f t="shared" si="628"/>
        <v>286</v>
      </c>
      <c r="J460" s="65" t="s">
        <v>2398</v>
      </c>
      <c r="K460">
        <f t="shared" si="629"/>
        <v>370.37097878165639</v>
      </c>
      <c r="L460">
        <f t="shared" si="630"/>
        <v>370.37097878165639</v>
      </c>
      <c r="M460" s="65"/>
      <c r="N460" s="65"/>
      <c r="O460" s="66"/>
    </row>
    <row r="461" spans="1:15" hidden="1" outlineLevel="1">
      <c r="A461" s="139">
        <v>44300</v>
      </c>
      <c r="B461" s="139">
        <v>44571</v>
      </c>
      <c r="C461" s="123">
        <v>636173</v>
      </c>
      <c r="D461" s="124"/>
      <c r="E461" s="146">
        <f t="shared" si="624"/>
        <v>1574072</v>
      </c>
      <c r="F461" s="146">
        <f>-D324+C461</f>
        <v>28309</v>
      </c>
      <c r="G461" s="80">
        <f t="shared" si="626"/>
        <v>500691.5</v>
      </c>
      <c r="H461" s="80">
        <f t="shared" si="627"/>
        <v>271</v>
      </c>
      <c r="I461">
        <f t="shared" si="628"/>
        <v>271</v>
      </c>
      <c r="J461" s="65" t="s">
        <v>1507</v>
      </c>
      <c r="K461">
        <f t="shared" si="629"/>
        <v>21004.07665982204</v>
      </c>
      <c r="L461">
        <f t="shared" si="630"/>
        <v>21004.07665982204</v>
      </c>
      <c r="M461" s="65"/>
      <c r="N461" s="65"/>
      <c r="O461" s="66"/>
    </row>
    <row r="462" spans="1:15" hidden="1" outlineLevel="1">
      <c r="A462" s="139">
        <v>44439</v>
      </c>
      <c r="B462" s="139">
        <v>44571</v>
      </c>
      <c r="C462" s="123">
        <v>513717</v>
      </c>
      <c r="D462" s="124"/>
      <c r="E462" s="146">
        <f t="shared" si="624"/>
        <v>2087789</v>
      </c>
      <c r="F462" s="146">
        <f>-D401+C462</f>
        <v>66081</v>
      </c>
      <c r="G462" s="80">
        <f t="shared" si="626"/>
        <v>566772.5</v>
      </c>
      <c r="H462" s="80">
        <f t="shared" si="627"/>
        <v>132</v>
      </c>
      <c r="I462">
        <f t="shared" si="628"/>
        <v>132</v>
      </c>
      <c r="J462" s="65" t="s">
        <v>1516</v>
      </c>
      <c r="K462">
        <f t="shared" si="629"/>
        <v>23881.429158110885</v>
      </c>
      <c r="L462">
        <f t="shared" si="630"/>
        <v>23881.429158110885</v>
      </c>
      <c r="M462" s="65"/>
      <c r="N462" s="65"/>
      <c r="O462" s="66"/>
    </row>
    <row r="463" spans="1:15" hidden="1" outlineLevel="1">
      <c r="A463" s="139">
        <v>44567</v>
      </c>
      <c r="B463" s="139">
        <v>44644</v>
      </c>
      <c r="C463" s="123"/>
      <c r="D463" s="124">
        <v>31645</v>
      </c>
      <c r="E463" s="146">
        <f t="shared" si="624"/>
        <v>2056144</v>
      </c>
      <c r="F463" s="146"/>
      <c r="G463" s="80">
        <f t="shared" si="626"/>
        <v>566772.5</v>
      </c>
      <c r="H463" s="80">
        <f t="shared" si="627"/>
        <v>77</v>
      </c>
      <c r="I463">
        <f t="shared" si="628"/>
        <v>77</v>
      </c>
      <c r="J463" s="65" t="s">
        <v>2441</v>
      </c>
      <c r="K463">
        <f t="shared" si="629"/>
        <v>0</v>
      </c>
      <c r="L463">
        <f t="shared" si="630"/>
        <v>0</v>
      </c>
      <c r="M463" s="65"/>
      <c r="O463" s="66"/>
    </row>
    <row r="464" spans="1:15" hidden="1" outlineLevel="1">
      <c r="A464" s="139">
        <v>44571</v>
      </c>
      <c r="B464" s="139">
        <v>44582</v>
      </c>
      <c r="C464" s="123"/>
      <c r="D464" s="124">
        <v>27989</v>
      </c>
      <c r="E464" s="146">
        <f t="shared" si="624"/>
        <v>2028155</v>
      </c>
      <c r="F464" s="146"/>
      <c r="G464" s="80">
        <f t="shared" si="626"/>
        <v>566772.5</v>
      </c>
      <c r="H464" s="80">
        <f t="shared" si="627"/>
        <v>11</v>
      </c>
      <c r="I464">
        <f t="shared" si="628"/>
        <v>11</v>
      </c>
      <c r="J464" s="65" t="s">
        <v>2435</v>
      </c>
      <c r="K464">
        <f t="shared" si="629"/>
        <v>0</v>
      </c>
      <c r="L464">
        <f t="shared" si="630"/>
        <v>0</v>
      </c>
      <c r="M464" s="65"/>
      <c r="N464" s="65"/>
      <c r="O464" s="66"/>
    </row>
    <row r="465" spans="1:15" hidden="1" outlineLevel="1">
      <c r="A465" s="139">
        <v>44571</v>
      </c>
      <c r="B465" s="139">
        <v>44585</v>
      </c>
      <c r="C465" s="123"/>
      <c r="D465" s="124">
        <v>27990</v>
      </c>
      <c r="E465" s="146">
        <f t="shared" si="624"/>
        <v>2000165</v>
      </c>
      <c r="F465" s="146"/>
      <c r="G465" s="80">
        <f t="shared" si="626"/>
        <v>566772.5</v>
      </c>
      <c r="H465" s="80">
        <f t="shared" si="627"/>
        <v>14</v>
      </c>
      <c r="I465">
        <f t="shared" si="628"/>
        <v>14</v>
      </c>
      <c r="J465" s="65" t="s">
        <v>2435</v>
      </c>
      <c r="K465">
        <f t="shared" si="629"/>
        <v>0</v>
      </c>
      <c r="L465">
        <f t="shared" si="630"/>
        <v>0</v>
      </c>
      <c r="M465" s="65"/>
      <c r="N465" s="65"/>
    </row>
    <row r="466" spans="1:15" hidden="1" outlineLevel="1">
      <c r="A466" s="139">
        <v>44571</v>
      </c>
      <c r="B466" s="139">
        <v>44585</v>
      </c>
      <c r="C466" s="123"/>
      <c r="D466" s="124">
        <v>90929</v>
      </c>
      <c r="E466" s="146">
        <f t="shared" si="624"/>
        <v>1909236</v>
      </c>
      <c r="F466" s="146"/>
      <c r="G466" s="80">
        <f t="shared" si="626"/>
        <v>566772.5</v>
      </c>
      <c r="H466" s="80">
        <f t="shared" si="627"/>
        <v>14</v>
      </c>
      <c r="I466">
        <f t="shared" si="628"/>
        <v>14</v>
      </c>
      <c r="J466" s="65" t="s">
        <v>2436</v>
      </c>
      <c r="K466">
        <f t="shared" si="629"/>
        <v>0</v>
      </c>
      <c r="L466">
        <f t="shared" si="630"/>
        <v>0</v>
      </c>
      <c r="M466" s="65"/>
      <c r="O466" s="66"/>
    </row>
    <row r="467" spans="1:15" hidden="1" outlineLevel="1">
      <c r="A467" s="139">
        <v>44573</v>
      </c>
      <c r="B467" s="139">
        <v>44575</v>
      </c>
      <c r="C467" s="123">
        <v>41050</v>
      </c>
      <c r="D467" s="124">
        <v>41070</v>
      </c>
      <c r="E467" s="146">
        <f t="shared" si="624"/>
        <v>1909216</v>
      </c>
      <c r="F467" s="146">
        <f t="shared" si="625"/>
        <v>-20</v>
      </c>
      <c r="G467" s="80">
        <f t="shared" si="626"/>
        <v>566752.5</v>
      </c>
      <c r="H467" s="80">
        <f t="shared" si="627"/>
        <v>2</v>
      </c>
      <c r="I467">
        <f t="shared" si="628"/>
        <v>2</v>
      </c>
      <c r="J467" s="65" t="s">
        <v>2451</v>
      </c>
      <c r="K467">
        <f t="shared" si="629"/>
        <v>0</v>
      </c>
      <c r="L467">
        <f t="shared" si="630"/>
        <v>0</v>
      </c>
      <c r="M467" s="65" t="s">
        <v>2381</v>
      </c>
    </row>
    <row r="468" spans="1:15" hidden="1" outlineLevel="1">
      <c r="A468" s="139">
        <v>44571</v>
      </c>
      <c r="B468" s="139">
        <v>44582</v>
      </c>
      <c r="C468" s="123">
        <v>25040</v>
      </c>
      <c r="D468" s="124"/>
      <c r="E468" s="146">
        <f t="shared" ref="E468" si="631">E467+C468-D468</f>
        <v>1934256</v>
      </c>
      <c r="F468" s="146">
        <f>-D464+C468</f>
        <v>-2949</v>
      </c>
      <c r="G468" s="80">
        <f t="shared" ref="G468" si="632">G467+F468</f>
        <v>563803.5</v>
      </c>
      <c r="H468" s="80">
        <f t="shared" ref="H468" si="633">IF(B468="",$C$1-A468,DATEDIF(A468,B468,"d"))</f>
        <v>11</v>
      </c>
      <c r="I468">
        <f t="shared" ref="I468" si="634">IF(B468="",$C$1-A468,H468)</f>
        <v>11</v>
      </c>
      <c r="J468" s="65" t="s">
        <v>2435</v>
      </c>
      <c r="K468">
        <f t="shared" ref="K468" si="635">IF(F468&gt;0,(H468*$F468)/365.25,0)</f>
        <v>0</v>
      </c>
      <c r="L468">
        <f t="shared" ref="L468" si="636">IF(F468&gt;0,(I468*$F468)/365.25,0)</f>
        <v>0</v>
      </c>
      <c r="M468" s="65"/>
      <c r="O468" s="66"/>
    </row>
    <row r="469" spans="1:15" hidden="1" outlineLevel="1">
      <c r="A469" s="139">
        <v>44571</v>
      </c>
      <c r="B469" s="139">
        <v>44585</v>
      </c>
      <c r="C469" s="123">
        <v>24641</v>
      </c>
      <c r="D469" s="124"/>
      <c r="E469" s="146">
        <f t="shared" si="624"/>
        <v>1958897</v>
      </c>
      <c r="F469" s="146">
        <f>-D465+C469</f>
        <v>-3349</v>
      </c>
      <c r="G469" s="80">
        <f t="shared" si="626"/>
        <v>560454.5</v>
      </c>
      <c r="H469" s="80">
        <f t="shared" si="627"/>
        <v>14</v>
      </c>
      <c r="I469">
        <f t="shared" si="628"/>
        <v>14</v>
      </c>
      <c r="J469" s="65" t="s">
        <v>2435</v>
      </c>
      <c r="K469">
        <f t="shared" si="629"/>
        <v>0</v>
      </c>
      <c r="L469">
        <f t="shared" si="630"/>
        <v>0</v>
      </c>
      <c r="M469" s="65"/>
      <c r="N469" s="65"/>
      <c r="O469" s="66"/>
    </row>
    <row r="470" spans="1:15" hidden="1" outlineLevel="1">
      <c r="A470" s="139">
        <v>44571</v>
      </c>
      <c r="B470" s="139">
        <v>44585</v>
      </c>
      <c r="C470" s="123">
        <v>89902</v>
      </c>
      <c r="D470" s="124"/>
      <c r="E470" s="146">
        <f t="shared" si="624"/>
        <v>2048799</v>
      </c>
      <c r="F470" s="146">
        <f>-D466+C470</f>
        <v>-1027</v>
      </c>
      <c r="G470" s="80">
        <f t="shared" si="626"/>
        <v>559427.5</v>
      </c>
      <c r="H470" s="80">
        <f t="shared" si="627"/>
        <v>14</v>
      </c>
      <c r="I470">
        <f t="shared" si="628"/>
        <v>14</v>
      </c>
      <c r="J470" s="65" t="s">
        <v>2436</v>
      </c>
      <c r="K470">
        <f t="shared" si="629"/>
        <v>0</v>
      </c>
      <c r="L470">
        <f t="shared" si="630"/>
        <v>0</v>
      </c>
      <c r="M470" s="65"/>
      <c r="N470" s="65"/>
      <c r="O470" s="66"/>
    </row>
    <row r="471" spans="1:15" hidden="1" outlineLevel="1">
      <c r="A471" s="139">
        <v>44585</v>
      </c>
      <c r="B471" s="139">
        <v>44621</v>
      </c>
      <c r="C471" s="123"/>
      <c r="D471" s="124">
        <v>58883</v>
      </c>
      <c r="E471" s="146">
        <f t="shared" si="624"/>
        <v>1989916</v>
      </c>
      <c r="F471" s="146"/>
      <c r="G471" s="80">
        <f t="shared" si="626"/>
        <v>559427.5</v>
      </c>
      <c r="H471" s="80">
        <f t="shared" si="627"/>
        <v>36</v>
      </c>
      <c r="I471">
        <f t="shared" si="628"/>
        <v>36</v>
      </c>
      <c r="J471" s="65" t="s">
        <v>2437</v>
      </c>
      <c r="K471">
        <f t="shared" si="629"/>
        <v>0</v>
      </c>
      <c r="L471">
        <f t="shared" si="630"/>
        <v>0</v>
      </c>
      <c r="M471" s="65"/>
      <c r="N471" s="65"/>
      <c r="O471" s="66"/>
    </row>
    <row r="472" spans="1:15" hidden="1" outlineLevel="1">
      <c r="A472" s="139">
        <v>44585</v>
      </c>
      <c r="B472" s="139">
        <v>44726</v>
      </c>
      <c r="C472" s="123"/>
      <c r="D472" s="124">
        <v>74305</v>
      </c>
      <c r="E472" s="146">
        <f t="shared" si="624"/>
        <v>1915611</v>
      </c>
      <c r="F472" s="146"/>
      <c r="G472" s="80">
        <f t="shared" si="626"/>
        <v>559427.5</v>
      </c>
      <c r="H472" s="80">
        <f t="shared" si="627"/>
        <v>141</v>
      </c>
      <c r="I472">
        <f t="shared" si="628"/>
        <v>141</v>
      </c>
      <c r="J472" s="65" t="s">
        <v>2446</v>
      </c>
      <c r="K472">
        <f t="shared" si="629"/>
        <v>0</v>
      </c>
      <c r="L472">
        <f t="shared" si="630"/>
        <v>0</v>
      </c>
      <c r="M472" s="65"/>
      <c r="N472" s="65"/>
      <c r="O472" s="66"/>
    </row>
    <row r="473" spans="1:15" hidden="1" outlineLevel="1">
      <c r="A473" s="147">
        <v>44602</v>
      </c>
      <c r="B473" s="147"/>
      <c r="C473" s="148">
        <v>974</v>
      </c>
      <c r="D473" s="149"/>
      <c r="E473" s="150">
        <f t="shared" ref="E473" si="637">E472+C473-D473</f>
        <v>1916585</v>
      </c>
      <c r="F473" s="150">
        <f t="shared" ref="F473" si="638">C473-D473</f>
        <v>974</v>
      </c>
      <c r="G473" s="151">
        <f>G472+F473</f>
        <v>560401.5</v>
      </c>
      <c r="H473" s="151">
        <f>IF(B473="",DATEDIF(A473,$E$1,"d"),DATEDIF(A473,B473,"d"))</f>
        <v>324</v>
      </c>
      <c r="I473" s="152">
        <f ca="1">IF(B473="",$C$1-A473,H473)</f>
        <v>1708</v>
      </c>
      <c r="J473" s="152" t="s">
        <v>84</v>
      </c>
      <c r="K473" s="152">
        <f t="shared" ref="K473" si="639">IF(F473&gt;0,(H473*$F473)/365.25,0)</f>
        <v>864</v>
      </c>
      <c r="L473" s="152">
        <f t="shared" ref="L473" ca="1" si="640">IF(F473&gt;0,(I473*$F473)/365.25,0)</f>
        <v>4554.666666666667</v>
      </c>
      <c r="M473" s="160"/>
      <c r="N473" s="65"/>
    </row>
    <row r="474" spans="1:15" hidden="1" outlineLevel="1">
      <c r="A474" s="139">
        <v>44602</v>
      </c>
      <c r="B474" s="139">
        <v>44624</v>
      </c>
      <c r="C474" s="123"/>
      <c r="D474" s="124">
        <v>72002</v>
      </c>
      <c r="E474" s="146">
        <f t="shared" si="624"/>
        <v>1844583</v>
      </c>
      <c r="F474" s="146"/>
      <c r="G474" s="80">
        <f t="shared" si="626"/>
        <v>560401.5</v>
      </c>
      <c r="H474" s="80">
        <f t="shared" si="627"/>
        <v>22</v>
      </c>
      <c r="I474">
        <f t="shared" si="628"/>
        <v>22</v>
      </c>
      <c r="J474" s="65" t="s">
        <v>2442</v>
      </c>
      <c r="K474">
        <f t="shared" si="629"/>
        <v>0</v>
      </c>
      <c r="L474">
        <f t="shared" si="630"/>
        <v>0</v>
      </c>
      <c r="M474" s="65"/>
      <c r="N474" s="65"/>
      <c r="O474" s="66"/>
    </row>
    <row r="475" spans="1:15" hidden="1" outlineLevel="1">
      <c r="A475" s="139">
        <v>44603</v>
      </c>
      <c r="B475" s="139"/>
      <c r="C475" s="123"/>
      <c r="D475" s="124">
        <v>105149</v>
      </c>
      <c r="E475" s="146">
        <f t="shared" si="624"/>
        <v>1739434</v>
      </c>
      <c r="F475" s="146"/>
      <c r="G475" s="80">
        <f t="shared" si="626"/>
        <v>560401.5</v>
      </c>
      <c r="H475" s="80">
        <f t="shared" ca="1" si="627"/>
        <v>1707</v>
      </c>
      <c r="I475">
        <f t="shared" ca="1" si="628"/>
        <v>1707</v>
      </c>
      <c r="J475" s="65" t="s">
        <v>2440</v>
      </c>
      <c r="K475">
        <f t="shared" si="629"/>
        <v>0</v>
      </c>
      <c r="L475">
        <f t="shared" si="630"/>
        <v>0</v>
      </c>
      <c r="M475" s="65"/>
      <c r="N475" s="65"/>
      <c r="O475" s="66"/>
    </row>
    <row r="476" spans="1:15" hidden="1" outlineLevel="1">
      <c r="A476" s="139">
        <v>44603</v>
      </c>
      <c r="B476" s="139"/>
      <c r="C476" s="123"/>
      <c r="D476" s="124">
        <v>118168</v>
      </c>
      <c r="E476" s="146">
        <f t="shared" si="624"/>
        <v>1621266</v>
      </c>
      <c r="F476" s="146"/>
      <c r="G476" s="80">
        <f t="shared" si="626"/>
        <v>560401.5</v>
      </c>
      <c r="H476" s="80">
        <f t="shared" ca="1" si="627"/>
        <v>1707</v>
      </c>
      <c r="I476">
        <f t="shared" ca="1" si="628"/>
        <v>1707</v>
      </c>
      <c r="J476" s="65" t="s">
        <v>2447</v>
      </c>
      <c r="K476">
        <f t="shared" si="629"/>
        <v>0</v>
      </c>
      <c r="L476">
        <f t="shared" si="630"/>
        <v>0</v>
      </c>
      <c r="M476" s="65"/>
      <c r="N476" s="65"/>
      <c r="O476" s="66"/>
    </row>
    <row r="477" spans="1:15" hidden="1" outlineLevel="1">
      <c r="A477" s="139">
        <v>44607</v>
      </c>
      <c r="B477" s="139"/>
      <c r="C477" s="123"/>
      <c r="D477" s="124">
        <v>503716</v>
      </c>
      <c r="E477" s="146">
        <f t="shared" si="624"/>
        <v>1117550</v>
      </c>
      <c r="F477" s="146"/>
      <c r="G477" s="80">
        <f t="shared" si="626"/>
        <v>560401.5</v>
      </c>
      <c r="H477" s="80">
        <f t="shared" ca="1" si="627"/>
        <v>1703</v>
      </c>
      <c r="I477">
        <f t="shared" ca="1" si="628"/>
        <v>1703</v>
      </c>
      <c r="J477" s="65" t="s">
        <v>2448</v>
      </c>
      <c r="K477">
        <f t="shared" si="629"/>
        <v>0</v>
      </c>
      <c r="L477">
        <f t="shared" si="630"/>
        <v>0</v>
      </c>
      <c r="M477" s="65"/>
      <c r="N477" s="65"/>
      <c r="O477" s="66"/>
    </row>
    <row r="478" spans="1:15" hidden="1" outlineLevel="1">
      <c r="A478" s="139">
        <v>44585</v>
      </c>
      <c r="B478" s="139">
        <v>44621</v>
      </c>
      <c r="C478" s="123">
        <v>54260</v>
      </c>
      <c r="D478" s="124"/>
      <c r="E478" s="146">
        <f t="shared" si="624"/>
        <v>1171810</v>
      </c>
      <c r="F478" s="146">
        <f>-D471+C478</f>
        <v>-4623</v>
      </c>
      <c r="G478" s="80">
        <f t="shared" ref="G478" si="641">G477+F478</f>
        <v>555778.5</v>
      </c>
      <c r="H478" s="80">
        <f t="shared" ref="H478" si="642">IF(B478="",$C$1-A478,DATEDIF(A478,B478,"d"))</f>
        <v>36</v>
      </c>
      <c r="I478">
        <f t="shared" ref="I478" si="643">IF(B478="",$C$1-A478,H478)</f>
        <v>36</v>
      </c>
      <c r="J478" s="65" t="s">
        <v>2437</v>
      </c>
      <c r="K478">
        <f t="shared" ref="K478" si="644">IF(F478&gt;0,(H478*$F478)/365.25,0)</f>
        <v>0</v>
      </c>
      <c r="L478">
        <f t="shared" ref="L478" si="645">IF(F478&gt;0,(I478*$F478)/365.25,0)</f>
        <v>0</v>
      </c>
      <c r="M478" s="65"/>
      <c r="O478" s="66"/>
    </row>
    <row r="479" spans="1:15" hidden="1" outlineLevel="1">
      <c r="A479" s="139">
        <v>44624</v>
      </c>
      <c r="B479" s="139">
        <v>44624</v>
      </c>
      <c r="C479" s="123">
        <v>63016</v>
      </c>
      <c r="D479" s="124">
        <v>63290</v>
      </c>
      <c r="E479" s="146">
        <f t="shared" si="624"/>
        <v>1171536</v>
      </c>
      <c r="F479" s="146"/>
      <c r="G479" s="80">
        <f t="shared" si="626"/>
        <v>555778.5</v>
      </c>
      <c r="H479" s="80">
        <f t="shared" si="627"/>
        <v>0</v>
      </c>
      <c r="I479">
        <f t="shared" si="628"/>
        <v>0</v>
      </c>
      <c r="J479" s="65" t="s">
        <v>1517</v>
      </c>
      <c r="K479">
        <f t="shared" si="629"/>
        <v>0</v>
      </c>
      <c r="L479">
        <f t="shared" si="630"/>
        <v>0</v>
      </c>
      <c r="M479" s="65" t="s">
        <v>413</v>
      </c>
      <c r="N479" s="65"/>
      <c r="O479" s="66"/>
    </row>
    <row r="480" spans="1:15" hidden="1" outlineLevel="1">
      <c r="A480" s="139">
        <v>44624</v>
      </c>
      <c r="B480" s="139">
        <v>44624</v>
      </c>
      <c r="C480" s="123">
        <v>62318</v>
      </c>
      <c r="D480" s="124">
        <v>63790</v>
      </c>
      <c r="E480" s="146">
        <f t="shared" si="624"/>
        <v>1170064</v>
      </c>
      <c r="F480" s="146"/>
      <c r="G480" s="80">
        <f t="shared" si="626"/>
        <v>555778.5</v>
      </c>
      <c r="H480" s="80">
        <f t="shared" si="627"/>
        <v>0</v>
      </c>
      <c r="I480">
        <f t="shared" si="628"/>
        <v>0</v>
      </c>
      <c r="J480" s="65" t="s">
        <v>2438</v>
      </c>
      <c r="K480">
        <f t="shared" si="629"/>
        <v>0</v>
      </c>
      <c r="L480">
        <f t="shared" si="630"/>
        <v>0</v>
      </c>
      <c r="M480" s="65" t="s">
        <v>413</v>
      </c>
      <c r="N480" s="65"/>
      <c r="O480" s="66"/>
    </row>
    <row r="481" spans="1:15" hidden="1" outlineLevel="1">
      <c r="A481" s="139">
        <v>44624</v>
      </c>
      <c r="B481" s="139">
        <v>44624</v>
      </c>
      <c r="C481" s="123">
        <v>67303</v>
      </c>
      <c r="D481" s="124">
        <v>68797</v>
      </c>
      <c r="E481" s="146">
        <f t="shared" si="624"/>
        <v>1168570</v>
      </c>
      <c r="F481" s="146"/>
      <c r="G481" s="80">
        <f t="shared" si="626"/>
        <v>555778.5</v>
      </c>
      <c r="H481" s="80">
        <f t="shared" si="627"/>
        <v>0</v>
      </c>
      <c r="I481">
        <f t="shared" si="628"/>
        <v>0</v>
      </c>
      <c r="J481" s="65" t="s">
        <v>2439</v>
      </c>
      <c r="K481">
        <f t="shared" si="629"/>
        <v>0</v>
      </c>
      <c r="L481">
        <f t="shared" si="630"/>
        <v>0</v>
      </c>
      <c r="M481" s="65" t="s">
        <v>413</v>
      </c>
      <c r="N481" s="65"/>
      <c r="O481" s="66"/>
    </row>
    <row r="482" spans="1:15" hidden="1" outlineLevel="1">
      <c r="A482" s="139">
        <v>44624</v>
      </c>
      <c r="B482" s="139"/>
      <c r="C482" s="123"/>
      <c r="D482" s="124"/>
      <c r="E482" s="146">
        <f t="shared" si="624"/>
        <v>1168570</v>
      </c>
      <c r="F482" s="146"/>
      <c r="G482" s="80">
        <f t="shared" si="626"/>
        <v>555778.5</v>
      </c>
      <c r="H482" s="80">
        <f t="shared" ca="1" si="627"/>
        <v>1686</v>
      </c>
      <c r="I482">
        <f t="shared" ca="1" si="628"/>
        <v>1686</v>
      </c>
      <c r="J482" s="65" t="s">
        <v>2440</v>
      </c>
      <c r="K482">
        <f t="shared" si="629"/>
        <v>0</v>
      </c>
      <c r="L482">
        <f t="shared" si="630"/>
        <v>0</v>
      </c>
      <c r="M482" s="65"/>
      <c r="N482" s="65"/>
    </row>
    <row r="483" spans="1:15" hidden="1" outlineLevel="1">
      <c r="A483" s="139">
        <v>44624</v>
      </c>
      <c r="B483" s="139"/>
      <c r="C483" s="123"/>
      <c r="D483" s="124">
        <v>88525</v>
      </c>
      <c r="E483" s="146">
        <f t="shared" ref="E483:E485" si="646">E482+C483-D483</f>
        <v>1080045</v>
      </c>
      <c r="F483" s="146"/>
      <c r="G483" s="80">
        <f t="shared" ref="G483:G485" si="647">G482+F483</f>
        <v>555778.5</v>
      </c>
      <c r="H483" s="80">
        <f t="shared" ref="H483:H485" ca="1" si="648">IF(B483="",$C$1-A483,DATEDIF(A483,B483,"d"))</f>
        <v>1686</v>
      </c>
      <c r="I483">
        <f t="shared" ref="I483:I485" ca="1" si="649">IF(B483="",$C$1-A483,H483)</f>
        <v>1686</v>
      </c>
      <c r="J483" s="65" t="s">
        <v>2498</v>
      </c>
      <c r="K483">
        <f t="shared" ref="K483:K485" si="650">IF(F483&gt;0,(H483*$F483)/365.25,0)</f>
        <v>0</v>
      </c>
      <c r="L483">
        <f t="shared" ref="L483:L485" si="651">IF(F483&gt;0,(I483*$F483)/365.25,0)</f>
        <v>0</v>
      </c>
      <c r="M483" s="65"/>
      <c r="N483" s="220"/>
      <c r="O483" s="66"/>
    </row>
    <row r="484" spans="1:15" hidden="1" outlineLevel="1">
      <c r="A484" s="139">
        <v>44624</v>
      </c>
      <c r="B484" s="139"/>
      <c r="C484" s="123"/>
      <c r="D484" s="124">
        <v>40070</v>
      </c>
      <c r="E484" s="146">
        <f t="shared" si="646"/>
        <v>1039975</v>
      </c>
      <c r="F484" s="146"/>
      <c r="G484" s="80">
        <f t="shared" si="647"/>
        <v>555778.5</v>
      </c>
      <c r="H484" s="80">
        <f t="shared" ca="1" si="648"/>
        <v>1686</v>
      </c>
      <c r="I484">
        <f t="shared" ca="1" si="649"/>
        <v>1686</v>
      </c>
      <c r="J484" s="65" t="s">
        <v>2453</v>
      </c>
      <c r="K484">
        <f t="shared" si="650"/>
        <v>0</v>
      </c>
      <c r="L484">
        <f t="shared" si="651"/>
        <v>0</v>
      </c>
      <c r="M484" s="65" t="s">
        <v>2381</v>
      </c>
      <c r="N484" s="220"/>
    </row>
    <row r="485" spans="1:15" hidden="1" outlineLevel="1">
      <c r="A485" s="139">
        <v>44624</v>
      </c>
      <c r="B485" s="139"/>
      <c r="C485" s="123"/>
      <c r="D485" s="124">
        <v>66070</v>
      </c>
      <c r="E485" s="146">
        <f t="shared" si="646"/>
        <v>973905</v>
      </c>
      <c r="F485" s="146"/>
      <c r="G485" s="80">
        <f t="shared" si="647"/>
        <v>555778.5</v>
      </c>
      <c r="H485" s="80">
        <f t="shared" ca="1" si="648"/>
        <v>1686</v>
      </c>
      <c r="I485">
        <f t="shared" ca="1" si="649"/>
        <v>1686</v>
      </c>
      <c r="J485" s="65" t="s">
        <v>2454</v>
      </c>
      <c r="K485">
        <f t="shared" si="650"/>
        <v>0</v>
      </c>
      <c r="L485">
        <f t="shared" si="651"/>
        <v>0</v>
      </c>
      <c r="M485" s="65" t="s">
        <v>2381</v>
      </c>
      <c r="N485" s="220"/>
    </row>
    <row r="486" spans="1:15" hidden="1" outlineLevel="1">
      <c r="A486" s="139">
        <v>44627</v>
      </c>
      <c r="B486" s="139"/>
      <c r="C486" s="123"/>
      <c r="D486" s="124">
        <v>61950</v>
      </c>
      <c r="E486" s="146">
        <f t="shared" ref="E486:E529" si="652">E485+C486-D486</f>
        <v>911955</v>
      </c>
      <c r="F486" s="146"/>
      <c r="G486" s="80">
        <f t="shared" ref="G486:G490" si="653">G485+F486</f>
        <v>555778.5</v>
      </c>
      <c r="H486" s="80">
        <f t="shared" ref="H486:H490" ca="1" si="654">IF(B486="",$C$1-A486,DATEDIF(A486,B486,"d"))</f>
        <v>1683</v>
      </c>
      <c r="I486">
        <f t="shared" ref="I486:I490" ca="1" si="655">IF(B486="",$C$1-A486,H486)</f>
        <v>1683</v>
      </c>
      <c r="J486" s="65" t="s">
        <v>2455</v>
      </c>
      <c r="K486">
        <f t="shared" ref="K486:K493" si="656">IF(F486&gt;0,(H486*$F486)/365.25,0)</f>
        <v>0</v>
      </c>
      <c r="L486">
        <f t="shared" ref="L486:L493" si="657">IF(F486&gt;0,(I486*$F486)/365.25,0)</f>
        <v>0</v>
      </c>
      <c r="M486" s="65" t="s">
        <v>2381</v>
      </c>
      <c r="N486" s="220"/>
    </row>
    <row r="487" spans="1:15" hidden="1" outlineLevel="1">
      <c r="A487" s="139">
        <v>44628</v>
      </c>
      <c r="B487" s="139"/>
      <c r="C487" s="123">
        <v>66050</v>
      </c>
      <c r="D487" s="124"/>
      <c r="E487" s="146">
        <f t="shared" si="652"/>
        <v>978005</v>
      </c>
      <c r="F487" s="146"/>
      <c r="G487" s="80">
        <f t="shared" si="653"/>
        <v>555778.5</v>
      </c>
      <c r="H487" s="80">
        <f t="shared" ca="1" si="654"/>
        <v>1682</v>
      </c>
      <c r="I487">
        <f t="shared" ca="1" si="655"/>
        <v>1682</v>
      </c>
      <c r="J487" s="65" t="s">
        <v>2453</v>
      </c>
      <c r="K487">
        <f t="shared" si="656"/>
        <v>0</v>
      </c>
      <c r="L487">
        <f t="shared" si="657"/>
        <v>0</v>
      </c>
      <c r="M487" s="65"/>
      <c r="N487" s="220"/>
    </row>
    <row r="488" spans="1:15" hidden="1" outlineLevel="1">
      <c r="A488" s="139">
        <v>44628</v>
      </c>
      <c r="B488" s="139"/>
      <c r="C488" s="123">
        <v>40050</v>
      </c>
      <c r="D488" s="124"/>
      <c r="E488" s="146">
        <f t="shared" si="652"/>
        <v>1018055</v>
      </c>
      <c r="F488" s="146"/>
      <c r="G488" s="80">
        <f t="shared" si="653"/>
        <v>555778.5</v>
      </c>
      <c r="H488" s="80">
        <f t="shared" ca="1" si="654"/>
        <v>1682</v>
      </c>
      <c r="I488">
        <f t="shared" ca="1" si="655"/>
        <v>1682</v>
      </c>
      <c r="J488" s="65" t="s">
        <v>2454</v>
      </c>
      <c r="K488">
        <f t="shared" si="656"/>
        <v>0</v>
      </c>
      <c r="L488">
        <f t="shared" si="657"/>
        <v>0</v>
      </c>
      <c r="M488" s="65"/>
      <c r="N488" s="220"/>
    </row>
    <row r="489" spans="1:15" hidden="1" outlineLevel="1">
      <c r="A489" s="139">
        <v>44628</v>
      </c>
      <c r="B489" s="139"/>
      <c r="C489" s="123">
        <v>114492</v>
      </c>
      <c r="D489" s="124"/>
      <c r="E489" s="146">
        <f t="shared" si="652"/>
        <v>1132547</v>
      </c>
      <c r="F489" s="146">
        <f>-D473+C489</f>
        <v>114492</v>
      </c>
      <c r="G489" s="80">
        <f t="shared" si="653"/>
        <v>670270.5</v>
      </c>
      <c r="H489" s="80">
        <f t="shared" ca="1" si="654"/>
        <v>1682</v>
      </c>
      <c r="I489">
        <f t="shared" ca="1" si="655"/>
        <v>1682</v>
      </c>
      <c r="J489" s="65" t="s">
        <v>2440</v>
      </c>
      <c r="K489">
        <f t="shared" ca="1" si="656"/>
        <v>527243.10472279263</v>
      </c>
      <c r="L489">
        <f t="shared" ca="1" si="657"/>
        <v>527243.10472279263</v>
      </c>
      <c r="M489" s="65"/>
      <c r="N489" s="65"/>
      <c r="O489" s="66"/>
    </row>
    <row r="490" spans="1:15" hidden="1" outlineLevel="1">
      <c r="A490" s="139">
        <v>44629</v>
      </c>
      <c r="B490" s="139"/>
      <c r="C490" s="123">
        <v>61930</v>
      </c>
      <c r="D490" s="124"/>
      <c r="E490" s="146">
        <f t="shared" si="652"/>
        <v>1194477</v>
      </c>
      <c r="F490" s="146"/>
      <c r="G490" s="80">
        <f t="shared" si="653"/>
        <v>670270.5</v>
      </c>
      <c r="H490" s="80">
        <f t="shared" ca="1" si="654"/>
        <v>1681</v>
      </c>
      <c r="I490">
        <f t="shared" ca="1" si="655"/>
        <v>1681</v>
      </c>
      <c r="J490" s="65" t="s">
        <v>2455</v>
      </c>
      <c r="K490">
        <f t="shared" si="656"/>
        <v>0</v>
      </c>
      <c r="L490">
        <f t="shared" si="657"/>
        <v>0</v>
      </c>
      <c r="M490" s="65"/>
      <c r="N490" s="220"/>
    </row>
    <row r="491" spans="1:15" hidden="1" outlineLevel="1">
      <c r="A491" s="147">
        <v>44630</v>
      </c>
      <c r="B491" s="147"/>
      <c r="C491" s="148">
        <v>482</v>
      </c>
      <c r="D491" s="149"/>
      <c r="E491" s="150">
        <f t="shared" si="652"/>
        <v>1194959</v>
      </c>
      <c r="F491" s="150">
        <f t="shared" ref="F491:F495" si="658">C491-D491</f>
        <v>482</v>
      </c>
      <c r="G491" s="151">
        <f>G490+F491</f>
        <v>670752.5</v>
      </c>
      <c r="H491" s="151">
        <f>IF(B491="",DATEDIF(A491,$E$1,"d"),DATEDIF(A491,B491,"d"))</f>
        <v>296</v>
      </c>
      <c r="I491" s="152">
        <f ca="1">IF(B491="",$C$1-A491,H491)</f>
        <v>1680</v>
      </c>
      <c r="J491" s="152" t="s">
        <v>84</v>
      </c>
      <c r="K491" s="152">
        <f t="shared" si="656"/>
        <v>390.61464750171115</v>
      </c>
      <c r="L491" s="152">
        <f t="shared" ca="1" si="657"/>
        <v>2217.0020533880902</v>
      </c>
      <c r="M491" s="160"/>
      <c r="N491" s="220">
        <v>1194959</v>
      </c>
    </row>
    <row r="492" spans="1:15" hidden="1" outlineLevel="1">
      <c r="A492" s="139">
        <v>44630</v>
      </c>
      <c r="B492" s="139"/>
      <c r="C492" s="123">
        <v>40050</v>
      </c>
      <c r="D492" s="124">
        <v>40070</v>
      </c>
      <c r="E492" s="146">
        <f t="shared" si="652"/>
        <v>1194939</v>
      </c>
      <c r="F492" s="146">
        <f t="shared" si="658"/>
        <v>-20</v>
      </c>
      <c r="G492" s="80">
        <f t="shared" ref="G492:G493" si="659">G491+F492</f>
        <v>670732.5</v>
      </c>
      <c r="H492" s="80">
        <f t="shared" ref="H492:H493" ca="1" si="660">IF(B492="",$C$1-A492,DATEDIF(A492,B492,"d"))</f>
        <v>1680</v>
      </c>
      <c r="I492">
        <f t="shared" ref="I492:I505" ca="1" si="661">IF(B492="",$C$1-A492,H492)</f>
        <v>1680</v>
      </c>
      <c r="J492" s="65" t="s">
        <v>2456</v>
      </c>
      <c r="K492">
        <f t="shared" si="656"/>
        <v>0</v>
      </c>
      <c r="L492">
        <f t="shared" si="657"/>
        <v>0</v>
      </c>
      <c r="M492" s="65" t="s">
        <v>2381</v>
      </c>
      <c r="N492" s="220"/>
    </row>
    <row r="493" spans="1:15" hidden="1" outlineLevel="1">
      <c r="A493" s="139">
        <v>44634</v>
      </c>
      <c r="B493" s="139"/>
      <c r="C493" s="123">
        <v>18930</v>
      </c>
      <c r="D493" s="124">
        <v>18950</v>
      </c>
      <c r="E493" s="146">
        <f t="shared" si="652"/>
        <v>1194919</v>
      </c>
      <c r="F493" s="146">
        <f t="shared" si="658"/>
        <v>-20</v>
      </c>
      <c r="G493" s="80">
        <f t="shared" si="659"/>
        <v>670712.5</v>
      </c>
      <c r="H493" s="80">
        <f t="shared" ca="1" si="660"/>
        <v>1676</v>
      </c>
      <c r="I493">
        <f t="shared" ca="1" si="661"/>
        <v>1676</v>
      </c>
      <c r="J493" s="65" t="s">
        <v>2457</v>
      </c>
      <c r="K493">
        <f t="shared" si="656"/>
        <v>0</v>
      </c>
      <c r="L493">
        <f t="shared" si="657"/>
        <v>0</v>
      </c>
      <c r="M493" s="65" t="s">
        <v>2381</v>
      </c>
      <c r="N493" s="220"/>
    </row>
    <row r="494" spans="1:15" hidden="1" outlineLevel="1">
      <c r="A494" s="195">
        <v>44642</v>
      </c>
      <c r="B494" s="195">
        <v>44642</v>
      </c>
      <c r="C494" s="196">
        <v>2558</v>
      </c>
      <c r="D494" s="197">
        <v>0</v>
      </c>
      <c r="E494" s="198">
        <f t="shared" si="652"/>
        <v>1197477</v>
      </c>
      <c r="F494" s="198">
        <f>C494</f>
        <v>2558</v>
      </c>
      <c r="G494" s="199">
        <f t="shared" ref="G494" si="662">G493+C494-D494</f>
        <v>673270.5</v>
      </c>
      <c r="H494" s="199">
        <f t="shared" ref="H494" si="663">IF(B494="",DATEDIF(A494,$G$1,"d"),DATEDIF(A494,B494,"d"))</f>
        <v>0</v>
      </c>
      <c r="I494" s="200">
        <f t="shared" si="661"/>
        <v>0</v>
      </c>
      <c r="J494" s="200" t="s">
        <v>2364</v>
      </c>
      <c r="K494" s="200">
        <f t="shared" ref="K494" si="664">(H494*$C494)/365.25</f>
        <v>0</v>
      </c>
      <c r="L494" s="200">
        <f t="shared" ref="L494" si="665">(I494*$C494)/365.25</f>
        <v>0</v>
      </c>
      <c r="M494" s="200" t="s">
        <v>101</v>
      </c>
      <c r="N494" s="220"/>
    </row>
    <row r="495" spans="1:15" hidden="1" outlineLevel="1">
      <c r="A495" s="139">
        <v>44644</v>
      </c>
      <c r="B495" s="139">
        <v>44648</v>
      </c>
      <c r="C495" s="123">
        <v>40050</v>
      </c>
      <c r="D495" s="124">
        <v>40070</v>
      </c>
      <c r="E495" s="146">
        <f t="shared" si="652"/>
        <v>1197457</v>
      </c>
      <c r="F495" s="146">
        <f t="shared" si="658"/>
        <v>-20</v>
      </c>
      <c r="G495" s="80">
        <f t="shared" ref="G495:G499" si="666">G494+F495</f>
        <v>673250.5</v>
      </c>
      <c r="H495" s="80">
        <f t="shared" ref="H495:H499" si="667">IF(B495="",$C$1-A495,DATEDIF(A495,B495,"d"))</f>
        <v>4</v>
      </c>
      <c r="I495">
        <f t="shared" si="661"/>
        <v>4</v>
      </c>
      <c r="J495" s="65" t="s">
        <v>2458</v>
      </c>
      <c r="K495">
        <f t="shared" ref="K495:K499" si="668">IF(F495&gt;0,(H495*$F495)/365.25,0)</f>
        <v>0</v>
      </c>
      <c r="L495">
        <f t="shared" ref="L495:L499" si="669">IF(F495&gt;0,(I495*$F495)/365.25,0)</f>
        <v>0</v>
      </c>
      <c r="M495" s="65" t="s">
        <v>2381</v>
      </c>
      <c r="N495" s="220"/>
    </row>
    <row r="496" spans="1:15" hidden="1" outlineLevel="1">
      <c r="A496" s="139">
        <v>44567</v>
      </c>
      <c r="B496" s="139">
        <v>44648</v>
      </c>
      <c r="C496" s="123">
        <v>30067</v>
      </c>
      <c r="D496" s="124"/>
      <c r="E496" s="146">
        <f t="shared" si="652"/>
        <v>1227524</v>
      </c>
      <c r="F496" s="146">
        <f>-D461+C496</f>
        <v>30067</v>
      </c>
      <c r="G496" s="80">
        <f t="shared" si="666"/>
        <v>703317.5</v>
      </c>
      <c r="H496" s="80">
        <f t="shared" si="667"/>
        <v>81</v>
      </c>
      <c r="I496">
        <f t="shared" si="661"/>
        <v>81</v>
      </c>
      <c r="J496" s="65" t="s">
        <v>2441</v>
      </c>
      <c r="K496">
        <f t="shared" si="668"/>
        <v>6667.8357289527721</v>
      </c>
      <c r="L496">
        <f t="shared" si="669"/>
        <v>6667.8357289527721</v>
      </c>
      <c r="M496" s="65"/>
      <c r="N496" s="220"/>
      <c r="O496" s="66"/>
    </row>
    <row r="497" spans="1:15" hidden="1" outlineLevel="1">
      <c r="A497" s="139">
        <v>44602</v>
      </c>
      <c r="B497" s="139">
        <v>44624</v>
      </c>
      <c r="C497" s="123">
        <v>80443</v>
      </c>
      <c r="D497" s="124"/>
      <c r="E497" s="146">
        <f t="shared" si="652"/>
        <v>1307967</v>
      </c>
      <c r="F497" s="146">
        <f>-D471+C497</f>
        <v>21560</v>
      </c>
      <c r="G497" s="80">
        <f t="shared" si="666"/>
        <v>724877.5</v>
      </c>
      <c r="H497" s="80">
        <f t="shared" si="667"/>
        <v>22</v>
      </c>
      <c r="I497">
        <f t="shared" si="661"/>
        <v>22</v>
      </c>
      <c r="J497" s="65" t="s">
        <v>2442</v>
      </c>
      <c r="K497">
        <f t="shared" si="668"/>
        <v>1298.6173853524983</v>
      </c>
      <c r="L497">
        <f t="shared" si="669"/>
        <v>1298.6173853524983</v>
      </c>
      <c r="M497" s="65"/>
      <c r="N497" s="220"/>
      <c r="O497" s="66"/>
    </row>
    <row r="498" spans="1:15" hidden="1" outlineLevel="1">
      <c r="A498" s="139">
        <v>44648</v>
      </c>
      <c r="B498" s="139">
        <v>44650</v>
      </c>
      <c r="C498" s="123">
        <v>33050</v>
      </c>
      <c r="D498" s="124">
        <v>33070</v>
      </c>
      <c r="E498" s="146">
        <f t="shared" si="652"/>
        <v>1307947</v>
      </c>
      <c r="F498" s="146">
        <f t="shared" ref="F498:F499" si="670">C498-D498</f>
        <v>-20</v>
      </c>
      <c r="G498" s="80">
        <f t="shared" si="666"/>
        <v>724857.5</v>
      </c>
      <c r="H498" s="80">
        <f t="shared" si="667"/>
        <v>2</v>
      </c>
      <c r="I498">
        <f t="shared" si="661"/>
        <v>2</v>
      </c>
      <c r="J498" s="65" t="s">
        <v>46</v>
      </c>
      <c r="K498">
        <f t="shared" si="668"/>
        <v>0</v>
      </c>
      <c r="L498">
        <f t="shared" si="669"/>
        <v>0</v>
      </c>
      <c r="M498" s="65" t="s">
        <v>2381</v>
      </c>
      <c r="N498" s="220"/>
    </row>
    <row r="499" spans="1:15" hidden="1" outlineLevel="1">
      <c r="A499" s="139">
        <v>44648</v>
      </c>
      <c r="B499" s="139">
        <v>44650</v>
      </c>
      <c r="C499" s="123">
        <v>88050</v>
      </c>
      <c r="D499" s="124">
        <v>88070</v>
      </c>
      <c r="E499" s="146">
        <f t="shared" si="652"/>
        <v>1307927</v>
      </c>
      <c r="F499" s="146">
        <f t="shared" si="670"/>
        <v>-20</v>
      </c>
      <c r="G499" s="80">
        <f t="shared" si="666"/>
        <v>724837.5</v>
      </c>
      <c r="H499" s="80">
        <f t="shared" si="667"/>
        <v>2</v>
      </c>
      <c r="I499">
        <f t="shared" si="661"/>
        <v>2</v>
      </c>
      <c r="J499" s="65" t="s">
        <v>2459</v>
      </c>
      <c r="K499">
        <f t="shared" si="668"/>
        <v>0</v>
      </c>
      <c r="L499">
        <f t="shared" si="669"/>
        <v>0</v>
      </c>
      <c r="M499" s="65" t="s">
        <v>2381</v>
      </c>
      <c r="N499" s="220"/>
    </row>
    <row r="500" spans="1:15" collapsed="1">
      <c r="A500" s="195">
        <v>44648</v>
      </c>
      <c r="B500" s="195">
        <v>44648</v>
      </c>
      <c r="C500" s="196">
        <v>4039</v>
      </c>
      <c r="D500" s="197">
        <v>0</v>
      </c>
      <c r="E500" s="198">
        <f t="shared" si="652"/>
        <v>1311966</v>
      </c>
      <c r="F500" s="198">
        <f>C500</f>
        <v>4039</v>
      </c>
      <c r="G500" s="199">
        <f t="shared" ref="G500" si="671">G499+C500-D500</f>
        <v>728876.5</v>
      </c>
      <c r="H500" s="199">
        <f t="shared" ref="H500" si="672">IF(B500="",DATEDIF(A500,$G$1,"d"),DATEDIF(A500,B500,"d"))</f>
        <v>0</v>
      </c>
      <c r="I500" s="200">
        <f t="shared" si="661"/>
        <v>0</v>
      </c>
      <c r="J500" s="200" t="s">
        <v>2460</v>
      </c>
      <c r="K500" s="200">
        <f t="shared" ref="K500" si="673">(H500*$C500)/365.25</f>
        <v>0</v>
      </c>
      <c r="L500" s="200">
        <f t="shared" ref="L500" si="674">(I500*$C500)/365.25</f>
        <v>0</v>
      </c>
      <c r="M500" s="200" t="s">
        <v>2461</v>
      </c>
      <c r="N500" s="220"/>
    </row>
    <row r="501" spans="1:15" hidden="1" outlineLevel="1">
      <c r="A501" s="139">
        <v>44652</v>
      </c>
      <c r="B501" s="139"/>
      <c r="C501" s="123"/>
      <c r="D501" s="124">
        <v>104148</v>
      </c>
      <c r="E501" s="146">
        <f t="shared" si="652"/>
        <v>1207818</v>
      </c>
      <c r="F501" s="146"/>
      <c r="G501" s="80">
        <f t="shared" ref="G501:G505" si="675">G500+F501</f>
        <v>728876.5</v>
      </c>
      <c r="H501" s="80">
        <f t="shared" ref="H501:H505" ca="1" si="676">IF(B501="",$C$1-A501,DATEDIF(A501,B501,"d"))</f>
        <v>1658</v>
      </c>
      <c r="I501">
        <f t="shared" ca="1" si="661"/>
        <v>1658</v>
      </c>
      <c r="J501" s="65" t="s">
        <v>2469</v>
      </c>
      <c r="K501">
        <f t="shared" ref="K501:K515" si="677">IF(F501&gt;0,(H501*$F501)/365.25,0)</f>
        <v>0</v>
      </c>
      <c r="L501">
        <f t="shared" ref="L501:L515" si="678">IF(F501&gt;0,(I501*$F501)/365.25,0)</f>
        <v>0</v>
      </c>
      <c r="M501" s="65"/>
      <c r="N501" s="220"/>
      <c r="O501" s="66"/>
    </row>
    <row r="502" spans="1:15" hidden="1" outlineLevel="1">
      <c r="A502" s="139">
        <v>44652</v>
      </c>
      <c r="B502" s="139">
        <v>44753</v>
      </c>
      <c r="C502" s="123"/>
      <c r="D502" s="124">
        <v>54577</v>
      </c>
      <c r="E502" s="146">
        <f t="shared" si="652"/>
        <v>1153241</v>
      </c>
      <c r="F502" s="146"/>
      <c r="G502" s="80">
        <f t="shared" si="675"/>
        <v>728876.5</v>
      </c>
      <c r="H502" s="80">
        <f t="shared" si="676"/>
        <v>101</v>
      </c>
      <c r="I502">
        <f t="shared" si="661"/>
        <v>101</v>
      </c>
      <c r="J502" s="65" t="s">
        <v>2475</v>
      </c>
      <c r="K502">
        <f t="shared" si="677"/>
        <v>0</v>
      </c>
      <c r="L502">
        <f t="shared" si="678"/>
        <v>0</v>
      </c>
      <c r="M502" s="65"/>
      <c r="N502" s="220"/>
      <c r="O502" s="66"/>
    </row>
    <row r="503" spans="1:15" hidden="1" outlineLevel="1">
      <c r="A503" s="139">
        <v>44657</v>
      </c>
      <c r="B503" s="139">
        <v>44662</v>
      </c>
      <c r="C503" s="123"/>
      <c r="D503" s="124">
        <v>17074</v>
      </c>
      <c r="E503" s="146">
        <f t="shared" si="652"/>
        <v>1136167</v>
      </c>
      <c r="F503" s="146"/>
      <c r="G503" s="80">
        <f t="shared" si="675"/>
        <v>728876.5</v>
      </c>
      <c r="H503" s="80">
        <f t="shared" si="676"/>
        <v>5</v>
      </c>
      <c r="I503">
        <f t="shared" si="661"/>
        <v>5</v>
      </c>
      <c r="J503" s="65" t="s">
        <v>2443</v>
      </c>
      <c r="K503">
        <f t="shared" si="677"/>
        <v>0</v>
      </c>
      <c r="L503">
        <f t="shared" si="678"/>
        <v>0</v>
      </c>
      <c r="M503" s="65"/>
      <c r="N503" s="220"/>
      <c r="O503" s="66"/>
    </row>
    <row r="504" spans="1:15" hidden="1" outlineLevel="1">
      <c r="A504" s="139">
        <v>44657</v>
      </c>
      <c r="B504" s="139"/>
      <c r="C504" s="123"/>
      <c r="D504" s="124">
        <v>17074</v>
      </c>
      <c r="E504" s="146">
        <f t="shared" si="652"/>
        <v>1119093</v>
      </c>
      <c r="F504" s="146"/>
      <c r="G504" s="80">
        <f t="shared" si="675"/>
        <v>728876.5</v>
      </c>
      <c r="H504" s="80">
        <f t="shared" ca="1" si="676"/>
        <v>1653</v>
      </c>
      <c r="I504">
        <f t="shared" ca="1" si="661"/>
        <v>1653</v>
      </c>
      <c r="J504" s="65" t="s">
        <v>2443</v>
      </c>
      <c r="K504">
        <f t="shared" si="677"/>
        <v>0</v>
      </c>
      <c r="L504">
        <f t="shared" si="678"/>
        <v>0</v>
      </c>
      <c r="M504" s="65"/>
      <c r="N504" s="220"/>
    </row>
    <row r="505" spans="1:15" hidden="1" outlineLevel="1">
      <c r="A505" s="139">
        <v>44657</v>
      </c>
      <c r="B505" s="139">
        <v>44659</v>
      </c>
      <c r="C505" s="123">
        <v>86850</v>
      </c>
      <c r="D505" s="124">
        <v>86870</v>
      </c>
      <c r="E505" s="146">
        <f t="shared" si="652"/>
        <v>1119073</v>
      </c>
      <c r="F505" s="146">
        <f t="shared" ref="F505:F506" si="679">C505-D505</f>
        <v>-20</v>
      </c>
      <c r="G505" s="80">
        <f t="shared" si="675"/>
        <v>728856.5</v>
      </c>
      <c r="H505" s="80">
        <f t="shared" si="676"/>
        <v>2</v>
      </c>
      <c r="I505">
        <f t="shared" si="661"/>
        <v>2</v>
      </c>
      <c r="J505" s="65" t="s">
        <v>2462</v>
      </c>
      <c r="K505">
        <f t="shared" si="677"/>
        <v>0</v>
      </c>
      <c r="L505">
        <f t="shared" si="678"/>
        <v>0</v>
      </c>
      <c r="M505" s="65" t="s">
        <v>2381</v>
      </c>
      <c r="N505" s="220"/>
    </row>
    <row r="506" spans="1:15" hidden="1" outlineLevel="1">
      <c r="A506" s="147">
        <v>44659</v>
      </c>
      <c r="B506" s="147"/>
      <c r="C506" s="148">
        <v>505</v>
      </c>
      <c r="D506" s="149"/>
      <c r="E506" s="150">
        <f t="shared" si="652"/>
        <v>1119578</v>
      </c>
      <c r="F506" s="150">
        <f t="shared" si="679"/>
        <v>505</v>
      </c>
      <c r="G506" s="151">
        <f>G505+F506</f>
        <v>729361.5</v>
      </c>
      <c r="H506" s="151">
        <f>IF(B506="",DATEDIF(A506,$E$1,"d"),DATEDIF(A506,B506,"d"))</f>
        <v>267</v>
      </c>
      <c r="I506" s="152">
        <f ca="1">IF(B506="",$C$1-A506,H506)</f>
        <v>1651</v>
      </c>
      <c r="J506" s="152" t="s">
        <v>84</v>
      </c>
      <c r="K506" s="152">
        <f t="shared" si="677"/>
        <v>369.15811088295686</v>
      </c>
      <c r="L506" s="152">
        <f t="shared" ca="1" si="678"/>
        <v>2282.6967830253252</v>
      </c>
      <c r="M506" s="160"/>
      <c r="O506" s="66"/>
    </row>
    <row r="507" spans="1:15" hidden="1" outlineLevel="1">
      <c r="A507" s="139">
        <v>44657</v>
      </c>
      <c r="B507" s="139">
        <v>44662</v>
      </c>
      <c r="C507" s="123">
        <v>15283</v>
      </c>
      <c r="D507" s="124"/>
      <c r="E507" s="146">
        <f t="shared" si="652"/>
        <v>1134861</v>
      </c>
      <c r="F507" s="146">
        <f>-D503+C507</f>
        <v>-1791</v>
      </c>
      <c r="G507" s="80">
        <f t="shared" ref="G507:G515" si="680">G506+F507</f>
        <v>727570.5</v>
      </c>
      <c r="H507" s="80">
        <f t="shared" ref="H507:H515" si="681">IF(B507="",$C$1-A507,DATEDIF(A507,B507,"d"))</f>
        <v>5</v>
      </c>
      <c r="I507">
        <f t="shared" ref="I507:I519" si="682">IF(B507="",$C$1-A507,H507)</f>
        <v>5</v>
      </c>
      <c r="J507" s="65" t="s">
        <v>2443</v>
      </c>
      <c r="K507">
        <f t="shared" si="677"/>
        <v>0</v>
      </c>
      <c r="L507">
        <f t="shared" si="678"/>
        <v>0</v>
      </c>
      <c r="M507" s="65"/>
      <c r="N507" s="220"/>
      <c r="O507" s="66"/>
    </row>
    <row r="508" spans="1:15" hidden="1" outlineLevel="1">
      <c r="A508" s="139">
        <v>44662</v>
      </c>
      <c r="B508" s="139">
        <v>44720</v>
      </c>
      <c r="C508" s="123"/>
      <c r="D508" s="124">
        <v>29392</v>
      </c>
      <c r="E508" s="146">
        <f t="shared" si="652"/>
        <v>1105469</v>
      </c>
      <c r="F508" s="146"/>
      <c r="G508" s="80">
        <f t="shared" si="680"/>
        <v>727570.5</v>
      </c>
      <c r="H508" s="80">
        <f t="shared" si="681"/>
        <v>58</v>
      </c>
      <c r="I508">
        <f t="shared" si="682"/>
        <v>58</v>
      </c>
      <c r="J508" s="65" t="s">
        <v>2445</v>
      </c>
      <c r="K508">
        <f t="shared" si="677"/>
        <v>0</v>
      </c>
      <c r="L508">
        <f t="shared" si="678"/>
        <v>0</v>
      </c>
      <c r="M508" s="65"/>
      <c r="N508" s="220"/>
    </row>
    <row r="509" spans="1:15" hidden="1" outlineLevel="1">
      <c r="A509" s="139">
        <v>44662</v>
      </c>
      <c r="B509" s="139">
        <v>44722</v>
      </c>
      <c r="C509" s="123"/>
      <c r="D509" s="124">
        <v>29391</v>
      </c>
      <c r="E509" s="146">
        <f t="shared" si="652"/>
        <v>1076078</v>
      </c>
      <c r="F509" s="146">
        <f>-D504+C509</f>
        <v>-17074</v>
      </c>
      <c r="G509" s="80">
        <f t="shared" si="680"/>
        <v>710496.5</v>
      </c>
      <c r="H509" s="80">
        <f t="shared" si="681"/>
        <v>60</v>
      </c>
      <c r="I509">
        <f t="shared" si="682"/>
        <v>60</v>
      </c>
      <c r="J509" s="65" t="s">
        <v>2445</v>
      </c>
      <c r="K509">
        <f t="shared" si="677"/>
        <v>0</v>
      </c>
      <c r="L509">
        <f t="shared" si="678"/>
        <v>0</v>
      </c>
      <c r="M509" s="65"/>
      <c r="N509" s="220"/>
    </row>
    <row r="510" spans="1:15" hidden="1" outlineLevel="1">
      <c r="A510" s="139">
        <v>44662</v>
      </c>
      <c r="B510" s="139"/>
      <c r="C510" s="123"/>
      <c r="D510" s="124">
        <v>29792</v>
      </c>
      <c r="E510" s="146">
        <f t="shared" si="652"/>
        <v>1046286</v>
      </c>
      <c r="F510" s="146"/>
      <c r="G510" s="80">
        <f t="shared" ref="G510:G512" si="683">G509+F510</f>
        <v>710496.5</v>
      </c>
      <c r="H510" s="80">
        <f t="shared" ref="H510:H512" ca="1" si="684">IF(B510="",$C$1-A510,DATEDIF(A510,B510,"d"))</f>
        <v>1648</v>
      </c>
      <c r="I510">
        <f t="shared" ref="I510:I512" ca="1" si="685">IF(B510="",$C$1-A510,H510)</f>
        <v>1648</v>
      </c>
      <c r="J510" s="65" t="s">
        <v>2499</v>
      </c>
      <c r="K510">
        <f t="shared" ref="K510:K513" si="686">IF(F510&gt;0,(H510*$F510)/365.25,0)</f>
        <v>0</v>
      </c>
      <c r="L510">
        <f t="shared" ref="L510:L513" si="687">IF(F510&gt;0,(I510*$F510)/365.25,0)</f>
        <v>0</v>
      </c>
      <c r="M510" s="65"/>
      <c r="N510" s="220">
        <f>E508-1015443</f>
        <v>90026</v>
      </c>
      <c r="O510" s="66"/>
    </row>
    <row r="511" spans="1:15" hidden="1" outlineLevel="1">
      <c r="A511" s="139">
        <v>44662</v>
      </c>
      <c r="B511" s="139"/>
      <c r="C511" s="123"/>
      <c r="D511" s="124">
        <v>30843</v>
      </c>
      <c r="E511" s="146">
        <f t="shared" si="652"/>
        <v>1015443</v>
      </c>
      <c r="F511" s="146"/>
      <c r="G511" s="80">
        <f t="shared" si="683"/>
        <v>710496.5</v>
      </c>
      <c r="H511" s="80">
        <f t="shared" ca="1" si="684"/>
        <v>1648</v>
      </c>
      <c r="I511">
        <f t="shared" ca="1" si="685"/>
        <v>1648</v>
      </c>
      <c r="J511" s="65" t="s">
        <v>2500</v>
      </c>
      <c r="K511">
        <f t="shared" si="686"/>
        <v>0</v>
      </c>
      <c r="L511">
        <f t="shared" si="687"/>
        <v>0</v>
      </c>
      <c r="M511" s="65"/>
      <c r="N511" s="220">
        <f>E509-1015443</f>
        <v>60635</v>
      </c>
      <c r="O511" s="66"/>
    </row>
    <row r="512" spans="1:15" hidden="1" outlineLevel="1">
      <c r="A512" s="139">
        <v>44657</v>
      </c>
      <c r="B512" s="139">
        <v>44664</v>
      </c>
      <c r="C512" s="123">
        <v>14537</v>
      </c>
      <c r="D512" s="124"/>
      <c r="E512" s="146">
        <f t="shared" si="652"/>
        <v>1029980</v>
      </c>
      <c r="F512" s="146">
        <f>-D506+C512</f>
        <v>14537</v>
      </c>
      <c r="G512" s="80">
        <f t="shared" si="683"/>
        <v>725033.5</v>
      </c>
      <c r="H512" s="80">
        <f t="shared" si="684"/>
        <v>7</v>
      </c>
      <c r="I512">
        <f t="shared" si="685"/>
        <v>7</v>
      </c>
      <c r="J512" s="65" t="s">
        <v>2443</v>
      </c>
      <c r="K512">
        <f t="shared" si="686"/>
        <v>278.60095824777551</v>
      </c>
      <c r="L512">
        <f t="shared" si="687"/>
        <v>278.60095824777551</v>
      </c>
      <c r="M512" s="65"/>
      <c r="N512" s="220"/>
      <c r="O512" s="66"/>
    </row>
    <row r="513" spans="1:15" hidden="1" outlineLevel="1">
      <c r="A513" s="139">
        <v>44665</v>
      </c>
      <c r="B513" s="139">
        <v>44666</v>
      </c>
      <c r="C513" s="123"/>
      <c r="D513" s="124">
        <v>23934</v>
      </c>
      <c r="E513" s="146">
        <f t="shared" si="652"/>
        <v>1006046</v>
      </c>
      <c r="F513" s="146"/>
      <c r="G513" s="80">
        <f t="shared" si="680"/>
        <v>725033.5</v>
      </c>
      <c r="H513" s="80">
        <f t="shared" si="681"/>
        <v>1</v>
      </c>
      <c r="I513">
        <f t="shared" si="682"/>
        <v>1</v>
      </c>
      <c r="J513" s="65" t="s">
        <v>2444</v>
      </c>
      <c r="K513">
        <f t="shared" si="686"/>
        <v>0</v>
      </c>
      <c r="L513">
        <f t="shared" si="687"/>
        <v>0</v>
      </c>
      <c r="M513" s="65"/>
      <c r="O513" s="66"/>
    </row>
    <row r="514" spans="1:15" hidden="1" outlineLevel="1">
      <c r="A514" s="139">
        <v>44665</v>
      </c>
      <c r="B514" s="139">
        <v>44666</v>
      </c>
      <c r="C514" s="123">
        <v>24044</v>
      </c>
      <c r="D514" s="124"/>
      <c r="E514" s="146">
        <f t="shared" si="652"/>
        <v>1030090</v>
      </c>
      <c r="F514" s="146">
        <f>-D513+C514</f>
        <v>110</v>
      </c>
      <c r="G514" s="80">
        <f t="shared" si="680"/>
        <v>725143.5</v>
      </c>
      <c r="H514" s="80">
        <f t="shared" si="681"/>
        <v>1</v>
      </c>
      <c r="I514">
        <f t="shared" si="682"/>
        <v>1</v>
      </c>
      <c r="J514" s="65" t="s">
        <v>2444</v>
      </c>
      <c r="K514">
        <f t="shared" si="677"/>
        <v>0.30116358658453113</v>
      </c>
      <c r="L514">
        <f t="shared" si="678"/>
        <v>0.30116358658453113</v>
      </c>
      <c r="M514" s="65"/>
      <c r="O514" s="66"/>
    </row>
    <row r="515" spans="1:15" hidden="1" outlineLevel="1">
      <c r="A515" s="139">
        <v>44669</v>
      </c>
      <c r="B515" s="139"/>
      <c r="C515" s="123"/>
      <c r="D515" s="124">
        <v>21180</v>
      </c>
      <c r="E515" s="146">
        <f t="shared" si="652"/>
        <v>1008910</v>
      </c>
      <c r="F515" s="146"/>
      <c r="G515" s="80">
        <f t="shared" si="680"/>
        <v>725143.5</v>
      </c>
      <c r="H515" s="80">
        <f t="shared" ca="1" si="681"/>
        <v>1641</v>
      </c>
      <c r="I515">
        <f t="shared" ca="1" si="682"/>
        <v>1641</v>
      </c>
      <c r="J515" s="65" t="s">
        <v>2444</v>
      </c>
      <c r="K515">
        <f t="shared" si="677"/>
        <v>0</v>
      </c>
      <c r="L515">
        <f t="shared" si="678"/>
        <v>0</v>
      </c>
      <c r="M515" s="65"/>
      <c r="N515" s="220"/>
      <c r="O515" s="66"/>
    </row>
    <row r="516" spans="1:15" hidden="1" outlineLevel="1">
      <c r="A516" s="195">
        <v>44671</v>
      </c>
      <c r="B516" s="195">
        <v>44671</v>
      </c>
      <c r="C516" s="196">
        <v>2846</v>
      </c>
      <c r="D516" s="197">
        <v>0</v>
      </c>
      <c r="E516" s="198">
        <f t="shared" si="652"/>
        <v>1011756</v>
      </c>
      <c r="F516" s="198">
        <f>C516</f>
        <v>2846</v>
      </c>
      <c r="G516" s="199">
        <f t="shared" ref="G516" si="688">G515+C516-D516</f>
        <v>727989.5</v>
      </c>
      <c r="H516" s="199">
        <f t="shared" ref="H516" si="689">IF(B516="",DATEDIF(A516,$G$1,"d"),DATEDIF(A516,B516,"d"))</f>
        <v>0</v>
      </c>
      <c r="I516" s="200">
        <f t="shared" si="682"/>
        <v>0</v>
      </c>
      <c r="J516" s="200" t="s">
        <v>2463</v>
      </c>
      <c r="K516" s="200">
        <f t="shared" ref="K516" si="690">(H516*$C516)/365.25</f>
        <v>0</v>
      </c>
      <c r="L516" s="200">
        <f t="shared" ref="L516" si="691">(I516*$C516)/365.25</f>
        <v>0</v>
      </c>
      <c r="M516" s="200" t="s">
        <v>101</v>
      </c>
      <c r="N516" s="220">
        <v>1011756</v>
      </c>
    </row>
    <row r="517" spans="1:15" hidden="1" outlineLevel="1">
      <c r="A517" s="139">
        <v>44680</v>
      </c>
      <c r="B517" s="139">
        <v>44685</v>
      </c>
      <c r="C517" s="123">
        <v>20050</v>
      </c>
      <c r="D517" s="124">
        <v>20070</v>
      </c>
      <c r="E517" s="146">
        <f t="shared" si="652"/>
        <v>1011736</v>
      </c>
      <c r="F517" s="146">
        <f t="shared" ref="F517" si="692">C517-D517</f>
        <v>-20</v>
      </c>
      <c r="G517" s="80">
        <f t="shared" ref="G517" si="693">G516+F517</f>
        <v>727969.5</v>
      </c>
      <c r="H517" s="80">
        <f t="shared" ref="H517" si="694">IF(B517="",$C$1-A517,DATEDIF(A517,B517,"d"))</f>
        <v>5</v>
      </c>
      <c r="I517">
        <f t="shared" si="682"/>
        <v>5</v>
      </c>
      <c r="J517" s="65" t="s">
        <v>2464</v>
      </c>
      <c r="K517">
        <f t="shared" ref="K517" si="695">IF(F517&gt;0,(H517*$F517)/365.25,0)</f>
        <v>0</v>
      </c>
      <c r="L517">
        <f t="shared" ref="L517" si="696">IF(F517&gt;0,(I517*$F517)/365.25,0)</f>
        <v>0</v>
      </c>
      <c r="M517" s="65"/>
      <c r="N517" s="65" t="s">
        <v>2381</v>
      </c>
    </row>
    <row r="518" spans="1:15" hidden="1" outlineLevel="1">
      <c r="A518" s="195">
        <v>44687</v>
      </c>
      <c r="B518" s="195">
        <v>44687</v>
      </c>
      <c r="C518" s="196">
        <v>4990</v>
      </c>
      <c r="D518" s="197">
        <v>0</v>
      </c>
      <c r="E518" s="198">
        <f t="shared" si="652"/>
        <v>1016726</v>
      </c>
      <c r="F518" s="198">
        <f>C518</f>
        <v>4990</v>
      </c>
      <c r="G518" s="199">
        <f t="shared" ref="G518" si="697">G517+C518-D518</f>
        <v>732959.5</v>
      </c>
      <c r="H518" s="199">
        <f t="shared" ref="H518" si="698">IF(B518="",DATEDIF(A518,$G$1,"d"),DATEDIF(A518,B518,"d"))</f>
        <v>0</v>
      </c>
      <c r="I518" s="200">
        <f t="shared" si="682"/>
        <v>0</v>
      </c>
      <c r="J518" s="200" t="s">
        <v>2466</v>
      </c>
      <c r="K518" s="200">
        <f t="shared" ref="K518" si="699">(H518*$C518)/365.25</f>
        <v>0</v>
      </c>
      <c r="L518" s="200">
        <f t="shared" ref="L518" si="700">(I518*$C518)/365.25</f>
        <v>0</v>
      </c>
      <c r="M518" s="200" t="s">
        <v>101</v>
      </c>
      <c r="N518" s="220"/>
    </row>
    <row r="519" spans="1:15" hidden="1" outlineLevel="1">
      <c r="A519" s="139">
        <v>44680</v>
      </c>
      <c r="B519" s="139">
        <v>44685</v>
      </c>
      <c r="C519" s="123">
        <v>60050</v>
      </c>
      <c r="D519" s="124">
        <v>60070</v>
      </c>
      <c r="E519" s="146">
        <f t="shared" si="652"/>
        <v>1016706</v>
      </c>
      <c r="F519" s="146">
        <f t="shared" ref="F519:F523" si="701">C519-D519</f>
        <v>-20</v>
      </c>
      <c r="G519" s="80">
        <f t="shared" ref="G519" si="702">G518+F519</f>
        <v>732939.5</v>
      </c>
      <c r="H519" s="80">
        <f t="shared" ref="H519" si="703">IF(B519="",$C$1-A519,DATEDIF(A519,B519,"d"))</f>
        <v>5</v>
      </c>
      <c r="I519">
        <f t="shared" si="682"/>
        <v>5</v>
      </c>
      <c r="J519" s="65" t="s">
        <v>2464</v>
      </c>
      <c r="K519">
        <f t="shared" ref="K519:K529" si="704">IF(F519&gt;0,(H519*$F519)/365.25,0)</f>
        <v>0</v>
      </c>
      <c r="L519">
        <f t="shared" ref="L519:L529" si="705">IF(F519&gt;0,(I519*$F519)/365.25,0)</f>
        <v>0</v>
      </c>
      <c r="M519" s="65"/>
      <c r="N519" s="65" t="s">
        <v>2381</v>
      </c>
    </row>
    <row r="520" spans="1:15" hidden="1" outlineLevel="1">
      <c r="A520" s="147">
        <v>44691</v>
      </c>
      <c r="B520" s="147"/>
      <c r="C520" s="148">
        <v>120</v>
      </c>
      <c r="D520" s="149"/>
      <c r="E520" s="150">
        <f t="shared" si="652"/>
        <v>1016826</v>
      </c>
      <c r="F520" s="150">
        <f t="shared" si="701"/>
        <v>120</v>
      </c>
      <c r="G520" s="151">
        <f>G519+F520</f>
        <v>733059.5</v>
      </c>
      <c r="H520" s="151">
        <f>IF(B520="",DATEDIF(A520,$E$1,"d"),DATEDIF(A520,B520,"d"))</f>
        <v>235</v>
      </c>
      <c r="I520" s="152">
        <f ca="1">IF(B520="",$C$1-A520,H520)</f>
        <v>1619</v>
      </c>
      <c r="J520" s="152" t="s">
        <v>84</v>
      </c>
      <c r="K520" s="152">
        <f t="shared" si="704"/>
        <v>77.207392197125259</v>
      </c>
      <c r="L520" s="152">
        <f t="shared" ca="1" si="705"/>
        <v>531.90965092402462</v>
      </c>
      <c r="M520" s="160"/>
      <c r="N520" s="220"/>
    </row>
    <row r="521" spans="1:15" hidden="1" outlineLevel="1">
      <c r="A521" s="139">
        <v>44710</v>
      </c>
      <c r="B521" s="139">
        <v>44712</v>
      </c>
      <c r="C521" s="123">
        <v>82050</v>
      </c>
      <c r="D521" s="124">
        <v>82070</v>
      </c>
      <c r="E521" s="146">
        <f t="shared" si="652"/>
        <v>1016806</v>
      </c>
      <c r="F521" s="146">
        <f t="shared" si="701"/>
        <v>-20</v>
      </c>
      <c r="G521" s="80">
        <f t="shared" ref="G521:G529" si="706">G520+F521</f>
        <v>733039.5</v>
      </c>
      <c r="H521" s="80">
        <f t="shared" ref="H521:H533" si="707">IF(B521="",$C$1-A521,DATEDIF(A521,B521,"d"))</f>
        <v>2</v>
      </c>
      <c r="I521">
        <f t="shared" ref="I521:I529" si="708">IF(B521="",$C$1-A521,H521)</f>
        <v>2</v>
      </c>
      <c r="J521" s="65" t="s">
        <v>2467</v>
      </c>
      <c r="K521">
        <f t="shared" si="704"/>
        <v>0</v>
      </c>
      <c r="L521">
        <f t="shared" si="705"/>
        <v>0</v>
      </c>
      <c r="M521" s="65"/>
      <c r="N521" s="65" t="s">
        <v>2381</v>
      </c>
    </row>
    <row r="522" spans="1:15" hidden="1" outlineLevel="1">
      <c r="A522" s="139">
        <v>44714</v>
      </c>
      <c r="B522" s="139">
        <v>44719</v>
      </c>
      <c r="C522" s="123">
        <v>95050</v>
      </c>
      <c r="D522" s="124">
        <v>95070</v>
      </c>
      <c r="E522" s="146">
        <f t="shared" si="652"/>
        <v>1016786</v>
      </c>
      <c r="F522" s="146">
        <f t="shared" si="701"/>
        <v>-20</v>
      </c>
      <c r="G522" s="80">
        <f t="shared" si="706"/>
        <v>733019.5</v>
      </c>
      <c r="H522" s="80">
        <f t="shared" si="707"/>
        <v>5</v>
      </c>
      <c r="I522">
        <f t="shared" si="708"/>
        <v>5</v>
      </c>
      <c r="J522" s="65" t="s">
        <v>197</v>
      </c>
      <c r="K522">
        <f t="shared" si="704"/>
        <v>0</v>
      </c>
      <c r="L522">
        <f t="shared" si="705"/>
        <v>0</v>
      </c>
      <c r="M522" s="65"/>
      <c r="N522" s="65" t="s">
        <v>2381</v>
      </c>
    </row>
    <row r="523" spans="1:15" hidden="1" outlineLevel="1">
      <c r="A523" s="139">
        <v>44719</v>
      </c>
      <c r="B523" s="139">
        <v>44721</v>
      </c>
      <c r="C523" s="123">
        <v>32050</v>
      </c>
      <c r="D523" s="124">
        <v>32070</v>
      </c>
      <c r="E523" s="146">
        <f t="shared" si="652"/>
        <v>1016766</v>
      </c>
      <c r="F523" s="146">
        <f t="shared" si="701"/>
        <v>-20</v>
      </c>
      <c r="G523" s="80">
        <f t="shared" si="706"/>
        <v>732999.5</v>
      </c>
      <c r="H523" s="80">
        <f t="shared" si="707"/>
        <v>2</v>
      </c>
      <c r="I523">
        <f t="shared" si="708"/>
        <v>2</v>
      </c>
      <c r="J523" s="65" t="s">
        <v>2468</v>
      </c>
      <c r="K523">
        <f t="shared" si="704"/>
        <v>0</v>
      </c>
      <c r="L523">
        <f t="shared" si="705"/>
        <v>0</v>
      </c>
      <c r="M523" s="65"/>
      <c r="N523" s="65" t="s">
        <v>2381</v>
      </c>
    </row>
    <row r="524" spans="1:15" hidden="1" outlineLevel="1">
      <c r="A524" s="139">
        <v>44662</v>
      </c>
      <c r="B524" s="139">
        <v>44720</v>
      </c>
      <c r="C524" s="123">
        <v>38331</v>
      </c>
      <c r="D524" s="124"/>
      <c r="E524" s="146">
        <f t="shared" si="652"/>
        <v>1055097</v>
      </c>
      <c r="F524" s="146">
        <f>-D508+C524</f>
        <v>8939</v>
      </c>
      <c r="G524" s="80">
        <f t="shared" si="706"/>
        <v>741938.5</v>
      </c>
      <c r="H524" s="80">
        <f t="shared" si="707"/>
        <v>58</v>
      </c>
      <c r="I524">
        <f t="shared" si="708"/>
        <v>58</v>
      </c>
      <c r="J524" s="65" t="s">
        <v>2445</v>
      </c>
      <c r="K524">
        <f t="shared" si="704"/>
        <v>1419.4715947980835</v>
      </c>
      <c r="L524">
        <f t="shared" si="705"/>
        <v>1419.4715947980835</v>
      </c>
      <c r="M524" s="65"/>
      <c r="N524" s="220"/>
      <c r="O524" s="66"/>
    </row>
    <row r="525" spans="1:15" hidden="1" outlineLevel="1">
      <c r="A525" s="139">
        <v>44652</v>
      </c>
      <c r="B525" s="139">
        <v>44720</v>
      </c>
      <c r="C525" s="123">
        <v>105034</v>
      </c>
      <c r="D525" s="124"/>
      <c r="E525" s="146">
        <f t="shared" si="652"/>
        <v>1160131</v>
      </c>
      <c r="F525" s="146"/>
      <c r="G525" s="80">
        <f t="shared" si="706"/>
        <v>741938.5</v>
      </c>
      <c r="H525" s="80">
        <f t="shared" si="707"/>
        <v>68</v>
      </c>
      <c r="I525">
        <f t="shared" si="708"/>
        <v>68</v>
      </c>
      <c r="J525" s="65" t="s">
        <v>2469</v>
      </c>
      <c r="K525">
        <f t="shared" si="704"/>
        <v>0</v>
      </c>
      <c r="L525">
        <f t="shared" si="705"/>
        <v>0</v>
      </c>
      <c r="M525" s="65"/>
      <c r="N525" s="220"/>
      <c r="O525" s="66"/>
    </row>
    <row r="526" spans="1:15" hidden="1" outlineLevel="1">
      <c r="A526" s="139">
        <v>44720</v>
      </c>
      <c r="B526" s="139">
        <v>44722</v>
      </c>
      <c r="C526" s="123">
        <v>82050</v>
      </c>
      <c r="D526" s="124">
        <v>82070</v>
      </c>
      <c r="E526" s="146">
        <f t="shared" si="652"/>
        <v>1160111</v>
      </c>
      <c r="F526" s="146">
        <f t="shared" ref="F526" si="709">C526-D526</f>
        <v>-20</v>
      </c>
      <c r="G526" s="80">
        <f t="shared" si="706"/>
        <v>741918.5</v>
      </c>
      <c r="H526" s="80">
        <f t="shared" si="707"/>
        <v>2</v>
      </c>
      <c r="I526">
        <f t="shared" si="708"/>
        <v>2</v>
      </c>
      <c r="J526" s="65" t="s">
        <v>2470</v>
      </c>
      <c r="K526">
        <f t="shared" si="704"/>
        <v>0</v>
      </c>
      <c r="L526">
        <f t="shared" si="705"/>
        <v>0</v>
      </c>
      <c r="M526" s="65"/>
      <c r="N526" s="65" t="s">
        <v>2381</v>
      </c>
    </row>
    <row r="527" spans="1:15" hidden="1" outlineLevel="1">
      <c r="A527" s="139">
        <v>44662</v>
      </c>
      <c r="B527" s="139">
        <v>44722</v>
      </c>
      <c r="C527" s="123">
        <v>34995</v>
      </c>
      <c r="D527" s="124"/>
      <c r="E527" s="146">
        <f t="shared" si="652"/>
        <v>1195106</v>
      </c>
      <c r="F527" s="146">
        <f>-D509+C527</f>
        <v>5604</v>
      </c>
      <c r="G527" s="80">
        <f t="shared" si="706"/>
        <v>747522.5</v>
      </c>
      <c r="H527" s="80">
        <f t="shared" si="707"/>
        <v>60</v>
      </c>
      <c r="I527">
        <f t="shared" si="708"/>
        <v>60</v>
      </c>
      <c r="J527" s="65" t="s">
        <v>2445</v>
      </c>
      <c r="K527">
        <f t="shared" si="704"/>
        <v>920.57494866529771</v>
      </c>
      <c r="L527">
        <f t="shared" si="705"/>
        <v>920.57494866529771</v>
      </c>
      <c r="M527" s="65"/>
      <c r="N527" s="220"/>
      <c r="O527" s="66"/>
    </row>
    <row r="528" spans="1:15" hidden="1" outlineLevel="1">
      <c r="A528" s="139">
        <v>44585</v>
      </c>
      <c r="B528" s="139">
        <v>44726</v>
      </c>
      <c r="C528" s="123">
        <v>66904</v>
      </c>
      <c r="D528" s="124"/>
      <c r="E528" s="146">
        <f t="shared" si="652"/>
        <v>1262010</v>
      </c>
      <c r="F528" s="146">
        <f>-D469+C528</f>
        <v>66904</v>
      </c>
      <c r="G528" s="80">
        <f t="shared" si="706"/>
        <v>814426.5</v>
      </c>
      <c r="H528" s="80">
        <f t="shared" si="707"/>
        <v>141</v>
      </c>
      <c r="I528">
        <f t="shared" si="708"/>
        <v>141</v>
      </c>
      <c r="J528" s="65" t="s">
        <v>2446</v>
      </c>
      <c r="K528">
        <f t="shared" si="704"/>
        <v>25827.416837782341</v>
      </c>
      <c r="L528">
        <f t="shared" si="705"/>
        <v>25827.416837782341</v>
      </c>
      <c r="M528" s="65"/>
      <c r="N528" s="220"/>
      <c r="O528" s="66"/>
    </row>
    <row r="529" spans="1:15" hidden="1" outlineLevel="1">
      <c r="A529" s="139">
        <v>44624</v>
      </c>
      <c r="B529" s="139">
        <v>44726</v>
      </c>
      <c r="C529" s="123">
        <v>91495</v>
      </c>
      <c r="D529" s="124"/>
      <c r="E529" s="146">
        <f t="shared" si="652"/>
        <v>1353505</v>
      </c>
      <c r="F529" s="146">
        <f>-D456+C529</f>
        <v>-216575</v>
      </c>
      <c r="G529" s="80">
        <f t="shared" si="706"/>
        <v>597851.5</v>
      </c>
      <c r="H529" s="80">
        <f t="shared" si="707"/>
        <v>102</v>
      </c>
      <c r="I529">
        <f t="shared" si="708"/>
        <v>102</v>
      </c>
      <c r="J529" s="65" t="s">
        <v>2434</v>
      </c>
      <c r="K529">
        <f t="shared" si="704"/>
        <v>0</v>
      </c>
      <c r="L529">
        <f t="shared" si="705"/>
        <v>0</v>
      </c>
      <c r="M529" s="65"/>
      <c r="N529" s="220"/>
      <c r="O529" s="66"/>
    </row>
    <row r="530" spans="1:15" hidden="1" outlineLevel="1">
      <c r="A530" s="153">
        <v>44733</v>
      </c>
      <c r="B530" s="153"/>
      <c r="C530" s="154">
        <v>348</v>
      </c>
      <c r="D530" s="155"/>
      <c r="E530" s="156">
        <f>E529+C530-D530</f>
        <v>1353853</v>
      </c>
      <c r="F530" s="156">
        <f>C530-D530</f>
        <v>348</v>
      </c>
      <c r="G530" s="157">
        <f>IF(B530="",G529,G529+C530-D530)</f>
        <v>597851.5</v>
      </c>
      <c r="H530" s="157">
        <f t="shared" ca="1" si="707"/>
        <v>1577</v>
      </c>
      <c r="I530" s="158">
        <f ca="1">IF(B530="",$C$1-A530,H530)</f>
        <v>1577</v>
      </c>
      <c r="J530" s="158" t="s">
        <v>48</v>
      </c>
      <c r="K530" s="158">
        <f ca="1">(H530*$C530)/365.25</f>
        <v>1502.5215605749486</v>
      </c>
      <c r="L530" s="158">
        <f ca="1">(I530*$C530)/365.25</f>
        <v>1502.5215605749486</v>
      </c>
      <c r="M530" s="159"/>
    </row>
    <row r="531" spans="1:15" hidden="1" outlineLevel="1">
      <c r="A531" s="139">
        <v>44735</v>
      </c>
      <c r="B531" s="139">
        <v>44739</v>
      </c>
      <c r="C531" s="123">
        <v>98650</v>
      </c>
      <c r="D531" s="124">
        <v>98670</v>
      </c>
      <c r="E531" s="146">
        <f t="shared" ref="E531:E536" si="710">E530+C531-D531</f>
        <v>1353833</v>
      </c>
      <c r="F531" s="146">
        <f t="shared" ref="F531:F534" si="711">C531-D531</f>
        <v>-20</v>
      </c>
      <c r="G531" s="80">
        <f t="shared" ref="G531:G533" si="712">G530+F531</f>
        <v>597831.5</v>
      </c>
      <c r="H531" s="80">
        <f t="shared" si="707"/>
        <v>4</v>
      </c>
      <c r="I531">
        <f t="shared" ref="I531:I533" si="713">IF(B531="",$C$1-A531,H531)</f>
        <v>4</v>
      </c>
      <c r="J531" s="65" t="s">
        <v>2471</v>
      </c>
      <c r="K531">
        <f t="shared" ref="K531:K534" si="714">IF(F531&gt;0,(H531*$F531)/365.25,0)</f>
        <v>0</v>
      </c>
      <c r="L531">
        <f t="shared" ref="L531:L534" si="715">IF(F531&gt;0,(I531*$F531)/365.25,0)</f>
        <v>0</v>
      </c>
      <c r="M531" s="65"/>
      <c r="N531" s="65" t="s">
        <v>2381</v>
      </c>
    </row>
    <row r="532" spans="1:15" collapsed="1">
      <c r="A532" s="139">
        <v>44735</v>
      </c>
      <c r="B532" s="139">
        <v>44739</v>
      </c>
      <c r="C532" s="123">
        <v>290050</v>
      </c>
      <c r="D532" s="124">
        <v>290070</v>
      </c>
      <c r="E532" s="146">
        <f t="shared" si="710"/>
        <v>1353813</v>
      </c>
      <c r="F532" s="146">
        <f t="shared" si="711"/>
        <v>-20</v>
      </c>
      <c r="G532" s="80">
        <f t="shared" si="712"/>
        <v>597811.5</v>
      </c>
      <c r="H532" s="80">
        <f t="shared" si="707"/>
        <v>4</v>
      </c>
      <c r="I532">
        <f t="shared" si="713"/>
        <v>4</v>
      </c>
      <c r="J532" s="65" t="s">
        <v>2472</v>
      </c>
      <c r="K532">
        <f t="shared" si="714"/>
        <v>0</v>
      </c>
      <c r="L532">
        <f t="shared" si="715"/>
        <v>0</v>
      </c>
      <c r="M532" s="65"/>
      <c r="N532" s="65" t="s">
        <v>2381</v>
      </c>
    </row>
    <row r="533" spans="1:15" hidden="1" outlineLevel="1">
      <c r="A533" s="139">
        <v>44749</v>
      </c>
      <c r="B533" s="139">
        <v>44753</v>
      </c>
      <c r="C533" s="123">
        <v>26550</v>
      </c>
      <c r="D533" s="124">
        <v>26570</v>
      </c>
      <c r="E533" s="146">
        <f t="shared" si="710"/>
        <v>1353793</v>
      </c>
      <c r="F533" s="146">
        <f t="shared" si="711"/>
        <v>-20</v>
      </c>
      <c r="G533" s="80">
        <f t="shared" si="712"/>
        <v>597791.5</v>
      </c>
      <c r="H533" s="80">
        <f t="shared" si="707"/>
        <v>4</v>
      </c>
      <c r="I533">
        <f t="shared" si="713"/>
        <v>4</v>
      </c>
      <c r="J533" s="65" t="s">
        <v>2473</v>
      </c>
      <c r="K533">
        <f t="shared" si="714"/>
        <v>0</v>
      </c>
      <c r="L533">
        <f t="shared" si="715"/>
        <v>0</v>
      </c>
      <c r="M533" s="65"/>
      <c r="N533" s="65" t="s">
        <v>2381</v>
      </c>
    </row>
    <row r="534" spans="1:15" hidden="1" outlineLevel="1">
      <c r="A534" s="147">
        <v>44750</v>
      </c>
      <c r="B534" s="147"/>
      <c r="C534" s="148">
        <v>191</v>
      </c>
      <c r="D534" s="149"/>
      <c r="E534" s="150">
        <f t="shared" si="710"/>
        <v>1353984</v>
      </c>
      <c r="F534" s="150">
        <f t="shared" si="711"/>
        <v>191</v>
      </c>
      <c r="G534" s="151">
        <f>G533+F534</f>
        <v>597982.5</v>
      </c>
      <c r="H534" s="151">
        <f>IF(B534="",DATEDIF(A534,$E$1,"d"),DATEDIF(A534,B534,"d"))</f>
        <v>176</v>
      </c>
      <c r="I534" s="152">
        <f ca="1">IF(B534="",$C$1-A534,H534)</f>
        <v>1560</v>
      </c>
      <c r="J534" s="152" t="s">
        <v>84</v>
      </c>
      <c r="K534" s="152">
        <f t="shared" si="714"/>
        <v>92.035592060232716</v>
      </c>
      <c r="L534" s="152">
        <f t="shared" ca="1" si="715"/>
        <v>815.77002053388094</v>
      </c>
      <c r="M534" s="160"/>
      <c r="N534" s="220"/>
    </row>
    <row r="535" spans="1:15" hidden="1" outlineLevel="1">
      <c r="A535" s="195">
        <v>44750</v>
      </c>
      <c r="B535" s="195">
        <v>44750</v>
      </c>
      <c r="C535" s="196">
        <v>3290</v>
      </c>
      <c r="D535" s="197">
        <v>0</v>
      </c>
      <c r="E535" s="198">
        <f t="shared" si="710"/>
        <v>1357274</v>
      </c>
      <c r="F535" s="198">
        <f>C535</f>
        <v>3290</v>
      </c>
      <c r="G535" s="199">
        <f t="shared" ref="G535" si="716">G534+C535-D535</f>
        <v>601272.5</v>
      </c>
      <c r="H535" s="199">
        <f t="shared" ref="H535" si="717">IF(B535="",DATEDIF(A535,$G$1,"d"),DATEDIF(A535,B535,"d"))</f>
        <v>0</v>
      </c>
      <c r="I535" s="200">
        <f t="shared" ref="I535:I536" si="718">IF(B535="",$C$1-A535,H535)</f>
        <v>0</v>
      </c>
      <c r="J535" s="200" t="s">
        <v>2474</v>
      </c>
      <c r="K535" s="200">
        <f t="shared" ref="K535" si="719">(H535*$C535)/365.25</f>
        <v>0</v>
      </c>
      <c r="L535" s="200">
        <f t="shared" ref="L535" si="720">(I535*$C535)/365.25</f>
        <v>0</v>
      </c>
      <c r="M535" s="200" t="s">
        <v>101</v>
      </c>
    </row>
    <row r="536" spans="1:15" hidden="1" outlineLevel="1">
      <c r="A536" s="139">
        <v>44652</v>
      </c>
      <c r="B536" s="139">
        <v>44753</v>
      </c>
      <c r="C536" s="123">
        <v>50476</v>
      </c>
      <c r="D536" s="124"/>
      <c r="E536" s="146">
        <f t="shared" si="710"/>
        <v>1407750</v>
      </c>
      <c r="F536" s="146">
        <f>-D502+C536</f>
        <v>-4101</v>
      </c>
      <c r="G536" s="80">
        <f t="shared" ref="G536" si="721">G535+F536</f>
        <v>597171.5</v>
      </c>
      <c r="H536" s="80">
        <f t="shared" ref="H536" si="722">IF(B536="",$C$1-A536,DATEDIF(A536,B536,"d"))</f>
        <v>101</v>
      </c>
      <c r="I536">
        <f t="shared" si="718"/>
        <v>101</v>
      </c>
      <c r="J536" s="65" t="s">
        <v>2475</v>
      </c>
      <c r="K536">
        <f t="shared" ref="K536" si="723">IF(F536&gt;0,(H536*$F536)/365.25,0)</f>
        <v>0</v>
      </c>
      <c r="L536">
        <f t="shared" ref="L536" si="724">IF(F536&gt;0,(I536*$F536)/365.25,0)</f>
        <v>0</v>
      </c>
      <c r="M536" s="65"/>
      <c r="N536" s="220"/>
      <c r="O536" s="66"/>
    </row>
    <row r="537" spans="1:15" hidden="1" outlineLevel="1">
      <c r="A537" s="195">
        <v>44757</v>
      </c>
      <c r="B537" s="195">
        <v>44757</v>
      </c>
      <c r="C537" s="196">
        <v>2695</v>
      </c>
      <c r="D537" s="197">
        <v>0</v>
      </c>
      <c r="E537" s="198">
        <f t="shared" ref="E537:E545" si="725">E536+C537-D537</f>
        <v>1410445</v>
      </c>
      <c r="F537" s="198">
        <f t="shared" ref="F537:F540" si="726">C537</f>
        <v>2695</v>
      </c>
      <c r="G537" s="199">
        <f t="shared" ref="G537:G540" si="727">G536+C537-D537</f>
        <v>599866.5</v>
      </c>
      <c r="H537" s="199">
        <f t="shared" ref="H537:H540" si="728">IF(B537="",DATEDIF(A537,$G$1,"d"),DATEDIF(A537,B537,"d"))</f>
        <v>0</v>
      </c>
      <c r="I537" s="200">
        <f t="shared" ref="I537:I544" si="729">IF(B537="",$C$1-A537,H537)</f>
        <v>0</v>
      </c>
      <c r="J537" s="200" t="s">
        <v>2476</v>
      </c>
      <c r="K537" s="200">
        <f t="shared" ref="K537:K540" si="730">(H537*$C537)/365.25</f>
        <v>0</v>
      </c>
      <c r="L537" s="200">
        <f t="shared" ref="L537:L540" si="731">(I537*$C537)/365.25</f>
        <v>0</v>
      </c>
      <c r="M537" s="200" t="s">
        <v>101</v>
      </c>
      <c r="N537" s="65"/>
    </row>
    <row r="538" spans="1:15" hidden="1" outlineLevel="1">
      <c r="A538" s="195">
        <v>44769</v>
      </c>
      <c r="B538" s="195">
        <v>44769</v>
      </c>
      <c r="C538" s="196">
        <v>13801</v>
      </c>
      <c r="D538" s="197">
        <v>0</v>
      </c>
      <c r="E538" s="198">
        <f t="shared" si="725"/>
        <v>1424246</v>
      </c>
      <c r="F538" s="198">
        <f t="shared" si="726"/>
        <v>13801</v>
      </c>
      <c r="G538" s="199">
        <f t="shared" si="727"/>
        <v>613667.5</v>
      </c>
      <c r="H538" s="199">
        <f t="shared" si="728"/>
        <v>0</v>
      </c>
      <c r="I538" s="200">
        <f t="shared" si="729"/>
        <v>0</v>
      </c>
      <c r="J538" s="200" t="s">
        <v>2387</v>
      </c>
      <c r="K538" s="200">
        <f t="shared" si="730"/>
        <v>0</v>
      </c>
      <c r="L538" s="200">
        <f t="shared" si="731"/>
        <v>0</v>
      </c>
      <c r="M538" s="200" t="s">
        <v>101</v>
      </c>
      <c r="N538" s="65"/>
    </row>
    <row r="539" spans="1:15" hidden="1" outlineLevel="1">
      <c r="A539" s="195">
        <v>44771</v>
      </c>
      <c r="B539" s="195">
        <v>44771</v>
      </c>
      <c r="C539" s="196">
        <v>12990</v>
      </c>
      <c r="D539" s="197">
        <v>0</v>
      </c>
      <c r="E539" s="198">
        <f t="shared" si="725"/>
        <v>1437236</v>
      </c>
      <c r="F539" s="198">
        <f t="shared" si="726"/>
        <v>12990</v>
      </c>
      <c r="G539" s="199">
        <f t="shared" si="727"/>
        <v>626657.5</v>
      </c>
      <c r="H539" s="199">
        <f t="shared" si="728"/>
        <v>0</v>
      </c>
      <c r="I539" s="200">
        <f t="shared" si="729"/>
        <v>0</v>
      </c>
      <c r="J539" s="200" t="s">
        <v>2477</v>
      </c>
      <c r="K539" s="200">
        <f t="shared" si="730"/>
        <v>0</v>
      </c>
      <c r="L539" s="200">
        <f t="shared" si="731"/>
        <v>0</v>
      </c>
      <c r="M539" s="200" t="s">
        <v>101</v>
      </c>
      <c r="N539" s="65"/>
    </row>
    <row r="540" spans="1:15" hidden="1" outlineLevel="1">
      <c r="A540" s="195">
        <v>44771</v>
      </c>
      <c r="B540" s="195">
        <v>44771</v>
      </c>
      <c r="C540" s="196">
        <v>3990</v>
      </c>
      <c r="D540" s="197">
        <v>0</v>
      </c>
      <c r="E540" s="198">
        <f t="shared" si="725"/>
        <v>1441226</v>
      </c>
      <c r="F540" s="198">
        <f t="shared" si="726"/>
        <v>3990</v>
      </c>
      <c r="G540" s="199">
        <f t="shared" si="727"/>
        <v>630647.5</v>
      </c>
      <c r="H540" s="199">
        <f t="shared" si="728"/>
        <v>0</v>
      </c>
      <c r="I540" s="200">
        <f t="shared" si="729"/>
        <v>0</v>
      </c>
      <c r="J540" s="200" t="s">
        <v>2393</v>
      </c>
      <c r="K540" s="200">
        <f t="shared" si="730"/>
        <v>0</v>
      </c>
      <c r="L540" s="200">
        <f t="shared" si="731"/>
        <v>0</v>
      </c>
      <c r="M540" s="200" t="s">
        <v>101</v>
      </c>
      <c r="N540" s="65"/>
    </row>
    <row r="541" spans="1:15" hidden="1" outlineLevel="1">
      <c r="A541" s="139">
        <v>44775</v>
      </c>
      <c r="B541" s="139">
        <v>44777</v>
      </c>
      <c r="C541" s="123">
        <v>110050</v>
      </c>
      <c r="D541" s="124">
        <v>110070</v>
      </c>
      <c r="E541" s="146">
        <f t="shared" si="725"/>
        <v>1441206</v>
      </c>
      <c r="F541" s="146">
        <f t="shared" ref="F541:F542" si="732">C541-D541</f>
        <v>-20</v>
      </c>
      <c r="G541" s="80">
        <f t="shared" ref="G541:G542" si="733">G540+F541</f>
        <v>630627.5</v>
      </c>
      <c r="H541" s="80">
        <f t="shared" ref="H541:H542" si="734">IF(B541="",$C$1-A541,DATEDIF(A541,B541,"d"))</f>
        <v>2</v>
      </c>
      <c r="I541">
        <f t="shared" si="729"/>
        <v>2</v>
      </c>
      <c r="J541" s="65" t="s">
        <v>2478</v>
      </c>
      <c r="K541">
        <f t="shared" ref="K541:K542" si="735">IF(F541&gt;0,(H541*$F541)/365.25,0)</f>
        <v>0</v>
      </c>
      <c r="L541">
        <f t="shared" ref="L541:L542" si="736">IF(F541&gt;0,(I541*$F541)/365.25,0)</f>
        <v>0</v>
      </c>
      <c r="M541" s="65"/>
      <c r="N541" s="65" t="s">
        <v>2381</v>
      </c>
    </row>
    <row r="542" spans="1:15" hidden="1" outlineLevel="1">
      <c r="A542" s="139">
        <v>44777</v>
      </c>
      <c r="B542" s="139">
        <v>44777</v>
      </c>
      <c r="C542" s="123">
        <v>30050</v>
      </c>
      <c r="D542" s="124">
        <v>30070</v>
      </c>
      <c r="E542" s="146">
        <f t="shared" si="725"/>
        <v>1441186</v>
      </c>
      <c r="F542" s="146">
        <f t="shared" si="732"/>
        <v>-20</v>
      </c>
      <c r="G542" s="80">
        <f t="shared" si="733"/>
        <v>630607.5</v>
      </c>
      <c r="H542" s="80">
        <f t="shared" si="734"/>
        <v>0</v>
      </c>
      <c r="I542">
        <f t="shared" si="729"/>
        <v>0</v>
      </c>
      <c r="J542" s="65" t="s">
        <v>2479</v>
      </c>
      <c r="K542">
        <f t="shared" si="735"/>
        <v>0</v>
      </c>
      <c r="L542">
        <f t="shared" si="736"/>
        <v>0</v>
      </c>
      <c r="M542" s="65"/>
      <c r="N542" s="65" t="s">
        <v>2381</v>
      </c>
    </row>
    <row r="543" spans="1:15" hidden="1" outlineLevel="1">
      <c r="A543" s="195">
        <v>44778</v>
      </c>
      <c r="B543" s="195">
        <v>44778</v>
      </c>
      <c r="C543" s="196">
        <v>2790</v>
      </c>
      <c r="D543" s="197">
        <v>0</v>
      </c>
      <c r="E543" s="198">
        <f t="shared" si="725"/>
        <v>1443976</v>
      </c>
      <c r="F543" s="198">
        <f t="shared" ref="F543:F544" si="737">C543</f>
        <v>2790</v>
      </c>
      <c r="G543" s="199">
        <f>G542+C543-D543</f>
        <v>633397.5</v>
      </c>
      <c r="H543" s="199">
        <f t="shared" ref="H543:H544" si="738">IF(B543="",DATEDIF(A543,$G$1,"d"),DATEDIF(A543,B543,"d"))</f>
        <v>0</v>
      </c>
      <c r="I543" s="200">
        <f t="shared" si="729"/>
        <v>0</v>
      </c>
      <c r="J543" s="200" t="s">
        <v>2480</v>
      </c>
      <c r="K543" s="200">
        <f t="shared" ref="K543:K544" si="739">(H543*$C543)/365.25</f>
        <v>0</v>
      </c>
      <c r="L543" s="200">
        <f t="shared" ref="L543:L544" si="740">(I543*$C543)/365.25</f>
        <v>0</v>
      </c>
      <c r="M543" s="200" t="s">
        <v>101</v>
      </c>
      <c r="N543" s="220"/>
    </row>
    <row r="544" spans="1:15" hidden="1" outlineLevel="1">
      <c r="A544" s="195">
        <v>44778</v>
      </c>
      <c r="B544" s="195">
        <v>44778</v>
      </c>
      <c r="C544" s="196">
        <v>1000</v>
      </c>
      <c r="D544" s="197">
        <v>0</v>
      </c>
      <c r="E544" s="198">
        <f t="shared" si="725"/>
        <v>1444976</v>
      </c>
      <c r="F544" s="198">
        <f t="shared" si="737"/>
        <v>1000</v>
      </c>
      <c r="G544" s="199">
        <f t="shared" ref="G544" si="741">G543+C544-D544</f>
        <v>634397.5</v>
      </c>
      <c r="H544" s="199">
        <f t="shared" si="738"/>
        <v>0</v>
      </c>
      <c r="I544" s="200">
        <f t="shared" si="729"/>
        <v>0</v>
      </c>
      <c r="J544" s="200" t="s">
        <v>2385</v>
      </c>
      <c r="K544" s="200">
        <f t="shared" si="739"/>
        <v>0</v>
      </c>
      <c r="L544" s="200">
        <f t="shared" si="740"/>
        <v>0</v>
      </c>
      <c r="M544" s="200" t="s">
        <v>101</v>
      </c>
      <c r="N544" s="220"/>
    </row>
    <row r="545" spans="1:14" hidden="1" outlineLevel="1">
      <c r="A545" s="147">
        <v>44783</v>
      </c>
      <c r="B545" s="147"/>
      <c r="C545" s="148">
        <v>28</v>
      </c>
      <c r="D545" s="149"/>
      <c r="E545" s="150">
        <f t="shared" si="725"/>
        <v>1445004</v>
      </c>
      <c r="F545" s="150">
        <f t="shared" ref="F545:F546" si="742">C545-D545</f>
        <v>28</v>
      </c>
      <c r="G545" s="151">
        <f>G544+F545</f>
        <v>634425.5</v>
      </c>
      <c r="H545" s="151">
        <f>IF(B545="",DATEDIF(A545,$E$1,"d"),DATEDIF(A545,B545,"d"))</f>
        <v>143</v>
      </c>
      <c r="I545" s="152">
        <f ca="1">IF(B545="",$C$1-A545,H545)</f>
        <v>1527</v>
      </c>
      <c r="J545" s="152" t="s">
        <v>84</v>
      </c>
      <c r="K545" s="152">
        <f t="shared" ref="K545:K546" si="743">IF(F545&gt;0,(H545*$F545)/365.25,0)</f>
        <v>10.962354551676933</v>
      </c>
      <c r="L545" s="152">
        <f t="shared" ref="L545:L546" ca="1" si="744">IF(F545&gt;0,(I545*$F545)/365.25,0)</f>
        <v>117.05954825462013</v>
      </c>
      <c r="M545" s="160"/>
      <c r="N545" s="220"/>
    </row>
    <row r="546" spans="1:14" hidden="1" outlineLevel="1">
      <c r="A546" s="139">
        <v>44783</v>
      </c>
      <c r="B546" s="139">
        <v>44785</v>
      </c>
      <c r="C546" s="123">
        <v>11050</v>
      </c>
      <c r="D546" s="124">
        <v>11070</v>
      </c>
      <c r="E546" s="146">
        <f>E545+C546-D546</f>
        <v>1444984</v>
      </c>
      <c r="F546" s="146">
        <f t="shared" si="742"/>
        <v>-20</v>
      </c>
      <c r="G546" s="80">
        <f t="shared" ref="G546" si="745">G545+F546</f>
        <v>634405.5</v>
      </c>
      <c r="H546" s="80">
        <f t="shared" ref="H546" si="746">IF(B546="",$C$1-A546,DATEDIF(A546,B546,"d"))</f>
        <v>2</v>
      </c>
      <c r="I546">
        <f t="shared" ref="I546:I569" si="747">IF(B546="",$C$1-A546,H546)</f>
        <v>2</v>
      </c>
      <c r="J546" s="65" t="s">
        <v>2481</v>
      </c>
      <c r="K546">
        <f t="shared" si="743"/>
        <v>0</v>
      </c>
      <c r="L546">
        <f t="shared" si="744"/>
        <v>0</v>
      </c>
      <c r="M546" s="65"/>
      <c r="N546" s="65" t="s">
        <v>2381</v>
      </c>
    </row>
    <row r="547" spans="1:14" hidden="1" outlineLevel="1">
      <c r="A547" s="195">
        <v>44783</v>
      </c>
      <c r="B547" s="195">
        <v>44783</v>
      </c>
      <c r="C547" s="196">
        <v>1044</v>
      </c>
      <c r="D547" s="197">
        <v>0</v>
      </c>
      <c r="E547" s="198">
        <f>E546+C547-D547</f>
        <v>1446028</v>
      </c>
      <c r="F547" s="198">
        <f>C547</f>
        <v>1044</v>
      </c>
      <c r="G547" s="199">
        <f t="shared" ref="G547" si="748">G546+C547-D547</f>
        <v>635449.5</v>
      </c>
      <c r="H547" s="199">
        <f t="shared" ref="H547" si="749">IF(B547="",DATEDIF(A547,$G$1,"d"),DATEDIF(A547,B547,"d"))</f>
        <v>0</v>
      </c>
      <c r="I547" s="200">
        <f t="shared" si="747"/>
        <v>0</v>
      </c>
      <c r="J547" s="200" t="s">
        <v>2392</v>
      </c>
      <c r="K547" s="200">
        <f t="shared" ref="K547" si="750">(H547*$C547)/365.25</f>
        <v>0</v>
      </c>
      <c r="L547" s="200">
        <f t="shared" ref="L547" si="751">(I547*$C547)/365.25</f>
        <v>0</v>
      </c>
      <c r="M547" s="200" t="s">
        <v>101</v>
      </c>
      <c r="N547" s="220"/>
    </row>
    <row r="548" spans="1:14" hidden="1" outlineLevel="1">
      <c r="A548" s="139">
        <v>44785</v>
      </c>
      <c r="B548" s="139">
        <v>44789</v>
      </c>
      <c r="C548" s="123">
        <v>50050</v>
      </c>
      <c r="D548" s="124">
        <v>50070</v>
      </c>
      <c r="E548" s="146">
        <f>E547+C548-D548</f>
        <v>1446008</v>
      </c>
      <c r="F548" s="146">
        <f t="shared" ref="F548" si="752">C548-D548</f>
        <v>-20</v>
      </c>
      <c r="G548" s="80">
        <f t="shared" ref="G548" si="753">G547+F548</f>
        <v>635429.5</v>
      </c>
      <c r="H548" s="80">
        <f t="shared" ref="H548" si="754">IF(B548="",$C$1-A548,DATEDIF(A548,B548,"d"))</f>
        <v>4</v>
      </c>
      <c r="I548">
        <f t="shared" si="747"/>
        <v>4</v>
      </c>
      <c r="J548" s="65" t="s">
        <v>2482</v>
      </c>
      <c r="K548">
        <f t="shared" ref="K548" si="755">IF(F548&gt;0,(H548*$F548)/365.25,0)</f>
        <v>0</v>
      </c>
      <c r="L548">
        <f t="shared" ref="L548" si="756">IF(F548&gt;0,(I548*$F548)/365.25,0)</f>
        <v>0</v>
      </c>
      <c r="M548" s="65"/>
      <c r="N548" s="65" t="s">
        <v>2381</v>
      </c>
    </row>
    <row r="549" spans="1:14" hidden="1" outlineLevel="1">
      <c r="A549" s="195">
        <v>44785</v>
      </c>
      <c r="B549" s="195">
        <v>44785</v>
      </c>
      <c r="C549" s="196">
        <v>50403</v>
      </c>
      <c r="D549" s="197">
        <v>0</v>
      </c>
      <c r="E549" s="198">
        <f t="shared" ref="E549:E553" si="757">E548+C549-D549</f>
        <v>1496411</v>
      </c>
      <c r="F549" s="198">
        <f>C549</f>
        <v>50403</v>
      </c>
      <c r="G549" s="199">
        <f t="shared" ref="G549" si="758">G548+C549-D549</f>
        <v>685832.5</v>
      </c>
      <c r="H549" s="199">
        <f t="shared" ref="H549" si="759">IF(B549="",DATEDIF(A549,$G$1,"d"),DATEDIF(A549,B549,"d"))</f>
        <v>0</v>
      </c>
      <c r="I549" s="200">
        <f t="shared" si="747"/>
        <v>0</v>
      </c>
      <c r="J549" s="200" t="s">
        <v>2363</v>
      </c>
      <c r="K549" s="200">
        <f t="shared" ref="K549" si="760">(H549*$C549)/365.25</f>
        <v>0</v>
      </c>
      <c r="L549" s="200">
        <f t="shared" ref="L549" si="761">(I549*$C549)/365.25</f>
        <v>0</v>
      </c>
      <c r="M549" s="200" t="s">
        <v>101</v>
      </c>
      <c r="N549" s="65"/>
    </row>
    <row r="550" spans="1:14" hidden="1" outlineLevel="1">
      <c r="A550" s="139">
        <v>44785</v>
      </c>
      <c r="B550" s="139">
        <v>44789</v>
      </c>
      <c r="C550" s="123">
        <v>39350</v>
      </c>
      <c r="D550" s="124">
        <v>39370</v>
      </c>
      <c r="E550" s="146">
        <f t="shared" si="757"/>
        <v>1496391</v>
      </c>
      <c r="F550" s="146">
        <f t="shared" ref="F550:F553" si="762">C550-D550</f>
        <v>-20</v>
      </c>
      <c r="G550" s="80">
        <f t="shared" ref="G550:G553" si="763">G549+F550</f>
        <v>685812.5</v>
      </c>
      <c r="H550" s="80">
        <f t="shared" ref="H550:H553" si="764">IF(B550="",$C$1-A550,DATEDIF(A550,B550,"d"))</f>
        <v>4</v>
      </c>
      <c r="I550">
        <f t="shared" si="747"/>
        <v>4</v>
      </c>
      <c r="J550" s="65" t="s">
        <v>2483</v>
      </c>
      <c r="K550">
        <f t="shared" ref="K550:K553" si="765">IF(F550&gt;0,(H550*$F550)/365.25,0)</f>
        <v>0</v>
      </c>
      <c r="L550">
        <f t="shared" ref="L550:L553" si="766">IF(F550&gt;0,(I550*$F550)/365.25,0)</f>
        <v>0</v>
      </c>
      <c r="M550" s="65"/>
      <c r="N550" s="65" t="s">
        <v>2381</v>
      </c>
    </row>
    <row r="551" spans="1:14" hidden="1" outlineLevel="1">
      <c r="A551" s="139">
        <v>44795</v>
      </c>
      <c r="B551" s="139">
        <v>44797</v>
      </c>
      <c r="C551" s="123">
        <v>150050</v>
      </c>
      <c r="D551" s="124">
        <v>150070</v>
      </c>
      <c r="E551" s="146">
        <f t="shared" si="757"/>
        <v>1496371</v>
      </c>
      <c r="F551" s="146">
        <f t="shared" si="762"/>
        <v>-20</v>
      </c>
      <c r="G551" s="80">
        <f t="shared" si="763"/>
        <v>685792.5</v>
      </c>
      <c r="H551" s="80">
        <f t="shared" si="764"/>
        <v>2</v>
      </c>
      <c r="I551">
        <f t="shared" si="747"/>
        <v>2</v>
      </c>
      <c r="J551" s="65" t="s">
        <v>2484</v>
      </c>
      <c r="K551">
        <f t="shared" si="765"/>
        <v>0</v>
      </c>
      <c r="L551">
        <f t="shared" si="766"/>
        <v>0</v>
      </c>
      <c r="M551" s="65"/>
      <c r="N551" s="65" t="s">
        <v>2381</v>
      </c>
    </row>
    <row r="552" spans="1:14" hidden="1" outlineLevel="1">
      <c r="A552" s="139">
        <v>44797</v>
      </c>
      <c r="B552" s="139">
        <v>44799</v>
      </c>
      <c r="C552" s="123">
        <v>100050</v>
      </c>
      <c r="D552" s="124">
        <v>100070</v>
      </c>
      <c r="E552" s="146">
        <f t="shared" si="757"/>
        <v>1496351</v>
      </c>
      <c r="F552" s="146">
        <f t="shared" si="762"/>
        <v>-20</v>
      </c>
      <c r="G552" s="80">
        <f t="shared" si="763"/>
        <v>685772.5</v>
      </c>
      <c r="H552" s="80">
        <f t="shared" si="764"/>
        <v>2</v>
      </c>
      <c r="I552">
        <f t="shared" si="747"/>
        <v>2</v>
      </c>
      <c r="J552" s="65" t="s">
        <v>2485</v>
      </c>
      <c r="K552">
        <f t="shared" si="765"/>
        <v>0</v>
      </c>
      <c r="L552">
        <f t="shared" si="766"/>
        <v>0</v>
      </c>
      <c r="M552" s="65"/>
      <c r="N552" s="65" t="s">
        <v>2381</v>
      </c>
    </row>
    <row r="553" spans="1:14" hidden="1" outlineLevel="1">
      <c r="A553" s="139">
        <v>44797</v>
      </c>
      <c r="B553" s="139">
        <v>44799</v>
      </c>
      <c r="C553" s="123">
        <v>160050</v>
      </c>
      <c r="D553" s="124">
        <v>160070</v>
      </c>
      <c r="E553" s="146">
        <f t="shared" si="757"/>
        <v>1496331</v>
      </c>
      <c r="F553" s="146">
        <f t="shared" si="762"/>
        <v>-20</v>
      </c>
      <c r="G553" s="80">
        <f t="shared" si="763"/>
        <v>685752.5</v>
      </c>
      <c r="H553" s="80">
        <f t="shared" si="764"/>
        <v>2</v>
      </c>
      <c r="I553">
        <f t="shared" si="747"/>
        <v>2</v>
      </c>
      <c r="J553" s="65" t="s">
        <v>2486</v>
      </c>
      <c r="K553">
        <f t="shared" si="765"/>
        <v>0</v>
      </c>
      <c r="L553">
        <f t="shared" si="766"/>
        <v>0</v>
      </c>
      <c r="M553" s="65"/>
      <c r="N553" s="65" t="s">
        <v>2381</v>
      </c>
    </row>
    <row r="554" spans="1:14" hidden="1" outlineLevel="1">
      <c r="A554" s="195">
        <v>44797</v>
      </c>
      <c r="B554" s="195">
        <v>44797</v>
      </c>
      <c r="C554" s="196">
        <v>15826</v>
      </c>
      <c r="D554" s="197">
        <v>0</v>
      </c>
      <c r="E554" s="198">
        <f>E553+C554-D554</f>
        <v>1512157</v>
      </c>
      <c r="F554" s="198">
        <f>C554</f>
        <v>15826</v>
      </c>
      <c r="G554" s="199">
        <f t="shared" ref="G554" si="767">G553+C554-D554</f>
        <v>701578.5</v>
      </c>
      <c r="H554" s="199">
        <f t="shared" ref="H554" si="768">IF(B554="",DATEDIF(A554,$G$1,"d"),DATEDIF(A554,B554,"d"))</f>
        <v>0</v>
      </c>
      <c r="I554" s="200">
        <f t="shared" si="747"/>
        <v>0</v>
      </c>
      <c r="J554" s="200" t="s">
        <v>2487</v>
      </c>
      <c r="K554" s="200">
        <f t="shared" ref="K554" si="769">(H554*$C554)/365.25</f>
        <v>0</v>
      </c>
      <c r="L554" s="200">
        <f t="shared" ref="L554" si="770">(I554*$C554)/365.25</f>
        <v>0</v>
      </c>
      <c r="M554" s="200" t="s">
        <v>101</v>
      </c>
      <c r="N554" s="220"/>
    </row>
    <row r="555" spans="1:14" hidden="1" outlineLevel="1">
      <c r="A555" s="139">
        <v>44798</v>
      </c>
      <c r="B555" s="139">
        <v>44802</v>
      </c>
      <c r="C555" s="123">
        <v>27000</v>
      </c>
      <c r="D555" s="124">
        <v>27020</v>
      </c>
      <c r="E555" s="146">
        <f t="shared" ref="E555:E569" si="771">E554+C555-D555</f>
        <v>1512137</v>
      </c>
      <c r="F555" s="146">
        <f t="shared" ref="F555:F556" si="772">C555-D555</f>
        <v>-20</v>
      </c>
      <c r="G555" s="80">
        <f t="shared" ref="G555:G556" si="773">G554+F555</f>
        <v>701558.5</v>
      </c>
      <c r="H555" s="80">
        <f t="shared" ref="H555:H556" si="774">IF(B555="",$C$1-A555,DATEDIF(A555,B555,"d"))</f>
        <v>4</v>
      </c>
      <c r="I555">
        <f t="shared" si="747"/>
        <v>4</v>
      </c>
      <c r="J555" s="65" t="s">
        <v>2488</v>
      </c>
      <c r="K555">
        <f>IF(F555&gt;0,(H555*$F555)/365.25,0)</f>
        <v>0</v>
      </c>
      <c r="L555">
        <f t="shared" ref="L555:L556" si="775">IF(F555&gt;0,(I555*$F555)/365.25,0)</f>
        <v>0</v>
      </c>
      <c r="M555" s="65"/>
      <c r="N555" s="65" t="s">
        <v>2381</v>
      </c>
    </row>
    <row r="556" spans="1:14" hidden="1" outlineLevel="1">
      <c r="A556" s="139">
        <v>44798</v>
      </c>
      <c r="B556" s="139">
        <v>44802</v>
      </c>
      <c r="C556" s="123">
        <v>30050</v>
      </c>
      <c r="D556" s="124">
        <v>30070</v>
      </c>
      <c r="E556" s="146">
        <f t="shared" si="771"/>
        <v>1512117</v>
      </c>
      <c r="F556" s="146">
        <f t="shared" si="772"/>
        <v>-20</v>
      </c>
      <c r="G556" s="80">
        <f t="shared" si="773"/>
        <v>701538.5</v>
      </c>
      <c r="H556" s="80">
        <f t="shared" si="774"/>
        <v>4</v>
      </c>
      <c r="I556">
        <f t="shared" si="747"/>
        <v>4</v>
      </c>
      <c r="J556" s="65" t="s">
        <v>204</v>
      </c>
      <c r="K556">
        <f t="shared" ref="K556" si="776">IF(F556&gt;0,(H556*$F556)/365.25,0)</f>
        <v>0</v>
      </c>
      <c r="L556">
        <f t="shared" si="775"/>
        <v>0</v>
      </c>
      <c r="M556" s="65"/>
      <c r="N556" s="65" t="s">
        <v>2381</v>
      </c>
    </row>
    <row r="557" spans="1:14" hidden="1" outlineLevel="1">
      <c r="A557" s="195">
        <v>44798</v>
      </c>
      <c r="B557" s="195">
        <v>44798</v>
      </c>
      <c r="C557" s="196">
        <v>990</v>
      </c>
      <c r="D557" s="197">
        <v>0</v>
      </c>
      <c r="E557" s="198">
        <f t="shared" si="771"/>
        <v>1513107</v>
      </c>
      <c r="F557" s="198">
        <f t="shared" ref="F557:F559" si="777">C557</f>
        <v>990</v>
      </c>
      <c r="G557" s="199">
        <f t="shared" ref="G557:G559" si="778">G556+C557-D557</f>
        <v>702528.5</v>
      </c>
      <c r="H557" s="199">
        <f t="shared" ref="H557:H559" si="779">IF(B557="",DATEDIF(A557,$G$1,"d"),DATEDIF(A557,B557,"d"))</f>
        <v>0</v>
      </c>
      <c r="I557" s="200">
        <f t="shared" si="747"/>
        <v>0</v>
      </c>
      <c r="J557" s="200" t="s">
        <v>2489</v>
      </c>
      <c r="K557" s="200">
        <f t="shared" ref="K557:K559" si="780">(H557*$C557)/365.25</f>
        <v>0</v>
      </c>
      <c r="L557" s="200">
        <f t="shared" ref="L557:L559" si="781">(I557*$C557)/365.25</f>
        <v>0</v>
      </c>
      <c r="M557" s="200" t="s">
        <v>101</v>
      </c>
      <c r="N557" s="220"/>
    </row>
    <row r="558" spans="1:14" hidden="1" outlineLevel="1">
      <c r="A558" s="195">
        <v>44798</v>
      </c>
      <c r="B558" s="195">
        <v>44798</v>
      </c>
      <c r="C558" s="196">
        <v>9293</v>
      </c>
      <c r="D558" s="197">
        <v>0</v>
      </c>
      <c r="E558" s="198">
        <f t="shared" si="771"/>
        <v>1522400</v>
      </c>
      <c r="F558" s="198">
        <f t="shared" si="777"/>
        <v>9293</v>
      </c>
      <c r="G558" s="199">
        <f t="shared" si="778"/>
        <v>711821.5</v>
      </c>
      <c r="H558" s="199">
        <f t="shared" si="779"/>
        <v>0</v>
      </c>
      <c r="I558" s="200">
        <f t="shared" si="747"/>
        <v>0</v>
      </c>
      <c r="J558" s="200" t="s">
        <v>2362</v>
      </c>
      <c r="K558" s="200">
        <f t="shared" si="780"/>
        <v>0</v>
      </c>
      <c r="L558" s="200">
        <f t="shared" si="781"/>
        <v>0</v>
      </c>
      <c r="M558" s="200" t="s">
        <v>101</v>
      </c>
      <c r="N558" s="220"/>
    </row>
    <row r="559" spans="1:14" hidden="1" outlineLevel="1">
      <c r="A559" s="195">
        <v>44804</v>
      </c>
      <c r="B559" s="195">
        <v>44804</v>
      </c>
      <c r="C559" s="196">
        <v>5390</v>
      </c>
      <c r="D559" s="197">
        <v>0</v>
      </c>
      <c r="E559" s="198">
        <f t="shared" si="771"/>
        <v>1527790</v>
      </c>
      <c r="F559" s="198">
        <f t="shared" si="777"/>
        <v>5390</v>
      </c>
      <c r="G559" s="199">
        <f t="shared" si="778"/>
        <v>717211.5</v>
      </c>
      <c r="H559" s="199">
        <f t="shared" si="779"/>
        <v>0</v>
      </c>
      <c r="I559" s="200">
        <f t="shared" si="747"/>
        <v>0</v>
      </c>
      <c r="J559" s="200" t="s">
        <v>2490</v>
      </c>
      <c r="K559" s="200">
        <f t="shared" si="780"/>
        <v>0</v>
      </c>
      <c r="L559" s="200">
        <f t="shared" si="781"/>
        <v>0</v>
      </c>
      <c r="M559" s="200" t="s">
        <v>101</v>
      </c>
    </row>
    <row r="560" spans="1:14" hidden="1" outlineLevel="1">
      <c r="A560" s="139">
        <v>44805</v>
      </c>
      <c r="B560" s="139">
        <v>44809</v>
      </c>
      <c r="C560" s="123">
        <v>42050</v>
      </c>
      <c r="D560" s="124">
        <v>42070</v>
      </c>
      <c r="E560" s="146">
        <f t="shared" si="771"/>
        <v>1527770</v>
      </c>
      <c r="F560" s="146">
        <f t="shared" ref="F560:F562" si="782">C560-D560</f>
        <v>-20</v>
      </c>
      <c r="G560" s="80">
        <f t="shared" ref="G560:G562" si="783">G559+F560</f>
        <v>717191.5</v>
      </c>
      <c r="H560" s="80">
        <f t="shared" ref="H560:H562" si="784">IF(B560="",$C$1-A560,DATEDIF(A560,B560,"d"))</f>
        <v>4</v>
      </c>
      <c r="I560">
        <f t="shared" si="747"/>
        <v>4</v>
      </c>
      <c r="J560" s="65" t="s">
        <v>2491</v>
      </c>
      <c r="K560">
        <f>IF(F560&gt;0,(H560*$F560)/365.25,0)</f>
        <v>0</v>
      </c>
      <c r="L560">
        <f t="shared" ref="L560:L562" si="785">IF(F560&gt;0,(I560*$F560)/365.25,0)</f>
        <v>0</v>
      </c>
      <c r="M560" s="65"/>
      <c r="N560" s="65" t="s">
        <v>2381</v>
      </c>
    </row>
    <row r="561" spans="1:17" hidden="1" outlineLevel="1">
      <c r="A561" s="139">
        <v>44811</v>
      </c>
      <c r="B561" s="139">
        <v>44816</v>
      </c>
      <c r="C561" s="123">
        <v>115050</v>
      </c>
      <c r="D561" s="124">
        <v>115070</v>
      </c>
      <c r="E561" s="146">
        <f t="shared" si="771"/>
        <v>1527750</v>
      </c>
      <c r="F561" s="146">
        <f t="shared" si="782"/>
        <v>-20</v>
      </c>
      <c r="G561" s="80">
        <f t="shared" si="783"/>
        <v>717171.5</v>
      </c>
      <c r="H561" s="80">
        <f t="shared" si="784"/>
        <v>5</v>
      </c>
      <c r="I561">
        <f t="shared" si="747"/>
        <v>5</v>
      </c>
      <c r="J561" s="65" t="s">
        <v>2492</v>
      </c>
      <c r="K561">
        <f>IF(F561&gt;0,(H561*$F561)/365.25,0)</f>
        <v>0</v>
      </c>
      <c r="L561">
        <f t="shared" si="785"/>
        <v>0</v>
      </c>
      <c r="M561" s="65"/>
      <c r="N561" s="65" t="s">
        <v>2381</v>
      </c>
    </row>
    <row r="562" spans="1:17" hidden="1" outlineLevel="1">
      <c r="A562" s="139">
        <v>44812</v>
      </c>
      <c r="B562" s="139">
        <v>44817</v>
      </c>
      <c r="C562" s="123">
        <v>18050</v>
      </c>
      <c r="D562" s="124">
        <v>18070</v>
      </c>
      <c r="E562" s="146">
        <f t="shared" si="771"/>
        <v>1527730</v>
      </c>
      <c r="F562" s="146">
        <f t="shared" si="782"/>
        <v>-20</v>
      </c>
      <c r="G562" s="80">
        <f t="shared" si="783"/>
        <v>717151.5</v>
      </c>
      <c r="H562" s="80">
        <f t="shared" si="784"/>
        <v>5</v>
      </c>
      <c r="I562">
        <f t="shared" si="747"/>
        <v>5</v>
      </c>
      <c r="J562" s="65" t="s">
        <v>2493</v>
      </c>
      <c r="K562">
        <f>IF(F562&gt;0,(H562*$F562)/365.25,0)</f>
        <v>0</v>
      </c>
      <c r="L562">
        <f t="shared" si="785"/>
        <v>0</v>
      </c>
      <c r="M562" s="65"/>
      <c r="N562" s="65" t="s">
        <v>2381</v>
      </c>
    </row>
    <row r="563" spans="1:17" hidden="1" outlineLevel="1">
      <c r="A563" s="195">
        <v>44817</v>
      </c>
      <c r="B563" s="195">
        <v>44817</v>
      </c>
      <c r="C563" s="196">
        <v>990</v>
      </c>
      <c r="D563" s="197">
        <v>0</v>
      </c>
      <c r="E563" s="198">
        <f t="shared" si="771"/>
        <v>1528720</v>
      </c>
      <c r="F563" s="198">
        <f>C563</f>
        <v>990</v>
      </c>
      <c r="G563" s="199">
        <f t="shared" ref="G563" si="786">G562+C563-D563</f>
        <v>718141.5</v>
      </c>
      <c r="H563" s="199">
        <f t="shared" ref="H563" si="787">IF(B563="",DATEDIF(A563,$G$1,"d"),DATEDIF(A563,B563,"d"))</f>
        <v>0</v>
      </c>
      <c r="I563" s="200">
        <f t="shared" si="747"/>
        <v>0</v>
      </c>
      <c r="J563" s="200" t="s">
        <v>2494</v>
      </c>
      <c r="K563" s="200">
        <f t="shared" ref="K563" si="788">(H563*$C563)/365.25</f>
        <v>0</v>
      </c>
      <c r="L563" s="200">
        <f t="shared" ref="L563" si="789">(I563*$C563)/365.25</f>
        <v>0</v>
      </c>
      <c r="M563" s="200" t="s">
        <v>101</v>
      </c>
      <c r="N563" s="214">
        <v>1528720</v>
      </c>
    </row>
    <row r="564" spans="1:17" hidden="1" outlineLevel="1">
      <c r="A564" s="139">
        <v>44819</v>
      </c>
      <c r="B564" s="139">
        <v>44823</v>
      </c>
      <c r="C564" s="123">
        <v>20050</v>
      </c>
      <c r="D564" s="124">
        <v>20070</v>
      </c>
      <c r="E564" s="146">
        <f t="shared" si="771"/>
        <v>1528700</v>
      </c>
      <c r="F564" s="146">
        <f t="shared" ref="F564:F565" si="790">C564-D564</f>
        <v>-20</v>
      </c>
      <c r="G564" s="80">
        <f t="shared" ref="G564:G565" si="791">G563+F564</f>
        <v>718121.5</v>
      </c>
      <c r="H564" s="80">
        <f t="shared" ref="H564:H565" si="792">IF(B564="",$C$1-A564,DATEDIF(A564,B564,"d"))</f>
        <v>4</v>
      </c>
      <c r="I564">
        <f t="shared" si="747"/>
        <v>4</v>
      </c>
      <c r="J564" s="65" t="s">
        <v>143</v>
      </c>
      <c r="K564">
        <f t="shared" ref="K564:K565" si="793">IF(F564&gt;0,(H564*$F564)/365.25,0)</f>
        <v>0</v>
      </c>
      <c r="L564">
        <f t="shared" ref="L564:L565" si="794">IF(F564&gt;0,(I564*$F564)/365.25,0)</f>
        <v>0</v>
      </c>
      <c r="M564" s="65"/>
      <c r="N564" s="220"/>
    </row>
    <row r="565" spans="1:17" hidden="1" outlineLevel="1">
      <c r="A565" s="139">
        <v>44819</v>
      </c>
      <c r="B565" s="139">
        <v>44823</v>
      </c>
      <c r="C565" s="123">
        <v>100050</v>
      </c>
      <c r="D565" s="124">
        <v>100070</v>
      </c>
      <c r="E565" s="146">
        <f t="shared" si="771"/>
        <v>1528680</v>
      </c>
      <c r="F565" s="146">
        <f t="shared" si="790"/>
        <v>-20</v>
      </c>
      <c r="G565" s="80">
        <f t="shared" si="791"/>
        <v>718101.5</v>
      </c>
      <c r="H565" s="80">
        <f t="shared" si="792"/>
        <v>4</v>
      </c>
      <c r="I565">
        <f t="shared" si="747"/>
        <v>4</v>
      </c>
      <c r="J565" s="65" t="s">
        <v>2495</v>
      </c>
      <c r="K565">
        <f t="shared" si="793"/>
        <v>0</v>
      </c>
      <c r="L565">
        <f t="shared" si="794"/>
        <v>0</v>
      </c>
      <c r="M565" s="65"/>
      <c r="N565" s="220"/>
    </row>
    <row r="566" spans="1:17" hidden="1" outlineLevel="1">
      <c r="A566" s="195">
        <v>44825</v>
      </c>
      <c r="B566" s="195">
        <v>44825</v>
      </c>
      <c r="C566" s="196">
        <v>1574</v>
      </c>
      <c r="D566" s="197">
        <v>0</v>
      </c>
      <c r="E566" s="198">
        <f t="shared" si="771"/>
        <v>1530254</v>
      </c>
      <c r="F566" s="198">
        <f>C566</f>
        <v>1574</v>
      </c>
      <c r="G566" s="199">
        <f t="shared" ref="G566" si="795">G565+C566-D566</f>
        <v>719675.5</v>
      </c>
      <c r="H566" s="199">
        <f t="shared" ref="H566" si="796">IF(B566="",DATEDIF(A566,$G$1,"d"),DATEDIF(A566,B566,"d"))</f>
        <v>0</v>
      </c>
      <c r="I566" s="200">
        <f t="shared" si="747"/>
        <v>0</v>
      </c>
      <c r="J566" s="200" t="s">
        <v>2364</v>
      </c>
      <c r="K566" s="200">
        <f t="shared" ref="K566" si="797">(H566*$C566)/365.25</f>
        <v>0</v>
      </c>
      <c r="L566" s="200">
        <f t="shared" ref="L566" si="798">(I566*$C566)/365.25</f>
        <v>0</v>
      </c>
      <c r="M566" s="200" t="s">
        <v>101</v>
      </c>
      <c r="N566" s="65"/>
    </row>
    <row r="567" spans="1:17" hidden="1" outlineLevel="1">
      <c r="A567" s="139">
        <v>44845</v>
      </c>
      <c r="B567" s="139">
        <v>44845</v>
      </c>
      <c r="C567" s="123"/>
      <c r="D567" s="124">
        <f>6*20</f>
        <v>120</v>
      </c>
      <c r="E567" s="146">
        <f t="shared" si="771"/>
        <v>1530134</v>
      </c>
      <c r="F567" s="146">
        <f t="shared" ref="F567" si="799">C567-D567</f>
        <v>-120</v>
      </c>
      <c r="G567" s="80">
        <f t="shared" ref="G567" si="800">G566+F567</f>
        <v>719555.5</v>
      </c>
      <c r="H567" s="80">
        <f t="shared" ref="H567" si="801">IF(B567="",$C$1-A567,DATEDIF(A567,B567,"d"))</f>
        <v>0</v>
      </c>
      <c r="I567">
        <f t="shared" si="747"/>
        <v>0</v>
      </c>
      <c r="J567" s="65"/>
      <c r="K567">
        <f t="shared" ref="K567" si="802">IF(F567&gt;0,(H567*$F567)/365.25,0)</f>
        <v>0</v>
      </c>
      <c r="L567">
        <f t="shared" ref="L567" si="803">IF(F567&gt;0,(I567*$F567)/365.25,0)</f>
        <v>0</v>
      </c>
      <c r="M567" s="65"/>
      <c r="N567" s="65" t="s">
        <v>2381</v>
      </c>
    </row>
    <row r="568" spans="1:17" hidden="1" outlineLevel="1">
      <c r="A568" s="195">
        <v>44845</v>
      </c>
      <c r="B568" s="195">
        <v>44845</v>
      </c>
      <c r="C568" s="196">
        <v>2000</v>
      </c>
      <c r="D568" s="197">
        <v>0</v>
      </c>
      <c r="E568" s="198">
        <f t="shared" si="771"/>
        <v>1532134</v>
      </c>
      <c r="F568" s="198">
        <f t="shared" ref="F568:F569" si="804">C568</f>
        <v>2000</v>
      </c>
      <c r="G568" s="199">
        <f t="shared" ref="G568:G569" si="805">G567+C568-D568</f>
        <v>721555.5</v>
      </c>
      <c r="H568" s="199">
        <f t="shared" ref="H568:H569" si="806">IF(B568="",DATEDIF(A568,$G$1,"d"),DATEDIF(A568,B568,"d"))</f>
        <v>0</v>
      </c>
      <c r="I568" s="200">
        <f t="shared" si="747"/>
        <v>0</v>
      </c>
      <c r="J568" s="200" t="s">
        <v>2496</v>
      </c>
      <c r="K568" s="200">
        <f t="shared" ref="K568:K569" si="807">(H568*$C568)/365.25</f>
        <v>0</v>
      </c>
      <c r="L568" s="200">
        <f t="shared" ref="L568:L569" si="808">(I568*$C568)/365.25</f>
        <v>0</v>
      </c>
      <c r="M568" s="200" t="s">
        <v>2461</v>
      </c>
      <c r="N568" s="220"/>
    </row>
    <row r="569" spans="1:17" hidden="1" outlineLevel="1">
      <c r="A569" s="195">
        <v>44845</v>
      </c>
      <c r="B569" s="195">
        <v>44845</v>
      </c>
      <c r="C569" s="196">
        <v>940</v>
      </c>
      <c r="D569" s="197">
        <v>0</v>
      </c>
      <c r="E569" s="198">
        <f t="shared" si="771"/>
        <v>1533074</v>
      </c>
      <c r="F569" s="198">
        <f t="shared" si="804"/>
        <v>940</v>
      </c>
      <c r="G569" s="199">
        <f t="shared" si="805"/>
        <v>722495.5</v>
      </c>
      <c r="H569" s="199">
        <f t="shared" si="806"/>
        <v>0</v>
      </c>
      <c r="I569" s="200">
        <f t="shared" si="747"/>
        <v>0</v>
      </c>
      <c r="J569" s="200" t="s">
        <v>2497</v>
      </c>
      <c r="K569" s="200">
        <f t="shared" si="807"/>
        <v>0</v>
      </c>
      <c r="L569" s="200">
        <f t="shared" si="808"/>
        <v>0</v>
      </c>
      <c r="M569" s="200" t="s">
        <v>2461</v>
      </c>
      <c r="N569" s="220"/>
    </row>
    <row r="570" spans="1:17" ht="17.25" collapsed="1" thickBot="1">
      <c r="A570" s="153">
        <v>44916</v>
      </c>
      <c r="B570" s="153"/>
      <c r="C570" s="154">
        <v>1869</v>
      </c>
      <c r="D570" s="155"/>
      <c r="E570" s="156">
        <f>E569+C570-D570</f>
        <v>1534943</v>
      </c>
      <c r="F570" s="156">
        <f>C570-D570</f>
        <v>1869</v>
      </c>
      <c r="G570" s="157">
        <f>IF(B570="",G569,G569+C570-D570)</f>
        <v>722495.5</v>
      </c>
      <c r="H570" s="157">
        <f t="shared" ref="H570:H571" ca="1" si="809">IF(B570="",$C$1-A570,DATEDIF(A570,B570,"d"))</f>
        <v>1394</v>
      </c>
      <c r="I570" s="158">
        <f ca="1">IF(B570="",$C$1-A570,H570)</f>
        <v>1394</v>
      </c>
      <c r="J570" s="158" t="s">
        <v>48</v>
      </c>
      <c r="K570" s="158">
        <f ca="1">(H570*$C570)/365.25</f>
        <v>7133.1581108829569</v>
      </c>
      <c r="L570" s="158">
        <f ca="1">(I570*$C570)/365.25</f>
        <v>7133.1581108829569</v>
      </c>
      <c r="M570" s="159"/>
      <c r="N570" s="220"/>
    </row>
    <row r="571" spans="1:17" ht="17.25" hidden="1" outlineLevel="1" thickBot="1">
      <c r="A571" s="139">
        <v>44916</v>
      </c>
      <c r="B571" s="139">
        <v>44916</v>
      </c>
      <c r="C571" s="123"/>
      <c r="D571" s="124">
        <v>80</v>
      </c>
      <c r="E571" s="146">
        <f t="shared" ref="E571" si="810">E570+C571-D571</f>
        <v>1534863</v>
      </c>
      <c r="F571" s="146">
        <f t="shared" ref="F571" si="811">C571-D571</f>
        <v>-80</v>
      </c>
      <c r="G571" s="80">
        <f t="shared" ref="G571" si="812">G570+F571</f>
        <v>722415.5</v>
      </c>
      <c r="H571" s="80">
        <f t="shared" si="809"/>
        <v>0</v>
      </c>
      <c r="I571">
        <f t="shared" ref="I571:I572" si="813">IF(B571="",$C$1-A571,H571)</f>
        <v>0</v>
      </c>
      <c r="J571" s="65"/>
      <c r="K571">
        <f t="shared" ref="K571" si="814">IF(F571&gt;0,(H571*$F571)/365.25,0)</f>
        <v>0</v>
      </c>
      <c r="L571">
        <f t="shared" ref="L571" si="815">IF(F571&gt;0,(I571*$F571)/365.25,0)</f>
        <v>0</v>
      </c>
      <c r="M571" s="65"/>
      <c r="N571" s="65" t="s">
        <v>2381</v>
      </c>
    </row>
    <row r="572" spans="1:17">
      <c r="A572" s="195">
        <v>44932</v>
      </c>
      <c r="B572" s="195">
        <v>44932</v>
      </c>
      <c r="C572" s="196">
        <v>10267</v>
      </c>
      <c r="D572" s="197">
        <v>0</v>
      </c>
      <c r="E572" s="198">
        <f>E571+C572-D572</f>
        <v>1545130</v>
      </c>
      <c r="F572" s="198">
        <f>C572</f>
        <v>10267</v>
      </c>
      <c r="G572" s="199">
        <f>G571+C572-D572</f>
        <v>732682.5</v>
      </c>
      <c r="H572" s="199">
        <f t="shared" ref="H572" si="816">IF(B572="",DATEDIF(A572,$G$1,"d"),DATEDIF(A572,B572,"d"))</f>
        <v>0</v>
      </c>
      <c r="I572" s="200">
        <f t="shared" si="813"/>
        <v>0</v>
      </c>
      <c r="J572" s="200" t="s">
        <v>2477</v>
      </c>
      <c r="K572" s="200">
        <f t="shared" ref="K572" si="817">(H572*$C572)/365.25</f>
        <v>0</v>
      </c>
      <c r="L572" s="200">
        <f t="shared" ref="L572" si="818">(I572*$C572)/365.25</f>
        <v>0</v>
      </c>
      <c r="M572" s="200" t="s">
        <v>101</v>
      </c>
      <c r="N572" s="217" t="s">
        <v>2520</v>
      </c>
      <c r="O572" s="218">
        <f>SUM(D572:D642)</f>
        <v>923173</v>
      </c>
    </row>
    <row r="573" spans="1:17" ht="17.25" collapsed="1" thickBot="1">
      <c r="A573" s="139">
        <v>45008</v>
      </c>
      <c r="B573" s="139">
        <v>45008</v>
      </c>
      <c r="C573" s="123"/>
      <c r="D573" s="124">
        <v>140</v>
      </c>
      <c r="E573" s="146">
        <f t="shared" ref="E573" si="819">E572+C573-D573</f>
        <v>1544990</v>
      </c>
      <c r="F573" s="146">
        <f t="shared" ref="F573" si="820">C573-D573</f>
        <v>-140</v>
      </c>
      <c r="G573" s="80">
        <f t="shared" ref="G573" si="821">G572+F573</f>
        <v>732542.5</v>
      </c>
      <c r="H573" s="80">
        <f t="shared" ref="H573" si="822">IF(B573="",$C$1-A573,DATEDIF(A573,B573,"d"))</f>
        <v>0</v>
      </c>
      <c r="I573">
        <f t="shared" ref="I573" si="823">IF(B573="",$C$1-A573,H573)</f>
        <v>0</v>
      </c>
      <c r="J573" s="65"/>
      <c r="K573">
        <f t="shared" ref="K573" si="824">IF(F573&gt;0,(H573*$F573)/365.25,0)</f>
        <v>0</v>
      </c>
      <c r="L573">
        <f t="shared" ref="L573" si="825">IF(F573&gt;0,(I573*$F573)/365.25,0)</f>
        <v>0</v>
      </c>
      <c r="M573" s="65"/>
      <c r="N573" s="215" t="s">
        <v>2521</v>
      </c>
      <c r="O573" s="216">
        <f ca="1">(SUMPRODUCT(C572:C642,I572:I642)+SUMPRODUCT(D572:D642,I572:I642))/($C$1-$A$572)</f>
        <v>1222860.313497823</v>
      </c>
    </row>
    <row r="574" spans="1:17" hidden="1" outlineLevel="1">
      <c r="A574" s="139">
        <v>45008</v>
      </c>
      <c r="B574" s="139"/>
      <c r="C574" s="123">
        <v>36091</v>
      </c>
      <c r="D574" s="124"/>
      <c r="E574" s="146">
        <f t="shared" ref="E574:E600" si="826">E573+C574-D574</f>
        <v>1581081</v>
      </c>
      <c r="F574" s="146"/>
      <c r="G574" s="80">
        <f t="shared" ref="G574:G600" si="827">G573+F574</f>
        <v>732542.5</v>
      </c>
      <c r="H574" s="80">
        <f t="shared" ref="H574:H600" ca="1" si="828">IF(B574="",$C$1-A574,DATEDIF(A574,B574,"d"))</f>
        <v>1302</v>
      </c>
      <c r="I574">
        <f t="shared" ref="I574:I600" ca="1" si="829">IF(B574="",$C$1-A574,H574)</f>
        <v>1302</v>
      </c>
      <c r="J574" s="65" t="s">
        <v>2505</v>
      </c>
      <c r="K574">
        <f t="shared" ref="K574:K600" si="830">IF(F574&gt;0,(H574*$F574)/365.25,0)</f>
        <v>0</v>
      </c>
      <c r="L574">
        <f t="shared" ref="L574:L600" si="831">IF(F574&gt;0,(I574*$F574)/365.25,0)</f>
        <v>0</v>
      </c>
      <c r="M574" s="65"/>
      <c r="N574" s="220"/>
      <c r="O574" s="66"/>
      <c r="P574" s="65"/>
      <c r="Q574" s="132"/>
    </row>
    <row r="575" spans="1:17" hidden="1" outlineLevel="1">
      <c r="A575" s="139">
        <v>45009</v>
      </c>
      <c r="B575" s="139"/>
      <c r="C575" s="123">
        <v>43806</v>
      </c>
      <c r="D575" s="124"/>
      <c r="E575" s="146">
        <f t="shared" si="826"/>
        <v>1624887</v>
      </c>
      <c r="F575" s="146"/>
      <c r="G575" s="80">
        <f t="shared" si="827"/>
        <v>732542.5</v>
      </c>
      <c r="H575" s="80">
        <f t="shared" ca="1" si="828"/>
        <v>1301</v>
      </c>
      <c r="I575">
        <f t="shared" ca="1" si="829"/>
        <v>1301</v>
      </c>
      <c r="J575" s="65" t="s">
        <v>2505</v>
      </c>
      <c r="K575">
        <f t="shared" si="830"/>
        <v>0</v>
      </c>
      <c r="L575">
        <f t="shared" si="831"/>
        <v>0</v>
      </c>
      <c r="M575" s="65"/>
      <c r="N575" s="220"/>
      <c r="O575" s="66"/>
      <c r="P575" s="65"/>
      <c r="Q575" s="132"/>
    </row>
    <row r="576" spans="1:17" hidden="1" outlineLevel="1">
      <c r="A576" s="139">
        <v>45013</v>
      </c>
      <c r="B576" s="139"/>
      <c r="C576" s="123"/>
      <c r="D576" s="124">
        <v>55178</v>
      </c>
      <c r="E576" s="146">
        <f t="shared" si="826"/>
        <v>1569709</v>
      </c>
      <c r="F576" s="146"/>
      <c r="G576" s="80">
        <f t="shared" si="827"/>
        <v>732542.5</v>
      </c>
      <c r="H576" s="80">
        <f t="shared" ca="1" si="828"/>
        <v>1297</v>
      </c>
      <c r="I576">
        <f t="shared" ca="1" si="829"/>
        <v>1297</v>
      </c>
      <c r="J576" s="65" t="s">
        <v>2506</v>
      </c>
      <c r="K576">
        <f t="shared" si="830"/>
        <v>0</v>
      </c>
      <c r="L576">
        <f t="shared" si="831"/>
        <v>0</v>
      </c>
      <c r="M576" s="65"/>
      <c r="N576" s="220"/>
      <c r="O576" s="66"/>
      <c r="P576" s="65"/>
      <c r="Q576" s="132"/>
    </row>
    <row r="577" spans="1:17" hidden="1" outlineLevel="1">
      <c r="A577" s="139">
        <v>45016</v>
      </c>
      <c r="B577" s="139"/>
      <c r="C577" s="123"/>
      <c r="D577" s="124">
        <v>40</v>
      </c>
      <c r="E577" s="146">
        <f t="shared" si="826"/>
        <v>1569669</v>
      </c>
      <c r="F577" s="146">
        <f t="shared" ref="F577:F578" si="832">C577-D577</f>
        <v>-40</v>
      </c>
      <c r="G577" s="80">
        <f t="shared" si="827"/>
        <v>732502.5</v>
      </c>
      <c r="H577" s="80">
        <f t="shared" ca="1" si="828"/>
        <v>1294</v>
      </c>
      <c r="I577">
        <f t="shared" ca="1" si="829"/>
        <v>1294</v>
      </c>
      <c r="J577" s="65"/>
      <c r="K577">
        <f t="shared" si="830"/>
        <v>0</v>
      </c>
      <c r="L577">
        <f t="shared" si="831"/>
        <v>0</v>
      </c>
      <c r="M577" s="65"/>
      <c r="N577" s="65" t="s">
        <v>2381</v>
      </c>
    </row>
    <row r="578" spans="1:17" collapsed="1">
      <c r="A578" s="147">
        <v>45026</v>
      </c>
      <c r="B578" s="147"/>
      <c r="C578" s="148">
        <v>75</v>
      </c>
      <c r="D578" s="149"/>
      <c r="E578" s="150">
        <f t="shared" si="826"/>
        <v>1569744</v>
      </c>
      <c r="F578" s="150">
        <f t="shared" si="832"/>
        <v>75</v>
      </c>
      <c r="G578" s="151">
        <f>G577+F578</f>
        <v>732577.5</v>
      </c>
      <c r="H578" s="151">
        <f>IF(B578="",DATEDIF(A578,$D$1,"d"),DATEDIF(A578,B578,"d"))</f>
        <v>265</v>
      </c>
      <c r="I578" s="152">
        <f ca="1">IF(B578="",$C$1-A578,H578)</f>
        <v>1284</v>
      </c>
      <c r="J578" s="152" t="s">
        <v>84</v>
      </c>
      <c r="K578" s="152">
        <f t="shared" si="830"/>
        <v>54.414784394250511</v>
      </c>
      <c r="L578" s="152">
        <f t="shared" ca="1" si="831"/>
        <v>263.65503080082135</v>
      </c>
      <c r="M578" s="152"/>
      <c r="N578" s="220"/>
    </row>
    <row r="579" spans="1:17" hidden="1" outlineLevel="1">
      <c r="A579" s="139">
        <v>45030</v>
      </c>
      <c r="B579" s="139"/>
      <c r="C579" s="123">
        <v>51870</v>
      </c>
      <c r="D579" s="124"/>
      <c r="E579" s="146">
        <f t="shared" ref="E579" si="833">E578+C579-D579</f>
        <v>1621614</v>
      </c>
      <c r="F579" s="146"/>
      <c r="G579" s="80">
        <f t="shared" ref="G579" si="834">G578+F579</f>
        <v>732577.5</v>
      </c>
      <c r="H579" s="80">
        <f t="shared" ref="H579" ca="1" si="835">IF(B579="",$C$1-A579,DATEDIF(A579,B579,"d"))</f>
        <v>1280</v>
      </c>
      <c r="I579">
        <f t="shared" ref="I579" ca="1" si="836">IF(B579="",$C$1-A579,H579)</f>
        <v>1280</v>
      </c>
      <c r="J579" s="65" t="s">
        <v>2506</v>
      </c>
      <c r="K579">
        <f t="shared" ref="K579" si="837">IF(F579&gt;0,(H579*$F579)/365.25,0)</f>
        <v>0</v>
      </c>
      <c r="L579">
        <f t="shared" ref="L579" si="838">IF(F579&gt;0,(I579*$F579)/365.25,0)</f>
        <v>0</v>
      </c>
      <c r="M579" s="65"/>
      <c r="N579" s="65"/>
      <c r="O579" s="66"/>
      <c r="P579" s="65"/>
      <c r="Q579" s="132"/>
    </row>
    <row r="580" spans="1:17" hidden="1" outlineLevel="1">
      <c r="A580" s="195">
        <v>45030</v>
      </c>
      <c r="B580" s="195">
        <v>45030</v>
      </c>
      <c r="C580" s="196">
        <v>641</v>
      </c>
      <c r="D580" s="197"/>
      <c r="E580" s="198">
        <f t="shared" ref="E580:E583" si="839">E579+C580-D580</f>
        <v>1622255</v>
      </c>
      <c r="F580" s="198">
        <f>C580</f>
        <v>641</v>
      </c>
      <c r="G580" s="199">
        <f t="shared" ref="G580" si="840">G579+C580-D580</f>
        <v>733218.5</v>
      </c>
      <c r="H580" s="199">
        <f t="shared" ref="H580" si="841">IF(B580="",DATEDIF(A580,$G$1,"d"),DATEDIF(A580,B580,"d"))</f>
        <v>0</v>
      </c>
      <c r="I580" s="200">
        <f t="shared" ref="I580:I583" si="842">IF(B580="",$C$1-A580,H580)</f>
        <v>0</v>
      </c>
      <c r="J580" s="200" t="s">
        <v>2364</v>
      </c>
      <c r="K580" s="200">
        <f t="shared" ref="K580" si="843">(H580*$C580)/365.25</f>
        <v>0</v>
      </c>
      <c r="L580" s="200">
        <f t="shared" ref="L580" si="844">(I580*$C580)/365.25</f>
        <v>0</v>
      </c>
      <c r="M580" s="200" t="s">
        <v>101</v>
      </c>
      <c r="N580" s="220"/>
    </row>
    <row r="581" spans="1:17" hidden="1" outlineLevel="1">
      <c r="A581" s="139">
        <v>45041</v>
      </c>
      <c r="B581" s="139"/>
      <c r="C581" s="123"/>
      <c r="D581" s="124">
        <v>20</v>
      </c>
      <c r="E581" s="146">
        <f t="shared" si="839"/>
        <v>1622235</v>
      </c>
      <c r="F581" s="146">
        <f t="shared" ref="F581" si="845">C581-D581</f>
        <v>-20</v>
      </c>
      <c r="G581" s="80">
        <f t="shared" ref="G581" si="846">G580+F581</f>
        <v>733198.5</v>
      </c>
      <c r="H581" s="80">
        <f t="shared" ref="H581" ca="1" si="847">IF(B581="",$C$1-A581,DATEDIF(A581,B581,"d"))</f>
        <v>1269</v>
      </c>
      <c r="I581">
        <f t="shared" ca="1" si="842"/>
        <v>1269</v>
      </c>
      <c r="J581" s="65"/>
      <c r="K581">
        <f t="shared" ref="K581" si="848">IF(F581&gt;0,(H581*$F581)/365.25,0)</f>
        <v>0</v>
      </c>
      <c r="L581">
        <f t="shared" ref="L581" si="849">IF(F581&gt;0,(I581*$F581)/365.25,0)</f>
        <v>0</v>
      </c>
      <c r="M581" s="65"/>
      <c r="N581" s="220"/>
    </row>
    <row r="582" spans="1:17" hidden="1" outlineLevel="1">
      <c r="A582" s="195">
        <v>45042</v>
      </c>
      <c r="B582" s="195">
        <v>45042</v>
      </c>
      <c r="C582" s="196">
        <v>3059</v>
      </c>
      <c r="D582" s="197"/>
      <c r="E582" s="198">
        <f t="shared" si="839"/>
        <v>1625294</v>
      </c>
      <c r="F582" s="198">
        <f t="shared" ref="F582" si="850">C582</f>
        <v>3059</v>
      </c>
      <c r="G582" s="199">
        <f t="shared" ref="G582:G583" si="851">G581+C582-D582</f>
        <v>736257.5</v>
      </c>
      <c r="H582" s="199">
        <f t="shared" ref="H582:H583" si="852">IF(B582="",DATEDIF(A582,$G$1,"d"),DATEDIF(A582,B582,"d"))</f>
        <v>0</v>
      </c>
      <c r="I582" s="200">
        <f t="shared" si="842"/>
        <v>0</v>
      </c>
      <c r="J582" s="200" t="s">
        <v>2387</v>
      </c>
      <c r="K582" s="200">
        <f t="shared" ref="K582:K583" si="853">(H582*$C582)/365.25</f>
        <v>0</v>
      </c>
      <c r="L582" s="200">
        <f t="shared" ref="L582:L583" si="854">(I582*$C582)/365.25</f>
        <v>0</v>
      </c>
      <c r="M582" s="200" t="s">
        <v>101</v>
      </c>
      <c r="N582" s="220"/>
    </row>
    <row r="583" spans="1:17" hidden="1" outlineLevel="1">
      <c r="A583" s="195">
        <v>45042</v>
      </c>
      <c r="B583" s="195">
        <v>45042</v>
      </c>
      <c r="C583" s="196">
        <v>1180</v>
      </c>
      <c r="D583" s="197"/>
      <c r="E583" s="198">
        <f t="shared" si="839"/>
        <v>1626474</v>
      </c>
      <c r="F583" s="198">
        <f>C583</f>
        <v>1180</v>
      </c>
      <c r="G583" s="199">
        <f t="shared" si="851"/>
        <v>737437.5</v>
      </c>
      <c r="H583" s="199">
        <f t="shared" si="852"/>
        <v>0</v>
      </c>
      <c r="I583" s="200">
        <f t="shared" si="842"/>
        <v>0</v>
      </c>
      <c r="J583" s="200" t="s">
        <v>2463</v>
      </c>
      <c r="K583" s="200">
        <f t="shared" si="853"/>
        <v>0</v>
      </c>
      <c r="L583" s="200">
        <f t="shared" si="854"/>
        <v>0</v>
      </c>
      <c r="M583" s="200" t="s">
        <v>101</v>
      </c>
      <c r="N583" s="220"/>
    </row>
    <row r="584" spans="1:17" hidden="1" outlineLevel="1">
      <c r="A584" s="195">
        <v>45043</v>
      </c>
      <c r="B584" s="195">
        <v>45043</v>
      </c>
      <c r="C584" s="196">
        <v>3990</v>
      </c>
      <c r="D584" s="197"/>
      <c r="E584" s="198">
        <f t="shared" ref="E584:E586" si="855">E583+C584-D584</f>
        <v>1630464</v>
      </c>
      <c r="F584" s="198">
        <f>C584</f>
        <v>3990</v>
      </c>
      <c r="G584" s="199">
        <f t="shared" ref="G584" si="856">G583+C584-D584</f>
        <v>741427.5</v>
      </c>
      <c r="H584" s="199">
        <f t="shared" ref="H584" si="857">IF(B584="",DATEDIF(A584,$G$1,"d"),DATEDIF(A584,B584,"d"))</f>
        <v>0</v>
      </c>
      <c r="I584" s="200">
        <f t="shared" ref="I584" si="858">IF(B584="",$C$1-A584,H584)</f>
        <v>0</v>
      </c>
      <c r="J584" s="200" t="s">
        <v>2466</v>
      </c>
      <c r="K584" s="200">
        <f t="shared" ref="K584" si="859">(H584*$C584)/365.25</f>
        <v>0</v>
      </c>
      <c r="L584" s="200">
        <f t="shared" ref="L584" si="860">(I584*$C584)/365.25</f>
        <v>0</v>
      </c>
      <c r="M584" s="200" t="s">
        <v>101</v>
      </c>
      <c r="N584" s="220"/>
    </row>
    <row r="585" spans="1:17" hidden="1" outlineLevel="1">
      <c r="A585" s="147">
        <v>45051</v>
      </c>
      <c r="B585" s="147"/>
      <c r="C585" s="148">
        <v>29</v>
      </c>
      <c r="D585" s="149"/>
      <c r="E585" s="150">
        <f t="shared" si="855"/>
        <v>1630493</v>
      </c>
      <c r="F585" s="150">
        <f t="shared" ref="F585:F586" si="861">C585-D585</f>
        <v>29</v>
      </c>
      <c r="G585" s="151">
        <f>G584+F585</f>
        <v>741456.5</v>
      </c>
      <c r="H585" s="151">
        <f>IF(B585="",DATEDIF(A585,$D$1,"d"),DATEDIF(A585,B585,"d"))</f>
        <v>240</v>
      </c>
      <c r="I585" s="152">
        <f ca="1">IF(B585="",$C$1-A585,H585)</f>
        <v>1259</v>
      </c>
      <c r="J585" s="152" t="s">
        <v>84</v>
      </c>
      <c r="K585" s="152">
        <f t="shared" ref="K585:K586" si="862">IF(F585&gt;0,(H585*$F585)/365.25,0)</f>
        <v>19.055441478439427</v>
      </c>
      <c r="L585" s="152">
        <f t="shared" ref="L585:L586" ca="1" si="863">IF(F585&gt;0,(I585*$F585)/365.25,0)</f>
        <v>99.961670088980156</v>
      </c>
      <c r="M585" s="152"/>
      <c r="N585" s="220"/>
    </row>
    <row r="586" spans="1:17" hidden="1" outlineLevel="1">
      <c r="A586" s="139">
        <v>45097</v>
      </c>
      <c r="B586" s="139"/>
      <c r="C586" s="123"/>
      <c r="D586" s="124">
        <v>220</v>
      </c>
      <c r="E586" s="146">
        <f t="shared" si="855"/>
        <v>1630273</v>
      </c>
      <c r="F586" s="146">
        <f t="shared" si="861"/>
        <v>-220</v>
      </c>
      <c r="G586" s="80">
        <f t="shared" ref="G586" si="864">G585+F586</f>
        <v>741236.5</v>
      </c>
      <c r="H586" s="80">
        <f t="shared" ref="H586" ca="1" si="865">IF(B586="",$C$1-A586,DATEDIF(A586,B586,"d"))</f>
        <v>1213</v>
      </c>
      <c r="I586">
        <f t="shared" ref="I586" ca="1" si="866">IF(B586="",$C$1-A586,H586)</f>
        <v>1213</v>
      </c>
      <c r="J586" s="65"/>
      <c r="K586">
        <f t="shared" si="862"/>
        <v>0</v>
      </c>
      <c r="L586">
        <f t="shared" si="863"/>
        <v>0</v>
      </c>
      <c r="M586" s="65"/>
      <c r="N586" s="65" t="s">
        <v>2381</v>
      </c>
    </row>
    <row r="587" spans="1:17" hidden="1" outlineLevel="1">
      <c r="A587" s="153">
        <v>45098</v>
      </c>
      <c r="B587" s="153"/>
      <c r="C587" s="154">
        <v>3915</v>
      </c>
      <c r="D587" s="155"/>
      <c r="E587" s="156">
        <f>E586+C587-D587</f>
        <v>1634188</v>
      </c>
      <c r="F587" s="156">
        <f>C587-D587</f>
        <v>3915</v>
      </c>
      <c r="G587" s="157">
        <f>IF(B587="",G586,G586+C587-D587)</f>
        <v>741236.5</v>
      </c>
      <c r="H587" s="157">
        <f t="shared" ca="1" si="828"/>
        <v>1212</v>
      </c>
      <c r="I587" s="158">
        <f ca="1">IF(B587="",$C$1-A587,H587)</f>
        <v>1212</v>
      </c>
      <c r="J587" s="158" t="s">
        <v>48</v>
      </c>
      <c r="K587" s="158">
        <f ca="1">(H587*$C587)/365.25</f>
        <v>12991.047227926078</v>
      </c>
      <c r="L587" s="158">
        <f ca="1">(I587*$C587)/365.25</f>
        <v>12991.047227926078</v>
      </c>
      <c r="M587" s="159"/>
      <c r="N587" s="220"/>
    </row>
    <row r="588" spans="1:17" hidden="1" outlineLevel="1">
      <c r="A588" s="139">
        <v>45105</v>
      </c>
      <c r="B588" s="139"/>
      <c r="C588" s="123"/>
      <c r="D588" s="124">
        <v>74105</v>
      </c>
      <c r="E588" s="146">
        <f t="shared" si="826"/>
        <v>1560083</v>
      </c>
      <c r="F588" s="146"/>
      <c r="G588" s="80">
        <f t="shared" si="827"/>
        <v>741236.5</v>
      </c>
      <c r="H588" s="80">
        <f t="shared" ca="1" si="828"/>
        <v>1205</v>
      </c>
      <c r="I588">
        <f t="shared" ca="1" si="829"/>
        <v>1205</v>
      </c>
      <c r="J588" s="65" t="s">
        <v>2507</v>
      </c>
      <c r="K588">
        <f t="shared" si="830"/>
        <v>0</v>
      </c>
      <c r="L588">
        <f t="shared" si="831"/>
        <v>0</v>
      </c>
      <c r="M588" s="65"/>
      <c r="N588" s="220"/>
      <c r="O588" s="66"/>
      <c r="P588" s="65"/>
      <c r="Q588" s="132"/>
    </row>
    <row r="589" spans="1:17" hidden="1" outlineLevel="1">
      <c r="A589" s="139">
        <v>45105</v>
      </c>
      <c r="B589" s="139"/>
      <c r="C589" s="123"/>
      <c r="D589" s="124">
        <v>47167</v>
      </c>
      <c r="E589" s="146">
        <f t="shared" si="826"/>
        <v>1512916</v>
      </c>
      <c r="F589" s="146"/>
      <c r="G589" s="80">
        <f t="shared" si="827"/>
        <v>741236.5</v>
      </c>
      <c r="H589" s="80">
        <f t="shared" ca="1" si="828"/>
        <v>1205</v>
      </c>
      <c r="I589">
        <f t="shared" ca="1" si="829"/>
        <v>1205</v>
      </c>
      <c r="J589" s="65" t="s">
        <v>2508</v>
      </c>
      <c r="K589">
        <f t="shared" si="830"/>
        <v>0</v>
      </c>
      <c r="L589">
        <f t="shared" si="831"/>
        <v>0</v>
      </c>
      <c r="M589" s="65"/>
      <c r="N589" s="220"/>
      <c r="O589" s="66"/>
      <c r="P589" s="65"/>
      <c r="Q589" s="132"/>
    </row>
    <row r="590" spans="1:17" hidden="1" outlineLevel="1">
      <c r="A590" s="139">
        <v>45105</v>
      </c>
      <c r="B590" s="139"/>
      <c r="C590" s="123"/>
      <c r="D590" s="124">
        <v>46866</v>
      </c>
      <c r="E590" s="146">
        <f t="shared" si="826"/>
        <v>1466050</v>
      </c>
      <c r="F590" s="146"/>
      <c r="G590" s="80">
        <f t="shared" si="827"/>
        <v>741236.5</v>
      </c>
      <c r="H590" s="80">
        <f t="shared" ca="1" si="828"/>
        <v>1205</v>
      </c>
      <c r="I590">
        <f t="shared" ca="1" si="829"/>
        <v>1205</v>
      </c>
      <c r="J590" s="65" t="s">
        <v>2509</v>
      </c>
      <c r="K590">
        <f t="shared" si="830"/>
        <v>0</v>
      </c>
      <c r="L590">
        <f t="shared" si="831"/>
        <v>0</v>
      </c>
      <c r="M590" s="65"/>
      <c r="N590" s="220"/>
      <c r="O590" s="66"/>
      <c r="P590" s="65"/>
      <c r="Q590" s="132"/>
    </row>
    <row r="591" spans="1:17" hidden="1" outlineLevel="1">
      <c r="A591" s="139">
        <v>45106</v>
      </c>
      <c r="B591" s="139"/>
      <c r="C591" s="123"/>
      <c r="D591" s="124">
        <v>42810</v>
      </c>
      <c r="E591" s="146">
        <f t="shared" si="826"/>
        <v>1423240</v>
      </c>
      <c r="F591" s="146"/>
      <c r="G591" s="80">
        <f t="shared" si="827"/>
        <v>741236.5</v>
      </c>
      <c r="H591" s="80">
        <f t="shared" ca="1" si="828"/>
        <v>1204</v>
      </c>
      <c r="I591">
        <f t="shared" ca="1" si="829"/>
        <v>1204</v>
      </c>
      <c r="J591" s="65" t="s">
        <v>2510</v>
      </c>
      <c r="K591">
        <f t="shared" si="830"/>
        <v>0</v>
      </c>
      <c r="L591">
        <f t="shared" si="831"/>
        <v>0</v>
      </c>
      <c r="M591" s="65"/>
      <c r="N591" s="220"/>
      <c r="O591" s="66"/>
      <c r="P591" s="65"/>
      <c r="Q591" s="132"/>
    </row>
    <row r="592" spans="1:17" hidden="1" outlineLevel="1">
      <c r="A592" s="139">
        <v>45106</v>
      </c>
      <c r="B592" s="139"/>
      <c r="C592" s="123">
        <v>57944</v>
      </c>
      <c r="D592" s="124"/>
      <c r="E592" s="146">
        <f t="shared" si="826"/>
        <v>1481184</v>
      </c>
      <c r="F592" s="146"/>
      <c r="G592" s="80">
        <f t="shared" si="827"/>
        <v>741236.5</v>
      </c>
      <c r="H592" s="80">
        <f t="shared" ca="1" si="828"/>
        <v>1204</v>
      </c>
      <c r="I592">
        <f t="shared" ca="1" si="829"/>
        <v>1204</v>
      </c>
      <c r="J592" s="65" t="s">
        <v>1531</v>
      </c>
      <c r="K592">
        <f t="shared" si="830"/>
        <v>0</v>
      </c>
      <c r="L592">
        <f t="shared" si="831"/>
        <v>0</v>
      </c>
      <c r="M592" s="65"/>
      <c r="N592" s="220"/>
      <c r="O592" s="66"/>
      <c r="P592" s="65"/>
      <c r="Q592" s="132"/>
    </row>
    <row r="593" spans="1:17" collapsed="1">
      <c r="A593" s="147">
        <v>45112</v>
      </c>
      <c r="B593" s="147"/>
      <c r="C593" s="148">
        <v>150</v>
      </c>
      <c r="D593" s="149"/>
      <c r="E593" s="150">
        <f t="shared" si="826"/>
        <v>1481334</v>
      </c>
      <c r="F593" s="150">
        <f t="shared" ref="F593" si="867">C593-D593</f>
        <v>150</v>
      </c>
      <c r="G593" s="151">
        <f>G592+F593</f>
        <v>741386.5</v>
      </c>
      <c r="H593" s="151">
        <f>IF(B593="",DATEDIF(A593,$D$1,"d"),DATEDIF(A593,B593,"d"))</f>
        <v>179</v>
      </c>
      <c r="I593" s="152">
        <f ca="1">IF(B593="",$C$1-A593,H593)</f>
        <v>1198</v>
      </c>
      <c r="J593" s="152" t="s">
        <v>84</v>
      </c>
      <c r="K593" s="152">
        <f t="shared" si="830"/>
        <v>73.511293634496923</v>
      </c>
      <c r="L593" s="152">
        <f t="shared" ca="1" si="831"/>
        <v>491.99178644763862</v>
      </c>
      <c r="M593" s="152"/>
      <c r="N593" s="220"/>
    </row>
    <row r="594" spans="1:17" hidden="1" outlineLevel="1">
      <c r="A594" s="139">
        <v>45117</v>
      </c>
      <c r="B594" s="139"/>
      <c r="C594" s="123">
        <v>44553</v>
      </c>
      <c r="D594" s="124"/>
      <c r="E594" s="146">
        <f t="shared" si="826"/>
        <v>1525887</v>
      </c>
      <c r="F594" s="146"/>
      <c r="G594" s="80">
        <f t="shared" si="827"/>
        <v>741386.5</v>
      </c>
      <c r="H594" s="80">
        <f t="shared" ca="1" si="828"/>
        <v>1193</v>
      </c>
      <c r="I594">
        <f t="shared" ca="1" si="829"/>
        <v>1193</v>
      </c>
      <c r="J594" s="65" t="s">
        <v>2509</v>
      </c>
      <c r="K594">
        <f t="shared" si="830"/>
        <v>0</v>
      </c>
      <c r="L594">
        <f t="shared" si="831"/>
        <v>0</v>
      </c>
      <c r="M594" s="65"/>
      <c r="N594" s="220"/>
      <c r="O594" s="66"/>
      <c r="P594" s="65"/>
      <c r="Q594" s="132"/>
    </row>
    <row r="595" spans="1:17" hidden="1" outlineLevel="1">
      <c r="A595" s="139">
        <v>45119</v>
      </c>
      <c r="B595" s="139"/>
      <c r="C595" s="123">
        <v>16428</v>
      </c>
      <c r="D595" s="124"/>
      <c r="E595" s="146">
        <f t="shared" si="826"/>
        <v>1542315</v>
      </c>
      <c r="F595" s="146"/>
      <c r="G595" s="80">
        <f t="shared" si="827"/>
        <v>741386.5</v>
      </c>
      <c r="H595" s="80">
        <f t="shared" ca="1" si="828"/>
        <v>1191</v>
      </c>
      <c r="I595">
        <f t="shared" ca="1" si="829"/>
        <v>1191</v>
      </c>
      <c r="J595" s="65" t="s">
        <v>2508</v>
      </c>
      <c r="K595">
        <f t="shared" si="830"/>
        <v>0</v>
      </c>
      <c r="L595">
        <f t="shared" si="831"/>
        <v>0</v>
      </c>
      <c r="M595" s="65"/>
      <c r="N595" s="220"/>
      <c r="O595" s="66"/>
      <c r="P595" s="65"/>
      <c r="Q595" s="132"/>
    </row>
    <row r="596" spans="1:17" hidden="1" outlineLevel="1">
      <c r="A596" s="139">
        <v>45119</v>
      </c>
      <c r="B596" s="139"/>
      <c r="C596" s="123">
        <v>16578</v>
      </c>
      <c r="D596" s="124"/>
      <c r="E596" s="146">
        <f t="shared" si="826"/>
        <v>1558893</v>
      </c>
      <c r="F596" s="146"/>
      <c r="G596" s="80">
        <f t="shared" si="827"/>
        <v>741386.5</v>
      </c>
      <c r="H596" s="80">
        <f t="shared" ca="1" si="828"/>
        <v>1191</v>
      </c>
      <c r="I596">
        <f t="shared" ca="1" si="829"/>
        <v>1191</v>
      </c>
      <c r="J596" s="65" t="s">
        <v>2508</v>
      </c>
      <c r="K596">
        <f t="shared" si="830"/>
        <v>0</v>
      </c>
      <c r="L596">
        <f t="shared" si="831"/>
        <v>0</v>
      </c>
      <c r="M596" s="65"/>
      <c r="N596" s="220"/>
      <c r="O596" s="66"/>
      <c r="P596" s="65"/>
      <c r="Q596" s="132"/>
    </row>
    <row r="597" spans="1:17" hidden="1" outlineLevel="1">
      <c r="A597" s="139">
        <v>45120</v>
      </c>
      <c r="B597" s="139"/>
      <c r="C597" s="123">
        <v>16079</v>
      </c>
      <c r="D597" s="124"/>
      <c r="E597" s="146">
        <f t="shared" si="826"/>
        <v>1574972</v>
      </c>
      <c r="F597" s="146"/>
      <c r="G597" s="80">
        <f t="shared" si="827"/>
        <v>741386.5</v>
      </c>
      <c r="H597" s="80">
        <f t="shared" ca="1" si="828"/>
        <v>1190</v>
      </c>
      <c r="I597">
        <f t="shared" ca="1" si="829"/>
        <v>1190</v>
      </c>
      <c r="J597" s="65" t="s">
        <v>2501</v>
      </c>
      <c r="K597">
        <f t="shared" si="830"/>
        <v>0</v>
      </c>
      <c r="L597">
        <f t="shared" si="831"/>
        <v>0</v>
      </c>
      <c r="M597" s="65"/>
      <c r="N597" s="220"/>
      <c r="O597" s="66"/>
      <c r="P597" s="65"/>
      <c r="Q597" s="132"/>
    </row>
    <row r="598" spans="1:17" hidden="1" outlineLevel="1">
      <c r="A598" s="139">
        <v>45121</v>
      </c>
      <c r="B598" s="139"/>
      <c r="C598" s="123"/>
      <c r="D598" s="124">
        <v>120</v>
      </c>
      <c r="E598" s="146">
        <f t="shared" si="826"/>
        <v>1574852</v>
      </c>
      <c r="F598" s="146">
        <f t="shared" ref="F598" si="868">C598-D598</f>
        <v>-120</v>
      </c>
      <c r="G598" s="80">
        <f t="shared" si="827"/>
        <v>741266.5</v>
      </c>
      <c r="H598" s="80">
        <f t="shared" ca="1" si="828"/>
        <v>1189</v>
      </c>
      <c r="I598">
        <f t="shared" ca="1" si="829"/>
        <v>1189</v>
      </c>
      <c r="J598" s="65"/>
      <c r="K598">
        <f t="shared" si="830"/>
        <v>0</v>
      </c>
      <c r="L598">
        <f t="shared" si="831"/>
        <v>0</v>
      </c>
      <c r="M598" s="65"/>
      <c r="N598" s="65" t="s">
        <v>2381</v>
      </c>
    </row>
    <row r="599" spans="1:17" hidden="1" outlineLevel="1">
      <c r="A599" s="139">
        <v>45122</v>
      </c>
      <c r="B599" s="139"/>
      <c r="C599" s="123"/>
      <c r="D599" s="124">
        <v>24985</v>
      </c>
      <c r="E599" s="146">
        <f t="shared" si="826"/>
        <v>1549867</v>
      </c>
      <c r="F599" s="146"/>
      <c r="G599" s="80">
        <f t="shared" si="827"/>
        <v>741266.5</v>
      </c>
      <c r="H599" s="80">
        <f t="shared" ca="1" si="828"/>
        <v>1188</v>
      </c>
      <c r="I599">
        <f t="shared" ca="1" si="829"/>
        <v>1188</v>
      </c>
      <c r="J599" s="65" t="s">
        <v>2511</v>
      </c>
      <c r="K599">
        <f t="shared" si="830"/>
        <v>0</v>
      </c>
      <c r="L599">
        <f t="shared" si="831"/>
        <v>0</v>
      </c>
      <c r="M599" s="65"/>
      <c r="N599" s="220"/>
      <c r="O599" s="66"/>
      <c r="P599" s="65"/>
      <c r="Q599" s="132"/>
    </row>
    <row r="600" spans="1:17" hidden="1" outlineLevel="1">
      <c r="A600" s="139">
        <v>45123</v>
      </c>
      <c r="B600" s="139"/>
      <c r="C600" s="123"/>
      <c r="D600" s="124">
        <v>37152</v>
      </c>
      <c r="E600" s="146">
        <f t="shared" si="826"/>
        <v>1512715</v>
      </c>
      <c r="F600" s="146"/>
      <c r="G600" s="80">
        <f t="shared" si="827"/>
        <v>741266.5</v>
      </c>
      <c r="H600" s="80">
        <f t="shared" ca="1" si="828"/>
        <v>1187</v>
      </c>
      <c r="I600">
        <f t="shared" ca="1" si="829"/>
        <v>1187</v>
      </c>
      <c r="J600" s="65" t="s">
        <v>1520</v>
      </c>
      <c r="K600">
        <f t="shared" si="830"/>
        <v>0</v>
      </c>
      <c r="L600">
        <f t="shared" si="831"/>
        <v>0</v>
      </c>
      <c r="M600" s="65"/>
      <c r="N600" s="220"/>
      <c r="O600" s="66"/>
      <c r="P600" s="65"/>
      <c r="Q600" s="132"/>
    </row>
    <row r="601" spans="1:17" hidden="1" outlineLevel="1">
      <c r="A601" s="139">
        <v>45135</v>
      </c>
      <c r="B601" s="139"/>
      <c r="C601" s="123"/>
      <c r="D601" s="124">
        <v>100</v>
      </c>
      <c r="E601" s="146">
        <f t="shared" ref="E601:E603" si="869">E600+C601-D601</f>
        <v>1512615</v>
      </c>
      <c r="F601" s="146">
        <f t="shared" ref="F601" si="870">C601-D601</f>
        <v>-100</v>
      </c>
      <c r="G601" s="80">
        <f t="shared" ref="G601" si="871">G600+F601</f>
        <v>741166.5</v>
      </c>
      <c r="H601" s="80">
        <f t="shared" ref="H601" ca="1" si="872">IF(B601="",$C$1-A601,DATEDIF(A601,B601,"d"))</f>
        <v>1175</v>
      </c>
      <c r="I601">
        <f t="shared" ref="I601:I603" ca="1" si="873">IF(B601="",$C$1-A601,H601)</f>
        <v>1175</v>
      </c>
      <c r="J601" s="65"/>
      <c r="K601">
        <f t="shared" ref="K601" si="874">IF(F601&gt;0,(H601*$F601)/365.25,0)</f>
        <v>0</v>
      </c>
      <c r="L601">
        <f t="shared" ref="L601" si="875">IF(F601&gt;0,(I601*$F601)/365.25,0)</f>
        <v>0</v>
      </c>
      <c r="M601" s="65"/>
      <c r="N601" s="65" t="s">
        <v>2381</v>
      </c>
    </row>
    <row r="602" spans="1:17" hidden="1" outlineLevel="1">
      <c r="A602" s="195">
        <v>45135</v>
      </c>
      <c r="B602" s="195">
        <v>45135</v>
      </c>
      <c r="C602" s="196">
        <v>493</v>
      </c>
      <c r="D602" s="197"/>
      <c r="E602" s="198">
        <f t="shared" si="869"/>
        <v>1513108</v>
      </c>
      <c r="F602" s="198">
        <f>C602</f>
        <v>493</v>
      </c>
      <c r="G602" s="199">
        <f t="shared" ref="G602:G603" si="876">G601+C602-D602</f>
        <v>741659.5</v>
      </c>
      <c r="H602" s="199">
        <f t="shared" ref="H602:H604" si="877">IF(B602="",DATEDIF(A602,$G$1,"d"),DATEDIF(A602,B602,"d"))</f>
        <v>0</v>
      </c>
      <c r="I602" s="200">
        <f t="shared" si="873"/>
        <v>0</v>
      </c>
      <c r="J602" s="200" t="s">
        <v>2487</v>
      </c>
      <c r="K602" s="200">
        <f t="shared" ref="K602:K603" si="878">(H602*$C602)/365.25</f>
        <v>0</v>
      </c>
      <c r="L602" s="200">
        <f t="shared" ref="L602:L603" si="879">(I602*$C602)/365.25</f>
        <v>0</v>
      </c>
      <c r="M602" s="200" t="s">
        <v>101</v>
      </c>
      <c r="N602" s="220"/>
    </row>
    <row r="603" spans="1:17" hidden="1" outlineLevel="1">
      <c r="A603" s="195">
        <v>45135</v>
      </c>
      <c r="B603" s="195">
        <v>45135</v>
      </c>
      <c r="C603" s="196">
        <v>1590</v>
      </c>
      <c r="D603" s="197"/>
      <c r="E603" s="198">
        <f t="shared" si="869"/>
        <v>1514698</v>
      </c>
      <c r="F603" s="198">
        <f>C603</f>
        <v>1590</v>
      </c>
      <c r="G603" s="199">
        <f t="shared" si="876"/>
        <v>743249.5</v>
      </c>
      <c r="H603" s="199">
        <f t="shared" si="877"/>
        <v>0</v>
      </c>
      <c r="I603" s="200">
        <f t="shared" si="873"/>
        <v>0</v>
      </c>
      <c r="J603" s="200" t="s">
        <v>2516</v>
      </c>
      <c r="K603" s="200">
        <f t="shared" si="878"/>
        <v>0</v>
      </c>
      <c r="L603" s="200">
        <f t="shared" si="879"/>
        <v>0</v>
      </c>
      <c r="M603" s="200" t="s">
        <v>101</v>
      </c>
      <c r="N603" s="220"/>
    </row>
    <row r="604" spans="1:17" hidden="1" outlineLevel="1">
      <c r="A604" s="195">
        <v>45138</v>
      </c>
      <c r="B604" s="195">
        <v>45138</v>
      </c>
      <c r="C604" s="196">
        <v>4440</v>
      </c>
      <c r="D604" s="197"/>
      <c r="E604" s="198">
        <f t="shared" ref="E604:E610" si="880">E603+C604-D604</f>
        <v>1519138</v>
      </c>
      <c r="F604" s="198">
        <f>C604</f>
        <v>4440</v>
      </c>
      <c r="G604" s="199">
        <f>G603+C604-D604</f>
        <v>747689.5</v>
      </c>
      <c r="H604" s="199">
        <f t="shared" si="877"/>
        <v>0</v>
      </c>
      <c r="I604" s="200">
        <f t="shared" ref="I604:I610" si="881">IF(B604="",$C$1-A604,H604)</f>
        <v>0</v>
      </c>
      <c r="J604" s="200" t="s">
        <v>2477</v>
      </c>
      <c r="K604" s="200">
        <f>(H604*$C604)/365.25</f>
        <v>0</v>
      </c>
      <c r="L604" s="200">
        <f>(I604*$C604)/365.25</f>
        <v>0</v>
      </c>
      <c r="M604" s="200" t="s">
        <v>101</v>
      </c>
      <c r="N604" s="65"/>
    </row>
    <row r="605" spans="1:17" hidden="1" outlineLevel="1">
      <c r="A605" s="139">
        <v>45140</v>
      </c>
      <c r="B605" s="139"/>
      <c r="C605" s="123"/>
      <c r="D605" s="124">
        <v>54076</v>
      </c>
      <c r="E605" s="146">
        <f t="shared" si="880"/>
        <v>1465062</v>
      </c>
      <c r="F605" s="146"/>
      <c r="G605" s="80">
        <f>G604+F605</f>
        <v>747689.5</v>
      </c>
      <c r="H605" s="80">
        <f ca="1">IF(B605="",$C$1-A605,DATEDIF(A605,B605,"d"))</f>
        <v>1170</v>
      </c>
      <c r="I605">
        <f t="shared" ca="1" si="881"/>
        <v>1170</v>
      </c>
      <c r="J605" s="65" t="s">
        <v>2512</v>
      </c>
      <c r="K605">
        <f>IF(F605&gt;0,(H605*$F605)/365.25,0)</f>
        <v>0</v>
      </c>
      <c r="L605">
        <f>IF(F605&gt;0,(I605*$F605)/365.25,0)</f>
        <v>0</v>
      </c>
      <c r="M605" s="65"/>
      <c r="N605" s="220"/>
      <c r="O605" s="66"/>
      <c r="P605" s="65"/>
      <c r="Q605" s="132"/>
    </row>
    <row r="606" spans="1:17" hidden="1" outlineLevel="1">
      <c r="A606" s="147">
        <v>45142</v>
      </c>
      <c r="B606" s="147"/>
      <c r="C606" s="148">
        <v>116</v>
      </c>
      <c r="D606" s="149"/>
      <c r="E606" s="150">
        <f t="shared" si="880"/>
        <v>1465178</v>
      </c>
      <c r="F606" s="150">
        <f t="shared" ref="F606" si="882">C606-D606</f>
        <v>116</v>
      </c>
      <c r="G606" s="151">
        <f>G605+F606</f>
        <v>747805.5</v>
      </c>
      <c r="H606" s="151">
        <f>IF(B606="",DATEDIF(A606,$D$1,"d"),DATEDIF(A606,B606,"d"))</f>
        <v>149</v>
      </c>
      <c r="I606" s="152">
        <f t="shared" ca="1" si="881"/>
        <v>1168</v>
      </c>
      <c r="J606" s="152" t="s">
        <v>84</v>
      </c>
      <c r="K606" s="152">
        <f>IF(F606&gt;0,(H606*$F606)/365.25,0)</f>
        <v>47.32101300479124</v>
      </c>
      <c r="L606" s="152">
        <f ca="1">IF(F606&gt;0,(I606*$F606)/365.25,0)</f>
        <v>370.94592744695416</v>
      </c>
      <c r="M606" s="152"/>
      <c r="N606" s="220"/>
    </row>
    <row r="607" spans="1:17" hidden="1" outlineLevel="1">
      <c r="A607" s="139">
        <v>45145</v>
      </c>
      <c r="B607" s="139"/>
      <c r="C607" s="123"/>
      <c r="D607" s="124">
        <v>49510</v>
      </c>
      <c r="E607" s="146">
        <f t="shared" si="880"/>
        <v>1415668</v>
      </c>
      <c r="F607" s="146"/>
      <c r="G607" s="80">
        <f>G606+F607</f>
        <v>747805.5</v>
      </c>
      <c r="H607" s="80">
        <f ca="1">IF(B607="",$C$1-A607,DATEDIF(A607,B607,"d"))</f>
        <v>1165</v>
      </c>
      <c r="I607">
        <f t="shared" ca="1" si="881"/>
        <v>1165</v>
      </c>
      <c r="J607" s="65" t="s">
        <v>2513</v>
      </c>
      <c r="K607">
        <f>IF(F607&gt;0,(H607*$F607)/365.25,0)</f>
        <v>0</v>
      </c>
      <c r="L607">
        <f>IF(F607&gt;0,(I607*$F607)/365.25,0)</f>
        <v>0</v>
      </c>
      <c r="M607" s="65"/>
      <c r="N607" s="220"/>
      <c r="O607" s="66"/>
      <c r="P607" s="65"/>
      <c r="Q607" s="132"/>
    </row>
    <row r="608" spans="1:17" hidden="1" outlineLevel="1">
      <c r="A608" s="139">
        <v>45145</v>
      </c>
      <c r="B608" s="139"/>
      <c r="C608" s="123">
        <v>37036</v>
      </c>
      <c r="D608" s="124"/>
      <c r="E608" s="146">
        <f t="shared" si="880"/>
        <v>1452704</v>
      </c>
      <c r="F608" s="146"/>
      <c r="G608" s="80">
        <f>G607+F608</f>
        <v>747805.5</v>
      </c>
      <c r="H608" s="80">
        <f ca="1">IF(B608="",$C$1-A608,DATEDIF(A608,B608,"d"))</f>
        <v>1165</v>
      </c>
      <c r="I608">
        <f t="shared" ca="1" si="881"/>
        <v>1165</v>
      </c>
      <c r="J608" s="65" t="s">
        <v>2507</v>
      </c>
      <c r="K608">
        <f>IF(F608&gt;0,(H608*$F608)/365.25,0)</f>
        <v>0</v>
      </c>
      <c r="L608">
        <f>IF(F608&gt;0,(I608*$F608)/365.25,0)</f>
        <v>0</v>
      </c>
      <c r="M608" s="65"/>
      <c r="N608" s="220"/>
      <c r="O608" s="66"/>
      <c r="P608" s="65"/>
      <c r="Q608" s="132"/>
    </row>
    <row r="609" spans="1:17" hidden="1" outlineLevel="1">
      <c r="A609" s="139">
        <v>45146</v>
      </c>
      <c r="B609" s="139"/>
      <c r="C609" s="123">
        <v>55753</v>
      </c>
      <c r="D609" s="124"/>
      <c r="E609" s="146">
        <f t="shared" si="880"/>
        <v>1508457</v>
      </c>
      <c r="F609" s="146"/>
      <c r="G609" s="80">
        <f>G608+F609</f>
        <v>747805.5</v>
      </c>
      <c r="H609" s="80">
        <f ca="1">IF(B609="",$C$1-A609,DATEDIF(A609,B609,"d"))</f>
        <v>1164</v>
      </c>
      <c r="I609">
        <f t="shared" ca="1" si="881"/>
        <v>1164</v>
      </c>
      <c r="J609" s="65" t="s">
        <v>2512</v>
      </c>
      <c r="K609">
        <f>IF(F609&gt;0,(H609*$F609)/365.25,0)</f>
        <v>0</v>
      </c>
      <c r="L609">
        <f>IF(F609&gt;0,(I609*$F609)/365.25,0)</f>
        <v>0</v>
      </c>
      <c r="M609" s="65"/>
      <c r="N609" s="220"/>
      <c r="O609" s="66"/>
      <c r="P609" s="65"/>
      <c r="Q609" s="132"/>
    </row>
    <row r="610" spans="1:17" hidden="1" outlineLevel="1">
      <c r="A610" s="195">
        <v>45149</v>
      </c>
      <c r="B610" s="195">
        <v>45149</v>
      </c>
      <c r="C610" s="196">
        <v>36209</v>
      </c>
      <c r="D610" s="197">
        <v>0</v>
      </c>
      <c r="E610" s="198">
        <f t="shared" si="880"/>
        <v>1544666</v>
      </c>
      <c r="F610" s="198">
        <f>C610</f>
        <v>36209</v>
      </c>
      <c r="G610" s="199">
        <f>G609+C610-D610</f>
        <v>784014.5</v>
      </c>
      <c r="H610" s="199">
        <f t="shared" ref="H610" si="883">IF(B610="",DATEDIF(A610,$G$1,"d"),DATEDIF(A610,B610,"d"))</f>
        <v>0</v>
      </c>
      <c r="I610" s="200">
        <f t="shared" si="881"/>
        <v>0</v>
      </c>
      <c r="J610" s="200" t="s">
        <v>2363</v>
      </c>
      <c r="K610" s="200">
        <f>(H610*$C610)/365.25</f>
        <v>0</v>
      </c>
      <c r="L610" s="200">
        <f>(I610*$C610)/365.25</f>
        <v>0</v>
      </c>
      <c r="M610" s="200" t="s">
        <v>101</v>
      </c>
      <c r="N610" s="65"/>
    </row>
    <row r="611" spans="1:17" hidden="1" outlineLevel="1">
      <c r="A611" s="139">
        <v>45149</v>
      </c>
      <c r="B611" s="139"/>
      <c r="C611" s="123"/>
      <c r="D611" s="124">
        <v>40</v>
      </c>
      <c r="E611" s="146">
        <f t="shared" ref="E611" si="884">E610+C611-D611</f>
        <v>1544626</v>
      </c>
      <c r="F611" s="146">
        <f t="shared" ref="F611" si="885">C611-D611</f>
        <v>-40</v>
      </c>
      <c r="G611" s="80">
        <f t="shared" ref="G611" si="886">G610+F611</f>
        <v>783974.5</v>
      </c>
      <c r="H611" s="80">
        <f t="shared" ref="H611" ca="1" si="887">IF(B611="",$C$1-A611,DATEDIF(A611,B611,"d"))</f>
        <v>1161</v>
      </c>
      <c r="I611">
        <f t="shared" ref="I611" ca="1" si="888">IF(B611="",$C$1-A611,H611)</f>
        <v>1161</v>
      </c>
      <c r="J611" s="65"/>
      <c r="K611">
        <f t="shared" ref="K611" si="889">IF(F611&gt;0,(H611*$F611)/365.25,0)</f>
        <v>0</v>
      </c>
      <c r="L611">
        <f t="shared" ref="L611" si="890">IF(F611&gt;0,(I611*$F611)/365.25,0)</f>
        <v>0</v>
      </c>
      <c r="M611" s="65"/>
      <c r="N611" s="65" t="s">
        <v>2381</v>
      </c>
    </row>
    <row r="612" spans="1:17" hidden="1" outlineLevel="1">
      <c r="A612" s="139">
        <v>45154</v>
      </c>
      <c r="B612" s="139"/>
      <c r="C612" s="123">
        <v>37136</v>
      </c>
      <c r="D612" s="124"/>
      <c r="E612" s="146">
        <f>E611+C612-D612</f>
        <v>1581762</v>
      </c>
      <c r="F612" s="146"/>
      <c r="G612" s="80">
        <f>G611+F612</f>
        <v>783974.5</v>
      </c>
      <c r="H612" s="80">
        <f ca="1">IF(B612="",$C$1-A612,DATEDIF(A612,B612,"d"))</f>
        <v>1156</v>
      </c>
      <c r="I612">
        <f ca="1">IF(B612="",$C$1-A612,H612)</f>
        <v>1156</v>
      </c>
      <c r="J612" s="65" t="s">
        <v>2507</v>
      </c>
      <c r="K612">
        <f>IF(F612&gt;0,(H612*$F612)/365.25,0)</f>
        <v>0</v>
      </c>
      <c r="L612">
        <f>IF(F612&gt;0,(I612*$F612)/365.25,0)</f>
        <v>0</v>
      </c>
      <c r="M612" s="65"/>
      <c r="N612" s="220"/>
      <c r="O612" s="66"/>
      <c r="P612" s="65"/>
      <c r="Q612" s="132"/>
    </row>
    <row r="613" spans="1:17" hidden="1" outlineLevel="1">
      <c r="A613" s="139">
        <v>45161</v>
      </c>
      <c r="B613" s="139"/>
      <c r="C613" s="123"/>
      <c r="D613" s="124">
        <v>100</v>
      </c>
      <c r="E613" s="146">
        <f t="shared" ref="E613:E614" si="891">E612+C613-D613</f>
        <v>1581662</v>
      </c>
      <c r="F613" s="146">
        <f t="shared" ref="F613" si="892">C613-D613</f>
        <v>-100</v>
      </c>
      <c r="G613" s="80">
        <f t="shared" ref="G613" si="893">G612+F613</f>
        <v>783874.5</v>
      </c>
      <c r="H613" s="80">
        <f t="shared" ref="H613" ca="1" si="894">IF(B613="",$C$1-A613,DATEDIF(A613,B613,"d"))</f>
        <v>1149</v>
      </c>
      <c r="I613">
        <f t="shared" ref="I613:I614" ca="1" si="895">IF(B613="",$C$1-A613,H613)</f>
        <v>1149</v>
      </c>
      <c r="J613" s="65"/>
      <c r="K613">
        <f t="shared" ref="K613" si="896">IF(F613&gt;0,(H613*$F613)/365.25,0)</f>
        <v>0</v>
      </c>
      <c r="L613">
        <f t="shared" ref="L613" si="897">IF(F613&gt;0,(I613*$F613)/365.25,0)</f>
        <v>0</v>
      </c>
      <c r="M613" s="65"/>
      <c r="N613" s="65" t="s">
        <v>2381</v>
      </c>
    </row>
    <row r="614" spans="1:17" hidden="1" outlineLevel="1">
      <c r="A614" s="195">
        <v>45163</v>
      </c>
      <c r="B614" s="195">
        <v>45163</v>
      </c>
      <c r="C614" s="196">
        <v>2993</v>
      </c>
      <c r="D614" s="197"/>
      <c r="E614" s="198">
        <f t="shared" si="891"/>
        <v>1584655</v>
      </c>
      <c r="F614" s="198">
        <f>C614</f>
        <v>2993</v>
      </c>
      <c r="G614" s="199">
        <f>G613+C614-D614</f>
        <v>786867.5</v>
      </c>
      <c r="H614" s="199">
        <f t="shared" ref="H614" si="898">IF(B614="",DATEDIF(A614,$G$1,"d"),DATEDIF(A614,B614,"d"))</f>
        <v>0</v>
      </c>
      <c r="I614" s="200">
        <f t="shared" si="895"/>
        <v>0</v>
      </c>
      <c r="J614" s="200" t="s">
        <v>2362</v>
      </c>
      <c r="K614" s="200">
        <f t="shared" ref="K614:L616" si="899">(H614*$C614)/365.25</f>
        <v>0</v>
      </c>
      <c r="L614" s="200">
        <f t="shared" si="899"/>
        <v>0</v>
      </c>
      <c r="M614" s="200" t="s">
        <v>101</v>
      </c>
      <c r="N614" s="220"/>
    </row>
    <row r="615" spans="1:17" hidden="1" outlineLevel="1">
      <c r="A615" s="195">
        <v>45167</v>
      </c>
      <c r="B615" s="195">
        <v>45167</v>
      </c>
      <c r="C615" s="196">
        <v>3059</v>
      </c>
      <c r="D615" s="197"/>
      <c r="E615" s="198">
        <f t="shared" ref="E615" si="900">E614+C615-D615</f>
        <v>1587714</v>
      </c>
      <c r="F615" s="198">
        <f>C615</f>
        <v>3059</v>
      </c>
      <c r="G615" s="199">
        <f>G614+C615-D615</f>
        <v>789926.5</v>
      </c>
      <c r="H615" s="199">
        <f t="shared" ref="H615" si="901">IF(B615="",DATEDIF(A615,$G$1,"d"),DATEDIF(A615,B615,"d"))</f>
        <v>0</v>
      </c>
      <c r="I615" s="200">
        <f t="shared" ref="I615" si="902">IF(B615="",$C$1-A615,H615)</f>
        <v>0</v>
      </c>
      <c r="J615" s="200" t="s">
        <v>2387</v>
      </c>
      <c r="K615" s="200">
        <f t="shared" si="899"/>
        <v>0</v>
      </c>
      <c r="L615" s="200">
        <f t="shared" si="899"/>
        <v>0</v>
      </c>
      <c r="M615" s="200" t="s">
        <v>101</v>
      </c>
      <c r="N615" s="220"/>
    </row>
    <row r="616" spans="1:17" hidden="1" outlineLevel="1">
      <c r="A616" s="195">
        <v>45169</v>
      </c>
      <c r="B616" s="195">
        <v>45169</v>
      </c>
      <c r="C616" s="196">
        <v>806</v>
      </c>
      <c r="D616" s="197"/>
      <c r="E616" s="198">
        <f t="shared" ref="E616" si="903">E615+C616-D616</f>
        <v>1588520</v>
      </c>
      <c r="F616" s="198">
        <f>C616</f>
        <v>806</v>
      </c>
      <c r="G616" s="199">
        <f>G615+C616-D616</f>
        <v>790732.5</v>
      </c>
      <c r="H616" s="199">
        <f t="shared" ref="H616" si="904">IF(B616="",DATEDIF(A616,$G$1,"d"),DATEDIF(A616,B616,"d"))</f>
        <v>0</v>
      </c>
      <c r="I616" s="200">
        <f t="shared" ref="I616" si="905">IF(B616="",$C$1-A616,H616)</f>
        <v>0</v>
      </c>
      <c r="J616" s="200" t="s">
        <v>2489</v>
      </c>
      <c r="K616" s="200">
        <f t="shared" si="899"/>
        <v>0</v>
      </c>
      <c r="L616" s="200">
        <f t="shared" si="899"/>
        <v>0</v>
      </c>
      <c r="M616" s="200" t="s">
        <v>101</v>
      </c>
      <c r="N616" s="220"/>
    </row>
    <row r="617" spans="1:17" hidden="1" outlineLevel="1">
      <c r="A617" s="195">
        <v>45169</v>
      </c>
      <c r="B617" s="195">
        <v>45169</v>
      </c>
      <c r="C617" s="196">
        <v>640</v>
      </c>
      <c r="D617" s="197"/>
      <c r="E617" s="198">
        <f t="shared" ref="E617:E621" si="906">E616+C617-D617</f>
        <v>1589160</v>
      </c>
      <c r="F617" s="198">
        <f t="shared" ref="F617:F619" si="907">C617</f>
        <v>640</v>
      </c>
      <c r="G617" s="199">
        <f t="shared" ref="G617:G619" si="908">G616+C617-D617</f>
        <v>791372.5</v>
      </c>
      <c r="H617" s="199">
        <f t="shared" ref="H617:H619" si="909">IF(B617="",DATEDIF(A617,$G$1,"d"),DATEDIF(A617,B617,"d"))</f>
        <v>0</v>
      </c>
      <c r="I617" s="200">
        <f t="shared" ref="I617:I621" si="910">IF(B617="",$C$1-A617,H617)</f>
        <v>0</v>
      </c>
      <c r="J617" s="200" t="s">
        <v>2385</v>
      </c>
      <c r="K617" s="200">
        <f t="shared" ref="K617:K619" si="911">(H617*$C617)/365.25</f>
        <v>0</v>
      </c>
      <c r="L617" s="200">
        <f t="shared" ref="L617:L619" si="912">(I617*$C617)/365.25</f>
        <v>0</v>
      </c>
      <c r="M617" s="200" t="s">
        <v>101</v>
      </c>
      <c r="N617" s="220"/>
    </row>
    <row r="618" spans="1:17" hidden="1" outlineLevel="1">
      <c r="A618" s="195">
        <v>45169</v>
      </c>
      <c r="B618" s="195">
        <v>45169</v>
      </c>
      <c r="C618" s="196">
        <v>5990</v>
      </c>
      <c r="D618" s="197"/>
      <c r="E618" s="198">
        <f t="shared" si="906"/>
        <v>1595150</v>
      </c>
      <c r="F618" s="198">
        <f t="shared" si="907"/>
        <v>5990</v>
      </c>
      <c r="G618" s="199">
        <f t="shared" si="908"/>
        <v>797362.5</v>
      </c>
      <c r="H618" s="199">
        <f t="shared" si="909"/>
        <v>0</v>
      </c>
      <c r="I618" s="200">
        <f t="shared" si="910"/>
        <v>0</v>
      </c>
      <c r="J618" s="200" t="s">
        <v>2517</v>
      </c>
      <c r="K618" s="200">
        <f t="shared" si="911"/>
        <v>0</v>
      </c>
      <c r="L618" s="200">
        <f t="shared" si="912"/>
        <v>0</v>
      </c>
      <c r="M618" s="200" t="s">
        <v>101</v>
      </c>
      <c r="N618" s="220"/>
    </row>
    <row r="619" spans="1:17" hidden="1" outlineLevel="1">
      <c r="A619" s="195">
        <v>45170</v>
      </c>
      <c r="B619" s="195">
        <v>45170</v>
      </c>
      <c r="C619" s="196">
        <v>452</v>
      </c>
      <c r="D619" s="197"/>
      <c r="E619" s="198">
        <f t="shared" si="906"/>
        <v>1595602</v>
      </c>
      <c r="F619" s="198">
        <f t="shared" si="907"/>
        <v>452</v>
      </c>
      <c r="G619" s="199">
        <f t="shared" si="908"/>
        <v>797814.5</v>
      </c>
      <c r="H619" s="199">
        <f t="shared" si="909"/>
        <v>0</v>
      </c>
      <c r="I619" s="200">
        <f t="shared" si="910"/>
        <v>0</v>
      </c>
      <c r="J619" s="200" t="s">
        <v>2497</v>
      </c>
      <c r="K619" s="200">
        <f t="shared" si="911"/>
        <v>0</v>
      </c>
      <c r="L619" s="200">
        <f t="shared" si="912"/>
        <v>0</v>
      </c>
      <c r="M619" s="200" t="s">
        <v>2461</v>
      </c>
      <c r="N619" s="220"/>
    </row>
    <row r="620" spans="1:17" hidden="1" outlineLevel="1">
      <c r="A620" s="147">
        <v>45174</v>
      </c>
      <c r="B620" s="147"/>
      <c r="C620" s="148">
        <v>101</v>
      </c>
      <c r="D620" s="149"/>
      <c r="E620" s="150">
        <f t="shared" si="906"/>
        <v>1595703</v>
      </c>
      <c r="F620" s="150">
        <f t="shared" ref="F620:F621" si="913">C620-D620</f>
        <v>101</v>
      </c>
      <c r="G620" s="151">
        <f>G619+F620</f>
        <v>797915.5</v>
      </c>
      <c r="H620" s="151">
        <f>IF(B620="",DATEDIF(A620,$D$1,"d"),DATEDIF(A620,B620,"d"))</f>
        <v>117</v>
      </c>
      <c r="I620" s="152">
        <f t="shared" ca="1" si="910"/>
        <v>1136</v>
      </c>
      <c r="J620" s="152" t="s">
        <v>84</v>
      </c>
      <c r="K620" s="152">
        <f>IF(F620&gt;0,(H620*$F620)/365.25,0)</f>
        <v>32.353182751540039</v>
      </c>
      <c r="L620" s="152">
        <f ca="1">IF(F620&gt;0,(I620*$F620)/365.25,0)</f>
        <v>314.13004791238876</v>
      </c>
      <c r="M620" s="152"/>
      <c r="N620" s="220"/>
    </row>
    <row r="621" spans="1:17" hidden="1" outlineLevel="1">
      <c r="A621" s="139">
        <v>45180</v>
      </c>
      <c r="B621" s="139"/>
      <c r="C621" s="123"/>
      <c r="D621" s="124">
        <v>100</v>
      </c>
      <c r="E621" s="146">
        <f t="shared" si="906"/>
        <v>1595603</v>
      </c>
      <c r="F621" s="146">
        <f t="shared" si="913"/>
        <v>-100</v>
      </c>
      <c r="G621" s="80">
        <f t="shared" ref="G621" si="914">G620+F621</f>
        <v>797815.5</v>
      </c>
      <c r="H621" s="80">
        <f t="shared" ref="H621" ca="1" si="915">IF(B621="",$C$1-A621,DATEDIF(A621,B621,"d"))</f>
        <v>1130</v>
      </c>
      <c r="I621">
        <f t="shared" ca="1" si="910"/>
        <v>1130</v>
      </c>
      <c r="J621" s="65"/>
      <c r="K621">
        <f t="shared" ref="K621" si="916">IF(F621&gt;0,(H621*$F621)/365.25,0)</f>
        <v>0</v>
      </c>
      <c r="L621">
        <f t="shared" ref="L621" si="917">IF(F621&gt;0,(I621*$F621)/365.25,0)</f>
        <v>0</v>
      </c>
      <c r="M621" s="65"/>
      <c r="N621" s="65" t="s">
        <v>2381</v>
      </c>
    </row>
    <row r="622" spans="1:17" hidden="1" outlineLevel="1">
      <c r="A622" s="139">
        <v>45180</v>
      </c>
      <c r="B622" s="139"/>
      <c r="C622" s="123"/>
      <c r="D622" s="124">
        <v>17775</v>
      </c>
      <c r="E622" s="146">
        <f t="shared" ref="E622:E633" si="918">E621+C622-D622</f>
        <v>1577828</v>
      </c>
      <c r="F622" s="146"/>
      <c r="G622" s="80">
        <f t="shared" ref="G622:G629" si="919">G621+F622</f>
        <v>797815.5</v>
      </c>
      <c r="H622" s="80">
        <f t="shared" ref="H622:H629" ca="1" si="920">IF(B622="",$C$1-A622,DATEDIF(A622,B622,"d"))</f>
        <v>1130</v>
      </c>
      <c r="I622">
        <f t="shared" ref="I622:I633" ca="1" si="921">IF(B622="",$C$1-A622,H622)</f>
        <v>1130</v>
      </c>
      <c r="J622" s="65" t="s">
        <v>2518</v>
      </c>
      <c r="K622">
        <f t="shared" ref="K622:K629" si="922">IF(F622&gt;0,(H622*$F622)/365.25,0)</f>
        <v>0</v>
      </c>
      <c r="L622">
        <f t="shared" ref="L622:L629" si="923">IF(F622&gt;0,(I622*$F622)/365.25,0)</f>
        <v>0</v>
      </c>
      <c r="M622" s="65"/>
      <c r="N622" s="220"/>
      <c r="O622" s="66"/>
      <c r="P622" s="65"/>
      <c r="Q622" s="132"/>
    </row>
    <row r="623" spans="1:17" hidden="1" outlineLevel="1">
      <c r="A623" s="195">
        <v>45181</v>
      </c>
      <c r="B623" s="195">
        <v>45181</v>
      </c>
      <c r="C623" s="196">
        <v>505</v>
      </c>
      <c r="D623" s="197"/>
      <c r="E623" s="198">
        <f t="shared" si="918"/>
        <v>1578333</v>
      </c>
      <c r="F623" s="198">
        <f t="shared" ref="F623" si="924">C623</f>
        <v>505</v>
      </c>
      <c r="G623" s="199">
        <f t="shared" ref="G623" si="925">G622+C623-D623</f>
        <v>798320.5</v>
      </c>
      <c r="H623" s="199">
        <f t="shared" ref="H623" si="926">IF(B623="",DATEDIF(A623,$G$1,"d"),DATEDIF(A623,B623,"d"))</f>
        <v>0</v>
      </c>
      <c r="I623" s="200">
        <f t="shared" si="921"/>
        <v>0</v>
      </c>
      <c r="J623" s="200" t="s">
        <v>2494</v>
      </c>
      <c r="K623" s="200">
        <f t="shared" ref="K623" si="927">(H623*$C623)/365.25</f>
        <v>0</v>
      </c>
      <c r="L623" s="200">
        <f t="shared" ref="L623" si="928">(I623*$C623)/365.25</f>
        <v>0</v>
      </c>
      <c r="M623" s="200" t="s">
        <v>101</v>
      </c>
      <c r="N623" s="220"/>
    </row>
    <row r="624" spans="1:17" hidden="1" outlineLevel="1">
      <c r="A624" s="195">
        <v>45181</v>
      </c>
      <c r="B624" s="195">
        <v>45181</v>
      </c>
      <c r="C624" s="196">
        <v>330</v>
      </c>
      <c r="D624" s="197"/>
      <c r="E624" s="198">
        <f t="shared" ref="E624:E625" si="929">E623+C624-D624</f>
        <v>1578663</v>
      </c>
      <c r="F624" s="198">
        <f t="shared" ref="F624" si="930">C624</f>
        <v>330</v>
      </c>
      <c r="G624" s="199">
        <f t="shared" ref="G624" si="931">G623+C624-D624</f>
        <v>798650.5</v>
      </c>
      <c r="H624" s="199">
        <f t="shared" ref="H624" si="932">IF(B624="",DATEDIF(A624,$G$1,"d"),DATEDIF(A624,B624,"d"))</f>
        <v>0</v>
      </c>
      <c r="I624" s="200">
        <f t="shared" ref="I624:I625" si="933">IF(B624="",$C$1-A624,H624)</f>
        <v>0</v>
      </c>
      <c r="J624" s="200" t="s">
        <v>2519</v>
      </c>
      <c r="K624" s="200">
        <f t="shared" ref="K624" si="934">(H624*$C624)/365.25</f>
        <v>0</v>
      </c>
      <c r="L624" s="200">
        <f t="shared" ref="L624" si="935">(I624*$C624)/365.25</f>
        <v>0</v>
      </c>
      <c r="M624" s="200" t="s">
        <v>101</v>
      </c>
      <c r="N624" s="220"/>
    </row>
    <row r="625" spans="1:17" hidden="1" outlineLevel="1">
      <c r="A625" s="139">
        <v>45190</v>
      </c>
      <c r="B625" s="139"/>
      <c r="C625" s="123"/>
      <c r="D625" s="124">
        <v>60</v>
      </c>
      <c r="E625" s="146">
        <f t="shared" si="929"/>
        <v>1578603</v>
      </c>
      <c r="F625" s="146">
        <f t="shared" ref="F625" si="936">C625-D625</f>
        <v>-60</v>
      </c>
      <c r="G625" s="80">
        <f t="shared" ref="G625" si="937">G624+F625</f>
        <v>798590.5</v>
      </c>
      <c r="H625" s="80">
        <f t="shared" ref="H625" ca="1" si="938">IF(B625="",$C$1-A625,DATEDIF(A625,B625,"d"))</f>
        <v>1120</v>
      </c>
      <c r="I625">
        <f t="shared" ca="1" si="933"/>
        <v>1120</v>
      </c>
      <c r="J625" s="65"/>
      <c r="K625">
        <f t="shared" ref="K625" si="939">IF(F625&gt;0,(H625*$F625)/365.25,0)</f>
        <v>0</v>
      </c>
      <c r="L625">
        <f t="shared" ref="L625" si="940">IF(F625&gt;0,(I625*$F625)/365.25,0)</f>
        <v>0</v>
      </c>
      <c r="M625" s="65"/>
      <c r="N625" s="65" t="s">
        <v>2381</v>
      </c>
    </row>
    <row r="626" spans="1:17" hidden="1" outlineLevel="1">
      <c r="A626" s="195">
        <v>45190</v>
      </c>
      <c r="B626" s="195">
        <v>45190</v>
      </c>
      <c r="C626" s="196">
        <v>712</v>
      </c>
      <c r="D626" s="197"/>
      <c r="E626" s="198">
        <f t="shared" ref="E626:E628" si="941">E625+C626-D626</f>
        <v>1579315</v>
      </c>
      <c r="F626" s="198">
        <f t="shared" ref="F626" si="942">C626</f>
        <v>712</v>
      </c>
      <c r="G626" s="199">
        <f t="shared" ref="G626" si="943">G625+C626-D626</f>
        <v>799302.5</v>
      </c>
      <c r="H626" s="199">
        <f t="shared" ref="H626" si="944">IF(B626="",DATEDIF(A626,$G$1,"d"),DATEDIF(A626,B626,"d"))</f>
        <v>0</v>
      </c>
      <c r="I626" s="200">
        <f t="shared" ref="I626:I628" si="945">IF(B626="",$C$1-A626,H626)</f>
        <v>0</v>
      </c>
      <c r="J626" s="200" t="s">
        <v>2360</v>
      </c>
      <c r="K626" s="200">
        <f t="shared" ref="K626" si="946">(H626*$C626)/365.25</f>
        <v>0</v>
      </c>
      <c r="L626" s="200">
        <f t="shared" ref="L626" si="947">(I626*$C626)/365.25</f>
        <v>0</v>
      </c>
      <c r="M626" s="200" t="s">
        <v>101</v>
      </c>
      <c r="N626" s="220"/>
    </row>
    <row r="627" spans="1:17" hidden="1" outlineLevel="1">
      <c r="A627" s="139">
        <v>45197</v>
      </c>
      <c r="B627" s="139"/>
      <c r="C627" s="123"/>
      <c r="D627" s="124">
        <v>40</v>
      </c>
      <c r="E627" s="146">
        <f t="shared" si="941"/>
        <v>1579275</v>
      </c>
      <c r="F627" s="146">
        <f t="shared" ref="F627:F628" si="948">C627-D627</f>
        <v>-40</v>
      </c>
      <c r="G627" s="80">
        <f t="shared" ref="G627" si="949">G626+F627</f>
        <v>799262.5</v>
      </c>
      <c r="H627" s="80">
        <f t="shared" ref="H627" ca="1" si="950">IF(B627="",$C$1-A627,DATEDIF(A627,B627,"d"))</f>
        <v>1113</v>
      </c>
      <c r="I627">
        <f t="shared" ca="1" si="945"/>
        <v>1113</v>
      </c>
      <c r="J627" s="65"/>
      <c r="K627">
        <f t="shared" ref="K627" si="951">IF(F627&gt;0,(H627*$F627)/365.25,0)</f>
        <v>0</v>
      </c>
      <c r="L627">
        <f t="shared" ref="L627" si="952">IF(F627&gt;0,(I627*$F627)/365.25,0)</f>
        <v>0</v>
      </c>
      <c r="M627" s="65"/>
      <c r="N627" s="65" t="s">
        <v>2381</v>
      </c>
    </row>
    <row r="628" spans="1:17" ht="17.25" collapsed="1" thickBot="1">
      <c r="A628" s="147">
        <v>45204</v>
      </c>
      <c r="B628" s="147"/>
      <c r="C628" s="148">
        <v>10</v>
      </c>
      <c r="D628" s="149"/>
      <c r="E628" s="150">
        <f t="shared" si="941"/>
        <v>1579285</v>
      </c>
      <c r="F628" s="150">
        <f t="shared" si="948"/>
        <v>10</v>
      </c>
      <c r="G628" s="151">
        <f>G627+F628</f>
        <v>799272.5</v>
      </c>
      <c r="H628" s="151">
        <f>IF(B628="",DATEDIF(A628,$D$1,"d"),DATEDIF(A628,B628,"d"))</f>
        <v>87</v>
      </c>
      <c r="I628" s="152">
        <f t="shared" ca="1" si="945"/>
        <v>1106</v>
      </c>
      <c r="J628" s="152" t="s">
        <v>84</v>
      </c>
      <c r="K628" s="152">
        <f>IF(F628&gt;0,(H628*$F628)/365.25,0)</f>
        <v>2.3819301848049284</v>
      </c>
      <c r="L628" s="152">
        <f ca="1">IF(F628&gt;0,(I628*$F628)/365.25,0)</f>
        <v>30.28062970568104</v>
      </c>
      <c r="M628" s="152"/>
      <c r="N628" s="220"/>
    </row>
    <row r="629" spans="1:17" hidden="1" outlineLevel="1">
      <c r="A629" s="139">
        <v>45211</v>
      </c>
      <c r="B629" s="139"/>
      <c r="C629" s="123"/>
      <c r="D629" s="124">
        <v>17544</v>
      </c>
      <c r="E629" s="146">
        <f t="shared" si="918"/>
        <v>1561741</v>
      </c>
      <c r="F629" s="146"/>
      <c r="G629" s="80">
        <f t="shared" si="919"/>
        <v>799272.5</v>
      </c>
      <c r="H629" s="80">
        <f t="shared" ca="1" si="920"/>
        <v>1099</v>
      </c>
      <c r="I629">
        <f t="shared" ca="1" si="921"/>
        <v>1099</v>
      </c>
      <c r="J629" s="65" t="s">
        <v>2518</v>
      </c>
      <c r="K629">
        <f t="shared" si="922"/>
        <v>0</v>
      </c>
      <c r="L629">
        <f t="shared" si="923"/>
        <v>0</v>
      </c>
      <c r="M629" s="65"/>
      <c r="N629" s="220"/>
      <c r="O629" s="66"/>
      <c r="P629" s="65"/>
      <c r="Q629" s="132"/>
    </row>
    <row r="630" spans="1:17" hidden="1" outlineLevel="1">
      <c r="A630" s="195">
        <v>45217</v>
      </c>
      <c r="B630" s="195">
        <v>45217</v>
      </c>
      <c r="C630" s="196">
        <v>440</v>
      </c>
      <c r="D630" s="197"/>
      <c r="E630" s="198">
        <f t="shared" si="918"/>
        <v>1562181</v>
      </c>
      <c r="F630" s="198">
        <f t="shared" ref="F630" si="953">C630</f>
        <v>440</v>
      </c>
      <c r="G630" s="199">
        <f t="shared" ref="G630" si="954">G629+C630-D630</f>
        <v>799712.5</v>
      </c>
      <c r="H630" s="199">
        <f t="shared" ref="H630" si="955">IF(B630="",DATEDIF(A630,$G$1,"d"),DATEDIF(A630,B630,"d"))</f>
        <v>0</v>
      </c>
      <c r="I630" s="200">
        <f t="shared" si="921"/>
        <v>0</v>
      </c>
      <c r="J630" s="200" t="s">
        <v>2519</v>
      </c>
      <c r="K630" s="200">
        <f t="shared" ref="K630" si="956">(H630*$C630)/365.25</f>
        <v>0</v>
      </c>
      <c r="L630" s="200">
        <f t="shared" ref="L630" si="957">(I630*$C630)/365.25</f>
        <v>0</v>
      </c>
      <c r="M630" s="200" t="s">
        <v>101</v>
      </c>
      <c r="N630" s="220"/>
    </row>
    <row r="631" spans="1:17" hidden="1" outlineLevel="1">
      <c r="A631" s="139">
        <v>45230</v>
      </c>
      <c r="B631" s="139"/>
      <c r="C631" s="123"/>
      <c r="D631" s="124">
        <v>40</v>
      </c>
      <c r="E631" s="146">
        <f t="shared" si="918"/>
        <v>1562141</v>
      </c>
      <c r="F631" s="146">
        <f t="shared" ref="F631" si="958">C631-D631</f>
        <v>-40</v>
      </c>
      <c r="G631" s="80">
        <f t="shared" ref="G631" si="959">G630+F631</f>
        <v>799672.5</v>
      </c>
      <c r="H631" s="80">
        <f t="shared" ref="H631" ca="1" si="960">IF(B631="",$C$1-A631,DATEDIF(A631,B631,"d"))</f>
        <v>1080</v>
      </c>
      <c r="I631">
        <f t="shared" ca="1" si="921"/>
        <v>1080</v>
      </c>
      <c r="J631" s="65"/>
      <c r="K631">
        <f t="shared" ref="K631" si="961">IF(F631&gt;0,(H631*$F631)/365.25,0)</f>
        <v>0</v>
      </c>
      <c r="L631">
        <f t="shared" ref="L631" si="962">IF(F631&gt;0,(I631*$F631)/365.25,0)</f>
        <v>0</v>
      </c>
      <c r="M631" s="65"/>
      <c r="N631" s="220"/>
    </row>
    <row r="632" spans="1:17" hidden="1" outlineLevel="1">
      <c r="A632" s="195">
        <v>45230</v>
      </c>
      <c r="B632" s="195">
        <v>45230</v>
      </c>
      <c r="C632" s="196">
        <v>2036</v>
      </c>
      <c r="D632" s="197"/>
      <c r="E632" s="198">
        <f t="shared" si="918"/>
        <v>1564177</v>
      </c>
      <c r="F632" s="198">
        <f>C632</f>
        <v>2036</v>
      </c>
      <c r="G632" s="199">
        <f>G631+C632-D632</f>
        <v>801708.5</v>
      </c>
      <c r="H632" s="199">
        <f t="shared" ref="H632" si="963">IF(B632="",DATEDIF(A632,$G$1,"d"),DATEDIF(A632,B632,"d"))</f>
        <v>0</v>
      </c>
      <c r="I632" s="200">
        <f t="shared" si="921"/>
        <v>0</v>
      </c>
      <c r="J632" s="200" t="s">
        <v>2387</v>
      </c>
      <c r="K632" s="200">
        <f>(H632*$C632)/365.25</f>
        <v>0</v>
      </c>
      <c r="L632" s="200">
        <f>(I632*$C632)/365.25</f>
        <v>0</v>
      </c>
      <c r="M632" s="200" t="s">
        <v>101</v>
      </c>
      <c r="N632" s="220"/>
    </row>
    <row r="633" spans="1:17" hidden="1" outlineLevel="1">
      <c r="A633" s="147">
        <v>45233</v>
      </c>
      <c r="B633" s="147"/>
      <c r="C633" s="148">
        <v>9</v>
      </c>
      <c r="D633" s="149"/>
      <c r="E633" s="150">
        <f t="shared" si="918"/>
        <v>1564186</v>
      </c>
      <c r="F633" s="150">
        <f t="shared" ref="F633:F634" si="964">C633-D633</f>
        <v>9</v>
      </c>
      <c r="G633" s="151">
        <f>G632+F633</f>
        <v>801717.5</v>
      </c>
      <c r="H633" s="151">
        <f>IF(B633="",DATEDIF(A633,$D$1,"d"),DATEDIF(A633,B633,"d"))</f>
        <v>58</v>
      </c>
      <c r="I633" s="152">
        <f t="shared" ca="1" si="921"/>
        <v>1077</v>
      </c>
      <c r="J633" s="152" t="s">
        <v>84</v>
      </c>
      <c r="K633" s="152">
        <f>IF(F633&gt;0,(H633*$F633)/365.25,0)</f>
        <v>1.429158110882957</v>
      </c>
      <c r="L633" s="152">
        <f ca="1">IF(F633&gt;0,(I633*$F633)/365.25,0)</f>
        <v>26.537987679671456</v>
      </c>
      <c r="M633" s="152"/>
      <c r="N633" s="220"/>
    </row>
    <row r="634" spans="1:17" hidden="1" outlineLevel="1">
      <c r="A634" s="139">
        <v>45238</v>
      </c>
      <c r="B634" s="139"/>
      <c r="C634" s="123"/>
      <c r="D634" s="124">
        <v>140</v>
      </c>
      <c r="E634" s="146">
        <f t="shared" ref="E634" si="965">E633+C634-D634</f>
        <v>1564046</v>
      </c>
      <c r="F634" s="146">
        <f t="shared" si="964"/>
        <v>-140</v>
      </c>
      <c r="G634" s="80">
        <f t="shared" ref="G634" si="966">G633+F634</f>
        <v>801577.5</v>
      </c>
      <c r="H634" s="80">
        <f t="shared" ref="H634" ca="1" si="967">IF(B634="",$C$1-A634,DATEDIF(A634,B634,"d"))</f>
        <v>1072</v>
      </c>
      <c r="I634">
        <f t="shared" ref="I634" ca="1" si="968">IF(B634="",$C$1-A634,H634)</f>
        <v>1072</v>
      </c>
      <c r="J634" s="65"/>
      <c r="K634">
        <f t="shared" ref="K634" si="969">IF(F634&gt;0,(H634*$F634)/365.25,0)</f>
        <v>0</v>
      </c>
      <c r="L634">
        <f t="shared" ref="L634" si="970">IF(F634&gt;0,(I634*$F634)/365.25,0)</f>
        <v>0</v>
      </c>
      <c r="M634" s="65"/>
      <c r="N634" s="220"/>
    </row>
    <row r="635" spans="1:17" hidden="1" outlineLevel="1">
      <c r="A635" s="195">
        <v>45247</v>
      </c>
      <c r="B635" s="195">
        <v>45247</v>
      </c>
      <c r="C635" s="196">
        <v>550</v>
      </c>
      <c r="D635" s="197"/>
      <c r="E635" s="198">
        <f t="shared" ref="E635:E643" si="971">E634+C635-D635</f>
        <v>1564596</v>
      </c>
      <c r="F635" s="198">
        <f t="shared" ref="F635" si="972">C635</f>
        <v>550</v>
      </c>
      <c r="G635" s="199">
        <f t="shared" ref="G635" si="973">G634+C635-D635</f>
        <v>802127.5</v>
      </c>
      <c r="H635" s="199">
        <f t="shared" ref="H635" si="974">IF(B635="",DATEDIF(A635,$G$1,"d"),DATEDIF(A635,B635,"d"))</f>
        <v>0</v>
      </c>
      <c r="I635" s="200">
        <f t="shared" ref="I635:I636" si="975">IF(B635="",$C$1-A635,H635)</f>
        <v>0</v>
      </c>
      <c r="J635" s="200" t="s">
        <v>2519</v>
      </c>
      <c r="K635" s="200">
        <f t="shared" ref="K635" si="976">(H635*$C635)/365.25</f>
        <v>0</v>
      </c>
      <c r="L635" s="200">
        <f t="shared" ref="L635" si="977">(I635*$C635)/365.25</f>
        <v>0</v>
      </c>
      <c r="M635" s="200" t="s">
        <v>101</v>
      </c>
      <c r="N635" s="220"/>
    </row>
    <row r="636" spans="1:17" hidden="1" outlineLevel="1">
      <c r="A636" s="139">
        <v>45264</v>
      </c>
      <c r="B636" s="139"/>
      <c r="C636" s="123"/>
      <c r="D636" s="124">
        <v>20</v>
      </c>
      <c r="E636" s="146">
        <f t="shared" si="971"/>
        <v>1564576</v>
      </c>
      <c r="F636" s="146">
        <f t="shared" ref="F636" si="978">C636-D636</f>
        <v>-20</v>
      </c>
      <c r="G636" s="80">
        <f t="shared" ref="G636" si="979">G635+F636</f>
        <v>802107.5</v>
      </c>
      <c r="H636" s="80">
        <f t="shared" ref="H636" ca="1" si="980">IF(B636="",$C$1-A636,DATEDIF(A636,B636,"d"))</f>
        <v>1046</v>
      </c>
      <c r="I636">
        <f t="shared" ca="1" si="975"/>
        <v>1046</v>
      </c>
      <c r="J636" s="65"/>
      <c r="K636">
        <f t="shared" ref="K636" si="981">IF(F636&gt;0,(H636*$F636)/365.25,0)</f>
        <v>0</v>
      </c>
      <c r="L636">
        <f t="shared" ref="L636" si="982">IF(F636&gt;0,(I636*$F636)/365.25,0)</f>
        <v>0</v>
      </c>
      <c r="M636" s="65"/>
      <c r="N636" s="220"/>
    </row>
    <row r="637" spans="1:17" hidden="1" outlineLevel="1">
      <c r="A637" s="139">
        <v>45275</v>
      </c>
      <c r="B637" s="139"/>
      <c r="C637" s="123"/>
      <c r="D637" s="124">
        <v>362515</v>
      </c>
      <c r="E637" s="146">
        <f t="shared" si="971"/>
        <v>1202061</v>
      </c>
      <c r="F637" s="146"/>
      <c r="G637" s="80">
        <f t="shared" ref="G637:G642" si="983">G636+F637</f>
        <v>802107.5</v>
      </c>
      <c r="H637" s="80">
        <f t="shared" ref="H637:H642" ca="1" si="984">IF(B637="",$C$1-A637,DATEDIF(A637,B637,"d"))</f>
        <v>1035</v>
      </c>
      <c r="I637">
        <f t="shared" ref="I637:I644" ca="1" si="985">IF(B637="",$C$1-A637,H637)</f>
        <v>1035</v>
      </c>
      <c r="J637" s="65" t="s">
        <v>2514</v>
      </c>
      <c r="K637">
        <f t="shared" ref="K637:K642" si="986">IF(F637&gt;0,(H637*$F637)/365.25,0)</f>
        <v>0</v>
      </c>
      <c r="L637">
        <f t="shared" ref="L637:L642" si="987">IF(F637&gt;0,(I637*$F637)/365.25,0)</f>
        <v>0</v>
      </c>
      <c r="M637" s="65"/>
      <c r="N637" s="220"/>
      <c r="O637" s="66"/>
      <c r="P637" s="65"/>
      <c r="Q637" s="132"/>
    </row>
    <row r="638" spans="1:17" hidden="1" outlineLevel="1">
      <c r="A638" s="139">
        <v>45275</v>
      </c>
      <c r="B638" s="139"/>
      <c r="C638" s="123">
        <v>137390</v>
      </c>
      <c r="D638" s="124"/>
      <c r="E638" s="146">
        <f t="shared" si="971"/>
        <v>1339451</v>
      </c>
      <c r="F638" s="146"/>
      <c r="G638" s="80">
        <f t="shared" si="983"/>
        <v>802107.5</v>
      </c>
      <c r="H638" s="80">
        <f t="shared" ca="1" si="984"/>
        <v>1035</v>
      </c>
      <c r="I638">
        <f t="shared" ca="1" si="985"/>
        <v>1035</v>
      </c>
      <c r="J638" s="65" t="s">
        <v>2447</v>
      </c>
      <c r="K638">
        <f t="shared" si="986"/>
        <v>0</v>
      </c>
      <c r="L638">
        <f t="shared" si="987"/>
        <v>0</v>
      </c>
      <c r="M638" s="65"/>
      <c r="N638" s="220"/>
      <c r="O638" s="66"/>
      <c r="P638" s="65"/>
      <c r="Q638" s="132"/>
    </row>
    <row r="639" spans="1:17" hidden="1" outlineLevel="1">
      <c r="A639" s="195">
        <v>45275</v>
      </c>
      <c r="B639" s="195">
        <v>45275</v>
      </c>
      <c r="C639" s="196">
        <v>550</v>
      </c>
      <c r="D639" s="197"/>
      <c r="E639" s="198">
        <f t="shared" ref="E639" si="988">E638+C639-D639</f>
        <v>1340001</v>
      </c>
      <c r="F639" s="198">
        <f t="shared" ref="F639" si="989">C639</f>
        <v>550</v>
      </c>
      <c r="G639" s="199">
        <f t="shared" ref="G639" si="990">G638+C639-D639</f>
        <v>802657.5</v>
      </c>
      <c r="H639" s="199">
        <f t="shared" ref="H639" si="991">IF(B639="",DATEDIF(A639,$G$1,"d"),DATEDIF(A639,B639,"d"))</f>
        <v>0</v>
      </c>
      <c r="I639" s="200">
        <f t="shared" si="985"/>
        <v>0</v>
      </c>
      <c r="J639" s="200" t="s">
        <v>2519</v>
      </c>
      <c r="K639" s="200">
        <f t="shared" ref="K639" si="992">(H639*$C639)/365.25</f>
        <v>0</v>
      </c>
      <c r="L639" s="200">
        <f t="shared" ref="L639" si="993">(I639*$C639)/365.25</f>
        <v>0</v>
      </c>
      <c r="M639" s="200" t="s">
        <v>101</v>
      </c>
      <c r="N639" s="220"/>
    </row>
    <row r="640" spans="1:17" hidden="1" outlineLevel="1">
      <c r="A640" s="153">
        <v>45281</v>
      </c>
      <c r="B640" s="153"/>
      <c r="C640" s="154">
        <v>4274</v>
      </c>
      <c r="D640" s="155"/>
      <c r="E640" s="156">
        <f>E639+C640-D640</f>
        <v>1344275</v>
      </c>
      <c r="F640" s="156">
        <f>C640-D640</f>
        <v>4274</v>
      </c>
      <c r="G640" s="157">
        <f>IF(B640="",G639,G639+C640-D640)</f>
        <v>802657.5</v>
      </c>
      <c r="H640" s="157">
        <f t="shared" ref="H640" ca="1" si="994">IF(B640="",$C$1-A640,DATEDIF(A640,B640,"d"))</f>
        <v>1029</v>
      </c>
      <c r="I640" s="158">
        <f ca="1">IF(B640="",$C$1-A640,H640)</f>
        <v>1029</v>
      </c>
      <c r="J640" s="158" t="s">
        <v>48</v>
      </c>
      <c r="K640" s="158">
        <f ca="1">(H640*$C640)/365.25</f>
        <v>12040.919917864476</v>
      </c>
      <c r="L640" s="158">
        <f ca="1">(I640*$C640)/365.25</f>
        <v>12040.919917864476</v>
      </c>
      <c r="M640" s="159"/>
      <c r="N640" s="220"/>
      <c r="O640" s="66"/>
      <c r="P640" s="65"/>
      <c r="Q640" s="132"/>
    </row>
    <row r="641" spans="1:17" hidden="1" outlineLevel="1">
      <c r="A641" s="139">
        <v>45289</v>
      </c>
      <c r="B641" s="139"/>
      <c r="C641" s="123"/>
      <c r="D641" s="124">
        <v>38534</v>
      </c>
      <c r="E641" s="146">
        <f t="shared" si="971"/>
        <v>1305741</v>
      </c>
      <c r="F641" s="146"/>
      <c r="G641" s="80">
        <f t="shared" si="983"/>
        <v>802657.5</v>
      </c>
      <c r="H641" s="80">
        <f t="shared" ca="1" si="984"/>
        <v>1021</v>
      </c>
      <c r="I641">
        <f t="shared" ca="1" si="985"/>
        <v>1021</v>
      </c>
      <c r="J641" s="65" t="s">
        <v>2513</v>
      </c>
      <c r="K641">
        <f t="shared" si="986"/>
        <v>0</v>
      </c>
      <c r="L641">
        <f t="shared" si="987"/>
        <v>0</v>
      </c>
      <c r="M641" s="65"/>
      <c r="N641" s="220"/>
      <c r="O641" s="66"/>
      <c r="P641" s="65"/>
      <c r="Q641" s="132"/>
    </row>
    <row r="642" spans="1:17" ht="17.25" hidden="1" outlineLevel="1" thickBot="1">
      <c r="A642" s="139">
        <v>45289</v>
      </c>
      <c r="B642" s="139"/>
      <c r="C642" s="123"/>
      <c r="D642" s="124">
        <v>53776</v>
      </c>
      <c r="E642" s="146">
        <f t="shared" si="971"/>
        <v>1251965</v>
      </c>
      <c r="F642" s="146"/>
      <c r="G642" s="80">
        <f t="shared" si="983"/>
        <v>802657.5</v>
      </c>
      <c r="H642" s="80">
        <f t="shared" ca="1" si="984"/>
        <v>1021</v>
      </c>
      <c r="I642">
        <f t="shared" ca="1" si="985"/>
        <v>1021</v>
      </c>
      <c r="J642" s="65" t="s">
        <v>2515</v>
      </c>
      <c r="K642">
        <f t="shared" si="986"/>
        <v>0</v>
      </c>
      <c r="L642">
        <f t="shared" si="987"/>
        <v>0</v>
      </c>
      <c r="M642" s="65"/>
      <c r="N642" s="220"/>
      <c r="O642" s="66"/>
      <c r="P642" s="65"/>
      <c r="Q642" s="132"/>
    </row>
    <row r="643" spans="1:17">
      <c r="A643" s="147">
        <v>45296</v>
      </c>
      <c r="B643" s="147"/>
      <c r="C643" s="148">
        <v>335</v>
      </c>
      <c r="D643" s="149"/>
      <c r="E643" s="150">
        <f t="shared" si="971"/>
        <v>1252300</v>
      </c>
      <c r="F643" s="150">
        <f t="shared" ref="F643:F644" si="995">C643-D643</f>
        <v>335</v>
      </c>
      <c r="G643" s="151">
        <f>G642+F643</f>
        <v>802992.5</v>
      </c>
      <c r="H643" s="151">
        <f ca="1">IF(B643="",DATEDIF(A643,$C$1,"d"),DATEDIF(A643,B643,"d"))</f>
        <v>1014</v>
      </c>
      <c r="I643" s="152">
        <f t="shared" ca="1" si="985"/>
        <v>1014</v>
      </c>
      <c r="J643" s="152" t="s">
        <v>84</v>
      </c>
      <c r="K643" s="152">
        <f ca="1">IF(F643&gt;0,(H643*$F643)/365.25,0)</f>
        <v>930.02053388090349</v>
      </c>
      <c r="L643" s="152">
        <f ca="1">IF(F643&gt;0,(I643*$F643)/365.25,0)</f>
        <v>930.02053388090349</v>
      </c>
      <c r="M643" s="152"/>
      <c r="N643" s="217" t="s">
        <v>2522</v>
      </c>
      <c r="O643" s="218">
        <f>SUM(D643:D694)</f>
        <v>1011601</v>
      </c>
    </row>
    <row r="644" spans="1:17" ht="17.25" thickBot="1">
      <c r="A644" s="139">
        <v>45301</v>
      </c>
      <c r="B644" s="139"/>
      <c r="C644" s="123"/>
      <c r="D644" s="124">
        <v>20</v>
      </c>
      <c r="E644" s="146">
        <f t="shared" ref="E644:E645" si="996">E643+C644-D644</f>
        <v>1252280</v>
      </c>
      <c r="F644" s="146">
        <f t="shared" si="995"/>
        <v>-20</v>
      </c>
      <c r="G644" s="80">
        <f t="shared" ref="G644" si="997">G643+F644</f>
        <v>802972.5</v>
      </c>
      <c r="H644" s="80">
        <f t="shared" ref="H644" ca="1" si="998">IF(B644="",$C$1-A644,DATEDIF(A644,B644,"d"))</f>
        <v>1009</v>
      </c>
      <c r="I644">
        <f t="shared" ca="1" si="985"/>
        <v>1009</v>
      </c>
      <c r="J644" s="65"/>
      <c r="K644">
        <f t="shared" ref="K644" si="999">IF(F644&gt;0,(H644*$F644)/365.25,0)</f>
        <v>0</v>
      </c>
      <c r="L644">
        <f t="shared" ref="L644" si="1000">IF(F644&gt;0,(I644*$F644)/365.25,0)</f>
        <v>0</v>
      </c>
      <c r="M644" s="65"/>
      <c r="N644" s="215" t="s">
        <v>2523</v>
      </c>
      <c r="O644" s="216">
        <f ca="1">(SUMPRODUCT(C643:C694,I643:I694)+SUMPRODUCT(D643:D694,I643:I694))/($C$1-$A$643)</f>
        <v>2724282.7041420117</v>
      </c>
    </row>
    <row r="645" spans="1:17">
      <c r="A645" s="195">
        <v>45306</v>
      </c>
      <c r="B645" s="195">
        <v>45306</v>
      </c>
      <c r="C645" s="196">
        <v>550</v>
      </c>
      <c r="D645" s="197"/>
      <c r="E645" s="198">
        <f t="shared" si="996"/>
        <v>1252830</v>
      </c>
      <c r="F645" s="198">
        <f t="shared" ref="F645" si="1001">C645</f>
        <v>550</v>
      </c>
      <c r="G645" s="199">
        <f t="shared" ref="G645" si="1002">G644+C645-D645</f>
        <v>803522.5</v>
      </c>
      <c r="H645" s="199">
        <f t="shared" ref="H645" si="1003">IF(B645="",DATEDIF(A645,$G$1,"d"),DATEDIF(A645,B645,"d"))</f>
        <v>0</v>
      </c>
      <c r="I645" s="200">
        <f t="shared" ref="I645" si="1004">IF(B645="",$C$1-A645,H645)</f>
        <v>0</v>
      </c>
      <c r="J645" s="200" t="s">
        <v>2519</v>
      </c>
      <c r="K645" s="200">
        <f t="shared" ref="K645" si="1005">(H645*$C645)/365.25</f>
        <v>0</v>
      </c>
      <c r="L645" s="200">
        <f t="shared" ref="L645" si="1006">(I645*$C645)/365.25</f>
        <v>0</v>
      </c>
      <c r="M645" s="200" t="s">
        <v>101</v>
      </c>
      <c r="N645" s="220"/>
      <c r="O645" s="66"/>
      <c r="P645" s="65"/>
      <c r="Q645" s="132"/>
    </row>
    <row r="646" spans="1:17">
      <c r="A646" s="195">
        <v>45310</v>
      </c>
      <c r="B646" s="195">
        <v>45310</v>
      </c>
      <c r="C646" s="196">
        <v>4414</v>
      </c>
      <c r="D646" s="197"/>
      <c r="E646" s="198">
        <f t="shared" ref="E646:E647" si="1007">E645+C646-D646</f>
        <v>1257244</v>
      </c>
      <c r="F646" s="198">
        <f t="shared" ref="F646" si="1008">C646</f>
        <v>4414</v>
      </c>
      <c r="G646" s="199">
        <f t="shared" ref="G646" si="1009">G645+C646-D646</f>
        <v>807936.5</v>
      </c>
      <c r="H646" s="199">
        <f t="shared" ref="H646" si="1010">IF(B646="",DATEDIF(A646,$G$1,"d"),DATEDIF(A646,B646,"d"))</f>
        <v>0</v>
      </c>
      <c r="I646" s="200">
        <f t="shared" ref="I646:I647" si="1011">IF(B646="",$C$1-A646,H646)</f>
        <v>0</v>
      </c>
      <c r="J646" s="200" t="s">
        <v>2477</v>
      </c>
      <c r="K646" s="200">
        <f t="shared" ref="K646" si="1012">(H646*$C646)/365.25</f>
        <v>0</v>
      </c>
      <c r="L646" s="200">
        <f t="shared" ref="L646" si="1013">(I646*$C646)/365.25</f>
        <v>0</v>
      </c>
      <c r="M646" s="200" t="s">
        <v>101</v>
      </c>
      <c r="N646" s="220"/>
    </row>
    <row r="647" spans="1:17">
      <c r="A647" s="139">
        <v>45315</v>
      </c>
      <c r="B647" s="139"/>
      <c r="C647" s="123">
        <v>50377</v>
      </c>
      <c r="D647" s="124"/>
      <c r="E647" s="146">
        <f t="shared" si="1007"/>
        <v>1307621</v>
      </c>
      <c r="F647" s="146"/>
      <c r="G647" s="80">
        <f t="shared" ref="G647" si="1014">G646+F647</f>
        <v>807936.5</v>
      </c>
      <c r="H647" s="80">
        <f t="shared" ref="H647" ca="1" si="1015">IF(B647="",$C$1-A647,DATEDIF(A647,B647,"d"))</f>
        <v>995</v>
      </c>
      <c r="I647">
        <f t="shared" ca="1" si="1011"/>
        <v>995</v>
      </c>
      <c r="J647" s="65" t="s">
        <v>2515</v>
      </c>
      <c r="K647">
        <f t="shared" ref="K647" si="1016">IF(F647&gt;0,(H647*$F647)/365.25,0)</f>
        <v>0</v>
      </c>
      <c r="L647">
        <f t="shared" ref="L647" si="1017">IF(F647&gt;0,(I647*$F647)/365.25,0)</f>
        <v>0</v>
      </c>
      <c r="M647" s="65"/>
      <c r="O647" s="66"/>
      <c r="P647" s="65"/>
      <c r="Q647" s="132"/>
    </row>
    <row r="648" spans="1:17">
      <c r="A648" s="139">
        <v>45322</v>
      </c>
      <c r="B648" s="139"/>
      <c r="C648" s="123">
        <v>392257</v>
      </c>
      <c r="D648" s="124"/>
      <c r="E648" s="146">
        <f t="shared" ref="E648:E681" si="1018">E647+C648-D648</f>
        <v>1699878</v>
      </c>
      <c r="F648" s="146"/>
      <c r="G648" s="80">
        <f t="shared" ref="G648:G659" si="1019">G647+F648</f>
        <v>807936.5</v>
      </c>
      <c r="H648" s="80">
        <f t="shared" ref="H648:H659" ca="1" si="1020">IF(B648="",$C$1-A648,DATEDIF(A648,B648,"d"))</f>
        <v>988</v>
      </c>
      <c r="I648">
        <f t="shared" ref="I648:I659" ca="1" si="1021">IF(B648="",$C$1-A648,H648)</f>
        <v>988</v>
      </c>
      <c r="J648" s="65" t="s">
        <v>2514</v>
      </c>
      <c r="K648">
        <f t="shared" ref="K648:K659" si="1022">IF(F648&gt;0,(H648*$F648)/365.25,0)</f>
        <v>0</v>
      </c>
      <c r="L648">
        <f t="shared" ref="L648:L659" si="1023">IF(F648&gt;0,(I648*$F648)/365.25,0)</f>
        <v>0</v>
      </c>
      <c r="M648" s="65"/>
      <c r="O648" s="66"/>
      <c r="P648" s="65"/>
      <c r="Q648" s="132"/>
    </row>
    <row r="649" spans="1:17">
      <c r="A649" s="147">
        <v>45296</v>
      </c>
      <c r="B649" s="147"/>
      <c r="C649" s="148">
        <v>252</v>
      </c>
      <c r="D649" s="149"/>
      <c r="E649" s="150">
        <f t="shared" si="1018"/>
        <v>1700130</v>
      </c>
      <c r="F649" s="150">
        <f t="shared" ref="F649" si="1024">C649-D649</f>
        <v>252</v>
      </c>
      <c r="G649" s="151">
        <f>G648+F649</f>
        <v>808188.5</v>
      </c>
      <c r="H649" s="151">
        <f ca="1">IF(B649="",DATEDIF(A649,$C$1,"d"),DATEDIF(A649,B649,"d"))</f>
        <v>1014</v>
      </c>
      <c r="I649" s="152">
        <f t="shared" ca="1" si="1021"/>
        <v>1014</v>
      </c>
      <c r="J649" s="152" t="s">
        <v>84</v>
      </c>
      <c r="K649" s="152">
        <f ca="1">IF(F649&gt;0,(H649*$F649)/365.25,0)</f>
        <v>699.59753593429161</v>
      </c>
      <c r="L649" s="152">
        <f ca="1">IF(F649&gt;0,(I649*$F649)/365.25,0)</f>
        <v>699.59753593429161</v>
      </c>
      <c r="M649" s="152"/>
      <c r="O649" s="220"/>
    </row>
    <row r="650" spans="1:17">
      <c r="A650" s="139">
        <v>45342</v>
      </c>
      <c r="B650" s="139"/>
      <c r="C650" s="123"/>
      <c r="D650" s="124">
        <v>18977</v>
      </c>
      <c r="E650" s="146">
        <f t="shared" si="1018"/>
        <v>1681153</v>
      </c>
      <c r="F650" s="146"/>
      <c r="G650" s="80">
        <f t="shared" si="1019"/>
        <v>808188.5</v>
      </c>
      <c r="H650" s="80">
        <f t="shared" ca="1" si="1020"/>
        <v>968</v>
      </c>
      <c r="I650">
        <f t="shared" ca="1" si="1021"/>
        <v>968</v>
      </c>
      <c r="J650" s="65" t="s">
        <v>2502</v>
      </c>
      <c r="K650">
        <f t="shared" si="1022"/>
        <v>0</v>
      </c>
      <c r="L650">
        <f t="shared" si="1023"/>
        <v>0</v>
      </c>
      <c r="M650" s="65"/>
      <c r="O650" s="66"/>
      <c r="P650" s="65"/>
      <c r="Q650" s="132"/>
    </row>
    <row r="651" spans="1:17">
      <c r="A651" s="139">
        <v>45342</v>
      </c>
      <c r="B651" s="139"/>
      <c r="C651" s="123"/>
      <c r="D651" s="124">
        <v>162230</v>
      </c>
      <c r="E651" s="146">
        <f t="shared" si="1018"/>
        <v>1518923</v>
      </c>
      <c r="F651" s="146"/>
      <c r="G651" s="80">
        <f t="shared" si="1019"/>
        <v>808188.5</v>
      </c>
      <c r="H651" s="80">
        <f t="shared" ca="1" si="1020"/>
        <v>968</v>
      </c>
      <c r="I651">
        <f t="shared" ca="1" si="1021"/>
        <v>968</v>
      </c>
      <c r="J651" s="65" t="s">
        <v>2503</v>
      </c>
      <c r="K651">
        <f t="shared" si="1022"/>
        <v>0</v>
      </c>
      <c r="L651">
        <f t="shared" si="1023"/>
        <v>0</v>
      </c>
      <c r="M651" s="65"/>
      <c r="O651" s="66"/>
      <c r="P651" s="65"/>
      <c r="Q651" s="132"/>
    </row>
    <row r="652" spans="1:17">
      <c r="A652" s="139">
        <v>45342</v>
      </c>
      <c r="B652" s="139"/>
      <c r="C652" s="123"/>
      <c r="D652" s="124">
        <v>60</v>
      </c>
      <c r="E652" s="146">
        <f t="shared" si="1018"/>
        <v>1518863</v>
      </c>
      <c r="F652" s="146">
        <f t="shared" ref="F652" si="1025">C652-D652</f>
        <v>-60</v>
      </c>
      <c r="G652" s="80">
        <f t="shared" si="1019"/>
        <v>808128.5</v>
      </c>
      <c r="H652" s="80">
        <f t="shared" ca="1" si="1020"/>
        <v>968</v>
      </c>
      <c r="I652">
        <f t="shared" ca="1" si="1021"/>
        <v>968</v>
      </c>
      <c r="J652" s="65"/>
      <c r="K652">
        <f t="shared" si="1022"/>
        <v>0</v>
      </c>
      <c r="L652">
        <f t="shared" si="1023"/>
        <v>0</v>
      </c>
      <c r="M652" s="65"/>
      <c r="N652" s="65" t="s">
        <v>2381</v>
      </c>
      <c r="O652" s="220"/>
    </row>
    <row r="653" spans="1:17">
      <c r="A653" s="139">
        <v>45342</v>
      </c>
      <c r="B653" s="139"/>
      <c r="C653" s="123"/>
      <c r="D653" s="124">
        <v>52274</v>
      </c>
      <c r="E653" s="146">
        <f t="shared" si="1018"/>
        <v>1466589</v>
      </c>
      <c r="F653" s="146"/>
      <c r="G653" s="80">
        <f t="shared" si="1019"/>
        <v>808128.5</v>
      </c>
      <c r="H653" s="80">
        <f t="shared" ca="1" si="1020"/>
        <v>968</v>
      </c>
      <c r="I653">
        <f t="shared" ca="1" si="1021"/>
        <v>968</v>
      </c>
      <c r="J653" s="65" t="s">
        <v>2504</v>
      </c>
      <c r="K653">
        <f t="shared" si="1022"/>
        <v>0</v>
      </c>
      <c r="L653">
        <f t="shared" si="1023"/>
        <v>0</v>
      </c>
      <c r="M653" s="65"/>
      <c r="O653" s="66"/>
      <c r="P653" s="65"/>
      <c r="Q653" s="132"/>
    </row>
    <row r="654" spans="1:17">
      <c r="A654" s="139">
        <v>45342</v>
      </c>
      <c r="B654" s="139"/>
      <c r="C654" s="123"/>
      <c r="D654" s="124">
        <v>20</v>
      </c>
      <c r="E654" s="146">
        <f t="shared" ref="E654:E655" si="1026">E653+C654-D654</f>
        <v>1466569</v>
      </c>
      <c r="F654" s="146">
        <f t="shared" ref="F654" si="1027">C654-D654</f>
        <v>-20</v>
      </c>
      <c r="G654" s="80">
        <f t="shared" ref="G654" si="1028">G653+F654</f>
        <v>808108.5</v>
      </c>
      <c r="H654" s="80">
        <f t="shared" ref="H654" ca="1" si="1029">IF(B654="",$C$1-A654,DATEDIF(A654,B654,"d"))</f>
        <v>968</v>
      </c>
      <c r="I654">
        <f t="shared" ref="I654:I655" ca="1" si="1030">IF(B654="",$C$1-A654,H654)</f>
        <v>968</v>
      </c>
      <c r="J654" s="65"/>
      <c r="K654">
        <f t="shared" ref="K654" si="1031">IF(F654&gt;0,(H654*$F654)/365.25,0)</f>
        <v>0</v>
      </c>
      <c r="L654">
        <f t="shared" ref="L654" si="1032">IF(F654&gt;0,(I654*$F654)/365.25,0)</f>
        <v>0</v>
      </c>
      <c r="M654" s="65"/>
      <c r="N654" s="65" t="s">
        <v>2381</v>
      </c>
      <c r="O654" s="220"/>
    </row>
    <row r="655" spans="1:17">
      <c r="A655" s="195">
        <v>45344</v>
      </c>
      <c r="B655" s="195">
        <v>45344</v>
      </c>
      <c r="C655" s="196">
        <v>910</v>
      </c>
      <c r="D655" s="197"/>
      <c r="E655" s="198">
        <f t="shared" si="1026"/>
        <v>1467479</v>
      </c>
      <c r="F655" s="198">
        <f t="shared" ref="F655" si="1033">C655</f>
        <v>910</v>
      </c>
      <c r="G655" s="199">
        <f t="shared" ref="G655" si="1034">G654+C655-D655</f>
        <v>809018.5</v>
      </c>
      <c r="H655" s="199">
        <f t="shared" ref="H655" si="1035">IF(B655="",DATEDIF(A655,$G$1,"d"),DATEDIF(A655,B655,"d"))</f>
        <v>0</v>
      </c>
      <c r="I655" s="200">
        <f t="shared" si="1030"/>
        <v>0</v>
      </c>
      <c r="J655" s="200" t="s">
        <v>2519</v>
      </c>
      <c r="K655" s="200">
        <f t="shared" ref="K655" si="1036">(H655*$C655)/365.25</f>
        <v>0</v>
      </c>
      <c r="L655" s="200">
        <f t="shared" ref="L655" si="1037">(I655*$C655)/365.25</f>
        <v>0</v>
      </c>
      <c r="M655" s="200" t="s">
        <v>101</v>
      </c>
      <c r="O655" s="220"/>
    </row>
    <row r="656" spans="1:17">
      <c r="A656" s="139">
        <v>45352</v>
      </c>
      <c r="B656" s="139"/>
      <c r="C656" s="123"/>
      <c r="D656" s="124">
        <v>80</v>
      </c>
      <c r="E656" s="146">
        <f t="shared" ref="E656" si="1038">E655+C656-D656</f>
        <v>1467399</v>
      </c>
      <c r="F656" s="146">
        <f t="shared" ref="F656" si="1039">C656-D656</f>
        <v>-80</v>
      </c>
      <c r="G656" s="80">
        <f t="shared" ref="G656" si="1040">G655+F656</f>
        <v>808938.5</v>
      </c>
      <c r="H656" s="80">
        <f t="shared" ref="H656" ca="1" si="1041">IF(B656="",$C$1-A656,DATEDIF(A656,B656,"d"))</f>
        <v>958</v>
      </c>
      <c r="I656">
        <f t="shared" ref="I656" ca="1" si="1042">IF(B656="",$C$1-A656,H656)</f>
        <v>958</v>
      </c>
      <c r="J656" s="65"/>
      <c r="K656">
        <f t="shared" ref="K656" si="1043">IF(F656&gt;0,(H656*$F656)/365.25,0)</f>
        <v>0</v>
      </c>
      <c r="L656">
        <f t="shared" ref="L656" si="1044">IF(F656&gt;0,(I656*$F656)/365.25,0)</f>
        <v>0</v>
      </c>
      <c r="M656" s="65"/>
      <c r="N656" s="65" t="s">
        <v>2381</v>
      </c>
      <c r="O656" s="220"/>
    </row>
    <row r="657" spans="1:18">
      <c r="A657" s="139">
        <v>45352</v>
      </c>
      <c r="B657" s="139"/>
      <c r="C657" s="123"/>
      <c r="D657" s="124">
        <v>105650</v>
      </c>
      <c r="E657" s="146">
        <f t="shared" si="1018"/>
        <v>1361749</v>
      </c>
      <c r="F657" s="146"/>
      <c r="G657" s="80">
        <f t="shared" si="1019"/>
        <v>808938.5</v>
      </c>
      <c r="H657" s="80">
        <f t="shared" ca="1" si="1020"/>
        <v>958</v>
      </c>
      <c r="I657">
        <f t="shared" ca="1" si="1021"/>
        <v>958</v>
      </c>
      <c r="J657" s="65" t="s">
        <v>2524</v>
      </c>
      <c r="K657">
        <f t="shared" si="1022"/>
        <v>0</v>
      </c>
      <c r="L657">
        <f t="shared" si="1023"/>
        <v>0</v>
      </c>
      <c r="M657" s="65"/>
      <c r="O657" s="66"/>
      <c r="P657" s="65"/>
      <c r="Q657" s="132"/>
    </row>
    <row r="658" spans="1:18">
      <c r="A658" s="147">
        <v>45356</v>
      </c>
      <c r="B658" s="147"/>
      <c r="C658" s="148">
        <v>191</v>
      </c>
      <c r="D658" s="149"/>
      <c r="E658" s="150">
        <f t="shared" ref="E658" si="1045">E657+C658-D658</f>
        <v>1361940</v>
      </c>
      <c r="F658" s="150">
        <f t="shared" ref="F658" si="1046">C658-D658</f>
        <v>191</v>
      </c>
      <c r="G658" s="151">
        <f>G657+F658</f>
        <v>809129.5</v>
      </c>
      <c r="H658" s="151">
        <f ca="1">IF(B658="",DATEDIF(A658,$C$1,"d"),DATEDIF(A658,B658,"d"))</f>
        <v>954</v>
      </c>
      <c r="I658" s="152">
        <f t="shared" ref="I658" ca="1" si="1047">IF(B658="",$C$1-A658,H658)</f>
        <v>954</v>
      </c>
      <c r="J658" s="152" t="s">
        <v>84</v>
      </c>
      <c r="K658" s="152">
        <f ca="1">IF(F658&gt;0,(H658*$F658)/365.25,0)</f>
        <v>498.87474332648873</v>
      </c>
      <c r="L658" s="152">
        <f ca="1">IF(F658&gt;0,(I658*$F658)/365.25,0)</f>
        <v>498.87474332648873</v>
      </c>
      <c r="M658" s="152"/>
      <c r="O658" s="220"/>
    </row>
    <row r="659" spans="1:18">
      <c r="A659" s="139">
        <v>45363</v>
      </c>
      <c r="B659" s="139"/>
      <c r="C659" s="123"/>
      <c r="D659" s="124">
        <v>168740</v>
      </c>
      <c r="E659" s="146">
        <f>E658+C659-D659</f>
        <v>1193200</v>
      </c>
      <c r="F659" s="146"/>
      <c r="G659" s="80">
        <f t="shared" si="1019"/>
        <v>809129.5</v>
      </c>
      <c r="H659" s="80">
        <f t="shared" ca="1" si="1020"/>
        <v>947</v>
      </c>
      <c r="I659">
        <f t="shared" ca="1" si="1021"/>
        <v>947</v>
      </c>
      <c r="J659" s="65" t="s">
        <v>2525</v>
      </c>
      <c r="K659">
        <f t="shared" si="1022"/>
        <v>0</v>
      </c>
      <c r="L659">
        <f t="shared" si="1023"/>
        <v>0</v>
      </c>
      <c r="M659" s="65"/>
      <c r="O659" s="66"/>
      <c r="P659" s="65"/>
      <c r="Q659" s="132"/>
    </row>
    <row r="660" spans="1:18">
      <c r="A660" s="139">
        <v>45363</v>
      </c>
      <c r="B660" s="139"/>
      <c r="C660" s="123"/>
      <c r="D660" s="124">
        <v>60085</v>
      </c>
      <c r="E660" s="146">
        <f t="shared" ref="E660:E665" si="1048">E659+C660-D660</f>
        <v>1133115</v>
      </c>
      <c r="F660" s="146"/>
      <c r="G660" s="80">
        <f t="shared" ref="G660:G677" si="1049">G659+F660</f>
        <v>809129.5</v>
      </c>
      <c r="H660" s="80">
        <f t="shared" ref="H660:H677" ca="1" si="1050">IF(B660="",$C$1-A660,DATEDIF(A660,B660,"d"))</f>
        <v>947</v>
      </c>
      <c r="I660">
        <f t="shared" ref="I660:I677" ca="1" si="1051">IF(B660="",$C$1-A660,H660)</f>
        <v>947</v>
      </c>
      <c r="J660" s="65" t="s">
        <v>2526</v>
      </c>
      <c r="K660">
        <f t="shared" ref="K660:K677" si="1052">IF(F660&gt;0,(H660*$F660)/365.25,0)</f>
        <v>0</v>
      </c>
      <c r="L660">
        <f t="shared" ref="L660:L677" si="1053">IF(F660&gt;0,(I660*$F660)/365.25,0)</f>
        <v>0</v>
      </c>
      <c r="M660" s="65"/>
      <c r="O660" s="66"/>
      <c r="P660" s="65"/>
      <c r="Q660" s="132"/>
    </row>
    <row r="661" spans="1:18">
      <c r="A661" s="139">
        <v>45364</v>
      </c>
      <c r="B661" s="139"/>
      <c r="C661" s="123"/>
      <c r="D661" s="124">
        <v>31995</v>
      </c>
      <c r="E661" s="146">
        <f t="shared" si="1048"/>
        <v>1101120</v>
      </c>
      <c r="F661" s="146"/>
      <c r="G661" s="80">
        <f t="shared" si="1049"/>
        <v>809129.5</v>
      </c>
      <c r="H661" s="80">
        <f t="shared" ca="1" si="1050"/>
        <v>946</v>
      </c>
      <c r="I661">
        <f t="shared" ca="1" si="1051"/>
        <v>946</v>
      </c>
      <c r="J661" s="65" t="s">
        <v>2527</v>
      </c>
      <c r="K661">
        <f t="shared" si="1052"/>
        <v>0</v>
      </c>
      <c r="L661">
        <f t="shared" si="1053"/>
        <v>0</v>
      </c>
      <c r="M661" s="65"/>
      <c r="O661" s="66"/>
      <c r="P661" s="65"/>
      <c r="Q661" s="132"/>
    </row>
    <row r="662" spans="1:18">
      <c r="A662" s="139">
        <v>45369</v>
      </c>
      <c r="B662" s="139"/>
      <c r="C662" s="123"/>
      <c r="D662" s="124">
        <v>20</v>
      </c>
      <c r="E662" s="146">
        <f t="shared" si="1048"/>
        <v>1101100</v>
      </c>
      <c r="F662" s="146">
        <f t="shared" ref="F662" si="1054">C662-D662</f>
        <v>-20</v>
      </c>
      <c r="G662" s="80">
        <f t="shared" si="1049"/>
        <v>809109.5</v>
      </c>
      <c r="H662" s="80">
        <f t="shared" ca="1" si="1050"/>
        <v>941</v>
      </c>
      <c r="I662">
        <f t="shared" ca="1" si="1051"/>
        <v>941</v>
      </c>
      <c r="J662" s="65"/>
      <c r="K662">
        <f t="shared" si="1052"/>
        <v>0</v>
      </c>
      <c r="L662">
        <f t="shared" si="1053"/>
        <v>0</v>
      </c>
      <c r="M662" s="65"/>
      <c r="N662" s="65" t="s">
        <v>2381</v>
      </c>
    </row>
    <row r="663" spans="1:18">
      <c r="A663" s="139">
        <v>45370</v>
      </c>
      <c r="B663" s="139"/>
      <c r="C663" s="123">
        <v>105531</v>
      </c>
      <c r="D663" s="124"/>
      <c r="E663" s="146">
        <f t="shared" si="1048"/>
        <v>1206631</v>
      </c>
      <c r="F663" s="146"/>
      <c r="G663" s="80">
        <f t="shared" si="1049"/>
        <v>809109.5</v>
      </c>
      <c r="H663" s="80">
        <f t="shared" ca="1" si="1050"/>
        <v>940</v>
      </c>
      <c r="I663">
        <f t="shared" ca="1" si="1051"/>
        <v>940</v>
      </c>
      <c r="J663" s="65" t="s">
        <v>2524</v>
      </c>
      <c r="K663">
        <f t="shared" si="1052"/>
        <v>0</v>
      </c>
      <c r="L663">
        <f t="shared" si="1053"/>
        <v>0</v>
      </c>
      <c r="M663" s="65"/>
      <c r="O663" s="66"/>
      <c r="P663" s="65"/>
      <c r="Q663" s="132"/>
    </row>
    <row r="664" spans="1:18">
      <c r="A664" s="139">
        <v>45371</v>
      </c>
      <c r="B664" s="139"/>
      <c r="C664" s="123">
        <v>172235</v>
      </c>
      <c r="D664" s="124"/>
      <c r="E664" s="146">
        <f t="shared" si="1048"/>
        <v>1378866</v>
      </c>
      <c r="F664" s="146"/>
      <c r="G664" s="80">
        <f t="shared" si="1049"/>
        <v>809109.5</v>
      </c>
      <c r="H664" s="80">
        <f t="shared" ca="1" si="1050"/>
        <v>939</v>
      </c>
      <c r="I664">
        <f t="shared" ca="1" si="1051"/>
        <v>939</v>
      </c>
      <c r="J664" s="65" t="s">
        <v>2525</v>
      </c>
      <c r="K664">
        <f t="shared" si="1052"/>
        <v>0</v>
      </c>
      <c r="L664">
        <f t="shared" si="1053"/>
        <v>0</v>
      </c>
      <c r="M664" s="65"/>
      <c r="O664" s="66"/>
      <c r="P664" s="65"/>
      <c r="Q664" s="132"/>
    </row>
    <row r="665" spans="1:18">
      <c r="A665" s="139">
        <v>45372</v>
      </c>
      <c r="B665" s="139"/>
      <c r="C665" s="123"/>
      <c r="D665" s="124">
        <v>40</v>
      </c>
      <c r="E665" s="146">
        <f t="shared" si="1048"/>
        <v>1378826</v>
      </c>
      <c r="F665" s="146"/>
      <c r="G665" s="80">
        <f t="shared" si="1049"/>
        <v>809109.5</v>
      </c>
      <c r="H665" s="80">
        <f t="shared" ca="1" si="1050"/>
        <v>938</v>
      </c>
      <c r="I665">
        <f t="shared" ca="1" si="1051"/>
        <v>938</v>
      </c>
      <c r="J665" s="65"/>
      <c r="K665">
        <f t="shared" si="1052"/>
        <v>0</v>
      </c>
      <c r="L665">
        <f t="shared" si="1053"/>
        <v>0</v>
      </c>
      <c r="M665" s="65"/>
      <c r="N665" s="65" t="s">
        <v>2381</v>
      </c>
      <c r="O665" s="66"/>
      <c r="P665" s="65"/>
      <c r="Q665" s="132"/>
    </row>
    <row r="666" spans="1:18">
      <c r="A666" s="195">
        <v>45377</v>
      </c>
      <c r="B666" s="195">
        <v>45377</v>
      </c>
      <c r="C666" s="196">
        <v>1040</v>
      </c>
      <c r="D666" s="197"/>
      <c r="E666" s="198">
        <f>E665+C666-D666</f>
        <v>1379866</v>
      </c>
      <c r="F666" s="198">
        <f t="shared" ref="F666" si="1055">C666</f>
        <v>1040</v>
      </c>
      <c r="G666" s="199">
        <f t="shared" ref="G666" si="1056">G665+C666-D666</f>
        <v>810149.5</v>
      </c>
      <c r="H666" s="199">
        <f t="shared" ref="H666" si="1057">IF(B666="",DATEDIF(A666,$G$1,"d"),DATEDIF(A666,B666,"d"))</f>
        <v>0</v>
      </c>
      <c r="I666" s="200">
        <f t="shared" si="1051"/>
        <v>0</v>
      </c>
      <c r="J666" s="200" t="s">
        <v>2519</v>
      </c>
      <c r="K666" s="200">
        <f t="shared" ref="K666" si="1058">(H666*$C666)/365.25</f>
        <v>0</v>
      </c>
      <c r="L666" s="200">
        <f t="shared" ref="L666" si="1059">(I666*$C666)/365.25</f>
        <v>0</v>
      </c>
      <c r="M666" s="200" t="s">
        <v>101</v>
      </c>
      <c r="O666" s="220"/>
    </row>
    <row r="667" spans="1:18">
      <c r="A667" s="139">
        <v>45379</v>
      </c>
      <c r="B667" s="139"/>
      <c r="C667" s="123"/>
      <c r="D667" s="124">
        <v>120</v>
      </c>
      <c r="E667" s="146">
        <f>E666+C667-D667</f>
        <v>1379746</v>
      </c>
      <c r="F667" s="146"/>
      <c r="G667" s="80">
        <f t="shared" si="1049"/>
        <v>810149.5</v>
      </c>
      <c r="H667" s="80">
        <f t="shared" ca="1" si="1050"/>
        <v>931</v>
      </c>
      <c r="I667">
        <f t="shared" ca="1" si="1051"/>
        <v>931</v>
      </c>
      <c r="J667" s="65"/>
      <c r="K667">
        <f t="shared" si="1052"/>
        <v>0</v>
      </c>
      <c r="L667">
        <f t="shared" si="1053"/>
        <v>0</v>
      </c>
      <c r="M667" s="65"/>
      <c r="N667" s="65" t="s">
        <v>2381</v>
      </c>
      <c r="O667" s="66"/>
      <c r="P667" s="65"/>
      <c r="Q667" s="132"/>
    </row>
    <row r="668" spans="1:18">
      <c r="A668" s="139">
        <v>45379</v>
      </c>
      <c r="B668" s="139"/>
      <c r="C668" s="123"/>
      <c r="D668" s="124">
        <v>50070</v>
      </c>
      <c r="E668" s="146">
        <f>E667+C668-D668</f>
        <v>1329676</v>
      </c>
      <c r="F668" s="146"/>
      <c r="G668" s="80">
        <f t="shared" ref="G668:G669" si="1060">G667+F668</f>
        <v>810149.5</v>
      </c>
      <c r="H668" s="80">
        <f t="shared" ref="H668:H669" ca="1" si="1061">IF(B668="",$C$1-A668,DATEDIF(A668,B668,"d"))</f>
        <v>931</v>
      </c>
      <c r="I668">
        <f t="shared" ref="I668" ca="1" si="1062">IF(B668="",$C$1-A668,H668)</f>
        <v>931</v>
      </c>
      <c r="J668" s="65" t="s">
        <v>2532</v>
      </c>
      <c r="K668">
        <f t="shared" ref="K668:K669" si="1063">IF(F668&gt;0,(H668*$F668)/365.25,0)</f>
        <v>0</v>
      </c>
      <c r="L668">
        <f t="shared" ref="L668:L669" si="1064">IF(F668&gt;0,(I668*$F668)/365.25,0)</f>
        <v>0</v>
      </c>
      <c r="M668" s="65"/>
      <c r="N668" s="65" t="s">
        <v>2533</v>
      </c>
      <c r="Q668" s="132"/>
    </row>
    <row r="669" spans="1:18">
      <c r="A669" s="139">
        <v>45384</v>
      </c>
      <c r="B669" s="139"/>
      <c r="C669" s="123">
        <v>30266</v>
      </c>
      <c r="D669" s="124"/>
      <c r="E669" s="146">
        <f>E668+C669-D669</f>
        <v>1359942</v>
      </c>
      <c r="F669" s="146"/>
      <c r="G669" s="80">
        <f t="shared" si="1060"/>
        <v>810149.5</v>
      </c>
      <c r="H669" s="80">
        <f t="shared" ca="1" si="1061"/>
        <v>926</v>
      </c>
      <c r="I669">
        <f t="shared" ca="1" si="1051"/>
        <v>926</v>
      </c>
      <c r="J669" s="65" t="s">
        <v>2527</v>
      </c>
      <c r="K669">
        <f t="shared" si="1063"/>
        <v>0</v>
      </c>
      <c r="L669">
        <f t="shared" si="1064"/>
        <v>0</v>
      </c>
      <c r="M669" s="65"/>
      <c r="O669" s="66"/>
      <c r="P669" s="65"/>
      <c r="Q669" s="132"/>
    </row>
    <row r="670" spans="1:18">
      <c r="A670" s="147">
        <v>45385</v>
      </c>
      <c r="B670" s="147"/>
      <c r="C670" s="148">
        <v>323</v>
      </c>
      <c r="D670" s="149"/>
      <c r="E670" s="150">
        <f t="shared" si="1018"/>
        <v>1360265</v>
      </c>
      <c r="F670" s="150">
        <f t="shared" ref="F670" si="1065">C670-D670</f>
        <v>323</v>
      </c>
      <c r="G670" s="151">
        <f>G669+F670</f>
        <v>810472.5</v>
      </c>
      <c r="H670" s="151">
        <f ca="1">IF(B670="",DATEDIF(A670,$C$1,"d"),DATEDIF(A670,B670,"d"))</f>
        <v>925</v>
      </c>
      <c r="I670" s="152">
        <f t="shared" ca="1" si="1051"/>
        <v>925</v>
      </c>
      <c r="J670" s="152" t="s">
        <v>84</v>
      </c>
      <c r="K670" s="152">
        <f ca="1">IF(F670&gt;0,(H670*$F670)/365.25,0)</f>
        <v>818.00136892539354</v>
      </c>
      <c r="L670" s="152">
        <f ca="1">IF(F670&gt;0,(I670*$F670)/365.25,0)</f>
        <v>818.00136892539354</v>
      </c>
      <c r="M670" s="152"/>
      <c r="O670" s="66"/>
      <c r="P670" s="65"/>
      <c r="Q670" s="132"/>
    </row>
    <row r="671" spans="1:18">
      <c r="A671" s="139">
        <v>45385</v>
      </c>
      <c r="B671" s="139"/>
      <c r="C671" s="123"/>
      <c r="D671" s="124">
        <v>62889</v>
      </c>
      <c r="E671" s="146">
        <f t="shared" si="1018"/>
        <v>1297376</v>
      </c>
      <c r="F671" s="146"/>
      <c r="G671" s="80">
        <f t="shared" si="1049"/>
        <v>810472.5</v>
      </c>
      <c r="H671" s="80">
        <f t="shared" ca="1" si="1050"/>
        <v>925</v>
      </c>
      <c r="I671">
        <f t="shared" ca="1" si="1051"/>
        <v>925</v>
      </c>
      <c r="J671" s="65" t="s">
        <v>2528</v>
      </c>
      <c r="K671">
        <f t="shared" si="1052"/>
        <v>0</v>
      </c>
      <c r="L671">
        <f t="shared" si="1053"/>
        <v>0</v>
      </c>
      <c r="M671" s="65"/>
      <c r="N671" s="66"/>
      <c r="O671" s="66"/>
      <c r="P671" s="65"/>
      <c r="Q671" s="132"/>
      <c r="R671" s="222"/>
    </row>
    <row r="672" spans="1:18">
      <c r="A672" s="139">
        <v>45385</v>
      </c>
      <c r="B672" s="139"/>
      <c r="C672" s="123"/>
      <c r="D672" s="124">
        <v>79513</v>
      </c>
      <c r="E672" s="146">
        <f t="shared" si="1018"/>
        <v>1217863</v>
      </c>
      <c r="F672" s="146"/>
      <c r="G672" s="80">
        <f t="shared" si="1049"/>
        <v>810472.5</v>
      </c>
      <c r="H672" s="80">
        <f t="shared" ca="1" si="1050"/>
        <v>925</v>
      </c>
      <c r="I672">
        <f t="shared" ca="1" si="1051"/>
        <v>925</v>
      </c>
      <c r="J672" s="65" t="s">
        <v>2529</v>
      </c>
      <c r="K672">
        <f t="shared" si="1052"/>
        <v>0</v>
      </c>
      <c r="L672">
        <f t="shared" si="1053"/>
        <v>0</v>
      </c>
      <c r="M672" s="65"/>
      <c r="N672" s="220"/>
    </row>
    <row r="673" spans="1:18">
      <c r="A673" s="139">
        <v>45385</v>
      </c>
      <c r="B673" s="139"/>
      <c r="C673" s="123"/>
      <c r="D673" s="124">
        <v>157223</v>
      </c>
      <c r="E673" s="146">
        <f t="shared" si="1018"/>
        <v>1060640</v>
      </c>
      <c r="F673" s="146"/>
      <c r="G673" s="80">
        <f t="shared" si="1049"/>
        <v>810472.5</v>
      </c>
      <c r="H673" s="80">
        <f t="shared" ca="1" si="1050"/>
        <v>925</v>
      </c>
      <c r="I673">
        <f t="shared" ca="1" si="1051"/>
        <v>925</v>
      </c>
      <c r="J673" s="65" t="s">
        <v>2530</v>
      </c>
      <c r="K673">
        <f t="shared" si="1052"/>
        <v>0</v>
      </c>
      <c r="L673">
        <f t="shared" si="1053"/>
        <v>0</v>
      </c>
      <c r="M673" s="65"/>
      <c r="N673" s="220"/>
    </row>
    <row r="674" spans="1:18">
      <c r="A674" s="139">
        <v>45390</v>
      </c>
      <c r="B674" s="139"/>
      <c r="C674" s="123"/>
      <c r="D674" s="124">
        <v>59985</v>
      </c>
      <c r="E674" s="146">
        <f t="shared" si="1018"/>
        <v>1000655</v>
      </c>
      <c r="F674" s="146"/>
      <c r="G674" s="80">
        <f t="shared" si="1049"/>
        <v>810472.5</v>
      </c>
      <c r="H674" s="80">
        <f t="shared" ca="1" si="1050"/>
        <v>920</v>
      </c>
      <c r="I674">
        <f t="shared" ca="1" si="1051"/>
        <v>920</v>
      </c>
      <c r="J674" s="65" t="s">
        <v>2531</v>
      </c>
      <c r="K674">
        <f t="shared" si="1052"/>
        <v>0</v>
      </c>
      <c r="L674">
        <f t="shared" si="1053"/>
        <v>0</v>
      </c>
      <c r="M674" s="65"/>
      <c r="O674" s="66"/>
      <c r="P674" s="65"/>
      <c r="Q674" s="132"/>
    </row>
    <row r="675" spans="1:18">
      <c r="A675" s="139">
        <v>45390</v>
      </c>
      <c r="B675" s="139"/>
      <c r="C675" s="123">
        <v>716814</v>
      </c>
      <c r="D675" s="124"/>
      <c r="E675" s="146">
        <f t="shared" si="1018"/>
        <v>1717469</v>
      </c>
      <c r="F675" s="146"/>
      <c r="G675" s="80">
        <f t="shared" si="1049"/>
        <v>810472.5</v>
      </c>
      <c r="H675" s="80">
        <f t="shared" ca="1" si="1050"/>
        <v>920</v>
      </c>
      <c r="I675">
        <f t="shared" ca="1" si="1051"/>
        <v>920</v>
      </c>
      <c r="J675" s="65" t="s">
        <v>2448</v>
      </c>
      <c r="K675">
        <f t="shared" si="1052"/>
        <v>0</v>
      </c>
      <c r="L675">
        <f t="shared" si="1053"/>
        <v>0</v>
      </c>
      <c r="M675" s="65"/>
      <c r="O675" s="66"/>
      <c r="P675" s="65"/>
      <c r="Q675" s="132"/>
      <c r="R675" s="223"/>
    </row>
    <row r="676" spans="1:18">
      <c r="A676" s="139">
        <v>45397</v>
      </c>
      <c r="B676" s="139"/>
      <c r="C676" s="123">
        <v>70686</v>
      </c>
      <c r="D676" s="124"/>
      <c r="E676" s="146">
        <f t="shared" si="1018"/>
        <v>1788155</v>
      </c>
      <c r="F676" s="146"/>
      <c r="G676" s="80">
        <f t="shared" si="1049"/>
        <v>810472.5</v>
      </c>
      <c r="H676" s="80">
        <f t="shared" ca="1" si="1050"/>
        <v>913</v>
      </c>
      <c r="I676">
        <f t="shared" ca="1" si="1051"/>
        <v>913</v>
      </c>
      <c r="J676" s="65" t="s">
        <v>2535</v>
      </c>
      <c r="K676">
        <f t="shared" si="1052"/>
        <v>0</v>
      </c>
      <c r="L676">
        <f t="shared" si="1053"/>
        <v>0</v>
      </c>
      <c r="M676" s="65"/>
      <c r="O676" s="66"/>
      <c r="P676" s="65"/>
      <c r="Q676" s="132"/>
    </row>
    <row r="677" spans="1:18">
      <c r="A677" s="139">
        <v>45397</v>
      </c>
      <c r="B677" s="139"/>
      <c r="C677" s="123">
        <v>67004</v>
      </c>
      <c r="D677" s="124"/>
      <c r="E677" s="146">
        <f t="shared" si="1018"/>
        <v>1855159</v>
      </c>
      <c r="F677" s="146"/>
      <c r="G677" s="80">
        <f t="shared" si="1049"/>
        <v>810472.5</v>
      </c>
      <c r="H677" s="80">
        <f t="shared" ca="1" si="1050"/>
        <v>913</v>
      </c>
      <c r="I677">
        <f t="shared" ca="1" si="1051"/>
        <v>913</v>
      </c>
      <c r="J677" s="65" t="s">
        <v>2532</v>
      </c>
      <c r="K677">
        <f t="shared" si="1052"/>
        <v>0</v>
      </c>
      <c r="L677">
        <f t="shared" si="1053"/>
        <v>0</v>
      </c>
      <c r="M677" s="65"/>
      <c r="N677" s="66"/>
      <c r="O677" s="66"/>
      <c r="P677" s="65"/>
      <c r="Q677" s="132"/>
    </row>
    <row r="678" spans="1:18">
      <c r="A678" s="195">
        <v>45398</v>
      </c>
      <c r="B678" s="195">
        <v>45398</v>
      </c>
      <c r="C678" s="196">
        <v>1040</v>
      </c>
      <c r="D678" s="197"/>
      <c r="E678" s="198">
        <f t="shared" si="1018"/>
        <v>1856199</v>
      </c>
      <c r="F678" s="198">
        <f t="shared" ref="F678:F681" si="1066">C678</f>
        <v>1040</v>
      </c>
      <c r="G678" s="199">
        <f t="shared" ref="G678:G681" si="1067">G677+C678-D678</f>
        <v>811512.5</v>
      </c>
      <c r="H678" s="199">
        <f t="shared" ref="H678:H681" si="1068">IF(B678="",DATEDIF(A678,$G$1,"d"),DATEDIF(A678,B678,"d"))</f>
        <v>0</v>
      </c>
      <c r="I678" s="200">
        <f t="shared" ref="I678:I683" si="1069">IF(B678="",$C$1-A678,H678)</f>
        <v>0</v>
      </c>
      <c r="J678" s="200" t="s">
        <v>2519</v>
      </c>
      <c r="K678" s="200">
        <f t="shared" ref="K678:K681" si="1070">(H678*$C678)/365.25</f>
        <v>0</v>
      </c>
      <c r="L678" s="200">
        <f t="shared" ref="L678:L681" si="1071">(I678*$C678)/365.25</f>
        <v>0</v>
      </c>
      <c r="M678" s="200" t="s">
        <v>101</v>
      </c>
      <c r="O678" s="139"/>
    </row>
    <row r="679" spans="1:18">
      <c r="A679" s="195">
        <v>45406</v>
      </c>
      <c r="B679" s="195">
        <v>45406</v>
      </c>
      <c r="C679" s="196">
        <v>1358</v>
      </c>
      <c r="D679" s="197"/>
      <c r="E679" s="198">
        <f t="shared" si="1018"/>
        <v>1857557</v>
      </c>
      <c r="F679" s="198">
        <f t="shared" si="1066"/>
        <v>1358</v>
      </c>
      <c r="G679" s="199">
        <f t="shared" si="1067"/>
        <v>812870.5</v>
      </c>
      <c r="H679" s="199">
        <f t="shared" si="1068"/>
        <v>0</v>
      </c>
      <c r="I679" s="200">
        <f t="shared" si="1069"/>
        <v>0</v>
      </c>
      <c r="J679" s="200" t="s">
        <v>2534</v>
      </c>
      <c r="K679" s="200">
        <f t="shared" si="1070"/>
        <v>0</v>
      </c>
      <c r="L679" s="200">
        <f t="shared" si="1071"/>
        <v>0</v>
      </c>
      <c r="M679" s="200" t="s">
        <v>101</v>
      </c>
      <c r="O679" s="139"/>
    </row>
    <row r="680" spans="1:18">
      <c r="A680" s="195">
        <v>45407</v>
      </c>
      <c r="B680" s="195">
        <v>45407</v>
      </c>
      <c r="C680" s="196">
        <v>5290</v>
      </c>
      <c r="D680" s="197"/>
      <c r="E680" s="198">
        <f t="shared" si="1018"/>
        <v>1862847</v>
      </c>
      <c r="F680" s="198">
        <f t="shared" si="1066"/>
        <v>5290</v>
      </c>
      <c r="G680" s="199">
        <f t="shared" si="1067"/>
        <v>818160.5</v>
      </c>
      <c r="H680" s="199">
        <f t="shared" si="1068"/>
        <v>0</v>
      </c>
      <c r="I680" s="200">
        <f t="shared" si="1069"/>
        <v>0</v>
      </c>
      <c r="J680" s="200" t="s">
        <v>2536</v>
      </c>
      <c r="K680" s="200">
        <f t="shared" si="1070"/>
        <v>0</v>
      </c>
      <c r="L680" s="200">
        <f t="shared" si="1071"/>
        <v>0</v>
      </c>
      <c r="M680" s="200" t="s">
        <v>101</v>
      </c>
      <c r="O680" s="139"/>
      <c r="Q680" s="132"/>
    </row>
    <row r="681" spans="1:18">
      <c r="A681" s="195">
        <v>45408</v>
      </c>
      <c r="B681" s="195">
        <v>45408</v>
      </c>
      <c r="C681" s="196">
        <v>3042</v>
      </c>
      <c r="D681" s="197"/>
      <c r="E681" s="198">
        <f t="shared" si="1018"/>
        <v>1865889</v>
      </c>
      <c r="F681" s="198">
        <f t="shared" si="1066"/>
        <v>3042</v>
      </c>
      <c r="G681" s="199">
        <f t="shared" si="1067"/>
        <v>821202.5</v>
      </c>
      <c r="H681" s="199">
        <f t="shared" si="1068"/>
        <v>0</v>
      </c>
      <c r="I681" s="200">
        <f t="shared" si="1069"/>
        <v>0</v>
      </c>
      <c r="J681" s="200" t="s">
        <v>2387</v>
      </c>
      <c r="K681" s="200">
        <f t="shared" si="1070"/>
        <v>0</v>
      </c>
      <c r="L681" s="200">
        <f t="shared" si="1071"/>
        <v>0</v>
      </c>
      <c r="M681" s="200" t="s">
        <v>101</v>
      </c>
      <c r="O681" s="139"/>
      <c r="Q681" s="132"/>
    </row>
    <row r="682" spans="1:18">
      <c r="A682" s="147">
        <v>45415</v>
      </c>
      <c r="B682" s="147"/>
      <c r="C682" s="148">
        <v>691</v>
      </c>
      <c r="D682" s="149"/>
      <c r="E682" s="150">
        <f t="shared" ref="E682:E694" si="1072">E681+C682-D682</f>
        <v>1866580</v>
      </c>
      <c r="F682" s="150">
        <f t="shared" ref="F682:F683" si="1073">C682-D682</f>
        <v>691</v>
      </c>
      <c r="G682" s="151">
        <f>G681+F682</f>
        <v>821893.5</v>
      </c>
      <c r="H682" s="151">
        <f ca="1">IF(B682="",DATEDIF(A682,$C$1,"d"),DATEDIF(A682,B682,"d"))</f>
        <v>895</v>
      </c>
      <c r="I682" s="152">
        <f t="shared" ca="1" si="1069"/>
        <v>895</v>
      </c>
      <c r="J682" s="152" t="s">
        <v>84</v>
      </c>
      <c r="K682" s="152">
        <f ca="1">IF(F682&gt;0,(H682*$F682)/365.25,0)</f>
        <v>1693.2101300479123</v>
      </c>
      <c r="L682" s="152">
        <f ca="1">IF(F682&gt;0,(I682*$F682)/365.25,0)</f>
        <v>1693.2101300479123</v>
      </c>
      <c r="M682" s="152"/>
    </row>
    <row r="683" spans="1:18">
      <c r="A683" s="139">
        <v>45417</v>
      </c>
      <c r="B683" s="139"/>
      <c r="C683" s="123"/>
      <c r="D683" s="124">
        <v>40</v>
      </c>
      <c r="E683" s="146">
        <f t="shared" si="1072"/>
        <v>1866540</v>
      </c>
      <c r="F683" s="146">
        <f t="shared" si="1073"/>
        <v>-40</v>
      </c>
      <c r="G683" s="80">
        <f t="shared" ref="G683" si="1074">G682+F683</f>
        <v>821853.5</v>
      </c>
      <c r="H683" s="80">
        <f t="shared" ref="H683" ca="1" si="1075">IF(B683="",$C$1-A683,DATEDIF(A683,B683,"d"))</f>
        <v>893</v>
      </c>
      <c r="I683">
        <f t="shared" ca="1" si="1069"/>
        <v>893</v>
      </c>
      <c r="J683" s="65"/>
      <c r="K683">
        <f t="shared" ref="K683" si="1076">IF(F683&gt;0,(H683*$F683)/365.25,0)</f>
        <v>0</v>
      </c>
      <c r="L683">
        <f t="shared" ref="L683" si="1077">IF(F683&gt;0,(I683*$F683)/365.25,0)</f>
        <v>0</v>
      </c>
      <c r="M683" s="65"/>
      <c r="N683" s="65" t="s">
        <v>2381</v>
      </c>
    </row>
    <row r="684" spans="1:18">
      <c r="A684" s="139">
        <v>45417</v>
      </c>
      <c r="B684" s="139"/>
      <c r="C684" s="123">
        <v>66704</v>
      </c>
      <c r="D684" s="124"/>
      <c r="E684" s="146">
        <f t="shared" si="1072"/>
        <v>1933244</v>
      </c>
      <c r="F684" s="146"/>
      <c r="G684" s="80">
        <f t="shared" ref="G684:G694" si="1078">G683+F684</f>
        <v>821853.5</v>
      </c>
      <c r="H684" s="80">
        <f t="shared" ref="H684:H694" ca="1" si="1079">IF(B684="",$C$1-A684,DATEDIF(A684,B684,"d"))</f>
        <v>893</v>
      </c>
      <c r="I684">
        <f t="shared" ref="I684:I694" ca="1" si="1080">IF(B684="",$C$1-A684,H684)</f>
        <v>893</v>
      </c>
      <c r="J684" s="65" t="s">
        <v>2528</v>
      </c>
      <c r="K684">
        <f t="shared" ref="K684:K694" si="1081">IF(F684&gt;0,(H684*$F684)/365.25,0)</f>
        <v>0</v>
      </c>
      <c r="L684">
        <f t="shared" ref="L684:L694" si="1082">IF(F684&gt;0,(I684*$F684)/365.25,0)</f>
        <v>0</v>
      </c>
      <c r="M684" s="65"/>
      <c r="O684" s="66"/>
      <c r="P684" s="65"/>
      <c r="Q684" s="132"/>
    </row>
    <row r="685" spans="1:18">
      <c r="A685" s="139">
        <v>45418</v>
      </c>
      <c r="B685" s="139"/>
      <c r="C685" s="123">
        <v>76461</v>
      </c>
      <c r="D685" s="124"/>
      <c r="E685" s="146">
        <f t="shared" si="1072"/>
        <v>2009705</v>
      </c>
      <c r="F685" s="146"/>
      <c r="G685" s="80">
        <f t="shared" si="1078"/>
        <v>821853.5</v>
      </c>
      <c r="H685" s="80">
        <f t="shared" ca="1" si="1079"/>
        <v>892</v>
      </c>
      <c r="I685">
        <f t="shared" ca="1" si="1080"/>
        <v>892</v>
      </c>
      <c r="J685" s="65" t="s">
        <v>2529</v>
      </c>
      <c r="K685">
        <f t="shared" si="1081"/>
        <v>0</v>
      </c>
      <c r="L685">
        <f t="shared" si="1082"/>
        <v>0</v>
      </c>
      <c r="M685" s="65"/>
      <c r="O685" s="66"/>
      <c r="P685" s="65"/>
      <c r="Q685" s="132"/>
    </row>
    <row r="686" spans="1:18">
      <c r="A686" s="139">
        <v>45422</v>
      </c>
      <c r="B686" s="139"/>
      <c r="C686" s="123">
        <v>158297</v>
      </c>
      <c r="D686" s="124"/>
      <c r="E686" s="146">
        <f t="shared" si="1072"/>
        <v>2168002</v>
      </c>
      <c r="F686" s="146"/>
      <c r="G686" s="80">
        <f t="shared" si="1078"/>
        <v>821853.5</v>
      </c>
      <c r="H686" s="80">
        <f t="shared" ca="1" si="1079"/>
        <v>888</v>
      </c>
      <c r="I686">
        <f t="shared" ca="1" si="1080"/>
        <v>888</v>
      </c>
      <c r="J686" s="65" t="s">
        <v>2530</v>
      </c>
      <c r="K686">
        <f t="shared" si="1081"/>
        <v>0</v>
      </c>
      <c r="L686">
        <f t="shared" si="1082"/>
        <v>0</v>
      </c>
      <c r="M686" s="65"/>
      <c r="O686" s="66"/>
      <c r="P686" s="65"/>
      <c r="Q686" s="132"/>
    </row>
    <row r="687" spans="1:18">
      <c r="A687" s="195">
        <v>45422</v>
      </c>
      <c r="B687" s="195">
        <v>45422</v>
      </c>
      <c r="C687" s="196">
        <v>3490</v>
      </c>
      <c r="D687" s="197"/>
      <c r="E687" s="198">
        <f t="shared" si="1072"/>
        <v>2171492</v>
      </c>
      <c r="F687" s="198">
        <f t="shared" ref="F687:F688" si="1083">C687</f>
        <v>3490</v>
      </c>
      <c r="G687" s="199">
        <f t="shared" ref="G687:G688" si="1084">G686+C687-D687</f>
        <v>825343.5</v>
      </c>
      <c r="H687" s="199">
        <f t="shared" ref="H687:H688" si="1085">IF(B687="",DATEDIF(A687,$G$1,"d"),DATEDIF(A687,B687,"d"))</f>
        <v>0</v>
      </c>
      <c r="I687" s="200">
        <f t="shared" si="1080"/>
        <v>0</v>
      </c>
      <c r="J687" s="200" t="s">
        <v>2466</v>
      </c>
      <c r="K687" s="200">
        <f t="shared" ref="K687:K688" si="1086">(H687*$C687)/365.25</f>
        <v>0</v>
      </c>
      <c r="L687" s="200">
        <f t="shared" ref="L687:L688" si="1087">(I687*$C687)/365.25</f>
        <v>0</v>
      </c>
      <c r="M687" s="200" t="s">
        <v>101</v>
      </c>
    </row>
    <row r="688" spans="1:18">
      <c r="A688" s="195">
        <v>45422</v>
      </c>
      <c r="B688" s="195">
        <v>45422</v>
      </c>
      <c r="C688" s="196">
        <v>889</v>
      </c>
      <c r="D688" s="197"/>
      <c r="E688" s="198">
        <f t="shared" si="1072"/>
        <v>2172381</v>
      </c>
      <c r="F688" s="198">
        <f t="shared" si="1083"/>
        <v>889</v>
      </c>
      <c r="G688" s="199">
        <f t="shared" si="1084"/>
        <v>826232.5</v>
      </c>
      <c r="H688" s="199">
        <f t="shared" si="1085"/>
        <v>0</v>
      </c>
      <c r="I688" s="200">
        <f t="shared" si="1080"/>
        <v>0</v>
      </c>
      <c r="J688" s="200" t="s">
        <v>2537</v>
      </c>
      <c r="K688" s="200">
        <f t="shared" si="1086"/>
        <v>0</v>
      </c>
      <c r="L688" s="200">
        <f t="shared" si="1087"/>
        <v>0</v>
      </c>
      <c r="M688" s="200" t="s">
        <v>101</v>
      </c>
    </row>
    <row r="689" spans="1:18">
      <c r="A689" s="139">
        <v>45417</v>
      </c>
      <c r="B689" s="139"/>
      <c r="C689" s="123"/>
      <c r="D689" s="124">
        <v>20</v>
      </c>
      <c r="E689" s="146">
        <f t="shared" ref="E689:E690" si="1088">E688+C689-D689</f>
        <v>2172361</v>
      </c>
      <c r="F689" s="146">
        <f t="shared" ref="F689" si="1089">C689-D689</f>
        <v>-20</v>
      </c>
      <c r="G689" s="80">
        <f t="shared" ref="G689" si="1090">G688+F689</f>
        <v>826212.5</v>
      </c>
      <c r="H689" s="80">
        <f t="shared" ref="H689" ca="1" si="1091">IF(B689="",$C$1-A689,DATEDIF(A689,B689,"d"))</f>
        <v>893</v>
      </c>
      <c r="I689">
        <f t="shared" ca="1" si="1080"/>
        <v>893</v>
      </c>
      <c r="J689" s="65"/>
      <c r="K689">
        <f t="shared" ref="K689" si="1092">IF(F689&gt;0,(H689*$F689)/365.25,0)</f>
        <v>0</v>
      </c>
      <c r="L689">
        <f t="shared" ref="L689" si="1093">IF(F689&gt;0,(I689*$F689)/365.25,0)</f>
        <v>0</v>
      </c>
      <c r="M689" s="65"/>
      <c r="N689" s="65" t="s">
        <v>2381</v>
      </c>
    </row>
    <row r="690" spans="1:18">
      <c r="A690" s="195">
        <v>45432</v>
      </c>
      <c r="B690" s="195">
        <v>45432</v>
      </c>
      <c r="C690" s="196">
        <v>1600</v>
      </c>
      <c r="D690" s="197"/>
      <c r="E690" s="198">
        <f t="shared" si="1088"/>
        <v>2173961</v>
      </c>
      <c r="F690" s="198">
        <f t="shared" ref="F690" si="1094">C690</f>
        <v>1600</v>
      </c>
      <c r="G690" s="199">
        <f t="shared" ref="G690" si="1095">G689+C690-D690</f>
        <v>827812.5</v>
      </c>
      <c r="H690" s="199">
        <f t="shared" ref="H690" si="1096">IF(B690="",DATEDIF(A690,$G$1,"d"),DATEDIF(A690,B690,"d"))</f>
        <v>0</v>
      </c>
      <c r="I690" s="200">
        <f t="shared" si="1080"/>
        <v>0</v>
      </c>
      <c r="J690" s="200" t="s">
        <v>2519</v>
      </c>
      <c r="K690" s="200">
        <f t="shared" ref="K690" si="1097">(H690*$C690)/365.25</f>
        <v>0</v>
      </c>
      <c r="L690" s="200">
        <f t="shared" ref="L690" si="1098">(I690*$C690)/365.25</f>
        <v>0</v>
      </c>
      <c r="M690" s="200" t="s">
        <v>101</v>
      </c>
    </row>
    <row r="691" spans="1:18">
      <c r="A691" s="139">
        <v>45440</v>
      </c>
      <c r="B691" s="139"/>
      <c r="C691" s="123">
        <v>28126</v>
      </c>
      <c r="D691" s="124"/>
      <c r="E691" s="146">
        <f t="shared" si="1072"/>
        <v>2202087</v>
      </c>
      <c r="F691" s="146"/>
      <c r="G691" s="80">
        <f t="shared" si="1078"/>
        <v>827812.5</v>
      </c>
      <c r="H691" s="80">
        <f t="shared" ca="1" si="1079"/>
        <v>870</v>
      </c>
      <c r="I691">
        <f t="shared" ca="1" si="1080"/>
        <v>870</v>
      </c>
      <c r="J691" s="65" t="s">
        <v>2499</v>
      </c>
      <c r="K691">
        <f t="shared" si="1081"/>
        <v>0</v>
      </c>
      <c r="L691">
        <f t="shared" si="1082"/>
        <v>0</v>
      </c>
      <c r="M691" s="65"/>
      <c r="O691" s="66"/>
      <c r="P691" s="65"/>
      <c r="Q691" s="132"/>
    </row>
    <row r="692" spans="1:18">
      <c r="A692" s="139">
        <v>45440</v>
      </c>
      <c r="B692" s="139"/>
      <c r="C692" s="123">
        <v>1411</v>
      </c>
      <c r="D692" s="124"/>
      <c r="E692" s="146">
        <f t="shared" si="1072"/>
        <v>2203498</v>
      </c>
      <c r="F692" s="146"/>
      <c r="G692" s="80">
        <f t="shared" si="1078"/>
        <v>827812.5</v>
      </c>
      <c r="H692" s="80">
        <f t="shared" ca="1" si="1079"/>
        <v>870</v>
      </c>
      <c r="I692">
        <f t="shared" ca="1" si="1080"/>
        <v>870</v>
      </c>
      <c r="J692" s="65" t="s">
        <v>2499</v>
      </c>
      <c r="K692">
        <f t="shared" si="1081"/>
        <v>0</v>
      </c>
      <c r="L692">
        <f t="shared" si="1082"/>
        <v>0</v>
      </c>
      <c r="M692" s="65"/>
      <c r="O692" s="66"/>
      <c r="P692" s="65"/>
      <c r="Q692" s="132"/>
      <c r="R692" s="223"/>
    </row>
    <row r="693" spans="1:18">
      <c r="A693" s="139">
        <v>45441</v>
      </c>
      <c r="B693" s="139"/>
      <c r="C693" s="123"/>
      <c r="D693" s="124">
        <v>1550</v>
      </c>
      <c r="E693" s="146">
        <f t="shared" si="1072"/>
        <v>2201948</v>
      </c>
      <c r="F693" s="146"/>
      <c r="G693" s="80">
        <f t="shared" si="1078"/>
        <v>827812.5</v>
      </c>
      <c r="H693" s="80">
        <f t="shared" ca="1" si="1079"/>
        <v>869</v>
      </c>
      <c r="I693">
        <f t="shared" ca="1" si="1080"/>
        <v>869</v>
      </c>
      <c r="J693" s="65"/>
      <c r="K693">
        <f t="shared" si="1081"/>
        <v>0</v>
      </c>
      <c r="L693">
        <f t="shared" si="1082"/>
        <v>0</v>
      </c>
      <c r="M693" s="65"/>
      <c r="N693" s="227" t="s">
        <v>2538</v>
      </c>
    </row>
    <row r="694" spans="1:18">
      <c r="A694" s="139">
        <v>45441</v>
      </c>
      <c r="B694" s="139"/>
      <c r="C694" s="123"/>
      <c r="D694" s="124"/>
      <c r="E694" s="146">
        <f t="shared" si="1072"/>
        <v>2201948</v>
      </c>
      <c r="F694" s="146"/>
      <c r="G694" s="80">
        <f t="shared" si="1078"/>
        <v>827812.5</v>
      </c>
      <c r="H694" s="80">
        <f t="shared" ca="1" si="1079"/>
        <v>869</v>
      </c>
      <c r="I694">
        <f t="shared" ca="1" si="1080"/>
        <v>869</v>
      </c>
      <c r="J694" s="65"/>
      <c r="K694">
        <f t="shared" si="1081"/>
        <v>0</v>
      </c>
      <c r="L694">
        <f t="shared" si="1082"/>
        <v>0</v>
      </c>
      <c r="M694" s="65"/>
    </row>
    <row r="695" spans="1:18">
      <c r="A695" s="139"/>
      <c r="B695" s="139"/>
      <c r="C695" s="123"/>
      <c r="D695" s="124"/>
      <c r="E695" s="146"/>
      <c r="F695" s="146"/>
      <c r="G695" s="80"/>
      <c r="H695" s="80"/>
      <c r="J695" s="65"/>
      <c r="M695" s="65"/>
    </row>
    <row r="696" spans="1:18">
      <c r="A696" s="139"/>
      <c r="B696" s="138"/>
      <c r="C696" s="123"/>
      <c r="D696" s="124"/>
      <c r="E696" s="146"/>
      <c r="F696" s="146"/>
      <c r="G696" s="80"/>
      <c r="H696" s="80"/>
      <c r="J696" s="65"/>
      <c r="M696" s="65"/>
    </row>
    <row r="697" spans="1:18" ht="17.25" thickBot="1">
      <c r="D697" s="80"/>
      <c r="E697" s="146"/>
      <c r="F697" s="146"/>
      <c r="G697" s="80"/>
      <c r="H697" s="80"/>
      <c r="M697" s="65"/>
    </row>
    <row r="698" spans="1:18">
      <c r="A698" s="217" t="s">
        <v>2522</v>
      </c>
      <c r="B698" s="218">
        <f>SUM(D643:D694)</f>
        <v>1011601</v>
      </c>
      <c r="D698" s="80"/>
      <c r="E698" s="146"/>
      <c r="F698" s="146"/>
      <c r="G698" s="80"/>
      <c r="H698" s="80"/>
      <c r="M698" s="65"/>
    </row>
    <row r="699" spans="1:18" ht="17.25" thickBot="1">
      <c r="A699" s="215" t="s">
        <v>2523</v>
      </c>
      <c r="B699" s="216">
        <f ca="1">(SUMPRODUCT(C643:C694,I643:I694)+SUMPRODUCT(D643:D694,I643:I694))/($C$1-$A$643)</f>
        <v>2724282.7041420117</v>
      </c>
      <c r="M699" s="65"/>
    </row>
    <row r="700" spans="1:18">
      <c r="D700" s="80"/>
      <c r="E700" s="146"/>
      <c r="F700" s="146"/>
      <c r="G700" s="80"/>
      <c r="H700" s="80"/>
      <c r="M700" s="65"/>
    </row>
    <row r="701" spans="1:18">
      <c r="M701" s="65"/>
    </row>
    <row r="702" spans="1:18">
      <c r="M702" s="65"/>
    </row>
    <row r="703" spans="1:18">
      <c r="M703" s="65"/>
    </row>
    <row r="704" spans="1:18">
      <c r="M704" s="65"/>
    </row>
    <row r="705" spans="13:13">
      <c r="M705" s="65"/>
    </row>
    <row r="706" spans="13:13">
      <c r="M706" s="65"/>
    </row>
    <row r="707" spans="13:13">
      <c r="M707" s="65"/>
    </row>
  </sheetData>
  <phoneticPr fontId="74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D816-3799-42F7-88A2-2E6225097A92}">
  <sheetPr codeName="Sheet4">
    <outlinePr summaryBelow="0" summaryRight="0"/>
  </sheetPr>
  <dimension ref="A1:L697"/>
  <sheetViews>
    <sheetView zoomScale="80" zoomScaleNormal="80" workbookViewId="0">
      <pane ySplit="1" topLeftCell="A674" activePane="bottomLeft" state="frozen"/>
      <selection pane="bottomLeft" activeCell="A694" sqref="A694"/>
    </sheetView>
  </sheetViews>
  <sheetFormatPr defaultRowHeight="16.5" outlineLevelRow="1"/>
  <cols>
    <col min="1" max="1" width="15" bestFit="1" customWidth="1"/>
    <col min="2" max="2" width="10.75" bestFit="1" customWidth="1"/>
    <col min="3" max="3" width="11.125" bestFit="1" customWidth="1"/>
    <col min="4" max="4" width="11.125" style="81" bestFit="1" customWidth="1"/>
    <col min="5" max="5" width="10.75" bestFit="1" customWidth="1"/>
    <col min="6" max="6" width="11.125" bestFit="1" customWidth="1"/>
    <col min="7" max="7" width="11.125" style="81" bestFit="1" customWidth="1"/>
    <col min="8" max="8" width="26.125" bestFit="1" customWidth="1"/>
    <col min="9" max="9" width="17" bestFit="1" customWidth="1"/>
    <col min="10" max="10" width="11.5" bestFit="1" customWidth="1"/>
    <col min="11" max="11" width="13.875" customWidth="1"/>
    <col min="12" max="12" width="11.625" customWidth="1"/>
  </cols>
  <sheetData>
    <row r="1" spans="1:12" ht="17.25">
      <c r="A1" s="358" t="s">
        <v>2782</v>
      </c>
      <c r="B1" s="359" t="s">
        <v>31</v>
      </c>
      <c r="C1" s="360" t="s">
        <v>30</v>
      </c>
      <c r="D1" s="359" t="s">
        <v>2267</v>
      </c>
      <c r="E1" s="361" t="s">
        <v>31</v>
      </c>
      <c r="F1" s="360" t="s">
        <v>30</v>
      </c>
      <c r="G1" s="359" t="s">
        <v>2267</v>
      </c>
      <c r="H1" s="362"/>
      <c r="I1" s="362"/>
      <c r="J1" s="362" t="s">
        <v>3138</v>
      </c>
      <c r="K1" s="362" t="s">
        <v>3042</v>
      </c>
      <c r="L1" s="362" t="s">
        <v>3043</v>
      </c>
    </row>
    <row r="2" spans="1:12">
      <c r="A2" s="139">
        <v>43403</v>
      </c>
      <c r="B2" s="124"/>
      <c r="C2" s="122">
        <v>750000</v>
      </c>
      <c r="D2" s="146">
        <f>C2-B2</f>
        <v>750000</v>
      </c>
      <c r="E2" s="331"/>
      <c r="F2" s="363"/>
      <c r="G2" s="364">
        <f>F2-E2</f>
        <v>0</v>
      </c>
      <c r="I2" s="65"/>
      <c r="J2" t="s">
        <v>3041</v>
      </c>
      <c r="K2">
        <f>C2</f>
        <v>750000</v>
      </c>
      <c r="L2" s="80">
        <f>G2</f>
        <v>0</v>
      </c>
    </row>
    <row r="3" spans="1:12" outlineLevel="1">
      <c r="A3" s="153">
        <v>43455</v>
      </c>
      <c r="B3" s="155"/>
      <c r="C3" s="154">
        <v>106</v>
      </c>
      <c r="D3" s="156">
        <f t="shared" ref="D3:D18" si="0">D2+C3-B3</f>
        <v>750106</v>
      </c>
      <c r="E3" s="332"/>
      <c r="F3" s="365"/>
      <c r="G3" s="366">
        <f t="shared" ref="G3:G66" si="1">G2+F3-E3</f>
        <v>0</v>
      </c>
      <c r="H3" s="158" t="s">
        <v>48</v>
      </c>
      <c r="I3" s="159"/>
      <c r="J3" t="s">
        <v>3044</v>
      </c>
      <c r="K3">
        <f>IF(J3="本金",-B3+C3+K2,K2)</f>
        <v>750000</v>
      </c>
      <c r="L3">
        <f>IF(J3="本金",-E3+F3+L2,L2)</f>
        <v>0</v>
      </c>
    </row>
    <row r="4" spans="1:12" collapsed="1">
      <c r="A4" s="139">
        <v>43511</v>
      </c>
      <c r="B4" s="124">
        <v>20278</v>
      </c>
      <c r="C4" s="123"/>
      <c r="D4" s="146">
        <f t="shared" si="0"/>
        <v>729828</v>
      </c>
      <c r="E4" s="331"/>
      <c r="F4" s="367"/>
      <c r="G4" s="364">
        <f t="shared" si="1"/>
        <v>0</v>
      </c>
      <c r="H4" t="s">
        <v>62</v>
      </c>
      <c r="J4" t="s">
        <v>3044</v>
      </c>
      <c r="K4">
        <f t="shared" ref="K4:K67" si="2">IF(J4="本金",-B4+C4+K3,K3)</f>
        <v>750000</v>
      </c>
      <c r="L4">
        <f t="shared" ref="L4:L67" si="3">IF(J4="本金",-E4+F4+L3,L3)</f>
        <v>0</v>
      </c>
    </row>
    <row r="5" spans="1:12" hidden="1" outlineLevel="1">
      <c r="A5" s="139">
        <v>43511</v>
      </c>
      <c r="B5" s="124">
        <v>42059</v>
      </c>
      <c r="C5" s="123"/>
      <c r="D5" s="146">
        <f t="shared" si="0"/>
        <v>687769</v>
      </c>
      <c r="E5" s="331"/>
      <c r="F5" s="367"/>
      <c r="G5" s="364">
        <f t="shared" si="1"/>
        <v>0</v>
      </c>
      <c r="H5" t="s">
        <v>63</v>
      </c>
      <c r="J5" t="s">
        <v>3044</v>
      </c>
      <c r="K5">
        <f t="shared" si="2"/>
        <v>750000</v>
      </c>
      <c r="L5">
        <f t="shared" si="3"/>
        <v>0</v>
      </c>
    </row>
    <row r="6" spans="1:12" hidden="1" outlineLevel="1">
      <c r="A6" s="139">
        <v>43511</v>
      </c>
      <c r="B6" s="124">
        <v>95636</v>
      </c>
      <c r="C6" s="123"/>
      <c r="D6" s="146">
        <f t="shared" si="0"/>
        <v>592133</v>
      </c>
      <c r="E6" s="331"/>
      <c r="F6" s="367"/>
      <c r="G6" s="364">
        <f t="shared" si="1"/>
        <v>0</v>
      </c>
      <c r="H6" t="s">
        <v>64</v>
      </c>
      <c r="J6" t="s">
        <v>3044</v>
      </c>
      <c r="K6">
        <f t="shared" si="2"/>
        <v>750000</v>
      </c>
      <c r="L6">
        <f t="shared" si="3"/>
        <v>0</v>
      </c>
    </row>
    <row r="7" spans="1:12" hidden="1" outlineLevel="1">
      <c r="A7" s="139">
        <v>43511</v>
      </c>
      <c r="B7" s="124">
        <v>188267</v>
      </c>
      <c r="C7" s="123"/>
      <c r="D7" s="146">
        <f t="shared" si="0"/>
        <v>403866</v>
      </c>
      <c r="E7" s="331"/>
      <c r="F7" s="367"/>
      <c r="G7" s="364">
        <f t="shared" si="1"/>
        <v>0</v>
      </c>
      <c r="H7" t="s">
        <v>137</v>
      </c>
      <c r="J7" t="s">
        <v>3044</v>
      </c>
      <c r="K7">
        <f t="shared" si="2"/>
        <v>750000</v>
      </c>
      <c r="L7">
        <f t="shared" si="3"/>
        <v>0</v>
      </c>
    </row>
    <row r="8" spans="1:12" hidden="1" outlineLevel="1">
      <c r="A8" s="139">
        <v>43511</v>
      </c>
      <c r="B8" s="124"/>
      <c r="C8" s="123">
        <v>19912</v>
      </c>
      <c r="D8" s="146">
        <f t="shared" si="0"/>
        <v>423778</v>
      </c>
      <c r="E8" s="331"/>
      <c r="F8" s="367"/>
      <c r="G8" s="364">
        <f t="shared" si="1"/>
        <v>0</v>
      </c>
      <c r="H8" t="s">
        <v>62</v>
      </c>
      <c r="J8" t="s">
        <v>3044</v>
      </c>
      <c r="K8">
        <f t="shared" si="2"/>
        <v>750000</v>
      </c>
      <c r="L8">
        <f t="shared" si="3"/>
        <v>0</v>
      </c>
    </row>
    <row r="9" spans="1:12" hidden="1" outlineLevel="1">
      <c r="A9" s="139">
        <v>43511</v>
      </c>
      <c r="B9" s="124"/>
      <c r="C9" s="123">
        <v>42014</v>
      </c>
      <c r="D9" s="146">
        <f t="shared" si="0"/>
        <v>465792</v>
      </c>
      <c r="E9" s="331"/>
      <c r="F9" s="367"/>
      <c r="G9" s="364">
        <f t="shared" si="1"/>
        <v>0</v>
      </c>
      <c r="H9" t="s">
        <v>63</v>
      </c>
      <c r="J9" t="s">
        <v>3044</v>
      </c>
      <c r="K9">
        <f t="shared" si="2"/>
        <v>750000</v>
      </c>
      <c r="L9">
        <f t="shared" si="3"/>
        <v>0</v>
      </c>
    </row>
    <row r="10" spans="1:12" hidden="1" outlineLevel="1">
      <c r="A10" s="139">
        <v>43511</v>
      </c>
      <c r="B10" s="124"/>
      <c r="C10" s="123">
        <v>190155</v>
      </c>
      <c r="D10" s="146">
        <f t="shared" si="0"/>
        <v>655947</v>
      </c>
      <c r="E10" s="331"/>
      <c r="F10" s="367"/>
      <c r="G10" s="364">
        <f t="shared" si="1"/>
        <v>0</v>
      </c>
      <c r="H10" t="s">
        <v>137</v>
      </c>
      <c r="J10" t="s">
        <v>3044</v>
      </c>
      <c r="K10">
        <f t="shared" si="2"/>
        <v>750000</v>
      </c>
      <c r="L10">
        <f t="shared" si="3"/>
        <v>0</v>
      </c>
    </row>
    <row r="11" spans="1:12" hidden="1" outlineLevel="1">
      <c r="A11" s="147">
        <v>43532</v>
      </c>
      <c r="B11" s="149"/>
      <c r="C11" s="148">
        <v>337</v>
      </c>
      <c r="D11" s="150">
        <f t="shared" si="0"/>
        <v>656284</v>
      </c>
      <c r="E11" s="333"/>
      <c r="F11" s="368"/>
      <c r="G11" s="369">
        <f t="shared" si="1"/>
        <v>0</v>
      </c>
      <c r="H11" s="152" t="s">
        <v>84</v>
      </c>
      <c r="I11" s="152"/>
      <c r="J11" t="s">
        <v>3044</v>
      </c>
      <c r="K11">
        <f t="shared" si="2"/>
        <v>750000</v>
      </c>
      <c r="L11">
        <f t="shared" si="3"/>
        <v>0</v>
      </c>
    </row>
    <row r="12" spans="1:12" hidden="1" outlineLevel="1">
      <c r="A12" s="139">
        <v>43511</v>
      </c>
      <c r="B12" s="124"/>
      <c r="C12" s="123">
        <v>102047</v>
      </c>
      <c r="D12" s="146">
        <f t="shared" si="0"/>
        <v>758331</v>
      </c>
      <c r="E12" s="331"/>
      <c r="F12" s="367"/>
      <c r="G12" s="364">
        <f t="shared" si="1"/>
        <v>0</v>
      </c>
      <c r="H12" t="s">
        <v>64</v>
      </c>
      <c r="J12" t="s">
        <v>3044</v>
      </c>
      <c r="K12">
        <f t="shared" si="2"/>
        <v>750000</v>
      </c>
      <c r="L12">
        <f t="shared" si="3"/>
        <v>0</v>
      </c>
    </row>
    <row r="13" spans="1:12" hidden="1" outlineLevel="1">
      <c r="A13" s="139">
        <v>43557</v>
      </c>
      <c r="B13" s="124">
        <v>69999</v>
      </c>
      <c r="C13" s="123"/>
      <c r="D13" s="146">
        <f t="shared" si="0"/>
        <v>688332</v>
      </c>
      <c r="E13" s="331"/>
      <c r="F13" s="367"/>
      <c r="G13" s="364">
        <f t="shared" si="1"/>
        <v>0</v>
      </c>
      <c r="H13" t="s">
        <v>66</v>
      </c>
      <c r="I13" s="65"/>
      <c r="J13" t="s">
        <v>3044</v>
      </c>
      <c r="K13">
        <f t="shared" si="2"/>
        <v>750000</v>
      </c>
      <c r="L13">
        <f t="shared" si="3"/>
        <v>0</v>
      </c>
    </row>
    <row r="14" spans="1:12" hidden="1" outlineLevel="1">
      <c r="A14" s="139">
        <v>43557</v>
      </c>
      <c r="B14" s="124">
        <v>43912</v>
      </c>
      <c r="C14" s="123"/>
      <c r="D14" s="146">
        <f t="shared" si="0"/>
        <v>644420</v>
      </c>
      <c r="E14" s="331"/>
      <c r="F14" s="367"/>
      <c r="G14" s="364">
        <f t="shared" si="1"/>
        <v>0</v>
      </c>
      <c r="H14" t="s">
        <v>70</v>
      </c>
      <c r="I14" s="65"/>
      <c r="J14" t="s">
        <v>3044</v>
      </c>
      <c r="K14">
        <f t="shared" si="2"/>
        <v>750000</v>
      </c>
      <c r="L14">
        <f t="shared" si="3"/>
        <v>0</v>
      </c>
    </row>
    <row r="15" spans="1:12" hidden="1" outlineLevel="1">
      <c r="A15" s="139">
        <v>43557</v>
      </c>
      <c r="B15" s="124">
        <v>27288</v>
      </c>
      <c r="C15" s="123"/>
      <c r="D15" s="146">
        <f t="shared" si="0"/>
        <v>617132</v>
      </c>
      <c r="E15" s="331"/>
      <c r="F15" s="367"/>
      <c r="G15" s="364">
        <f t="shared" si="1"/>
        <v>0</v>
      </c>
      <c r="H15" t="s">
        <v>71</v>
      </c>
      <c r="I15" s="65"/>
      <c r="J15" t="s">
        <v>3044</v>
      </c>
      <c r="K15">
        <f t="shared" si="2"/>
        <v>750000</v>
      </c>
      <c r="L15">
        <f t="shared" si="3"/>
        <v>0</v>
      </c>
    </row>
    <row r="16" spans="1:12" hidden="1" outlineLevel="1">
      <c r="A16" s="139">
        <v>43564</v>
      </c>
      <c r="B16" s="124">
        <v>30593</v>
      </c>
      <c r="C16" s="123"/>
      <c r="D16" s="146">
        <f t="shared" si="0"/>
        <v>586539</v>
      </c>
      <c r="E16" s="331"/>
      <c r="F16" s="367"/>
      <c r="G16" s="364">
        <f t="shared" si="1"/>
        <v>0</v>
      </c>
      <c r="H16" t="s">
        <v>65</v>
      </c>
      <c r="I16" s="65"/>
      <c r="J16" t="s">
        <v>3044</v>
      </c>
      <c r="K16">
        <f t="shared" si="2"/>
        <v>750000</v>
      </c>
      <c r="L16">
        <f t="shared" si="3"/>
        <v>0</v>
      </c>
    </row>
    <row r="17" spans="1:12" hidden="1" outlineLevel="1">
      <c r="A17" s="147">
        <v>43565</v>
      </c>
      <c r="B17" s="149"/>
      <c r="C17" s="148">
        <v>136</v>
      </c>
      <c r="D17" s="150">
        <f t="shared" si="0"/>
        <v>586675</v>
      </c>
      <c r="E17" s="333"/>
      <c r="F17" s="368"/>
      <c r="G17" s="369">
        <f t="shared" si="1"/>
        <v>0</v>
      </c>
      <c r="H17" s="152" t="s">
        <v>84</v>
      </c>
      <c r="I17" s="152"/>
      <c r="J17" t="s">
        <v>3044</v>
      </c>
      <c r="K17">
        <f t="shared" si="2"/>
        <v>750000</v>
      </c>
      <c r="L17">
        <f t="shared" si="3"/>
        <v>0</v>
      </c>
    </row>
    <row r="18" spans="1:12" hidden="1" outlineLevel="1">
      <c r="A18" s="139">
        <v>43567</v>
      </c>
      <c r="B18" s="124"/>
      <c r="C18" s="123">
        <v>29370</v>
      </c>
      <c r="D18" s="146">
        <f t="shared" si="0"/>
        <v>616045</v>
      </c>
      <c r="E18" s="331"/>
      <c r="F18" s="367"/>
      <c r="G18" s="364">
        <f t="shared" si="1"/>
        <v>0</v>
      </c>
      <c r="H18" t="s">
        <v>65</v>
      </c>
      <c r="I18" s="65"/>
      <c r="J18" t="s">
        <v>3044</v>
      </c>
      <c r="K18">
        <f t="shared" si="2"/>
        <v>750000</v>
      </c>
      <c r="L18">
        <f t="shared" si="3"/>
        <v>0</v>
      </c>
    </row>
    <row r="19" spans="1:12" hidden="1" outlineLevel="1">
      <c r="A19" s="139">
        <v>43572</v>
      </c>
      <c r="B19" s="124"/>
      <c r="C19" s="123">
        <v>69293</v>
      </c>
      <c r="D19" s="146">
        <f t="shared" ref="D19:D21" si="4">D18+C19-B19</f>
        <v>685338</v>
      </c>
      <c r="E19" s="331"/>
      <c r="F19" s="367"/>
      <c r="G19" s="364">
        <f t="shared" si="1"/>
        <v>0</v>
      </c>
      <c r="H19" t="s">
        <v>66</v>
      </c>
      <c r="I19" s="65"/>
      <c r="J19" t="s">
        <v>3044</v>
      </c>
      <c r="K19">
        <f t="shared" si="2"/>
        <v>750000</v>
      </c>
      <c r="L19">
        <f t="shared" si="3"/>
        <v>0</v>
      </c>
    </row>
    <row r="20" spans="1:12" hidden="1" outlineLevel="1">
      <c r="A20" s="139">
        <v>43579</v>
      </c>
      <c r="B20" s="124"/>
      <c r="C20" s="123">
        <v>44454</v>
      </c>
      <c r="D20" s="146">
        <f t="shared" si="4"/>
        <v>729792</v>
      </c>
      <c r="E20" s="331"/>
      <c r="F20" s="367"/>
      <c r="G20" s="364">
        <f t="shared" si="1"/>
        <v>0</v>
      </c>
      <c r="H20" t="s">
        <v>70</v>
      </c>
      <c r="I20" s="65"/>
      <c r="J20" t="s">
        <v>3044</v>
      </c>
      <c r="K20">
        <f t="shared" si="2"/>
        <v>750000</v>
      </c>
      <c r="L20">
        <f t="shared" si="3"/>
        <v>0</v>
      </c>
    </row>
    <row r="21" spans="1:12" hidden="1" outlineLevel="1">
      <c r="A21" s="139">
        <v>43580</v>
      </c>
      <c r="B21" s="124"/>
      <c r="C21" s="123">
        <v>45598</v>
      </c>
      <c r="D21" s="146">
        <f t="shared" si="4"/>
        <v>775390</v>
      </c>
      <c r="E21" s="331"/>
      <c r="F21" s="367"/>
      <c r="G21" s="364">
        <f t="shared" si="1"/>
        <v>0</v>
      </c>
      <c r="H21" t="s">
        <v>71</v>
      </c>
      <c r="I21" s="65"/>
      <c r="J21" t="s">
        <v>3044</v>
      </c>
      <c r="K21">
        <f t="shared" si="2"/>
        <v>750000</v>
      </c>
      <c r="L21">
        <f t="shared" si="3"/>
        <v>0</v>
      </c>
    </row>
    <row r="22" spans="1:12" hidden="1" outlineLevel="1">
      <c r="A22" s="147">
        <v>43595</v>
      </c>
      <c r="B22" s="149"/>
      <c r="C22" s="148">
        <v>123</v>
      </c>
      <c r="D22" s="150">
        <f t="shared" ref="D22:D53" si="5">D21+C22-B22</f>
        <v>775513</v>
      </c>
      <c r="E22" s="333"/>
      <c r="F22" s="368"/>
      <c r="G22" s="369">
        <f t="shared" si="1"/>
        <v>0</v>
      </c>
      <c r="H22" s="152" t="s">
        <v>84</v>
      </c>
      <c r="I22" s="152"/>
      <c r="J22" t="s">
        <v>3044</v>
      </c>
      <c r="K22">
        <f t="shared" si="2"/>
        <v>750000</v>
      </c>
      <c r="L22">
        <f t="shared" si="3"/>
        <v>0</v>
      </c>
    </row>
    <row r="23" spans="1:12" hidden="1" outlineLevel="1">
      <c r="A23" s="153">
        <v>43637</v>
      </c>
      <c r="B23" s="155"/>
      <c r="C23" s="154">
        <v>352</v>
      </c>
      <c r="D23" s="156">
        <f t="shared" si="5"/>
        <v>775865</v>
      </c>
      <c r="E23" s="332"/>
      <c r="F23" s="365"/>
      <c r="G23" s="366">
        <f t="shared" si="1"/>
        <v>0</v>
      </c>
      <c r="H23" s="158" t="s">
        <v>48</v>
      </c>
      <c r="I23" s="159"/>
      <c r="J23" t="s">
        <v>3044</v>
      </c>
      <c r="K23">
        <f t="shared" si="2"/>
        <v>750000</v>
      </c>
      <c r="L23">
        <f t="shared" si="3"/>
        <v>0</v>
      </c>
    </row>
    <row r="24" spans="1:12" hidden="1" outlineLevel="1">
      <c r="A24" s="139">
        <v>43641</v>
      </c>
      <c r="B24" s="124">
        <v>78611</v>
      </c>
      <c r="C24" s="123"/>
      <c r="D24" s="146">
        <f t="shared" si="5"/>
        <v>697254</v>
      </c>
      <c r="E24" s="331"/>
      <c r="F24" s="367"/>
      <c r="G24" s="364">
        <f t="shared" si="1"/>
        <v>0</v>
      </c>
      <c r="H24" s="129" t="s">
        <v>92</v>
      </c>
      <c r="I24" s="66"/>
      <c r="J24" t="s">
        <v>3044</v>
      </c>
      <c r="K24">
        <f t="shared" si="2"/>
        <v>750000</v>
      </c>
      <c r="L24">
        <f t="shared" si="3"/>
        <v>0</v>
      </c>
    </row>
    <row r="25" spans="1:12" hidden="1" outlineLevel="1">
      <c r="A25" s="139">
        <v>43641</v>
      </c>
      <c r="B25" s="124">
        <v>73003</v>
      </c>
      <c r="C25" s="123"/>
      <c r="D25" s="146">
        <f t="shared" si="5"/>
        <v>624251</v>
      </c>
      <c r="E25" s="331"/>
      <c r="F25" s="367"/>
      <c r="G25" s="364">
        <f t="shared" si="1"/>
        <v>0</v>
      </c>
      <c r="H25" t="s">
        <v>88</v>
      </c>
      <c r="I25" s="66">
        <v>43672</v>
      </c>
      <c r="J25" t="s">
        <v>3044</v>
      </c>
      <c r="K25">
        <f t="shared" si="2"/>
        <v>750000</v>
      </c>
      <c r="L25">
        <f t="shared" si="3"/>
        <v>0</v>
      </c>
    </row>
    <row r="26" spans="1:12" hidden="1" outlineLevel="1">
      <c r="A26" s="139">
        <v>43641</v>
      </c>
      <c r="B26" s="124">
        <v>74105</v>
      </c>
      <c r="C26" s="123"/>
      <c r="D26" s="146">
        <f t="shared" si="5"/>
        <v>550146</v>
      </c>
      <c r="E26" s="331"/>
      <c r="F26" s="367"/>
      <c r="G26" s="364">
        <f t="shared" si="1"/>
        <v>0</v>
      </c>
      <c r="H26" t="s">
        <v>86</v>
      </c>
      <c r="I26" s="66"/>
      <c r="J26" t="s">
        <v>3044</v>
      </c>
      <c r="K26">
        <f t="shared" si="2"/>
        <v>750000</v>
      </c>
      <c r="L26">
        <f t="shared" si="3"/>
        <v>0</v>
      </c>
    </row>
    <row r="27" spans="1:12" hidden="1" outlineLevel="1">
      <c r="A27" s="139">
        <v>43641</v>
      </c>
      <c r="B27" s="124">
        <v>175249</v>
      </c>
      <c r="C27" s="123"/>
      <c r="D27" s="146">
        <f t="shared" si="5"/>
        <v>374897</v>
      </c>
      <c r="E27" s="331"/>
      <c r="F27" s="367"/>
      <c r="G27" s="364">
        <f t="shared" si="1"/>
        <v>0</v>
      </c>
      <c r="H27" t="s">
        <v>2269</v>
      </c>
      <c r="I27" s="66"/>
      <c r="J27" t="s">
        <v>3044</v>
      </c>
      <c r="K27">
        <f t="shared" si="2"/>
        <v>750000</v>
      </c>
      <c r="L27">
        <f t="shared" si="3"/>
        <v>0</v>
      </c>
    </row>
    <row r="28" spans="1:12" hidden="1" outlineLevel="1">
      <c r="A28" s="139">
        <v>43643</v>
      </c>
      <c r="B28" s="124">
        <v>49220</v>
      </c>
      <c r="C28" s="123"/>
      <c r="D28" s="146">
        <f t="shared" si="5"/>
        <v>325677</v>
      </c>
      <c r="E28" s="331"/>
      <c r="F28" s="367"/>
      <c r="G28" s="364">
        <f t="shared" si="1"/>
        <v>0</v>
      </c>
      <c r="H28" t="s">
        <v>83</v>
      </c>
      <c r="I28" s="66"/>
      <c r="J28" t="s">
        <v>3044</v>
      </c>
      <c r="K28">
        <f t="shared" si="2"/>
        <v>750000</v>
      </c>
      <c r="L28">
        <f t="shared" si="3"/>
        <v>0</v>
      </c>
    </row>
    <row r="29" spans="1:12" hidden="1" outlineLevel="1">
      <c r="A29" s="139">
        <v>43648</v>
      </c>
      <c r="B29" s="124"/>
      <c r="C29" s="123">
        <v>66008</v>
      </c>
      <c r="D29" s="146">
        <f t="shared" si="5"/>
        <v>391685</v>
      </c>
      <c r="E29" s="331"/>
      <c r="F29" s="367"/>
      <c r="G29" s="364">
        <f t="shared" si="1"/>
        <v>0</v>
      </c>
      <c r="H29" t="s">
        <v>86</v>
      </c>
      <c r="I29" s="66">
        <v>43658</v>
      </c>
      <c r="J29" t="s">
        <v>3044</v>
      </c>
      <c r="K29">
        <f t="shared" si="2"/>
        <v>750000</v>
      </c>
      <c r="L29">
        <f t="shared" si="3"/>
        <v>0</v>
      </c>
    </row>
    <row r="30" spans="1:12" hidden="1" outlineLevel="1">
      <c r="A30" s="139">
        <v>43648</v>
      </c>
      <c r="B30" s="124"/>
      <c r="C30" s="123">
        <v>158795</v>
      </c>
      <c r="D30" s="146">
        <f t="shared" si="5"/>
        <v>550480</v>
      </c>
      <c r="E30" s="331"/>
      <c r="F30" s="367"/>
      <c r="G30" s="364">
        <f t="shared" si="1"/>
        <v>0</v>
      </c>
      <c r="H30" t="s">
        <v>87</v>
      </c>
      <c r="I30" s="66">
        <v>43658</v>
      </c>
      <c r="J30" t="s">
        <v>3044</v>
      </c>
      <c r="K30">
        <f t="shared" si="2"/>
        <v>750000</v>
      </c>
      <c r="L30">
        <f t="shared" si="3"/>
        <v>0</v>
      </c>
    </row>
    <row r="31" spans="1:12" hidden="1" outlineLevel="1">
      <c r="A31" s="139">
        <v>43648</v>
      </c>
      <c r="B31" s="124">
        <v>31344</v>
      </c>
      <c r="C31" s="123"/>
      <c r="D31" s="146">
        <f t="shared" si="5"/>
        <v>519136</v>
      </c>
      <c r="E31" s="331"/>
      <c r="F31" s="367"/>
      <c r="G31" s="364">
        <f t="shared" si="1"/>
        <v>0</v>
      </c>
      <c r="H31" t="s">
        <v>96</v>
      </c>
      <c r="I31" s="66"/>
      <c r="J31" t="s">
        <v>3044</v>
      </c>
      <c r="K31">
        <f t="shared" si="2"/>
        <v>750000</v>
      </c>
      <c r="L31">
        <f t="shared" si="3"/>
        <v>0</v>
      </c>
    </row>
    <row r="32" spans="1:12" hidden="1" outlineLevel="1">
      <c r="A32" s="139">
        <v>43648</v>
      </c>
      <c r="B32" s="124">
        <v>45414</v>
      </c>
      <c r="C32" s="123"/>
      <c r="D32" s="146">
        <f t="shared" si="5"/>
        <v>473722</v>
      </c>
      <c r="E32" s="331"/>
      <c r="F32" s="367"/>
      <c r="G32" s="364">
        <f t="shared" si="1"/>
        <v>0</v>
      </c>
      <c r="H32" t="s">
        <v>2272</v>
      </c>
      <c r="I32" s="66"/>
      <c r="J32" t="s">
        <v>3044</v>
      </c>
      <c r="K32">
        <f t="shared" si="2"/>
        <v>750000</v>
      </c>
      <c r="L32">
        <f t="shared" si="3"/>
        <v>0</v>
      </c>
    </row>
    <row r="33" spans="1:12" hidden="1" outlineLevel="1">
      <c r="A33" s="139">
        <v>43648</v>
      </c>
      <c r="B33" s="124">
        <v>104148</v>
      </c>
      <c r="C33" s="123"/>
      <c r="D33" s="146">
        <f t="shared" si="5"/>
        <v>369574</v>
      </c>
      <c r="E33" s="331"/>
      <c r="F33" s="367"/>
      <c r="G33" s="364">
        <f t="shared" si="1"/>
        <v>0</v>
      </c>
      <c r="H33" t="s">
        <v>100</v>
      </c>
      <c r="I33" s="66"/>
      <c r="J33" t="s">
        <v>3044</v>
      </c>
      <c r="K33">
        <f t="shared" si="2"/>
        <v>750000</v>
      </c>
      <c r="L33">
        <f t="shared" si="3"/>
        <v>0</v>
      </c>
    </row>
    <row r="34" spans="1:12" hidden="1" outlineLevel="1">
      <c r="A34" s="139">
        <v>43648</v>
      </c>
      <c r="B34" s="124">
        <v>51373</v>
      </c>
      <c r="C34" s="123"/>
      <c r="D34" s="146">
        <f t="shared" si="5"/>
        <v>318201</v>
      </c>
      <c r="E34" s="331"/>
      <c r="F34" s="367"/>
      <c r="G34" s="364">
        <f t="shared" si="1"/>
        <v>0</v>
      </c>
      <c r="H34" t="s">
        <v>94</v>
      </c>
      <c r="I34" s="66"/>
      <c r="J34" t="s">
        <v>3044</v>
      </c>
      <c r="K34">
        <f t="shared" si="2"/>
        <v>750000</v>
      </c>
      <c r="L34">
        <f t="shared" si="3"/>
        <v>0</v>
      </c>
    </row>
    <row r="35" spans="1:12" hidden="1" outlineLevel="1">
      <c r="A35" s="139">
        <v>43649</v>
      </c>
      <c r="B35" s="124"/>
      <c r="C35" s="123">
        <v>71483</v>
      </c>
      <c r="D35" s="146">
        <f t="shared" si="5"/>
        <v>389684</v>
      </c>
      <c r="E35" s="331"/>
      <c r="F35" s="367"/>
      <c r="G35" s="364">
        <f t="shared" si="1"/>
        <v>0</v>
      </c>
      <c r="H35" t="s">
        <v>2273</v>
      </c>
      <c r="I35" s="66"/>
      <c r="J35" t="s">
        <v>3044</v>
      </c>
      <c r="K35">
        <f t="shared" si="2"/>
        <v>750000</v>
      </c>
      <c r="L35">
        <f t="shared" si="3"/>
        <v>0</v>
      </c>
    </row>
    <row r="36" spans="1:12" hidden="1" outlineLevel="1">
      <c r="A36" s="139">
        <v>43649</v>
      </c>
      <c r="B36" s="124"/>
      <c r="C36" s="123">
        <v>46992</v>
      </c>
      <c r="D36" s="146">
        <f t="shared" si="5"/>
        <v>436676</v>
      </c>
      <c r="E36" s="331"/>
      <c r="F36" s="367"/>
      <c r="G36" s="364">
        <f t="shared" si="1"/>
        <v>0</v>
      </c>
      <c r="H36" t="s">
        <v>2278</v>
      </c>
      <c r="I36" s="66">
        <v>43679</v>
      </c>
      <c r="J36" t="s">
        <v>3044</v>
      </c>
      <c r="K36">
        <f t="shared" si="2"/>
        <v>750000</v>
      </c>
      <c r="L36">
        <f t="shared" si="3"/>
        <v>0</v>
      </c>
    </row>
    <row r="37" spans="1:12" hidden="1" outlineLevel="1">
      <c r="A37" s="139">
        <v>43649</v>
      </c>
      <c r="B37" s="124"/>
      <c r="C37" s="123">
        <v>76561</v>
      </c>
      <c r="D37" s="146">
        <f t="shared" si="5"/>
        <v>513237</v>
      </c>
      <c r="E37" s="331"/>
      <c r="F37" s="367"/>
      <c r="G37" s="364">
        <f t="shared" si="1"/>
        <v>0</v>
      </c>
      <c r="H37" s="201" t="s">
        <v>2270</v>
      </c>
      <c r="I37" s="66">
        <v>43665</v>
      </c>
      <c r="J37" t="s">
        <v>3044</v>
      </c>
      <c r="K37">
        <f t="shared" si="2"/>
        <v>750000</v>
      </c>
      <c r="L37">
        <f t="shared" si="3"/>
        <v>0</v>
      </c>
    </row>
    <row r="38" spans="1:12" hidden="1" outlineLevel="1">
      <c r="A38" s="139">
        <v>43651</v>
      </c>
      <c r="B38" s="124">
        <v>65393</v>
      </c>
      <c r="C38" s="123"/>
      <c r="D38" s="146">
        <f t="shared" si="5"/>
        <v>447844</v>
      </c>
      <c r="E38" s="331"/>
      <c r="F38" s="367"/>
      <c r="G38" s="364">
        <f t="shared" si="1"/>
        <v>0</v>
      </c>
      <c r="H38" t="s">
        <v>98</v>
      </c>
      <c r="I38" s="66"/>
      <c r="J38" t="s">
        <v>3044</v>
      </c>
      <c r="K38">
        <f t="shared" si="2"/>
        <v>750000</v>
      </c>
      <c r="L38">
        <f t="shared" si="3"/>
        <v>0</v>
      </c>
    </row>
    <row r="39" spans="1:12" hidden="1" outlineLevel="1">
      <c r="A39" s="139">
        <v>43651</v>
      </c>
      <c r="B39" s="124">
        <v>93833</v>
      </c>
      <c r="C39" s="123"/>
      <c r="D39" s="146">
        <f t="shared" si="5"/>
        <v>354011</v>
      </c>
      <c r="E39" s="331"/>
      <c r="F39" s="367"/>
      <c r="G39" s="364">
        <f t="shared" si="1"/>
        <v>0</v>
      </c>
      <c r="H39" t="s">
        <v>107</v>
      </c>
      <c r="I39" s="66">
        <v>43672</v>
      </c>
      <c r="J39" t="s">
        <v>3044</v>
      </c>
      <c r="K39">
        <f t="shared" si="2"/>
        <v>750000</v>
      </c>
      <c r="L39">
        <f t="shared" si="3"/>
        <v>0</v>
      </c>
    </row>
    <row r="40" spans="1:12" hidden="1" outlineLevel="1">
      <c r="A40" s="139">
        <v>43651</v>
      </c>
      <c r="B40" s="124">
        <v>99942</v>
      </c>
      <c r="C40" s="123"/>
      <c r="D40" s="146">
        <f t="shared" si="5"/>
        <v>254069</v>
      </c>
      <c r="E40" s="331"/>
      <c r="F40" s="367"/>
      <c r="G40" s="364">
        <f t="shared" si="1"/>
        <v>0</v>
      </c>
      <c r="H40" t="s">
        <v>106</v>
      </c>
      <c r="I40" s="66"/>
      <c r="J40" t="s">
        <v>3044</v>
      </c>
      <c r="K40">
        <f t="shared" si="2"/>
        <v>750000</v>
      </c>
      <c r="L40">
        <f t="shared" si="3"/>
        <v>0</v>
      </c>
    </row>
    <row r="41" spans="1:12" hidden="1" outlineLevel="1">
      <c r="A41" s="139">
        <v>43654</v>
      </c>
      <c r="B41" s="124"/>
      <c r="C41" s="123">
        <v>42612</v>
      </c>
      <c r="D41" s="146">
        <f t="shared" si="5"/>
        <v>296681</v>
      </c>
      <c r="E41" s="331"/>
      <c r="F41" s="367"/>
      <c r="G41" s="364">
        <f t="shared" si="1"/>
        <v>0</v>
      </c>
      <c r="H41" t="s">
        <v>93</v>
      </c>
      <c r="I41" s="66">
        <v>43671</v>
      </c>
      <c r="J41" t="s">
        <v>3044</v>
      </c>
      <c r="K41">
        <f t="shared" si="2"/>
        <v>750000</v>
      </c>
      <c r="L41">
        <f t="shared" si="3"/>
        <v>0</v>
      </c>
    </row>
    <row r="42" spans="1:12" hidden="1" outlineLevel="1">
      <c r="A42" s="139">
        <v>43655</v>
      </c>
      <c r="B42" s="124"/>
      <c r="C42" s="123">
        <v>49132</v>
      </c>
      <c r="D42" s="146">
        <f t="shared" si="5"/>
        <v>345813</v>
      </c>
      <c r="E42" s="331"/>
      <c r="F42" s="367"/>
      <c r="G42" s="364">
        <f t="shared" si="1"/>
        <v>0</v>
      </c>
      <c r="H42" t="s">
        <v>2271</v>
      </c>
      <c r="I42" s="66">
        <v>43669</v>
      </c>
      <c r="J42" t="s">
        <v>3044</v>
      </c>
      <c r="K42">
        <f t="shared" si="2"/>
        <v>750000</v>
      </c>
      <c r="L42">
        <f t="shared" si="3"/>
        <v>0</v>
      </c>
    </row>
    <row r="43" spans="1:12" hidden="1" outlineLevel="1">
      <c r="A43" s="147">
        <v>43656</v>
      </c>
      <c r="B43" s="149"/>
      <c r="C43" s="148">
        <v>511</v>
      </c>
      <c r="D43" s="150">
        <f t="shared" si="5"/>
        <v>346324</v>
      </c>
      <c r="E43" s="333"/>
      <c r="F43" s="368"/>
      <c r="G43" s="369">
        <f t="shared" si="1"/>
        <v>0</v>
      </c>
      <c r="H43" s="152" t="s">
        <v>84</v>
      </c>
      <c r="I43" s="152"/>
      <c r="J43" t="s">
        <v>3044</v>
      </c>
      <c r="K43">
        <f t="shared" si="2"/>
        <v>750000</v>
      </c>
      <c r="L43">
        <f t="shared" si="3"/>
        <v>0</v>
      </c>
    </row>
    <row r="44" spans="1:12" hidden="1" outlineLevel="1">
      <c r="A44" s="139">
        <v>43656</v>
      </c>
      <c r="B44" s="124"/>
      <c r="C44" s="123">
        <v>60133</v>
      </c>
      <c r="D44" s="146">
        <f t="shared" si="5"/>
        <v>406457</v>
      </c>
      <c r="E44" s="331"/>
      <c r="F44" s="367"/>
      <c r="G44" s="364">
        <f t="shared" si="1"/>
        <v>0</v>
      </c>
      <c r="H44" t="s">
        <v>2274</v>
      </c>
      <c r="I44" s="66">
        <v>43672</v>
      </c>
      <c r="J44" t="s">
        <v>3044</v>
      </c>
      <c r="K44">
        <f t="shared" si="2"/>
        <v>750000</v>
      </c>
      <c r="L44">
        <f t="shared" si="3"/>
        <v>0</v>
      </c>
    </row>
    <row r="45" spans="1:12" hidden="1" outlineLevel="1">
      <c r="A45" s="139">
        <v>43656</v>
      </c>
      <c r="B45" s="124"/>
      <c r="C45" s="123">
        <v>31859</v>
      </c>
      <c r="D45" s="146">
        <f t="shared" si="5"/>
        <v>438316</v>
      </c>
      <c r="E45" s="331"/>
      <c r="F45" s="367"/>
      <c r="G45" s="364">
        <f t="shared" si="1"/>
        <v>0</v>
      </c>
      <c r="H45" t="s">
        <v>2275</v>
      </c>
      <c r="I45" s="66">
        <v>43677</v>
      </c>
      <c r="J45" t="s">
        <v>3044</v>
      </c>
      <c r="K45">
        <f t="shared" si="2"/>
        <v>750000</v>
      </c>
      <c r="L45">
        <f t="shared" si="3"/>
        <v>0</v>
      </c>
    </row>
    <row r="46" spans="1:12" hidden="1" outlineLevel="1">
      <c r="A46" s="195">
        <v>43658</v>
      </c>
      <c r="B46" s="197"/>
      <c r="C46" s="196">
        <v>6190</v>
      </c>
      <c r="D46" s="198">
        <f t="shared" si="5"/>
        <v>444506</v>
      </c>
      <c r="E46" s="334"/>
      <c r="F46" s="370"/>
      <c r="G46" s="371">
        <f t="shared" si="1"/>
        <v>0</v>
      </c>
      <c r="H46" s="200" t="s">
        <v>86</v>
      </c>
      <c r="I46" s="200" t="s">
        <v>101</v>
      </c>
      <c r="J46" t="s">
        <v>3044</v>
      </c>
      <c r="K46">
        <f t="shared" si="2"/>
        <v>750000</v>
      </c>
      <c r="L46">
        <f t="shared" si="3"/>
        <v>0</v>
      </c>
    </row>
    <row r="47" spans="1:12" hidden="1" outlineLevel="1">
      <c r="A47" s="195">
        <v>43658</v>
      </c>
      <c r="B47" s="197"/>
      <c r="C47" s="196">
        <v>14990</v>
      </c>
      <c r="D47" s="198">
        <f t="shared" si="5"/>
        <v>459496</v>
      </c>
      <c r="E47" s="334"/>
      <c r="F47" s="370"/>
      <c r="G47" s="371">
        <f t="shared" si="1"/>
        <v>0</v>
      </c>
      <c r="H47" s="200" t="s">
        <v>2269</v>
      </c>
      <c r="I47" s="200" t="s">
        <v>101</v>
      </c>
      <c r="J47" t="s">
        <v>3044</v>
      </c>
      <c r="K47">
        <f t="shared" si="2"/>
        <v>750000</v>
      </c>
      <c r="L47">
        <f t="shared" si="3"/>
        <v>0</v>
      </c>
    </row>
    <row r="48" spans="1:12" hidden="1" outlineLevel="1">
      <c r="A48" s="139">
        <v>43658</v>
      </c>
      <c r="B48" s="124"/>
      <c r="C48" s="123">
        <v>104039</v>
      </c>
      <c r="D48" s="146">
        <f t="shared" si="5"/>
        <v>563535</v>
      </c>
      <c r="E48" s="331"/>
      <c r="F48" s="367"/>
      <c r="G48" s="364">
        <f t="shared" si="1"/>
        <v>0</v>
      </c>
      <c r="H48" t="s">
        <v>2276</v>
      </c>
      <c r="I48" s="66">
        <v>43677</v>
      </c>
      <c r="J48" t="s">
        <v>3044</v>
      </c>
      <c r="K48">
        <f t="shared" si="2"/>
        <v>750000</v>
      </c>
      <c r="L48">
        <f t="shared" si="3"/>
        <v>0</v>
      </c>
    </row>
    <row r="49" spans="1:12" hidden="1" outlineLevel="1">
      <c r="A49" s="139">
        <v>43658</v>
      </c>
      <c r="B49" s="124"/>
      <c r="C49" s="123">
        <v>94680</v>
      </c>
      <c r="D49" s="146">
        <f t="shared" si="5"/>
        <v>658215</v>
      </c>
      <c r="E49" s="331"/>
      <c r="F49" s="367"/>
      <c r="G49" s="364">
        <f t="shared" si="1"/>
        <v>0</v>
      </c>
      <c r="H49" t="s">
        <v>2277</v>
      </c>
      <c r="I49" s="66">
        <v>43679</v>
      </c>
      <c r="J49" t="s">
        <v>3044</v>
      </c>
      <c r="K49">
        <f t="shared" si="2"/>
        <v>750000</v>
      </c>
      <c r="L49">
        <f t="shared" si="3"/>
        <v>0</v>
      </c>
    </row>
    <row r="50" spans="1:12" hidden="1" outlineLevel="1">
      <c r="A50" s="139">
        <v>43663</v>
      </c>
      <c r="B50" s="124"/>
      <c r="C50" s="123">
        <v>87214</v>
      </c>
      <c r="D50" s="146">
        <f t="shared" si="5"/>
        <v>745429</v>
      </c>
      <c r="E50" s="331"/>
      <c r="F50" s="367"/>
      <c r="G50" s="364">
        <f t="shared" si="1"/>
        <v>0</v>
      </c>
      <c r="H50" t="s">
        <v>179</v>
      </c>
      <c r="I50" s="66">
        <v>43672</v>
      </c>
      <c r="J50" t="s">
        <v>3044</v>
      </c>
      <c r="K50">
        <f t="shared" si="2"/>
        <v>750000</v>
      </c>
      <c r="L50">
        <f t="shared" si="3"/>
        <v>0</v>
      </c>
    </row>
    <row r="51" spans="1:12" hidden="1" outlineLevel="1">
      <c r="A51" s="195">
        <v>43665</v>
      </c>
      <c r="B51" s="197"/>
      <c r="C51" s="196">
        <v>3790</v>
      </c>
      <c r="D51" s="198">
        <f t="shared" si="5"/>
        <v>749219</v>
      </c>
      <c r="E51" s="334"/>
      <c r="F51" s="370"/>
      <c r="G51" s="371">
        <f t="shared" si="1"/>
        <v>0</v>
      </c>
      <c r="H51" s="200" t="s">
        <v>2270</v>
      </c>
      <c r="I51" s="200" t="s">
        <v>101</v>
      </c>
      <c r="J51" t="s">
        <v>3044</v>
      </c>
      <c r="K51">
        <f t="shared" si="2"/>
        <v>750000</v>
      </c>
      <c r="L51">
        <f t="shared" si="3"/>
        <v>0</v>
      </c>
    </row>
    <row r="52" spans="1:12" hidden="1" outlineLevel="1">
      <c r="A52" s="195">
        <v>43669</v>
      </c>
      <c r="B52" s="197"/>
      <c r="C52" s="196">
        <v>3190</v>
      </c>
      <c r="D52" s="198">
        <f t="shared" si="5"/>
        <v>752409</v>
      </c>
      <c r="E52" s="334"/>
      <c r="F52" s="370"/>
      <c r="G52" s="371">
        <f t="shared" si="1"/>
        <v>0</v>
      </c>
      <c r="H52" s="200" t="s">
        <v>2271</v>
      </c>
      <c r="I52" s="200" t="s">
        <v>101</v>
      </c>
      <c r="J52" t="s">
        <v>3044</v>
      </c>
      <c r="K52">
        <f t="shared" si="2"/>
        <v>750000</v>
      </c>
      <c r="L52">
        <f t="shared" si="3"/>
        <v>0</v>
      </c>
    </row>
    <row r="53" spans="1:12" hidden="1" outlineLevel="1">
      <c r="A53" s="195">
        <v>43671</v>
      </c>
      <c r="B53" s="197"/>
      <c r="C53" s="196">
        <v>3090</v>
      </c>
      <c r="D53" s="198">
        <f t="shared" si="5"/>
        <v>755499</v>
      </c>
      <c r="E53" s="334"/>
      <c r="F53" s="370"/>
      <c r="G53" s="371">
        <f t="shared" si="1"/>
        <v>0</v>
      </c>
      <c r="H53" s="200" t="s">
        <v>2272</v>
      </c>
      <c r="I53" s="200" t="s">
        <v>101</v>
      </c>
      <c r="J53" t="s">
        <v>3044</v>
      </c>
      <c r="K53">
        <f t="shared" si="2"/>
        <v>750000</v>
      </c>
      <c r="L53">
        <f t="shared" si="3"/>
        <v>0</v>
      </c>
    </row>
    <row r="54" spans="1:12" hidden="1" outlineLevel="1">
      <c r="A54" s="195">
        <v>43672</v>
      </c>
      <c r="B54" s="197"/>
      <c r="C54" s="196">
        <v>7975</v>
      </c>
      <c r="D54" s="198">
        <f t="shared" ref="D54:D85" si="6">D53+C54-B54</f>
        <v>763474</v>
      </c>
      <c r="E54" s="334"/>
      <c r="F54" s="370"/>
      <c r="G54" s="371">
        <f t="shared" si="1"/>
        <v>0</v>
      </c>
      <c r="H54" s="200" t="s">
        <v>179</v>
      </c>
      <c r="I54" s="200" t="s">
        <v>101</v>
      </c>
      <c r="J54" t="s">
        <v>3044</v>
      </c>
      <c r="K54">
        <f t="shared" si="2"/>
        <v>750000</v>
      </c>
      <c r="L54">
        <f t="shared" si="3"/>
        <v>0</v>
      </c>
    </row>
    <row r="55" spans="1:12" hidden="1" outlineLevel="1">
      <c r="A55" s="195">
        <v>43672</v>
      </c>
      <c r="B55" s="197"/>
      <c r="C55" s="196">
        <v>2950</v>
      </c>
      <c r="D55" s="198">
        <f t="shared" si="6"/>
        <v>766424</v>
      </c>
      <c r="E55" s="334"/>
      <c r="F55" s="370"/>
      <c r="G55" s="371">
        <f t="shared" si="1"/>
        <v>0</v>
      </c>
      <c r="H55" s="200" t="s">
        <v>2273</v>
      </c>
      <c r="I55" s="200" t="s">
        <v>101</v>
      </c>
      <c r="J55" t="s">
        <v>3044</v>
      </c>
      <c r="K55">
        <f t="shared" si="2"/>
        <v>750000</v>
      </c>
      <c r="L55">
        <f t="shared" si="3"/>
        <v>0</v>
      </c>
    </row>
    <row r="56" spans="1:12" hidden="1" outlineLevel="1">
      <c r="A56" s="195">
        <v>43672</v>
      </c>
      <c r="B56" s="197"/>
      <c r="C56" s="196">
        <v>7100</v>
      </c>
      <c r="D56" s="198">
        <f t="shared" si="6"/>
        <v>773524</v>
      </c>
      <c r="E56" s="334"/>
      <c r="F56" s="370"/>
      <c r="G56" s="371">
        <f t="shared" si="1"/>
        <v>0</v>
      </c>
      <c r="H56" s="200" t="s">
        <v>2274</v>
      </c>
      <c r="I56" s="200" t="s">
        <v>101</v>
      </c>
      <c r="J56" t="s">
        <v>3044</v>
      </c>
      <c r="K56">
        <f t="shared" si="2"/>
        <v>750000</v>
      </c>
      <c r="L56">
        <f t="shared" si="3"/>
        <v>0</v>
      </c>
    </row>
    <row r="57" spans="1:12" hidden="1" outlineLevel="1">
      <c r="A57" s="195">
        <v>43677</v>
      </c>
      <c r="B57" s="197"/>
      <c r="C57" s="196">
        <v>1490</v>
      </c>
      <c r="D57" s="198">
        <f t="shared" si="6"/>
        <v>775014</v>
      </c>
      <c r="E57" s="334"/>
      <c r="F57" s="370"/>
      <c r="G57" s="371">
        <f t="shared" si="1"/>
        <v>0</v>
      </c>
      <c r="H57" s="200" t="s">
        <v>2275</v>
      </c>
      <c r="I57" s="200" t="s">
        <v>101</v>
      </c>
      <c r="J57" t="s">
        <v>3044</v>
      </c>
      <c r="K57">
        <f t="shared" si="2"/>
        <v>750000</v>
      </c>
      <c r="L57">
        <f t="shared" si="3"/>
        <v>0</v>
      </c>
    </row>
    <row r="58" spans="1:12" hidden="1" outlineLevel="1">
      <c r="A58" s="195">
        <v>43677</v>
      </c>
      <c r="B58" s="197"/>
      <c r="C58" s="196">
        <v>6990</v>
      </c>
      <c r="D58" s="198">
        <f t="shared" si="6"/>
        <v>782004</v>
      </c>
      <c r="E58" s="334"/>
      <c r="F58" s="370"/>
      <c r="G58" s="371">
        <f t="shared" si="1"/>
        <v>0</v>
      </c>
      <c r="H58" s="200" t="s">
        <v>2276</v>
      </c>
      <c r="I58" s="200" t="s">
        <v>101</v>
      </c>
      <c r="J58" t="s">
        <v>3044</v>
      </c>
      <c r="K58">
        <f t="shared" si="2"/>
        <v>750000</v>
      </c>
      <c r="L58">
        <f t="shared" si="3"/>
        <v>0</v>
      </c>
    </row>
    <row r="59" spans="1:12" hidden="1" outlineLevel="1">
      <c r="A59" s="195">
        <v>43679</v>
      </c>
      <c r="B59" s="197"/>
      <c r="C59" s="196">
        <v>4990</v>
      </c>
      <c r="D59" s="198">
        <f t="shared" si="6"/>
        <v>786994</v>
      </c>
      <c r="E59" s="334"/>
      <c r="F59" s="370"/>
      <c r="G59" s="371">
        <f t="shared" si="1"/>
        <v>0</v>
      </c>
      <c r="H59" s="200" t="s">
        <v>2277</v>
      </c>
      <c r="I59" s="200" t="s">
        <v>101</v>
      </c>
      <c r="J59" t="s">
        <v>3044</v>
      </c>
      <c r="K59">
        <f t="shared" si="2"/>
        <v>750000</v>
      </c>
      <c r="L59">
        <f t="shared" si="3"/>
        <v>0</v>
      </c>
    </row>
    <row r="60" spans="1:12" hidden="1" outlineLevel="1">
      <c r="A60" s="195">
        <v>43679</v>
      </c>
      <c r="B60" s="197"/>
      <c r="C60" s="196">
        <v>3360</v>
      </c>
      <c r="D60" s="198">
        <f t="shared" si="6"/>
        <v>790354</v>
      </c>
      <c r="E60" s="334"/>
      <c r="F60" s="370"/>
      <c r="G60" s="371">
        <f t="shared" si="1"/>
        <v>0</v>
      </c>
      <c r="H60" s="200" t="s">
        <v>2278</v>
      </c>
      <c r="I60" s="200" t="s">
        <v>101</v>
      </c>
      <c r="J60" t="s">
        <v>3044</v>
      </c>
      <c r="K60">
        <f t="shared" si="2"/>
        <v>750000</v>
      </c>
      <c r="L60">
        <f t="shared" si="3"/>
        <v>0</v>
      </c>
    </row>
    <row r="61" spans="1:12" hidden="1" outlineLevel="1">
      <c r="A61" s="147">
        <v>43689</v>
      </c>
      <c r="B61" s="149"/>
      <c r="C61" s="148">
        <v>521</v>
      </c>
      <c r="D61" s="150">
        <f t="shared" si="6"/>
        <v>790875</v>
      </c>
      <c r="E61" s="333"/>
      <c r="F61" s="368"/>
      <c r="G61" s="369">
        <f t="shared" si="1"/>
        <v>0</v>
      </c>
      <c r="H61" s="152" t="s">
        <v>84</v>
      </c>
      <c r="I61" s="152"/>
      <c r="J61" t="s">
        <v>3044</v>
      </c>
      <c r="K61">
        <f t="shared" si="2"/>
        <v>750000</v>
      </c>
      <c r="L61">
        <f t="shared" si="3"/>
        <v>0</v>
      </c>
    </row>
    <row r="62" spans="1:12" hidden="1" outlineLevel="1">
      <c r="A62" s="153">
        <v>43820</v>
      </c>
      <c r="B62" s="155"/>
      <c r="C62" s="154">
        <v>366</v>
      </c>
      <c r="D62" s="156">
        <f t="shared" si="6"/>
        <v>791241</v>
      </c>
      <c r="E62" s="332"/>
      <c r="F62" s="365"/>
      <c r="G62" s="366">
        <f t="shared" si="1"/>
        <v>0</v>
      </c>
      <c r="H62" s="158" t="s">
        <v>48</v>
      </c>
      <c r="I62" s="159"/>
      <c r="J62" t="s">
        <v>3044</v>
      </c>
      <c r="K62">
        <f t="shared" si="2"/>
        <v>750000</v>
      </c>
      <c r="L62">
        <f t="shared" si="3"/>
        <v>0</v>
      </c>
    </row>
    <row r="63" spans="1:12" hidden="1" outlineLevel="1">
      <c r="A63" s="139">
        <v>43830</v>
      </c>
      <c r="B63" s="124">
        <v>460</v>
      </c>
      <c r="C63" s="123"/>
      <c r="D63" s="146">
        <f t="shared" si="6"/>
        <v>790781</v>
      </c>
      <c r="E63" s="331"/>
      <c r="F63" s="367"/>
      <c r="G63" s="364">
        <f t="shared" si="1"/>
        <v>0</v>
      </c>
      <c r="H63" s="65" t="s">
        <v>57</v>
      </c>
      <c r="I63" s="65"/>
      <c r="J63" t="s">
        <v>3044</v>
      </c>
      <c r="K63">
        <f t="shared" si="2"/>
        <v>750000</v>
      </c>
      <c r="L63">
        <f t="shared" si="3"/>
        <v>0</v>
      </c>
    </row>
    <row r="64" spans="1:12" s="65" customFormat="1" hidden="1" outlineLevel="1">
      <c r="A64" s="153">
        <v>44003</v>
      </c>
      <c r="B64" s="155"/>
      <c r="C64" s="154">
        <v>292</v>
      </c>
      <c r="D64" s="156">
        <f t="shared" si="6"/>
        <v>791073</v>
      </c>
      <c r="E64" s="332"/>
      <c r="F64" s="365"/>
      <c r="G64" s="366">
        <f t="shared" si="1"/>
        <v>0</v>
      </c>
      <c r="H64" s="158" t="s">
        <v>48</v>
      </c>
      <c r="I64" s="159"/>
      <c r="J64" t="s">
        <v>3044</v>
      </c>
      <c r="K64">
        <f t="shared" si="2"/>
        <v>750000</v>
      </c>
      <c r="L64">
        <f t="shared" si="3"/>
        <v>0</v>
      </c>
    </row>
    <row r="65" spans="1:12" s="65" customFormat="1" hidden="1" outlineLevel="1">
      <c r="A65" s="139">
        <v>44006</v>
      </c>
      <c r="B65" s="124">
        <v>39806</v>
      </c>
      <c r="C65" s="123"/>
      <c r="D65" s="146">
        <f t="shared" si="6"/>
        <v>751267</v>
      </c>
      <c r="E65" s="331"/>
      <c r="F65" s="367"/>
      <c r="G65" s="364">
        <f t="shared" si="1"/>
        <v>0</v>
      </c>
      <c r="H65" s="65" t="s">
        <v>2395</v>
      </c>
      <c r="J65" t="s">
        <v>3044</v>
      </c>
      <c r="K65">
        <f t="shared" si="2"/>
        <v>750000</v>
      </c>
      <c r="L65">
        <f t="shared" si="3"/>
        <v>0</v>
      </c>
    </row>
    <row r="66" spans="1:12" s="65" customFormat="1" hidden="1" outlineLevel="1">
      <c r="A66" s="139">
        <v>44007</v>
      </c>
      <c r="B66" s="124">
        <v>246851</v>
      </c>
      <c r="C66" s="123"/>
      <c r="D66" s="146">
        <f t="shared" si="6"/>
        <v>504416</v>
      </c>
      <c r="E66" s="331"/>
      <c r="F66" s="367"/>
      <c r="G66" s="364">
        <f t="shared" si="1"/>
        <v>0</v>
      </c>
      <c r="H66" s="65" t="s">
        <v>115</v>
      </c>
      <c r="J66" t="s">
        <v>3044</v>
      </c>
      <c r="K66">
        <f t="shared" si="2"/>
        <v>750000</v>
      </c>
      <c r="L66">
        <f t="shared" si="3"/>
        <v>0</v>
      </c>
    </row>
    <row r="67" spans="1:12" s="65" customFormat="1" hidden="1" outlineLevel="1">
      <c r="A67" s="139">
        <v>44017</v>
      </c>
      <c r="B67" s="124">
        <v>49118</v>
      </c>
      <c r="C67" s="123"/>
      <c r="D67" s="146">
        <f t="shared" si="6"/>
        <v>455298</v>
      </c>
      <c r="E67" s="331"/>
      <c r="F67" s="367"/>
      <c r="G67" s="364">
        <f t="shared" ref="G67:G127" si="7">G66+F67-E67</f>
        <v>0</v>
      </c>
      <c r="H67" s="65" t="s">
        <v>184</v>
      </c>
      <c r="J67" t="s">
        <v>3044</v>
      </c>
      <c r="K67">
        <f t="shared" si="2"/>
        <v>750000</v>
      </c>
      <c r="L67">
        <f t="shared" si="3"/>
        <v>0</v>
      </c>
    </row>
    <row r="68" spans="1:12" s="65" customFormat="1" hidden="1" outlineLevel="1">
      <c r="A68" s="147">
        <v>44022</v>
      </c>
      <c r="B68" s="149"/>
      <c r="C68" s="148">
        <v>162</v>
      </c>
      <c r="D68" s="150">
        <f t="shared" si="6"/>
        <v>455460</v>
      </c>
      <c r="E68" s="333"/>
      <c r="F68" s="368"/>
      <c r="G68" s="369">
        <f t="shared" si="7"/>
        <v>0</v>
      </c>
      <c r="H68" s="152" t="s">
        <v>84</v>
      </c>
      <c r="I68" s="152"/>
      <c r="J68" t="s">
        <v>3044</v>
      </c>
      <c r="K68">
        <f t="shared" ref="K68:K131" si="8">IF(J68="本金",-B68+C68+K67,K67)</f>
        <v>750000</v>
      </c>
      <c r="L68">
        <f t="shared" ref="L68:L131" si="9">IF(J68="本金",-E68+F68+L67,L67)</f>
        <v>0</v>
      </c>
    </row>
    <row r="69" spans="1:12" s="65" customFormat="1" hidden="1" outlineLevel="1">
      <c r="A69" s="139">
        <v>44027</v>
      </c>
      <c r="B69" s="124"/>
      <c r="C69" s="123">
        <v>39127</v>
      </c>
      <c r="D69" s="146">
        <f t="shared" si="6"/>
        <v>494587</v>
      </c>
      <c r="E69" s="331"/>
      <c r="F69" s="367"/>
      <c r="G69" s="364">
        <f t="shared" si="7"/>
        <v>0</v>
      </c>
      <c r="H69" s="65" t="s">
        <v>184</v>
      </c>
      <c r="J69" t="s">
        <v>3044</v>
      </c>
      <c r="K69">
        <f t="shared" si="8"/>
        <v>750000</v>
      </c>
      <c r="L69">
        <f t="shared" si="9"/>
        <v>0</v>
      </c>
    </row>
    <row r="70" spans="1:12" s="65" customFormat="1" hidden="1" outlineLevel="1">
      <c r="A70" s="195">
        <v>44029</v>
      </c>
      <c r="B70" s="197"/>
      <c r="C70" s="196">
        <v>1790</v>
      </c>
      <c r="D70" s="198">
        <f t="shared" si="6"/>
        <v>496377</v>
      </c>
      <c r="E70" s="334"/>
      <c r="F70" s="370"/>
      <c r="G70" s="371">
        <f t="shared" si="7"/>
        <v>0</v>
      </c>
      <c r="H70" s="200" t="s">
        <v>2379</v>
      </c>
      <c r="I70" s="200" t="s">
        <v>101</v>
      </c>
      <c r="J70" t="s">
        <v>3044</v>
      </c>
      <c r="K70">
        <f t="shared" si="8"/>
        <v>750000</v>
      </c>
      <c r="L70">
        <f t="shared" si="9"/>
        <v>0</v>
      </c>
    </row>
    <row r="71" spans="1:12" s="65" customFormat="1" hidden="1" outlineLevel="1">
      <c r="A71" s="195">
        <v>44035</v>
      </c>
      <c r="B71" s="197"/>
      <c r="C71" s="196">
        <v>13990</v>
      </c>
      <c r="D71" s="198">
        <f t="shared" si="6"/>
        <v>510367</v>
      </c>
      <c r="E71" s="334"/>
      <c r="F71" s="370"/>
      <c r="G71" s="371">
        <f t="shared" si="7"/>
        <v>0</v>
      </c>
      <c r="H71" s="200" t="s">
        <v>2380</v>
      </c>
      <c r="I71" s="200" t="s">
        <v>101</v>
      </c>
      <c r="J71" t="s">
        <v>3044</v>
      </c>
      <c r="K71">
        <f t="shared" si="8"/>
        <v>750000</v>
      </c>
      <c r="L71">
        <f t="shared" si="9"/>
        <v>0</v>
      </c>
    </row>
    <row r="72" spans="1:12" s="65" customFormat="1" hidden="1" outlineLevel="1">
      <c r="A72" s="139">
        <v>44042</v>
      </c>
      <c r="B72" s="124"/>
      <c r="C72" s="123">
        <v>34050</v>
      </c>
      <c r="D72" s="146">
        <f t="shared" si="6"/>
        <v>544417</v>
      </c>
      <c r="E72" s="331"/>
      <c r="F72" s="367"/>
      <c r="G72" s="364">
        <f t="shared" si="7"/>
        <v>0</v>
      </c>
      <c r="H72" s="65" t="s">
        <v>2395</v>
      </c>
      <c r="J72" t="s">
        <v>3044</v>
      </c>
      <c r="K72">
        <f t="shared" si="8"/>
        <v>750000</v>
      </c>
      <c r="L72">
        <f t="shared" si="9"/>
        <v>0</v>
      </c>
    </row>
    <row r="73" spans="1:12" s="65" customFormat="1" hidden="1" outlineLevel="1">
      <c r="A73" s="147">
        <v>44053</v>
      </c>
      <c r="B73" s="149"/>
      <c r="C73" s="148">
        <v>67</v>
      </c>
      <c r="D73" s="150">
        <f t="shared" si="6"/>
        <v>544484</v>
      </c>
      <c r="E73" s="333"/>
      <c r="F73" s="368"/>
      <c r="G73" s="369">
        <f t="shared" si="7"/>
        <v>0</v>
      </c>
      <c r="H73" s="152" t="s">
        <v>84</v>
      </c>
      <c r="I73" s="152"/>
      <c r="J73" t="s">
        <v>3044</v>
      </c>
      <c r="K73">
        <f t="shared" si="8"/>
        <v>750000</v>
      </c>
      <c r="L73">
        <f t="shared" si="9"/>
        <v>0</v>
      </c>
    </row>
    <row r="74" spans="1:12" s="65" customFormat="1" hidden="1" outlineLevel="1">
      <c r="A74" s="139">
        <v>44063</v>
      </c>
      <c r="B74" s="124">
        <v>265878</v>
      </c>
      <c r="C74" s="123"/>
      <c r="D74" s="146">
        <f t="shared" si="6"/>
        <v>278606</v>
      </c>
      <c r="E74" s="331"/>
      <c r="F74" s="367"/>
      <c r="G74" s="364">
        <f t="shared" si="7"/>
        <v>0</v>
      </c>
      <c r="H74" s="65" t="s">
        <v>199</v>
      </c>
      <c r="J74" t="s">
        <v>3044</v>
      </c>
      <c r="K74">
        <f t="shared" si="8"/>
        <v>750000</v>
      </c>
      <c r="L74">
        <f t="shared" si="9"/>
        <v>0</v>
      </c>
    </row>
    <row r="75" spans="1:12" s="65" customFormat="1" hidden="1" outlineLevel="1">
      <c r="A75" s="139">
        <v>44071</v>
      </c>
      <c r="B75" s="124"/>
      <c r="C75" s="123">
        <v>251881</v>
      </c>
      <c r="D75" s="146">
        <f t="shared" si="6"/>
        <v>530487</v>
      </c>
      <c r="E75" s="331"/>
      <c r="F75" s="367"/>
      <c r="G75" s="364">
        <f t="shared" si="7"/>
        <v>0</v>
      </c>
      <c r="H75" s="65" t="s">
        <v>115</v>
      </c>
      <c r="J75" t="s">
        <v>3044</v>
      </c>
      <c r="K75">
        <f t="shared" si="8"/>
        <v>750000</v>
      </c>
      <c r="L75">
        <f t="shared" si="9"/>
        <v>0</v>
      </c>
    </row>
    <row r="76" spans="1:12" s="65" customFormat="1" hidden="1" outlineLevel="1">
      <c r="A76" s="139">
        <v>44071</v>
      </c>
      <c r="B76" s="124">
        <v>68797</v>
      </c>
      <c r="C76" s="123"/>
      <c r="D76" s="146">
        <f t="shared" si="6"/>
        <v>461690</v>
      </c>
      <c r="E76" s="331"/>
      <c r="F76" s="367"/>
      <c r="G76" s="364">
        <f t="shared" si="7"/>
        <v>0</v>
      </c>
      <c r="H76" s="65" t="s">
        <v>200</v>
      </c>
      <c r="J76" t="s">
        <v>3044</v>
      </c>
      <c r="K76">
        <f t="shared" si="8"/>
        <v>750000</v>
      </c>
      <c r="L76">
        <f t="shared" si="9"/>
        <v>0</v>
      </c>
    </row>
    <row r="77" spans="1:12" s="65" customFormat="1" hidden="1" outlineLevel="1">
      <c r="A77" s="139">
        <v>44072</v>
      </c>
      <c r="B77" s="124">
        <v>17424</v>
      </c>
      <c r="C77" s="123"/>
      <c r="D77" s="146">
        <f t="shared" si="6"/>
        <v>444266</v>
      </c>
      <c r="E77" s="331"/>
      <c r="F77" s="367"/>
      <c r="G77" s="364">
        <f t="shared" si="7"/>
        <v>0</v>
      </c>
      <c r="H77" s="65" t="s">
        <v>202</v>
      </c>
      <c r="J77" t="s">
        <v>3044</v>
      </c>
      <c r="K77">
        <f t="shared" si="8"/>
        <v>750000</v>
      </c>
      <c r="L77">
        <f t="shared" si="9"/>
        <v>0</v>
      </c>
    </row>
    <row r="78" spans="1:12" s="65" customFormat="1" hidden="1" outlineLevel="1">
      <c r="A78" s="139">
        <v>44072</v>
      </c>
      <c r="B78" s="124">
        <v>47517</v>
      </c>
      <c r="C78" s="123"/>
      <c r="D78" s="146">
        <f t="shared" si="6"/>
        <v>396749</v>
      </c>
      <c r="E78" s="331"/>
      <c r="F78" s="367"/>
      <c r="G78" s="364">
        <f t="shared" si="7"/>
        <v>0</v>
      </c>
      <c r="H78" s="65" t="s">
        <v>201</v>
      </c>
      <c r="J78" t="s">
        <v>3044</v>
      </c>
      <c r="K78">
        <f t="shared" si="8"/>
        <v>750000</v>
      </c>
      <c r="L78">
        <f t="shared" si="9"/>
        <v>0</v>
      </c>
    </row>
    <row r="79" spans="1:12" s="65" customFormat="1" hidden="1" outlineLevel="1">
      <c r="A79" s="139">
        <v>44078</v>
      </c>
      <c r="B79" s="124"/>
      <c r="C79" s="123">
        <v>16278</v>
      </c>
      <c r="D79" s="146">
        <f t="shared" si="6"/>
        <v>413027</v>
      </c>
      <c r="E79" s="331"/>
      <c r="F79" s="367"/>
      <c r="G79" s="364">
        <f t="shared" si="7"/>
        <v>0</v>
      </c>
      <c r="H79" s="65" t="s">
        <v>202</v>
      </c>
      <c r="J79" t="s">
        <v>3044</v>
      </c>
      <c r="K79">
        <f t="shared" si="8"/>
        <v>750000</v>
      </c>
      <c r="L79">
        <f t="shared" si="9"/>
        <v>0</v>
      </c>
    </row>
    <row r="80" spans="1:12" s="65" customFormat="1" hidden="1" outlineLevel="1">
      <c r="A80" s="139">
        <v>44079</v>
      </c>
      <c r="B80" s="124">
        <v>36552</v>
      </c>
      <c r="C80" s="123"/>
      <c r="D80" s="146">
        <f t="shared" si="6"/>
        <v>376475</v>
      </c>
      <c r="E80" s="331"/>
      <c r="F80" s="367"/>
      <c r="G80" s="364">
        <f t="shared" si="7"/>
        <v>0</v>
      </c>
      <c r="H80" s="65" t="s">
        <v>203</v>
      </c>
      <c r="J80" t="s">
        <v>3044</v>
      </c>
      <c r="K80">
        <f t="shared" si="8"/>
        <v>750000</v>
      </c>
      <c r="L80">
        <f t="shared" si="9"/>
        <v>0</v>
      </c>
    </row>
    <row r="81" spans="1:12" s="65" customFormat="1" hidden="1" outlineLevel="1">
      <c r="A81" s="139">
        <v>44083</v>
      </c>
      <c r="B81" s="124"/>
      <c r="C81" s="123">
        <v>34398</v>
      </c>
      <c r="D81" s="146">
        <f t="shared" si="6"/>
        <v>410873</v>
      </c>
      <c r="E81" s="331"/>
      <c r="F81" s="367"/>
      <c r="G81" s="364">
        <f t="shared" si="7"/>
        <v>0</v>
      </c>
      <c r="H81" s="65" t="s">
        <v>203</v>
      </c>
      <c r="J81" t="s">
        <v>3044</v>
      </c>
      <c r="K81">
        <f t="shared" si="8"/>
        <v>750000</v>
      </c>
      <c r="L81">
        <f t="shared" si="9"/>
        <v>0</v>
      </c>
    </row>
    <row r="82" spans="1:12" s="65" customFormat="1" hidden="1" outlineLevel="1">
      <c r="A82" s="147">
        <v>44084</v>
      </c>
      <c r="B82" s="149"/>
      <c r="C82" s="148">
        <v>368</v>
      </c>
      <c r="D82" s="150">
        <f t="shared" si="6"/>
        <v>411241</v>
      </c>
      <c r="E82" s="333"/>
      <c r="F82" s="368"/>
      <c r="G82" s="369">
        <f t="shared" si="7"/>
        <v>0</v>
      </c>
      <c r="H82" s="152" t="s">
        <v>84</v>
      </c>
      <c r="I82" s="152"/>
      <c r="J82" t="s">
        <v>3044</v>
      </c>
      <c r="K82">
        <f t="shared" si="8"/>
        <v>750000</v>
      </c>
      <c r="L82">
        <f t="shared" si="9"/>
        <v>0</v>
      </c>
    </row>
    <row r="83" spans="1:12" s="65" customFormat="1" hidden="1" outlineLevel="1">
      <c r="A83" s="139">
        <v>44089</v>
      </c>
      <c r="B83" s="124"/>
      <c r="C83" s="123">
        <v>46345</v>
      </c>
      <c r="D83" s="146">
        <f t="shared" si="6"/>
        <v>457586</v>
      </c>
      <c r="E83" s="331"/>
      <c r="F83" s="367"/>
      <c r="G83" s="364">
        <f t="shared" si="7"/>
        <v>0</v>
      </c>
      <c r="H83" s="65" t="s">
        <v>201</v>
      </c>
      <c r="J83" t="s">
        <v>3044</v>
      </c>
      <c r="K83">
        <f t="shared" si="8"/>
        <v>750000</v>
      </c>
      <c r="L83">
        <f t="shared" si="9"/>
        <v>0</v>
      </c>
    </row>
    <row r="84" spans="1:12" s="65" customFormat="1" hidden="1" outlineLevel="1">
      <c r="A84" s="139">
        <v>44091</v>
      </c>
      <c r="B84" s="124"/>
      <c r="C84" s="123">
        <v>68995</v>
      </c>
      <c r="D84" s="146">
        <f t="shared" si="6"/>
        <v>526581</v>
      </c>
      <c r="E84" s="331"/>
      <c r="F84" s="367"/>
      <c r="G84" s="364">
        <f t="shared" si="7"/>
        <v>0</v>
      </c>
      <c r="H84" s="65" t="s">
        <v>200</v>
      </c>
      <c r="J84" t="s">
        <v>3044</v>
      </c>
      <c r="K84">
        <f t="shared" si="8"/>
        <v>750000</v>
      </c>
      <c r="L84">
        <f t="shared" si="9"/>
        <v>0</v>
      </c>
    </row>
    <row r="85" spans="1:12" s="65" customFormat="1" hidden="1" outlineLevel="1">
      <c r="A85" s="147">
        <v>44112</v>
      </c>
      <c r="B85" s="149"/>
      <c r="C85" s="148">
        <v>113</v>
      </c>
      <c r="D85" s="150">
        <f t="shared" si="6"/>
        <v>526694</v>
      </c>
      <c r="E85" s="333"/>
      <c r="F85" s="368"/>
      <c r="G85" s="369">
        <f t="shared" si="7"/>
        <v>0</v>
      </c>
      <c r="H85" s="152" t="s">
        <v>84</v>
      </c>
      <c r="I85" s="152"/>
      <c r="J85" t="s">
        <v>3044</v>
      </c>
      <c r="K85">
        <f t="shared" si="8"/>
        <v>750000</v>
      </c>
      <c r="L85">
        <f t="shared" si="9"/>
        <v>0</v>
      </c>
    </row>
    <row r="86" spans="1:12" s="65" customFormat="1" hidden="1" outlineLevel="1">
      <c r="A86" s="139">
        <v>44136</v>
      </c>
      <c r="B86" s="124">
        <v>39055</v>
      </c>
      <c r="C86" s="123"/>
      <c r="D86" s="146">
        <f t="shared" ref="D86:D111" si="10">D85+C86-B86</f>
        <v>487639</v>
      </c>
      <c r="E86" s="331"/>
      <c r="F86" s="367"/>
      <c r="G86" s="364">
        <f t="shared" si="7"/>
        <v>0</v>
      </c>
      <c r="H86" s="65" t="s">
        <v>204</v>
      </c>
      <c r="J86" t="s">
        <v>3044</v>
      </c>
      <c r="K86">
        <f t="shared" si="8"/>
        <v>750000</v>
      </c>
      <c r="L86">
        <f t="shared" si="9"/>
        <v>0</v>
      </c>
    </row>
    <row r="87" spans="1:12" s="65" customFormat="1" hidden="1" outlineLevel="1">
      <c r="A87" s="147">
        <v>44145</v>
      </c>
      <c r="B87" s="149"/>
      <c r="C87" s="148">
        <v>22</v>
      </c>
      <c r="D87" s="150">
        <f t="shared" si="10"/>
        <v>487661</v>
      </c>
      <c r="E87" s="333"/>
      <c r="F87" s="368"/>
      <c r="G87" s="369">
        <f t="shared" si="7"/>
        <v>0</v>
      </c>
      <c r="H87" s="152" t="s">
        <v>84</v>
      </c>
      <c r="I87" s="152"/>
      <c r="J87" t="s">
        <v>3044</v>
      </c>
      <c r="K87">
        <f t="shared" si="8"/>
        <v>750000</v>
      </c>
      <c r="L87">
        <f t="shared" si="9"/>
        <v>0</v>
      </c>
    </row>
    <row r="88" spans="1:12" s="65" customFormat="1" hidden="1" outlineLevel="1">
      <c r="A88" s="139">
        <v>44146</v>
      </c>
      <c r="B88" s="124"/>
      <c r="C88" s="123">
        <v>295686</v>
      </c>
      <c r="D88" s="146">
        <f t="shared" si="10"/>
        <v>783347</v>
      </c>
      <c r="E88" s="331"/>
      <c r="F88" s="367"/>
      <c r="G88" s="364">
        <f t="shared" si="7"/>
        <v>0</v>
      </c>
      <c r="H88" s="65" t="s">
        <v>199</v>
      </c>
      <c r="J88" t="s">
        <v>3044</v>
      </c>
      <c r="K88">
        <f t="shared" si="8"/>
        <v>750000</v>
      </c>
      <c r="L88">
        <f t="shared" si="9"/>
        <v>0</v>
      </c>
    </row>
    <row r="89" spans="1:12" s="65" customFormat="1" hidden="1" outlineLevel="1">
      <c r="A89" s="139">
        <v>44136</v>
      </c>
      <c r="B89" s="124"/>
      <c r="C89" s="123">
        <v>38679</v>
      </c>
      <c r="D89" s="146">
        <f t="shared" si="10"/>
        <v>822026</v>
      </c>
      <c r="E89" s="331"/>
      <c r="F89" s="367"/>
      <c r="G89" s="364">
        <f t="shared" si="7"/>
        <v>0</v>
      </c>
      <c r="H89" s="65" t="s">
        <v>204</v>
      </c>
      <c r="J89" t="s">
        <v>3044</v>
      </c>
      <c r="K89">
        <f t="shared" si="8"/>
        <v>750000</v>
      </c>
      <c r="L89">
        <f t="shared" si="9"/>
        <v>0</v>
      </c>
    </row>
    <row r="90" spans="1:12" s="65" customFormat="1" hidden="1" outlineLevel="1">
      <c r="A90" s="139">
        <v>44159</v>
      </c>
      <c r="B90" s="124">
        <v>34749</v>
      </c>
      <c r="C90" s="123"/>
      <c r="D90" s="146">
        <f t="shared" si="10"/>
        <v>787277</v>
      </c>
      <c r="E90" s="331"/>
      <c r="F90" s="367"/>
      <c r="G90" s="364">
        <f t="shared" si="7"/>
        <v>0</v>
      </c>
      <c r="H90" s="65" t="s">
        <v>410</v>
      </c>
      <c r="J90" t="s">
        <v>3044</v>
      </c>
      <c r="K90">
        <f t="shared" si="8"/>
        <v>750000</v>
      </c>
      <c r="L90">
        <f t="shared" si="9"/>
        <v>0</v>
      </c>
    </row>
    <row r="91" spans="1:12" s="65" customFormat="1" hidden="1" outlineLevel="1">
      <c r="A91" s="161">
        <v>44159</v>
      </c>
      <c r="B91" s="164"/>
      <c r="C91" s="163">
        <v>1000000</v>
      </c>
      <c r="D91" s="165">
        <f t="shared" si="10"/>
        <v>1787277</v>
      </c>
      <c r="E91" s="372"/>
      <c r="F91" s="373"/>
      <c r="G91" s="374">
        <f t="shared" si="7"/>
        <v>0</v>
      </c>
      <c r="H91" s="168" t="s">
        <v>189</v>
      </c>
      <c r="I91" s="168" t="s">
        <v>190</v>
      </c>
      <c r="J91" t="s">
        <v>3041</v>
      </c>
      <c r="K91">
        <f t="shared" si="8"/>
        <v>1750000</v>
      </c>
      <c r="L91">
        <f t="shared" si="9"/>
        <v>0</v>
      </c>
    </row>
    <row r="92" spans="1:12" s="65" customFormat="1" hidden="1" outlineLevel="1">
      <c r="A92" s="139">
        <v>44160</v>
      </c>
      <c r="B92" s="124">
        <v>75307</v>
      </c>
      <c r="C92" s="123"/>
      <c r="D92" s="146">
        <f t="shared" si="10"/>
        <v>1711970</v>
      </c>
      <c r="E92" s="331"/>
      <c r="F92" s="367"/>
      <c r="G92" s="364">
        <f t="shared" si="7"/>
        <v>0</v>
      </c>
      <c r="H92" s="65" t="s">
        <v>163</v>
      </c>
      <c r="J92" t="s">
        <v>3044</v>
      </c>
      <c r="K92">
        <f t="shared" si="8"/>
        <v>1750000</v>
      </c>
      <c r="L92">
        <f t="shared" si="9"/>
        <v>0</v>
      </c>
    </row>
    <row r="93" spans="1:12" s="65" customFormat="1" hidden="1" outlineLevel="1">
      <c r="A93" s="139">
        <v>44160</v>
      </c>
      <c r="B93" s="124">
        <v>38204</v>
      </c>
      <c r="C93" s="123"/>
      <c r="D93" s="146">
        <f t="shared" si="10"/>
        <v>1673766</v>
      </c>
      <c r="E93" s="331"/>
      <c r="F93" s="367"/>
      <c r="G93" s="364">
        <f t="shared" si="7"/>
        <v>0</v>
      </c>
      <c r="H93" s="65" t="s">
        <v>165</v>
      </c>
      <c r="J93" t="s">
        <v>3044</v>
      </c>
      <c r="K93">
        <f t="shared" si="8"/>
        <v>1750000</v>
      </c>
      <c r="L93">
        <f t="shared" si="9"/>
        <v>0</v>
      </c>
    </row>
    <row r="94" spans="1:12" s="65" customFormat="1" hidden="1" outlineLevel="1">
      <c r="A94" s="139">
        <v>44160</v>
      </c>
      <c r="B94" s="124">
        <v>29141</v>
      </c>
      <c r="C94" s="123"/>
      <c r="D94" s="146">
        <f t="shared" si="10"/>
        <v>1644625</v>
      </c>
      <c r="E94" s="331"/>
      <c r="F94" s="367"/>
      <c r="G94" s="364">
        <f t="shared" si="7"/>
        <v>0</v>
      </c>
      <c r="H94" s="65" t="s">
        <v>166</v>
      </c>
      <c r="J94" t="s">
        <v>3044</v>
      </c>
      <c r="K94">
        <f t="shared" si="8"/>
        <v>1750000</v>
      </c>
      <c r="L94">
        <f t="shared" si="9"/>
        <v>0</v>
      </c>
    </row>
    <row r="95" spans="1:12" s="65" customFormat="1" hidden="1" outlineLevel="1">
      <c r="A95" s="139">
        <v>44160</v>
      </c>
      <c r="B95" s="124">
        <v>41709</v>
      </c>
      <c r="C95" s="123"/>
      <c r="D95" s="146">
        <f t="shared" si="10"/>
        <v>1602916</v>
      </c>
      <c r="E95" s="331"/>
      <c r="F95" s="367"/>
      <c r="G95" s="364">
        <f t="shared" si="7"/>
        <v>0</v>
      </c>
      <c r="H95" s="65" t="s">
        <v>167</v>
      </c>
      <c r="J95" t="s">
        <v>3044</v>
      </c>
      <c r="K95">
        <f t="shared" si="8"/>
        <v>1750000</v>
      </c>
      <c r="L95">
        <f t="shared" si="9"/>
        <v>0</v>
      </c>
    </row>
    <row r="96" spans="1:12" s="65" customFormat="1" hidden="1" outlineLevel="1">
      <c r="A96" s="139">
        <v>44160</v>
      </c>
      <c r="B96" s="124">
        <v>25636</v>
      </c>
      <c r="C96" s="123"/>
      <c r="D96" s="146">
        <f t="shared" si="10"/>
        <v>1577280</v>
      </c>
      <c r="E96" s="331"/>
      <c r="F96" s="367"/>
      <c r="G96" s="364">
        <f t="shared" si="7"/>
        <v>0</v>
      </c>
      <c r="H96" s="65" t="s">
        <v>2396</v>
      </c>
      <c r="J96" t="s">
        <v>3044</v>
      </c>
      <c r="K96">
        <f t="shared" si="8"/>
        <v>1750000</v>
      </c>
      <c r="L96">
        <f t="shared" si="9"/>
        <v>0</v>
      </c>
    </row>
    <row r="97" spans="1:12" s="65" customFormat="1" hidden="1" outlineLevel="1">
      <c r="A97" s="139">
        <v>44160</v>
      </c>
      <c r="B97" s="124">
        <v>35400</v>
      </c>
      <c r="C97" s="123"/>
      <c r="D97" s="146">
        <f t="shared" si="10"/>
        <v>1541880</v>
      </c>
      <c r="E97" s="331"/>
      <c r="F97" s="367"/>
      <c r="G97" s="364">
        <f t="shared" si="7"/>
        <v>0</v>
      </c>
      <c r="H97" s="65" t="s">
        <v>162</v>
      </c>
      <c r="J97" t="s">
        <v>3044</v>
      </c>
      <c r="K97">
        <f t="shared" si="8"/>
        <v>1750000</v>
      </c>
      <c r="L97">
        <f t="shared" si="9"/>
        <v>0</v>
      </c>
    </row>
    <row r="98" spans="1:12" s="65" customFormat="1" hidden="1" outlineLevel="1">
      <c r="A98" s="139">
        <v>44160</v>
      </c>
      <c r="B98" s="124">
        <v>110156</v>
      </c>
      <c r="C98" s="123"/>
      <c r="D98" s="146">
        <f t="shared" si="10"/>
        <v>1431724</v>
      </c>
      <c r="E98" s="331"/>
      <c r="F98" s="367"/>
      <c r="G98" s="364">
        <f t="shared" si="7"/>
        <v>0</v>
      </c>
      <c r="H98" s="65" t="s">
        <v>194</v>
      </c>
      <c r="J98" t="s">
        <v>3044</v>
      </c>
      <c r="K98">
        <f t="shared" si="8"/>
        <v>1750000</v>
      </c>
      <c r="L98">
        <f t="shared" si="9"/>
        <v>0</v>
      </c>
    </row>
    <row r="99" spans="1:12" s="65" customFormat="1" hidden="1" outlineLevel="1">
      <c r="A99" s="139">
        <v>44160</v>
      </c>
      <c r="B99" s="124">
        <v>9160</v>
      </c>
      <c r="C99" s="123"/>
      <c r="D99" s="146">
        <f t="shared" si="10"/>
        <v>1422564</v>
      </c>
      <c r="E99" s="331"/>
      <c r="F99" s="367"/>
      <c r="G99" s="364">
        <f t="shared" si="7"/>
        <v>0</v>
      </c>
      <c r="H99" s="65" t="s">
        <v>164</v>
      </c>
      <c r="J99" t="s">
        <v>3044</v>
      </c>
      <c r="K99">
        <f t="shared" si="8"/>
        <v>1750000</v>
      </c>
      <c r="L99">
        <f t="shared" si="9"/>
        <v>0</v>
      </c>
    </row>
    <row r="100" spans="1:12" s="65" customFormat="1" hidden="1" outlineLevel="1">
      <c r="A100" s="139">
        <v>44161</v>
      </c>
      <c r="B100" s="124">
        <v>40858</v>
      </c>
      <c r="C100" s="123"/>
      <c r="D100" s="146">
        <f t="shared" si="10"/>
        <v>1381706</v>
      </c>
      <c r="E100" s="331"/>
      <c r="F100" s="367"/>
      <c r="G100" s="364">
        <f t="shared" si="7"/>
        <v>0</v>
      </c>
      <c r="H100" s="65" t="s">
        <v>217</v>
      </c>
      <c r="J100" t="s">
        <v>3044</v>
      </c>
      <c r="K100">
        <f t="shared" si="8"/>
        <v>1750000</v>
      </c>
      <c r="L100">
        <f t="shared" si="9"/>
        <v>0</v>
      </c>
    </row>
    <row r="101" spans="1:12" s="65" customFormat="1" hidden="1" outlineLevel="1">
      <c r="A101" s="139">
        <v>44161</v>
      </c>
      <c r="B101" s="124">
        <v>604860</v>
      </c>
      <c r="C101" s="123"/>
      <c r="D101" s="146">
        <f t="shared" si="10"/>
        <v>776846</v>
      </c>
      <c r="E101" s="331"/>
      <c r="F101" s="367"/>
      <c r="G101" s="364">
        <f t="shared" si="7"/>
        <v>0</v>
      </c>
      <c r="H101" s="65" t="s">
        <v>205</v>
      </c>
      <c r="J101" t="s">
        <v>3044</v>
      </c>
      <c r="K101">
        <f t="shared" si="8"/>
        <v>1750000</v>
      </c>
      <c r="L101">
        <f t="shared" si="9"/>
        <v>0</v>
      </c>
    </row>
    <row r="102" spans="1:12" s="65" customFormat="1" hidden="1" outlineLevel="1">
      <c r="A102" s="139">
        <v>44163</v>
      </c>
      <c r="B102" s="124">
        <v>36451</v>
      </c>
      <c r="C102" s="123"/>
      <c r="D102" s="146">
        <f t="shared" si="10"/>
        <v>740395</v>
      </c>
      <c r="E102" s="331"/>
      <c r="F102" s="367"/>
      <c r="G102" s="364">
        <f t="shared" si="7"/>
        <v>0</v>
      </c>
      <c r="H102" s="65" t="s">
        <v>206</v>
      </c>
      <c r="J102" t="s">
        <v>3044</v>
      </c>
      <c r="K102">
        <f t="shared" si="8"/>
        <v>1750000</v>
      </c>
      <c r="L102">
        <f t="shared" si="9"/>
        <v>0</v>
      </c>
    </row>
    <row r="103" spans="1:12" s="65" customFormat="1" hidden="1" outlineLevel="1">
      <c r="A103" s="139">
        <v>44166</v>
      </c>
      <c r="B103" s="124">
        <v>72703</v>
      </c>
      <c r="C103" s="123"/>
      <c r="D103" s="146">
        <f t="shared" si="10"/>
        <v>667692</v>
      </c>
      <c r="E103" s="331"/>
      <c r="F103" s="367"/>
      <c r="G103" s="364">
        <f t="shared" si="7"/>
        <v>0</v>
      </c>
      <c r="H103" s="65" t="s">
        <v>163</v>
      </c>
      <c r="J103" t="s">
        <v>3044</v>
      </c>
      <c r="K103">
        <f t="shared" si="8"/>
        <v>1750000</v>
      </c>
      <c r="L103">
        <f t="shared" si="9"/>
        <v>0</v>
      </c>
    </row>
    <row r="104" spans="1:12" s="65" customFormat="1" hidden="1" outlineLevel="1">
      <c r="A104" s="139">
        <v>44167</v>
      </c>
      <c r="B104" s="124">
        <v>35049</v>
      </c>
      <c r="C104" s="123"/>
      <c r="D104" s="146">
        <f t="shared" si="10"/>
        <v>632643</v>
      </c>
      <c r="E104" s="331"/>
      <c r="F104" s="367"/>
      <c r="G104" s="364">
        <f t="shared" si="7"/>
        <v>0</v>
      </c>
      <c r="H104" s="65" t="s">
        <v>218</v>
      </c>
      <c r="J104" t="s">
        <v>3044</v>
      </c>
      <c r="K104">
        <f t="shared" si="8"/>
        <v>1750000</v>
      </c>
      <c r="L104">
        <f t="shared" si="9"/>
        <v>0</v>
      </c>
    </row>
    <row r="105" spans="1:12" s="65" customFormat="1" hidden="1" outlineLevel="1">
      <c r="A105" s="139">
        <v>44168</v>
      </c>
      <c r="B105" s="124">
        <v>76809</v>
      </c>
      <c r="C105" s="123"/>
      <c r="D105" s="146">
        <f t="shared" si="10"/>
        <v>555834</v>
      </c>
      <c r="E105" s="331"/>
      <c r="F105" s="367"/>
      <c r="G105" s="364">
        <f t="shared" si="7"/>
        <v>0</v>
      </c>
      <c r="H105" s="65" t="s">
        <v>238</v>
      </c>
      <c r="J105" t="s">
        <v>3044</v>
      </c>
      <c r="K105">
        <f t="shared" si="8"/>
        <v>1750000</v>
      </c>
      <c r="L105">
        <f t="shared" si="9"/>
        <v>0</v>
      </c>
    </row>
    <row r="106" spans="1:12" s="65" customFormat="1" hidden="1" outlineLevel="1">
      <c r="A106" s="139">
        <v>44168</v>
      </c>
      <c r="B106" s="124"/>
      <c r="C106" s="123">
        <v>634182</v>
      </c>
      <c r="D106" s="146">
        <f t="shared" si="10"/>
        <v>1190016</v>
      </c>
      <c r="E106" s="331"/>
      <c r="F106" s="367"/>
      <c r="G106" s="364">
        <f t="shared" si="7"/>
        <v>0</v>
      </c>
      <c r="H106" s="65" t="s">
        <v>205</v>
      </c>
      <c r="J106" t="s">
        <v>3044</v>
      </c>
      <c r="K106">
        <f t="shared" si="8"/>
        <v>1750000</v>
      </c>
      <c r="L106">
        <f t="shared" si="9"/>
        <v>0</v>
      </c>
    </row>
    <row r="107" spans="1:12" s="65" customFormat="1" hidden="1" outlineLevel="1">
      <c r="A107" s="139">
        <v>44172</v>
      </c>
      <c r="B107" s="124">
        <v>117166</v>
      </c>
      <c r="C107" s="123"/>
      <c r="D107" s="146">
        <f t="shared" si="10"/>
        <v>1072850</v>
      </c>
      <c r="E107" s="331"/>
      <c r="F107" s="367"/>
      <c r="G107" s="364">
        <f t="shared" si="7"/>
        <v>0</v>
      </c>
      <c r="H107" s="65" t="s">
        <v>170</v>
      </c>
      <c r="J107" t="s">
        <v>3044</v>
      </c>
      <c r="K107">
        <f t="shared" si="8"/>
        <v>1750000</v>
      </c>
      <c r="L107">
        <f t="shared" si="9"/>
        <v>0</v>
      </c>
    </row>
    <row r="108" spans="1:12" s="65" customFormat="1" hidden="1" outlineLevel="1">
      <c r="A108" s="139">
        <v>44174</v>
      </c>
      <c r="B108" s="124">
        <v>45815</v>
      </c>
      <c r="C108" s="123"/>
      <c r="D108" s="146">
        <f t="shared" si="10"/>
        <v>1027035</v>
      </c>
      <c r="E108" s="331"/>
      <c r="F108" s="367"/>
      <c r="G108" s="364">
        <f t="shared" si="7"/>
        <v>0</v>
      </c>
      <c r="H108" s="65" t="s">
        <v>193</v>
      </c>
      <c r="J108" t="s">
        <v>3044</v>
      </c>
      <c r="K108">
        <f t="shared" si="8"/>
        <v>1750000</v>
      </c>
      <c r="L108">
        <f t="shared" si="9"/>
        <v>0</v>
      </c>
    </row>
    <row r="109" spans="1:12" s="65" customFormat="1" hidden="1" outlineLevel="1">
      <c r="A109" s="139">
        <v>44174</v>
      </c>
      <c r="B109" s="124">
        <v>46265</v>
      </c>
      <c r="C109" s="123"/>
      <c r="D109" s="146">
        <f t="shared" si="10"/>
        <v>980770</v>
      </c>
      <c r="E109" s="331"/>
      <c r="F109" s="367"/>
      <c r="G109" s="364">
        <f t="shared" si="7"/>
        <v>0</v>
      </c>
      <c r="H109" s="65" t="s">
        <v>192</v>
      </c>
      <c r="J109" t="s">
        <v>3044</v>
      </c>
      <c r="K109">
        <f t="shared" si="8"/>
        <v>1750000</v>
      </c>
      <c r="L109">
        <f t="shared" si="9"/>
        <v>0</v>
      </c>
    </row>
    <row r="110" spans="1:12" s="65" customFormat="1" hidden="1" outlineLevel="1">
      <c r="A110" s="147">
        <v>44175</v>
      </c>
      <c r="B110" s="149"/>
      <c r="C110" s="148">
        <v>863</v>
      </c>
      <c r="D110" s="150">
        <f t="shared" si="10"/>
        <v>981633</v>
      </c>
      <c r="E110" s="333"/>
      <c r="F110" s="368"/>
      <c r="G110" s="369">
        <f t="shared" si="7"/>
        <v>0</v>
      </c>
      <c r="H110" s="152" t="s">
        <v>84</v>
      </c>
      <c r="I110" s="152"/>
      <c r="J110" t="s">
        <v>3044</v>
      </c>
      <c r="K110">
        <f t="shared" si="8"/>
        <v>1750000</v>
      </c>
      <c r="L110">
        <f t="shared" si="9"/>
        <v>0</v>
      </c>
    </row>
    <row r="111" spans="1:12" s="65" customFormat="1" hidden="1" outlineLevel="1">
      <c r="A111" s="139">
        <v>44175</v>
      </c>
      <c r="B111" s="124">
        <v>32596</v>
      </c>
      <c r="C111" s="123"/>
      <c r="D111" s="146">
        <f t="shared" si="10"/>
        <v>949037</v>
      </c>
      <c r="E111" s="331"/>
      <c r="F111" s="367"/>
      <c r="G111" s="364">
        <f t="shared" si="7"/>
        <v>0</v>
      </c>
      <c r="H111" s="65" t="s">
        <v>191</v>
      </c>
      <c r="J111" t="s">
        <v>3044</v>
      </c>
      <c r="K111">
        <f t="shared" si="8"/>
        <v>1750000</v>
      </c>
      <c r="L111">
        <f t="shared" si="9"/>
        <v>0</v>
      </c>
    </row>
    <row r="112" spans="1:12" s="65" customFormat="1" hidden="1" outlineLevel="1">
      <c r="A112" s="139">
        <v>44175</v>
      </c>
      <c r="B112" s="124">
        <v>89126</v>
      </c>
      <c r="C112" s="123"/>
      <c r="D112" s="146">
        <f t="shared" ref="D112:D127" si="11">D111+C112-B112</f>
        <v>859911</v>
      </c>
      <c r="E112" s="331"/>
      <c r="F112" s="367"/>
      <c r="G112" s="364">
        <f t="shared" si="7"/>
        <v>0</v>
      </c>
      <c r="H112" s="65" t="s">
        <v>171</v>
      </c>
      <c r="J112" t="s">
        <v>3044</v>
      </c>
      <c r="K112">
        <f t="shared" si="8"/>
        <v>1750000</v>
      </c>
      <c r="L112">
        <f t="shared" si="9"/>
        <v>0</v>
      </c>
    </row>
    <row r="113" spans="1:12" s="65" customFormat="1" hidden="1" outlineLevel="1">
      <c r="A113" s="139">
        <v>44175</v>
      </c>
      <c r="B113" s="124"/>
      <c r="C113" s="123">
        <v>50576</v>
      </c>
      <c r="D113" s="146">
        <f t="shared" si="11"/>
        <v>910487</v>
      </c>
      <c r="E113" s="331"/>
      <c r="F113" s="367"/>
      <c r="G113" s="364">
        <f t="shared" si="7"/>
        <v>0</v>
      </c>
      <c r="H113" s="65" t="s">
        <v>162</v>
      </c>
      <c r="J113" t="s">
        <v>3044</v>
      </c>
      <c r="K113">
        <f t="shared" si="8"/>
        <v>1750000</v>
      </c>
      <c r="L113">
        <f t="shared" si="9"/>
        <v>0</v>
      </c>
    </row>
    <row r="114" spans="1:12" s="65" customFormat="1" hidden="1" outlineLevel="1">
      <c r="A114" s="139">
        <v>44175</v>
      </c>
      <c r="B114" s="124"/>
      <c r="C114" s="123">
        <v>10499</v>
      </c>
      <c r="D114" s="146">
        <f t="shared" si="11"/>
        <v>920986</v>
      </c>
      <c r="E114" s="331"/>
      <c r="F114" s="367"/>
      <c r="G114" s="364">
        <f t="shared" si="7"/>
        <v>0</v>
      </c>
      <c r="H114" s="65" t="s">
        <v>164</v>
      </c>
      <c r="J114" t="s">
        <v>3044</v>
      </c>
      <c r="K114">
        <f t="shared" si="8"/>
        <v>1750000</v>
      </c>
      <c r="L114">
        <f t="shared" si="9"/>
        <v>0</v>
      </c>
    </row>
    <row r="115" spans="1:12" s="65" customFormat="1" hidden="1" outlineLevel="1">
      <c r="A115" s="139">
        <v>44175</v>
      </c>
      <c r="B115" s="124"/>
      <c r="C115" s="123">
        <v>33850</v>
      </c>
      <c r="D115" s="146">
        <f t="shared" si="11"/>
        <v>954836</v>
      </c>
      <c r="E115" s="331"/>
      <c r="F115" s="367"/>
      <c r="G115" s="364">
        <f t="shared" si="7"/>
        <v>0</v>
      </c>
      <c r="H115" s="65" t="s">
        <v>206</v>
      </c>
      <c r="J115" t="s">
        <v>3044</v>
      </c>
      <c r="K115">
        <f t="shared" si="8"/>
        <v>1750000</v>
      </c>
      <c r="L115">
        <f t="shared" si="9"/>
        <v>0</v>
      </c>
    </row>
    <row r="116" spans="1:12" s="65" customFormat="1" hidden="1" outlineLevel="1">
      <c r="A116" s="139">
        <v>44176</v>
      </c>
      <c r="B116" s="124"/>
      <c r="C116" s="123">
        <v>125443</v>
      </c>
      <c r="D116" s="146">
        <f t="shared" si="11"/>
        <v>1080279</v>
      </c>
      <c r="E116" s="331"/>
      <c r="F116" s="367"/>
      <c r="G116" s="364">
        <f t="shared" si="7"/>
        <v>0</v>
      </c>
      <c r="H116" s="65" t="s">
        <v>194</v>
      </c>
      <c r="J116" t="s">
        <v>3044</v>
      </c>
      <c r="K116">
        <f t="shared" si="8"/>
        <v>1750000</v>
      </c>
      <c r="L116">
        <f t="shared" si="9"/>
        <v>0</v>
      </c>
    </row>
    <row r="117" spans="1:12" s="65" customFormat="1" hidden="1" outlineLevel="1">
      <c r="A117" s="139">
        <v>44176</v>
      </c>
      <c r="B117" s="124">
        <v>73805</v>
      </c>
      <c r="C117" s="123"/>
      <c r="D117" s="146">
        <f t="shared" si="11"/>
        <v>1006474</v>
      </c>
      <c r="E117" s="331"/>
      <c r="F117" s="367"/>
      <c r="G117" s="364">
        <f t="shared" si="7"/>
        <v>0</v>
      </c>
      <c r="H117" s="65" t="s">
        <v>163</v>
      </c>
      <c r="J117" t="s">
        <v>3044</v>
      </c>
      <c r="K117">
        <f t="shared" si="8"/>
        <v>1750000</v>
      </c>
      <c r="L117">
        <f t="shared" si="9"/>
        <v>0</v>
      </c>
    </row>
    <row r="118" spans="1:12" s="65" customFormat="1" hidden="1" outlineLevel="1">
      <c r="A118" s="139">
        <v>44179</v>
      </c>
      <c r="B118" s="124">
        <v>29191</v>
      </c>
      <c r="C118" s="123"/>
      <c r="D118" s="146">
        <f t="shared" si="11"/>
        <v>977283</v>
      </c>
      <c r="E118" s="331"/>
      <c r="F118" s="367"/>
      <c r="G118" s="364">
        <f t="shared" si="7"/>
        <v>0</v>
      </c>
      <c r="H118" s="65" t="s">
        <v>180</v>
      </c>
      <c r="J118" t="s">
        <v>3044</v>
      </c>
      <c r="K118">
        <f t="shared" si="8"/>
        <v>1750000</v>
      </c>
      <c r="L118">
        <f t="shared" si="9"/>
        <v>0</v>
      </c>
    </row>
    <row r="119" spans="1:12" s="65" customFormat="1" hidden="1" outlineLevel="1">
      <c r="A119" s="139">
        <v>44179</v>
      </c>
      <c r="B119" s="124">
        <v>41358</v>
      </c>
      <c r="C119" s="123"/>
      <c r="D119" s="146">
        <f t="shared" si="11"/>
        <v>935925</v>
      </c>
      <c r="E119" s="331"/>
      <c r="F119" s="367"/>
      <c r="G119" s="364">
        <f t="shared" si="7"/>
        <v>0</v>
      </c>
      <c r="H119" s="65" t="s">
        <v>197</v>
      </c>
      <c r="J119" t="s">
        <v>3044</v>
      </c>
      <c r="K119">
        <f t="shared" si="8"/>
        <v>1750000</v>
      </c>
      <c r="L119">
        <f t="shared" si="9"/>
        <v>0</v>
      </c>
    </row>
    <row r="120" spans="1:12" s="65" customFormat="1" hidden="1" outlineLevel="1">
      <c r="A120" s="139">
        <v>44180</v>
      </c>
      <c r="B120" s="124">
        <v>138697</v>
      </c>
      <c r="C120" s="123"/>
      <c r="D120" s="146">
        <f t="shared" si="11"/>
        <v>797228</v>
      </c>
      <c r="E120" s="331"/>
      <c r="F120" s="367"/>
      <c r="G120" s="364">
        <f t="shared" si="7"/>
        <v>0</v>
      </c>
      <c r="H120" s="65" t="s">
        <v>207</v>
      </c>
      <c r="J120" t="s">
        <v>3044</v>
      </c>
      <c r="K120">
        <f t="shared" si="8"/>
        <v>1750000</v>
      </c>
      <c r="L120">
        <f t="shared" si="9"/>
        <v>0</v>
      </c>
    </row>
    <row r="121" spans="1:12" s="65" customFormat="1" hidden="1" outlineLevel="1">
      <c r="A121" s="139">
        <v>44180</v>
      </c>
      <c r="B121" s="124"/>
      <c r="C121" s="123">
        <v>42014</v>
      </c>
      <c r="D121" s="146">
        <f t="shared" si="11"/>
        <v>839242</v>
      </c>
      <c r="E121" s="331"/>
      <c r="F121" s="367"/>
      <c r="G121" s="364">
        <f t="shared" si="7"/>
        <v>0</v>
      </c>
      <c r="H121" s="65" t="s">
        <v>192</v>
      </c>
      <c r="J121" t="s">
        <v>3044</v>
      </c>
      <c r="K121">
        <f t="shared" si="8"/>
        <v>1750000</v>
      </c>
      <c r="L121">
        <f t="shared" si="9"/>
        <v>0</v>
      </c>
    </row>
    <row r="122" spans="1:12" s="65" customFormat="1" hidden="1" outlineLevel="1">
      <c r="A122" s="139">
        <v>44180</v>
      </c>
      <c r="B122" s="124"/>
      <c r="C122" s="123">
        <v>29520</v>
      </c>
      <c r="D122" s="146">
        <f t="shared" si="11"/>
        <v>868762</v>
      </c>
      <c r="E122" s="331"/>
      <c r="F122" s="367"/>
      <c r="G122" s="364">
        <f t="shared" si="7"/>
        <v>0</v>
      </c>
      <c r="H122" s="65" t="s">
        <v>191</v>
      </c>
      <c r="J122" t="s">
        <v>3044</v>
      </c>
      <c r="K122">
        <f t="shared" si="8"/>
        <v>1750000</v>
      </c>
      <c r="L122">
        <f t="shared" si="9"/>
        <v>0</v>
      </c>
    </row>
    <row r="123" spans="1:12" s="65" customFormat="1" hidden="1" outlineLevel="1">
      <c r="A123" s="139">
        <v>44182</v>
      </c>
      <c r="B123" s="124">
        <v>24935</v>
      </c>
      <c r="C123" s="123"/>
      <c r="D123" s="146">
        <f t="shared" si="11"/>
        <v>843827</v>
      </c>
      <c r="E123" s="331"/>
      <c r="F123" s="367"/>
      <c r="G123" s="364">
        <f t="shared" si="7"/>
        <v>0</v>
      </c>
      <c r="H123" s="65" t="s">
        <v>174</v>
      </c>
      <c r="J123" t="s">
        <v>3044</v>
      </c>
      <c r="K123">
        <f t="shared" si="8"/>
        <v>1750000</v>
      </c>
      <c r="L123">
        <f t="shared" si="9"/>
        <v>0</v>
      </c>
    </row>
    <row r="124" spans="1:12" s="65" customFormat="1" hidden="1" outlineLevel="1">
      <c r="A124" s="139">
        <v>44182</v>
      </c>
      <c r="B124" s="124">
        <v>134691</v>
      </c>
      <c r="C124" s="123"/>
      <c r="D124" s="146">
        <f t="shared" si="11"/>
        <v>709136</v>
      </c>
      <c r="E124" s="331"/>
      <c r="F124" s="367"/>
      <c r="G124" s="364">
        <f t="shared" si="7"/>
        <v>0</v>
      </c>
      <c r="H124" s="65" t="s">
        <v>208</v>
      </c>
      <c r="J124" t="s">
        <v>3044</v>
      </c>
      <c r="K124">
        <f t="shared" si="8"/>
        <v>1750000</v>
      </c>
      <c r="L124">
        <f t="shared" si="9"/>
        <v>0</v>
      </c>
    </row>
    <row r="125" spans="1:12" s="65" customFormat="1" hidden="1" outlineLevel="1">
      <c r="A125" s="139">
        <v>44183</v>
      </c>
      <c r="B125" s="124">
        <v>86823</v>
      </c>
      <c r="C125" s="123"/>
      <c r="D125" s="146">
        <f t="shared" si="11"/>
        <v>622313</v>
      </c>
      <c r="E125" s="331"/>
      <c r="F125" s="367"/>
      <c r="G125" s="364">
        <f t="shared" si="7"/>
        <v>0</v>
      </c>
      <c r="H125" s="65" t="s">
        <v>183</v>
      </c>
      <c r="J125" t="s">
        <v>3044</v>
      </c>
      <c r="K125">
        <f t="shared" si="8"/>
        <v>1750000</v>
      </c>
      <c r="L125">
        <f t="shared" si="9"/>
        <v>0</v>
      </c>
    </row>
    <row r="126" spans="1:12" s="65" customFormat="1" hidden="1" outlineLevel="1">
      <c r="A126" s="139">
        <v>44174</v>
      </c>
      <c r="B126" s="124"/>
      <c r="C126" s="123">
        <v>43159</v>
      </c>
      <c r="D126" s="146">
        <f t="shared" si="11"/>
        <v>665472</v>
      </c>
      <c r="E126" s="331"/>
      <c r="F126" s="367"/>
      <c r="G126" s="364">
        <f t="shared" si="7"/>
        <v>0</v>
      </c>
      <c r="H126" s="65" t="s">
        <v>193</v>
      </c>
      <c r="J126" t="s">
        <v>3044</v>
      </c>
      <c r="K126">
        <f t="shared" si="8"/>
        <v>1750000</v>
      </c>
      <c r="L126">
        <f t="shared" si="9"/>
        <v>0</v>
      </c>
    </row>
    <row r="127" spans="1:12" s="65" customFormat="1" hidden="1" outlineLevel="1">
      <c r="A127" s="139">
        <v>44179</v>
      </c>
      <c r="B127" s="124"/>
      <c r="C127" s="123">
        <v>37932</v>
      </c>
      <c r="D127" s="146">
        <f t="shared" si="11"/>
        <v>703404</v>
      </c>
      <c r="E127" s="331"/>
      <c r="F127" s="367"/>
      <c r="G127" s="364">
        <f t="shared" si="7"/>
        <v>0</v>
      </c>
      <c r="H127" s="65" t="s">
        <v>197</v>
      </c>
      <c r="J127" t="s">
        <v>3044</v>
      </c>
      <c r="K127">
        <f t="shared" si="8"/>
        <v>1750000</v>
      </c>
      <c r="L127">
        <f t="shared" si="9"/>
        <v>0</v>
      </c>
    </row>
    <row r="128" spans="1:12" s="65" customFormat="1" hidden="1" outlineLevel="1">
      <c r="A128" s="153">
        <v>44186</v>
      </c>
      <c r="B128" s="155"/>
      <c r="C128" s="154">
        <v>141</v>
      </c>
      <c r="D128" s="156">
        <f>D127+C128-B128</f>
        <v>703545</v>
      </c>
      <c r="E128" s="332"/>
      <c r="F128" s="365"/>
      <c r="G128" s="366">
        <f>G127+F128-E128</f>
        <v>0</v>
      </c>
      <c r="H128" s="158" t="s">
        <v>48</v>
      </c>
      <c r="I128" s="159"/>
      <c r="J128" t="s">
        <v>3044</v>
      </c>
      <c r="K128">
        <f t="shared" si="8"/>
        <v>1750000</v>
      </c>
      <c r="L128">
        <f t="shared" si="9"/>
        <v>0</v>
      </c>
    </row>
    <row r="129" spans="1:12" s="65" customFormat="1" hidden="1" outlineLevel="1">
      <c r="A129" s="139">
        <v>44187</v>
      </c>
      <c r="B129" s="124">
        <v>43762</v>
      </c>
      <c r="C129" s="123"/>
      <c r="D129" s="146">
        <f>D128+C129-B129</f>
        <v>659783</v>
      </c>
      <c r="E129" s="331"/>
      <c r="F129" s="367"/>
      <c r="G129" s="364">
        <f>G128+F129-E129</f>
        <v>0</v>
      </c>
      <c r="H129" s="65" t="s">
        <v>214</v>
      </c>
      <c r="J129" t="s">
        <v>3044</v>
      </c>
      <c r="K129">
        <f t="shared" si="8"/>
        <v>1750000</v>
      </c>
      <c r="L129">
        <f t="shared" si="9"/>
        <v>0</v>
      </c>
    </row>
    <row r="130" spans="1:12" s="65" customFormat="1" hidden="1" outlineLevel="1">
      <c r="A130" s="139">
        <v>44196</v>
      </c>
      <c r="B130" s="124">
        <v>400</v>
      </c>
      <c r="C130" s="123"/>
      <c r="D130" s="146">
        <f t="shared" ref="D130" si="12">D129+C130-B130</f>
        <v>659383</v>
      </c>
      <c r="E130" s="331"/>
      <c r="F130" s="367"/>
      <c r="G130" s="364">
        <f t="shared" ref="G130:G193" si="13">G129+F130-E130</f>
        <v>0</v>
      </c>
      <c r="H130" s="65" t="s">
        <v>57</v>
      </c>
      <c r="J130" t="s">
        <v>3044</v>
      </c>
      <c r="K130">
        <f t="shared" si="8"/>
        <v>1750000</v>
      </c>
      <c r="L130">
        <f t="shared" si="9"/>
        <v>0</v>
      </c>
    </row>
    <row r="131" spans="1:12" s="65" customFormat="1">
      <c r="A131" s="147">
        <v>44204</v>
      </c>
      <c r="B131" s="149"/>
      <c r="C131" s="148">
        <v>1124</v>
      </c>
      <c r="D131" s="150">
        <f t="shared" ref="D131:D145" si="14">D130+C131-B131</f>
        <v>660507</v>
      </c>
      <c r="E131" s="333"/>
      <c r="F131" s="368"/>
      <c r="G131" s="369">
        <f t="shared" si="13"/>
        <v>0</v>
      </c>
      <c r="H131" s="152" t="s">
        <v>84</v>
      </c>
      <c r="I131" s="152"/>
      <c r="J131" t="s">
        <v>3044</v>
      </c>
      <c r="K131">
        <f t="shared" si="8"/>
        <v>1750000</v>
      </c>
      <c r="L131">
        <f t="shared" si="9"/>
        <v>0</v>
      </c>
    </row>
    <row r="132" spans="1:12" s="65" customFormat="1" outlineLevel="1">
      <c r="A132" s="139">
        <v>44204</v>
      </c>
      <c r="B132" s="124"/>
      <c r="C132" s="123">
        <v>53066</v>
      </c>
      <c r="D132" s="146">
        <f t="shared" si="14"/>
        <v>713573</v>
      </c>
      <c r="E132" s="331"/>
      <c r="F132" s="367"/>
      <c r="G132" s="364">
        <f t="shared" si="13"/>
        <v>0</v>
      </c>
      <c r="H132" s="65" t="s">
        <v>165</v>
      </c>
      <c r="J132" t="s">
        <v>3044</v>
      </c>
      <c r="K132">
        <f t="shared" ref="K132:K195" si="15">IF(J132="本金",-B132+C132+K131,K131)</f>
        <v>1750000</v>
      </c>
      <c r="L132">
        <f t="shared" ref="L132:L195" si="16">IF(J132="本金",-E132+F132+L131,L131)</f>
        <v>0</v>
      </c>
    </row>
    <row r="133" spans="1:12" s="65" customFormat="1" outlineLevel="1">
      <c r="A133" s="139">
        <v>44204</v>
      </c>
      <c r="B133" s="124"/>
      <c r="C133" s="123">
        <v>29022</v>
      </c>
      <c r="D133" s="146">
        <f t="shared" si="14"/>
        <v>742595</v>
      </c>
      <c r="E133" s="331"/>
      <c r="F133" s="367"/>
      <c r="G133" s="364">
        <f t="shared" si="13"/>
        <v>0</v>
      </c>
      <c r="H133" s="65" t="s">
        <v>166</v>
      </c>
      <c r="J133" t="s">
        <v>3044</v>
      </c>
      <c r="K133">
        <f t="shared" si="15"/>
        <v>1750000</v>
      </c>
      <c r="L133">
        <f t="shared" si="16"/>
        <v>0</v>
      </c>
    </row>
    <row r="134" spans="1:12" s="65" customFormat="1" outlineLevel="1">
      <c r="A134" s="139">
        <v>44204</v>
      </c>
      <c r="B134" s="124"/>
      <c r="C134" s="123">
        <v>45400</v>
      </c>
      <c r="D134" s="146">
        <f t="shared" si="14"/>
        <v>787995</v>
      </c>
      <c r="E134" s="331"/>
      <c r="F134" s="367"/>
      <c r="G134" s="364">
        <f t="shared" si="13"/>
        <v>0</v>
      </c>
      <c r="H134" s="65" t="s">
        <v>214</v>
      </c>
      <c r="J134" t="s">
        <v>3044</v>
      </c>
      <c r="K134">
        <f t="shared" si="15"/>
        <v>1750000</v>
      </c>
      <c r="L134">
        <f t="shared" si="16"/>
        <v>0</v>
      </c>
    </row>
    <row r="135" spans="1:12" s="65" customFormat="1" outlineLevel="1">
      <c r="A135" s="139">
        <v>44207</v>
      </c>
      <c r="B135" s="124">
        <v>115163</v>
      </c>
      <c r="C135" s="123"/>
      <c r="D135" s="146">
        <f t="shared" si="14"/>
        <v>672832</v>
      </c>
      <c r="E135" s="331"/>
      <c r="F135" s="367"/>
      <c r="G135" s="364">
        <f t="shared" si="13"/>
        <v>0</v>
      </c>
      <c r="H135" s="65" t="s">
        <v>178</v>
      </c>
      <c r="J135" t="s">
        <v>3044</v>
      </c>
      <c r="K135">
        <f t="shared" si="15"/>
        <v>1750000</v>
      </c>
      <c r="L135">
        <f t="shared" si="16"/>
        <v>0</v>
      </c>
    </row>
    <row r="136" spans="1:12" s="65" customFormat="1" outlineLevel="1">
      <c r="A136" s="139">
        <v>44209</v>
      </c>
      <c r="B136" s="124">
        <v>49320</v>
      </c>
      <c r="C136" s="123"/>
      <c r="D136" s="146">
        <f t="shared" si="14"/>
        <v>623512</v>
      </c>
      <c r="E136" s="331"/>
      <c r="F136" s="367"/>
      <c r="G136" s="364">
        <f t="shared" si="13"/>
        <v>0</v>
      </c>
      <c r="H136" s="65" t="s">
        <v>162</v>
      </c>
      <c r="J136" t="s">
        <v>3044</v>
      </c>
      <c r="K136">
        <f t="shared" si="15"/>
        <v>1750000</v>
      </c>
      <c r="L136">
        <f t="shared" si="16"/>
        <v>0</v>
      </c>
    </row>
    <row r="137" spans="1:12" s="65" customFormat="1" outlineLevel="1">
      <c r="A137" s="139">
        <v>44209</v>
      </c>
      <c r="B137" s="124">
        <v>34449</v>
      </c>
      <c r="C137" s="123"/>
      <c r="D137" s="146">
        <f t="shared" si="14"/>
        <v>589063</v>
      </c>
      <c r="E137" s="331"/>
      <c r="F137" s="367"/>
      <c r="G137" s="364">
        <f t="shared" si="13"/>
        <v>0</v>
      </c>
      <c r="H137" s="65" t="s">
        <v>389</v>
      </c>
      <c r="J137" t="s">
        <v>3044</v>
      </c>
      <c r="K137">
        <f t="shared" si="15"/>
        <v>1750000</v>
      </c>
      <c r="L137">
        <f t="shared" si="16"/>
        <v>0</v>
      </c>
    </row>
    <row r="138" spans="1:12" s="65" customFormat="1" outlineLevel="1">
      <c r="A138" s="139">
        <v>44209</v>
      </c>
      <c r="B138" s="124"/>
      <c r="C138" s="123">
        <v>42064</v>
      </c>
      <c r="D138" s="146">
        <f t="shared" si="14"/>
        <v>631127</v>
      </c>
      <c r="E138" s="331"/>
      <c r="F138" s="367"/>
      <c r="G138" s="364">
        <f t="shared" si="13"/>
        <v>0</v>
      </c>
      <c r="H138" s="65" t="s">
        <v>167</v>
      </c>
      <c r="J138" t="s">
        <v>3044</v>
      </c>
      <c r="K138">
        <f t="shared" si="15"/>
        <v>1750000</v>
      </c>
      <c r="L138">
        <f t="shared" si="16"/>
        <v>0</v>
      </c>
    </row>
    <row r="139" spans="1:12" s="65" customFormat="1" outlineLevel="1">
      <c r="A139" s="139">
        <v>44210</v>
      </c>
      <c r="B139" s="124"/>
      <c r="C139" s="123">
        <v>43010</v>
      </c>
      <c r="D139" s="146">
        <f t="shared" si="14"/>
        <v>674137</v>
      </c>
      <c r="E139" s="331"/>
      <c r="F139" s="367"/>
      <c r="G139" s="364">
        <f t="shared" si="13"/>
        <v>0</v>
      </c>
      <c r="H139" s="65" t="s">
        <v>217</v>
      </c>
      <c r="J139" t="s">
        <v>3044</v>
      </c>
      <c r="K139">
        <f t="shared" si="15"/>
        <v>1750000</v>
      </c>
      <c r="L139">
        <f t="shared" si="16"/>
        <v>0</v>
      </c>
    </row>
    <row r="140" spans="1:12" s="65" customFormat="1" outlineLevel="1">
      <c r="A140" s="139">
        <v>44210</v>
      </c>
      <c r="B140" s="124"/>
      <c r="C140" s="123">
        <v>37783</v>
      </c>
      <c r="D140" s="146">
        <f t="shared" si="14"/>
        <v>711920</v>
      </c>
      <c r="E140" s="331"/>
      <c r="F140" s="367"/>
      <c r="G140" s="364">
        <f t="shared" si="13"/>
        <v>0</v>
      </c>
      <c r="H140" s="65" t="s">
        <v>180</v>
      </c>
      <c r="J140" t="s">
        <v>3044</v>
      </c>
      <c r="K140">
        <f t="shared" si="15"/>
        <v>1750000</v>
      </c>
      <c r="L140">
        <f t="shared" si="16"/>
        <v>0</v>
      </c>
    </row>
    <row r="141" spans="1:12" s="65" customFormat="1" outlineLevel="1">
      <c r="A141" s="139">
        <v>44210</v>
      </c>
      <c r="B141" s="124"/>
      <c r="C141" s="123">
        <v>25288</v>
      </c>
      <c r="D141" s="146">
        <f t="shared" si="14"/>
        <v>737208</v>
      </c>
      <c r="E141" s="331"/>
      <c r="F141" s="367"/>
      <c r="G141" s="364">
        <f t="shared" si="13"/>
        <v>0</v>
      </c>
      <c r="H141" s="65" t="s">
        <v>174</v>
      </c>
      <c r="J141" t="s">
        <v>3044</v>
      </c>
      <c r="K141">
        <f t="shared" si="15"/>
        <v>1750000</v>
      </c>
      <c r="L141">
        <f t="shared" si="16"/>
        <v>0</v>
      </c>
    </row>
    <row r="142" spans="1:12" s="65" customFormat="1" outlineLevel="1">
      <c r="A142" s="139">
        <v>44210</v>
      </c>
      <c r="B142" s="124"/>
      <c r="C142" s="123">
        <v>118474</v>
      </c>
      <c r="D142" s="146">
        <f t="shared" si="14"/>
        <v>855682</v>
      </c>
      <c r="E142" s="331"/>
      <c r="F142" s="367"/>
      <c r="G142" s="364">
        <f t="shared" si="13"/>
        <v>0</v>
      </c>
      <c r="H142" s="65" t="s">
        <v>208</v>
      </c>
      <c r="J142" t="s">
        <v>3044</v>
      </c>
      <c r="K142">
        <f t="shared" si="15"/>
        <v>1750000</v>
      </c>
      <c r="L142">
        <f t="shared" si="16"/>
        <v>0</v>
      </c>
    </row>
    <row r="143" spans="1:12" s="65" customFormat="1" outlineLevel="1">
      <c r="A143" s="139">
        <v>44210</v>
      </c>
      <c r="B143" s="124">
        <v>30543</v>
      </c>
      <c r="C143" s="123"/>
      <c r="D143" s="146">
        <f t="shared" si="14"/>
        <v>825139</v>
      </c>
      <c r="E143" s="331"/>
      <c r="F143" s="367"/>
      <c r="G143" s="364">
        <f t="shared" si="13"/>
        <v>0</v>
      </c>
      <c r="H143" s="65" t="s">
        <v>177</v>
      </c>
      <c r="J143" t="s">
        <v>3044</v>
      </c>
      <c r="K143">
        <f t="shared" si="15"/>
        <v>1750000</v>
      </c>
      <c r="L143">
        <f t="shared" si="16"/>
        <v>0</v>
      </c>
    </row>
    <row r="144" spans="1:12" s="65" customFormat="1" outlineLevel="1">
      <c r="A144" s="139">
        <v>44210</v>
      </c>
      <c r="B144" s="124">
        <v>121673</v>
      </c>
      <c r="C144" s="123"/>
      <c r="D144" s="146">
        <f t="shared" si="14"/>
        <v>703466</v>
      </c>
      <c r="E144" s="331"/>
      <c r="F144" s="367"/>
      <c r="G144" s="364">
        <f t="shared" si="13"/>
        <v>0</v>
      </c>
      <c r="H144" s="65" t="s">
        <v>194</v>
      </c>
      <c r="J144" t="s">
        <v>3044</v>
      </c>
      <c r="K144">
        <f t="shared" si="15"/>
        <v>1750000</v>
      </c>
      <c r="L144">
        <f t="shared" si="16"/>
        <v>0</v>
      </c>
    </row>
    <row r="145" spans="1:12" s="65" customFormat="1" outlineLevel="1">
      <c r="A145" s="139">
        <v>44210</v>
      </c>
      <c r="B145" s="124">
        <v>37052</v>
      </c>
      <c r="C145" s="123"/>
      <c r="D145" s="146">
        <f t="shared" si="14"/>
        <v>666414</v>
      </c>
      <c r="E145" s="331"/>
      <c r="F145" s="367"/>
      <c r="G145" s="364">
        <f t="shared" si="13"/>
        <v>0</v>
      </c>
      <c r="H145" s="65" t="s">
        <v>224</v>
      </c>
      <c r="J145" t="s">
        <v>3044</v>
      </c>
      <c r="K145">
        <f t="shared" si="15"/>
        <v>1750000</v>
      </c>
      <c r="L145">
        <f t="shared" si="16"/>
        <v>0</v>
      </c>
    </row>
    <row r="146" spans="1:12" s="65" customFormat="1" outlineLevel="1">
      <c r="A146" s="139">
        <v>44216</v>
      </c>
      <c r="B146" s="124"/>
      <c r="C146" s="123">
        <v>113994</v>
      </c>
      <c r="D146" s="146">
        <f t="shared" ref="D146:D152" si="17">D145+C146-B146</f>
        <v>780408</v>
      </c>
      <c r="E146" s="331"/>
      <c r="F146" s="367"/>
      <c r="G146" s="364">
        <f t="shared" si="13"/>
        <v>0</v>
      </c>
      <c r="H146" s="65" t="s">
        <v>194</v>
      </c>
      <c r="J146" t="s">
        <v>3044</v>
      </c>
      <c r="K146">
        <f t="shared" si="15"/>
        <v>1750000</v>
      </c>
      <c r="L146">
        <f t="shared" si="16"/>
        <v>0</v>
      </c>
    </row>
    <row r="147" spans="1:12" s="65" customFormat="1" outlineLevel="1">
      <c r="A147" s="139">
        <v>44218</v>
      </c>
      <c r="B147" s="124"/>
      <c r="C147" s="123">
        <v>31063</v>
      </c>
      <c r="D147" s="146">
        <f t="shared" si="17"/>
        <v>811471</v>
      </c>
      <c r="E147" s="331"/>
      <c r="F147" s="367"/>
      <c r="G147" s="364">
        <f t="shared" si="13"/>
        <v>0</v>
      </c>
      <c r="H147" s="65" t="s">
        <v>389</v>
      </c>
      <c r="J147" t="s">
        <v>3044</v>
      </c>
      <c r="K147">
        <f t="shared" si="15"/>
        <v>1750000</v>
      </c>
      <c r="L147">
        <f t="shared" si="16"/>
        <v>0</v>
      </c>
    </row>
    <row r="148" spans="1:12" s="65" customFormat="1" outlineLevel="1">
      <c r="A148" s="139">
        <v>44212</v>
      </c>
      <c r="B148" s="124">
        <v>35800</v>
      </c>
      <c r="C148" s="123"/>
      <c r="D148" s="146">
        <f t="shared" si="17"/>
        <v>775671</v>
      </c>
      <c r="E148" s="331"/>
      <c r="F148" s="367"/>
      <c r="G148" s="364">
        <f t="shared" si="13"/>
        <v>0</v>
      </c>
      <c r="H148" s="65" t="s">
        <v>180</v>
      </c>
      <c r="J148" t="s">
        <v>3044</v>
      </c>
      <c r="K148">
        <f t="shared" si="15"/>
        <v>1750000</v>
      </c>
      <c r="L148">
        <f t="shared" si="16"/>
        <v>0</v>
      </c>
    </row>
    <row r="149" spans="1:12" s="65" customFormat="1" outlineLevel="1">
      <c r="A149" s="139">
        <v>44212</v>
      </c>
      <c r="B149" s="124">
        <v>35801</v>
      </c>
      <c r="C149" s="123"/>
      <c r="D149" s="146">
        <f t="shared" si="17"/>
        <v>739870</v>
      </c>
      <c r="E149" s="331"/>
      <c r="F149" s="367"/>
      <c r="G149" s="364">
        <f t="shared" si="13"/>
        <v>0</v>
      </c>
      <c r="H149" s="65" t="s">
        <v>180</v>
      </c>
      <c r="J149" t="s">
        <v>3044</v>
      </c>
      <c r="K149">
        <f t="shared" si="15"/>
        <v>1750000</v>
      </c>
      <c r="L149">
        <f t="shared" si="16"/>
        <v>0</v>
      </c>
    </row>
    <row r="150" spans="1:12" s="65" customFormat="1" outlineLevel="1">
      <c r="A150" s="139">
        <v>44230</v>
      </c>
      <c r="B150" s="124"/>
      <c r="C150" s="123">
        <v>35593</v>
      </c>
      <c r="D150" s="146">
        <f t="shared" si="17"/>
        <v>775463</v>
      </c>
      <c r="E150" s="331"/>
      <c r="F150" s="367"/>
      <c r="G150" s="364">
        <f t="shared" si="13"/>
        <v>0</v>
      </c>
      <c r="H150" s="65" t="s">
        <v>224</v>
      </c>
      <c r="J150" t="s">
        <v>3044</v>
      </c>
      <c r="K150">
        <f t="shared" si="15"/>
        <v>1750000</v>
      </c>
      <c r="L150">
        <f t="shared" si="16"/>
        <v>0</v>
      </c>
    </row>
    <row r="151" spans="1:12" s="65" customFormat="1" outlineLevel="1">
      <c r="A151" s="139">
        <v>44230</v>
      </c>
      <c r="B151" s="124"/>
      <c r="C151" s="123">
        <v>31212</v>
      </c>
      <c r="D151" s="146">
        <f t="shared" si="17"/>
        <v>806675</v>
      </c>
      <c r="E151" s="331"/>
      <c r="F151" s="367"/>
      <c r="G151" s="364">
        <f t="shared" si="13"/>
        <v>0</v>
      </c>
      <c r="H151" s="65" t="s">
        <v>218</v>
      </c>
      <c r="J151" t="s">
        <v>3044</v>
      </c>
      <c r="K151">
        <f t="shared" si="15"/>
        <v>1750000</v>
      </c>
      <c r="L151">
        <f t="shared" si="16"/>
        <v>0</v>
      </c>
    </row>
    <row r="152" spans="1:12" s="65" customFormat="1" outlineLevel="1">
      <c r="A152" s="139">
        <v>44230</v>
      </c>
      <c r="B152" s="124"/>
      <c r="C152" s="123">
        <v>105531</v>
      </c>
      <c r="D152" s="146">
        <f t="shared" si="17"/>
        <v>912206</v>
      </c>
      <c r="E152" s="331"/>
      <c r="F152" s="367"/>
      <c r="G152" s="364">
        <f t="shared" si="13"/>
        <v>0</v>
      </c>
      <c r="H152" s="65" t="s">
        <v>170</v>
      </c>
      <c r="J152" t="s">
        <v>3044</v>
      </c>
      <c r="K152">
        <f t="shared" si="15"/>
        <v>1750000</v>
      </c>
      <c r="L152">
        <f t="shared" si="16"/>
        <v>0</v>
      </c>
    </row>
    <row r="153" spans="1:12" s="65" customFormat="1" outlineLevel="1">
      <c r="A153" s="139">
        <v>44232</v>
      </c>
      <c r="B153" s="124"/>
      <c r="C153" s="123">
        <v>51970</v>
      </c>
      <c r="D153" s="146">
        <f t="shared" ref="D153:D174" si="18">D152+C153-B153</f>
        <v>964176</v>
      </c>
      <c r="E153" s="331"/>
      <c r="F153" s="367"/>
      <c r="G153" s="364">
        <f t="shared" si="13"/>
        <v>0</v>
      </c>
      <c r="H153" s="65" t="s">
        <v>162</v>
      </c>
      <c r="J153" t="s">
        <v>3044</v>
      </c>
      <c r="K153">
        <f t="shared" si="15"/>
        <v>1750000</v>
      </c>
      <c r="L153">
        <f t="shared" si="16"/>
        <v>0</v>
      </c>
    </row>
    <row r="154" spans="1:12" s="65" customFormat="1" outlineLevel="1">
      <c r="A154" s="139">
        <v>44232</v>
      </c>
      <c r="B154" s="124"/>
      <c r="C154" s="123">
        <v>94183</v>
      </c>
      <c r="D154" s="146">
        <f t="shared" si="18"/>
        <v>1058359</v>
      </c>
      <c r="E154" s="331"/>
      <c r="F154" s="367"/>
      <c r="G154" s="364">
        <f t="shared" si="13"/>
        <v>0</v>
      </c>
      <c r="H154" s="65" t="s">
        <v>163</v>
      </c>
      <c r="J154" t="s">
        <v>3044</v>
      </c>
      <c r="K154">
        <f t="shared" si="15"/>
        <v>1750000</v>
      </c>
      <c r="L154">
        <f t="shared" si="16"/>
        <v>0</v>
      </c>
    </row>
    <row r="155" spans="1:12" s="65" customFormat="1" outlineLevel="1">
      <c r="A155" s="139">
        <v>44232</v>
      </c>
      <c r="B155" s="124"/>
      <c r="C155" s="123">
        <v>114990</v>
      </c>
      <c r="D155" s="146">
        <f t="shared" si="18"/>
        <v>1173349</v>
      </c>
      <c r="E155" s="331"/>
      <c r="F155" s="367"/>
      <c r="G155" s="364">
        <f t="shared" si="13"/>
        <v>0</v>
      </c>
      <c r="H155" s="65" t="s">
        <v>171</v>
      </c>
      <c r="J155" t="s">
        <v>3044</v>
      </c>
      <c r="K155">
        <f t="shared" si="15"/>
        <v>1750000</v>
      </c>
      <c r="L155">
        <f t="shared" si="16"/>
        <v>0</v>
      </c>
    </row>
    <row r="156" spans="1:12" s="65" customFormat="1" outlineLevel="1">
      <c r="A156" s="139">
        <v>44232</v>
      </c>
      <c r="B156" s="124"/>
      <c r="C156" s="123">
        <v>93983</v>
      </c>
      <c r="D156" s="146">
        <f t="shared" si="18"/>
        <v>1267332</v>
      </c>
      <c r="E156" s="331"/>
      <c r="F156" s="367"/>
      <c r="G156" s="364">
        <f t="shared" si="13"/>
        <v>0</v>
      </c>
      <c r="H156" s="65" t="s">
        <v>163</v>
      </c>
      <c r="J156" t="s">
        <v>3044</v>
      </c>
      <c r="K156">
        <f t="shared" si="15"/>
        <v>1750000</v>
      </c>
      <c r="L156">
        <f t="shared" si="16"/>
        <v>0</v>
      </c>
    </row>
    <row r="157" spans="1:12" s="65" customFormat="1" outlineLevel="1">
      <c r="A157" s="139">
        <v>44232</v>
      </c>
      <c r="B157" s="124"/>
      <c r="C157" s="123">
        <f>13938+125891</f>
        <v>139829</v>
      </c>
      <c r="D157" s="146">
        <f t="shared" si="18"/>
        <v>1407161</v>
      </c>
      <c r="E157" s="331"/>
      <c r="F157" s="367"/>
      <c r="G157" s="364">
        <f t="shared" si="13"/>
        <v>0</v>
      </c>
      <c r="H157" s="65" t="s">
        <v>207</v>
      </c>
      <c r="J157" t="s">
        <v>3044</v>
      </c>
      <c r="K157">
        <f t="shared" si="15"/>
        <v>1750000</v>
      </c>
      <c r="L157">
        <f t="shared" si="16"/>
        <v>0</v>
      </c>
    </row>
    <row r="158" spans="1:12" s="65" customFormat="1" outlineLevel="1">
      <c r="A158" s="139">
        <v>44232</v>
      </c>
      <c r="B158" s="124"/>
      <c r="C158" s="123">
        <v>88308</v>
      </c>
      <c r="D158" s="146">
        <f t="shared" si="18"/>
        <v>1495469</v>
      </c>
      <c r="E158" s="331"/>
      <c r="F158" s="367"/>
      <c r="G158" s="364">
        <f t="shared" si="13"/>
        <v>0</v>
      </c>
      <c r="H158" s="65" t="s">
        <v>183</v>
      </c>
      <c r="J158" t="s">
        <v>3044</v>
      </c>
      <c r="K158">
        <f t="shared" si="15"/>
        <v>1750000</v>
      </c>
      <c r="L158">
        <f t="shared" si="16"/>
        <v>0</v>
      </c>
    </row>
    <row r="159" spans="1:12" s="65" customFormat="1" outlineLevel="1">
      <c r="A159" s="139">
        <v>44232</v>
      </c>
      <c r="B159" s="124"/>
      <c r="C159" s="123">
        <v>94183</v>
      </c>
      <c r="D159" s="146">
        <f t="shared" si="18"/>
        <v>1589652</v>
      </c>
      <c r="E159" s="331"/>
      <c r="F159" s="367"/>
      <c r="G159" s="364">
        <f t="shared" si="13"/>
        <v>0</v>
      </c>
      <c r="H159" s="65" t="s">
        <v>163</v>
      </c>
      <c r="J159" t="s">
        <v>3044</v>
      </c>
      <c r="K159">
        <f t="shared" si="15"/>
        <v>1750000</v>
      </c>
      <c r="L159">
        <f t="shared" si="16"/>
        <v>0</v>
      </c>
    </row>
    <row r="160" spans="1:12" s="65" customFormat="1" outlineLevel="1">
      <c r="A160" s="147">
        <v>44236</v>
      </c>
      <c r="B160" s="149"/>
      <c r="C160" s="148">
        <v>560</v>
      </c>
      <c r="D160" s="150">
        <f t="shared" si="18"/>
        <v>1590212</v>
      </c>
      <c r="E160" s="333"/>
      <c r="F160" s="368"/>
      <c r="G160" s="369">
        <f t="shared" si="13"/>
        <v>0</v>
      </c>
      <c r="H160" s="152" t="s">
        <v>84</v>
      </c>
      <c r="I160" s="152"/>
      <c r="J160" t="s">
        <v>3044</v>
      </c>
      <c r="K160">
        <f t="shared" si="15"/>
        <v>1750000</v>
      </c>
      <c r="L160">
        <f t="shared" si="16"/>
        <v>0</v>
      </c>
    </row>
    <row r="161" spans="1:12" s="65" customFormat="1" outlineLevel="1">
      <c r="A161" s="139">
        <v>44236</v>
      </c>
      <c r="B161" s="124">
        <v>287408</v>
      </c>
      <c r="C161" s="123"/>
      <c r="D161" s="146">
        <f t="shared" si="18"/>
        <v>1302804</v>
      </c>
      <c r="E161" s="331"/>
      <c r="F161" s="367"/>
      <c r="G161" s="364">
        <f t="shared" si="13"/>
        <v>0</v>
      </c>
      <c r="H161" s="65" t="s">
        <v>115</v>
      </c>
      <c r="J161" t="s">
        <v>3044</v>
      </c>
      <c r="K161">
        <f t="shared" si="15"/>
        <v>1750000</v>
      </c>
      <c r="L161">
        <f t="shared" si="16"/>
        <v>0</v>
      </c>
    </row>
    <row r="162" spans="1:12" s="65" customFormat="1" outlineLevel="1">
      <c r="A162" s="139">
        <v>44250</v>
      </c>
      <c r="B162" s="124">
        <v>88025</v>
      </c>
      <c r="C162" s="123"/>
      <c r="D162" s="146">
        <f t="shared" si="18"/>
        <v>1214779</v>
      </c>
      <c r="E162" s="331"/>
      <c r="F162" s="367"/>
      <c r="G162" s="364">
        <f t="shared" si="13"/>
        <v>0</v>
      </c>
      <c r="H162" s="65" t="s">
        <v>406</v>
      </c>
      <c r="J162" t="s">
        <v>3044</v>
      </c>
      <c r="K162">
        <f t="shared" si="15"/>
        <v>1750000</v>
      </c>
      <c r="L162">
        <f t="shared" si="16"/>
        <v>0</v>
      </c>
    </row>
    <row r="163" spans="1:12" s="65" customFormat="1" outlineLevel="1">
      <c r="A163" s="139">
        <v>44250</v>
      </c>
      <c r="B163" s="124">
        <v>29191</v>
      </c>
      <c r="C163" s="123"/>
      <c r="D163" s="146">
        <f t="shared" si="18"/>
        <v>1185588</v>
      </c>
      <c r="E163" s="331"/>
      <c r="F163" s="367"/>
      <c r="G163" s="364">
        <f t="shared" si="13"/>
        <v>0</v>
      </c>
      <c r="H163" s="65" t="s">
        <v>407</v>
      </c>
      <c r="J163" t="s">
        <v>3044</v>
      </c>
      <c r="K163">
        <f t="shared" si="15"/>
        <v>1750000</v>
      </c>
      <c r="L163">
        <f t="shared" si="16"/>
        <v>0</v>
      </c>
    </row>
    <row r="164" spans="1:12" s="65" customFormat="1" outlineLevel="1">
      <c r="A164" s="139">
        <v>44251</v>
      </c>
      <c r="B164" s="124">
        <v>51573</v>
      </c>
      <c r="C164" s="123"/>
      <c r="D164" s="146">
        <f t="shared" si="18"/>
        <v>1134015</v>
      </c>
      <c r="E164" s="331"/>
      <c r="F164" s="367"/>
      <c r="G164" s="364">
        <f t="shared" si="13"/>
        <v>0</v>
      </c>
      <c r="H164" s="65" t="s">
        <v>408</v>
      </c>
      <c r="J164" t="s">
        <v>3044</v>
      </c>
      <c r="K164">
        <f t="shared" si="15"/>
        <v>1750000</v>
      </c>
      <c r="L164">
        <f t="shared" si="16"/>
        <v>0</v>
      </c>
    </row>
    <row r="165" spans="1:12" s="65" customFormat="1" outlineLevel="1">
      <c r="A165" s="139">
        <v>44251</v>
      </c>
      <c r="B165" s="124">
        <v>45815</v>
      </c>
      <c r="C165" s="123"/>
      <c r="D165" s="146">
        <f t="shared" si="18"/>
        <v>1088200</v>
      </c>
      <c r="E165" s="331"/>
      <c r="F165" s="367"/>
      <c r="G165" s="364">
        <f t="shared" si="13"/>
        <v>0</v>
      </c>
      <c r="H165" s="65" t="s">
        <v>409</v>
      </c>
      <c r="J165" t="s">
        <v>3044</v>
      </c>
      <c r="K165">
        <f t="shared" si="15"/>
        <v>1750000</v>
      </c>
      <c r="L165">
        <f t="shared" si="16"/>
        <v>0</v>
      </c>
    </row>
    <row r="166" spans="1:12" s="65" customFormat="1" outlineLevel="1">
      <c r="A166" s="139">
        <v>44251</v>
      </c>
      <c r="B166" s="124">
        <v>107152</v>
      </c>
      <c r="C166" s="123"/>
      <c r="D166" s="146">
        <f t="shared" si="18"/>
        <v>981048</v>
      </c>
      <c r="E166" s="331"/>
      <c r="F166" s="367"/>
      <c r="G166" s="364">
        <f t="shared" si="13"/>
        <v>0</v>
      </c>
      <c r="H166" s="65" t="s">
        <v>179</v>
      </c>
      <c r="J166" t="s">
        <v>3044</v>
      </c>
      <c r="K166">
        <f t="shared" si="15"/>
        <v>1750000</v>
      </c>
      <c r="L166">
        <f t="shared" si="16"/>
        <v>0</v>
      </c>
    </row>
    <row r="167" spans="1:12" s="65" customFormat="1" outlineLevel="1">
      <c r="A167" s="139">
        <v>44252</v>
      </c>
      <c r="B167" s="124">
        <v>30593</v>
      </c>
      <c r="C167" s="123"/>
      <c r="D167" s="146">
        <f t="shared" si="18"/>
        <v>950455</v>
      </c>
      <c r="E167" s="331"/>
      <c r="F167" s="367"/>
      <c r="G167" s="364">
        <f t="shared" si="13"/>
        <v>0</v>
      </c>
      <c r="H167" s="65" t="s">
        <v>176</v>
      </c>
      <c r="J167" t="s">
        <v>3044</v>
      </c>
      <c r="K167">
        <f t="shared" si="15"/>
        <v>1750000</v>
      </c>
      <c r="L167">
        <f t="shared" si="16"/>
        <v>0</v>
      </c>
    </row>
    <row r="168" spans="1:12" s="65" customFormat="1" outlineLevel="1">
      <c r="A168" s="139">
        <v>44253</v>
      </c>
      <c r="B168" s="124">
        <v>100142</v>
      </c>
      <c r="C168" s="123"/>
      <c r="D168" s="146">
        <f t="shared" si="18"/>
        <v>850313</v>
      </c>
      <c r="E168" s="331"/>
      <c r="F168" s="367"/>
      <c r="G168" s="364">
        <f t="shared" si="13"/>
        <v>0</v>
      </c>
      <c r="H168" s="65" t="s">
        <v>401</v>
      </c>
      <c r="J168" t="s">
        <v>3044</v>
      </c>
      <c r="K168">
        <f t="shared" si="15"/>
        <v>1750000</v>
      </c>
      <c r="L168">
        <f t="shared" si="16"/>
        <v>0</v>
      </c>
    </row>
    <row r="169" spans="1:12" s="65" customFormat="1" outlineLevel="1">
      <c r="A169" s="139">
        <v>44253</v>
      </c>
      <c r="B169" s="124">
        <v>29892</v>
      </c>
      <c r="C169" s="123"/>
      <c r="D169" s="146">
        <f t="shared" si="18"/>
        <v>820421</v>
      </c>
      <c r="E169" s="331"/>
      <c r="F169" s="367"/>
      <c r="G169" s="364">
        <f t="shared" si="13"/>
        <v>0</v>
      </c>
      <c r="H169" s="65" t="s">
        <v>402</v>
      </c>
      <c r="J169" t="s">
        <v>3044</v>
      </c>
      <c r="K169">
        <f t="shared" si="15"/>
        <v>1750000</v>
      </c>
      <c r="L169">
        <f t="shared" si="16"/>
        <v>0</v>
      </c>
    </row>
    <row r="170" spans="1:12" s="65" customFormat="1" outlineLevel="1">
      <c r="A170" s="139">
        <v>44253</v>
      </c>
      <c r="B170" s="124">
        <v>39356</v>
      </c>
      <c r="C170" s="123"/>
      <c r="D170" s="146">
        <f t="shared" si="18"/>
        <v>781065</v>
      </c>
      <c r="E170" s="331"/>
      <c r="F170" s="367"/>
      <c r="G170" s="364">
        <f t="shared" si="13"/>
        <v>0</v>
      </c>
      <c r="H170" s="65" t="s">
        <v>403</v>
      </c>
      <c r="J170" t="s">
        <v>3044</v>
      </c>
      <c r="K170">
        <f t="shared" si="15"/>
        <v>1750000</v>
      </c>
      <c r="L170">
        <f t="shared" si="16"/>
        <v>0</v>
      </c>
    </row>
    <row r="171" spans="1:12" s="65" customFormat="1" outlineLevel="1">
      <c r="A171" s="139">
        <v>44253</v>
      </c>
      <c r="B171" s="124">
        <v>25486</v>
      </c>
      <c r="C171" s="123"/>
      <c r="D171" s="146">
        <f t="shared" si="18"/>
        <v>755579</v>
      </c>
      <c r="E171" s="331"/>
      <c r="F171" s="367"/>
      <c r="G171" s="364">
        <f t="shared" si="13"/>
        <v>0</v>
      </c>
      <c r="H171" s="65" t="s">
        <v>211</v>
      </c>
      <c r="J171" t="s">
        <v>3044</v>
      </c>
      <c r="K171">
        <f t="shared" si="15"/>
        <v>1750000</v>
      </c>
      <c r="L171">
        <f t="shared" si="16"/>
        <v>0</v>
      </c>
    </row>
    <row r="172" spans="1:12" s="65" customFormat="1" outlineLevel="1">
      <c r="A172" s="139">
        <v>44253</v>
      </c>
      <c r="B172" s="124">
        <v>34749</v>
      </c>
      <c r="C172" s="123"/>
      <c r="D172" s="146">
        <f t="shared" si="18"/>
        <v>720830</v>
      </c>
      <c r="E172" s="331"/>
      <c r="F172" s="367"/>
      <c r="G172" s="364">
        <f t="shared" si="13"/>
        <v>0</v>
      </c>
      <c r="H172" s="65" t="s">
        <v>175</v>
      </c>
      <c r="J172" t="s">
        <v>3044</v>
      </c>
      <c r="K172">
        <f t="shared" si="15"/>
        <v>1750000</v>
      </c>
      <c r="L172">
        <f t="shared" si="16"/>
        <v>0</v>
      </c>
    </row>
    <row r="173" spans="1:12" s="65" customFormat="1" outlineLevel="1">
      <c r="A173" s="139">
        <v>44253</v>
      </c>
      <c r="B173" s="124">
        <v>11820</v>
      </c>
      <c r="C173" s="123"/>
      <c r="D173" s="146">
        <f t="shared" si="18"/>
        <v>709010</v>
      </c>
      <c r="E173" s="331"/>
      <c r="F173" s="367"/>
      <c r="G173" s="364">
        <f t="shared" si="13"/>
        <v>0</v>
      </c>
      <c r="H173" s="65" t="s">
        <v>181</v>
      </c>
      <c r="J173" t="s">
        <v>3044</v>
      </c>
      <c r="K173">
        <f t="shared" si="15"/>
        <v>1750000</v>
      </c>
      <c r="L173">
        <f t="shared" si="16"/>
        <v>0</v>
      </c>
    </row>
    <row r="174" spans="1:12" s="65" customFormat="1" outlineLevel="1">
      <c r="A174" s="139">
        <v>44253</v>
      </c>
      <c r="B174" s="124">
        <v>20829</v>
      </c>
      <c r="C174" s="123"/>
      <c r="D174" s="146">
        <f t="shared" si="18"/>
        <v>688181</v>
      </c>
      <c r="E174" s="331"/>
      <c r="F174" s="367"/>
      <c r="G174" s="364">
        <f t="shared" si="13"/>
        <v>0</v>
      </c>
      <c r="H174" s="65" t="s">
        <v>182</v>
      </c>
      <c r="J174" t="s">
        <v>3044</v>
      </c>
      <c r="K174">
        <f t="shared" si="15"/>
        <v>1750000</v>
      </c>
      <c r="L174">
        <f t="shared" si="16"/>
        <v>0</v>
      </c>
    </row>
    <row r="175" spans="1:12" s="65" customFormat="1" outlineLevel="1">
      <c r="A175" s="139">
        <v>44253</v>
      </c>
      <c r="B175" s="124"/>
      <c r="C175" s="123">
        <v>37634</v>
      </c>
      <c r="D175" s="146">
        <f t="shared" ref="D175:D177" si="19">D174+C175-B175</f>
        <v>725815</v>
      </c>
      <c r="E175" s="331"/>
      <c r="F175" s="367"/>
      <c r="G175" s="364">
        <f t="shared" si="13"/>
        <v>0</v>
      </c>
      <c r="H175" s="65" t="s">
        <v>180</v>
      </c>
      <c r="J175" t="s">
        <v>3044</v>
      </c>
      <c r="K175">
        <f t="shared" si="15"/>
        <v>1750000</v>
      </c>
      <c r="L175">
        <f t="shared" si="16"/>
        <v>0</v>
      </c>
    </row>
    <row r="176" spans="1:12" s="65" customFormat="1" outlineLevel="1">
      <c r="A176" s="139">
        <v>44260</v>
      </c>
      <c r="B176" s="124"/>
      <c r="C176" s="123">
        <v>81937</v>
      </c>
      <c r="D176" s="146">
        <f t="shared" si="19"/>
        <v>807752</v>
      </c>
      <c r="E176" s="331"/>
      <c r="F176" s="367"/>
      <c r="G176" s="364">
        <f t="shared" si="13"/>
        <v>0</v>
      </c>
      <c r="H176" s="65" t="s">
        <v>406</v>
      </c>
      <c r="J176" t="s">
        <v>3044</v>
      </c>
      <c r="K176">
        <f t="shared" si="15"/>
        <v>1750000</v>
      </c>
      <c r="L176">
        <f t="shared" si="16"/>
        <v>0</v>
      </c>
    </row>
    <row r="177" spans="1:12" s="65" customFormat="1" outlineLevel="1">
      <c r="A177" s="139">
        <v>44260</v>
      </c>
      <c r="B177" s="124"/>
      <c r="C177" s="123">
        <v>27678</v>
      </c>
      <c r="D177" s="146">
        <f t="shared" si="19"/>
        <v>835430</v>
      </c>
      <c r="E177" s="331"/>
      <c r="F177" s="367"/>
      <c r="G177" s="364">
        <f t="shared" si="13"/>
        <v>0</v>
      </c>
      <c r="H177" s="65" t="s">
        <v>407</v>
      </c>
      <c r="J177" t="s">
        <v>3044</v>
      </c>
      <c r="K177">
        <f t="shared" si="15"/>
        <v>1750000</v>
      </c>
      <c r="L177">
        <f t="shared" si="16"/>
        <v>0</v>
      </c>
    </row>
    <row r="178" spans="1:12" s="65" customFormat="1" outlineLevel="1">
      <c r="A178" s="139">
        <v>44260</v>
      </c>
      <c r="B178" s="124"/>
      <c r="C178" s="123">
        <v>29669</v>
      </c>
      <c r="D178" s="146">
        <f t="shared" ref="D178:D222" si="20">D177+C178-B178</f>
        <v>865099</v>
      </c>
      <c r="E178" s="331"/>
      <c r="F178" s="367"/>
      <c r="G178" s="364">
        <f t="shared" si="13"/>
        <v>0</v>
      </c>
      <c r="H178" s="65" t="s">
        <v>175</v>
      </c>
      <c r="J178" t="s">
        <v>3044</v>
      </c>
      <c r="K178">
        <f t="shared" si="15"/>
        <v>1750000</v>
      </c>
      <c r="L178">
        <f t="shared" si="16"/>
        <v>0</v>
      </c>
    </row>
    <row r="179" spans="1:12" s="65" customFormat="1" outlineLevel="1">
      <c r="A179" s="139">
        <v>44260</v>
      </c>
      <c r="B179" s="124">
        <v>79112</v>
      </c>
      <c r="C179" s="123"/>
      <c r="D179" s="146">
        <f t="shared" si="20"/>
        <v>785987</v>
      </c>
      <c r="E179" s="331"/>
      <c r="F179" s="367"/>
      <c r="G179" s="364">
        <f t="shared" si="13"/>
        <v>0</v>
      </c>
      <c r="H179" s="65" t="s">
        <v>390</v>
      </c>
      <c r="J179" t="s">
        <v>3044</v>
      </c>
      <c r="K179">
        <f t="shared" si="15"/>
        <v>1750000</v>
      </c>
      <c r="L179">
        <f t="shared" si="16"/>
        <v>0</v>
      </c>
    </row>
    <row r="180" spans="1:12" s="65" customFormat="1" outlineLevel="1">
      <c r="A180" s="139">
        <v>44263</v>
      </c>
      <c r="B180" s="124"/>
      <c r="C180" s="123">
        <v>71583</v>
      </c>
      <c r="D180" s="146">
        <f t="shared" si="20"/>
        <v>857570</v>
      </c>
      <c r="E180" s="331"/>
      <c r="F180" s="367"/>
      <c r="G180" s="364">
        <f t="shared" si="13"/>
        <v>0</v>
      </c>
      <c r="H180" s="65" t="s">
        <v>390</v>
      </c>
      <c r="J180" t="s">
        <v>3044</v>
      </c>
      <c r="K180">
        <f t="shared" si="15"/>
        <v>1750000</v>
      </c>
      <c r="L180">
        <f t="shared" si="16"/>
        <v>0</v>
      </c>
    </row>
    <row r="181" spans="1:12" s="65" customFormat="1" outlineLevel="1">
      <c r="A181" s="139">
        <v>44264</v>
      </c>
      <c r="B181" s="124"/>
      <c r="C181" s="123">
        <v>105034</v>
      </c>
      <c r="D181" s="146">
        <f t="shared" si="20"/>
        <v>962604</v>
      </c>
      <c r="E181" s="331"/>
      <c r="F181" s="367"/>
      <c r="G181" s="364">
        <f t="shared" si="13"/>
        <v>0</v>
      </c>
      <c r="H181" s="65" t="s">
        <v>178</v>
      </c>
      <c r="J181" t="s">
        <v>3044</v>
      </c>
      <c r="K181">
        <f t="shared" si="15"/>
        <v>1750000</v>
      </c>
      <c r="L181">
        <f t="shared" si="16"/>
        <v>0</v>
      </c>
    </row>
    <row r="182" spans="1:12" s="65" customFormat="1" outlineLevel="1">
      <c r="A182" s="139">
        <v>44264</v>
      </c>
      <c r="B182" s="124"/>
      <c r="C182" s="123">
        <v>36638</v>
      </c>
      <c r="D182" s="146">
        <f t="shared" si="20"/>
        <v>999242</v>
      </c>
      <c r="E182" s="331"/>
      <c r="F182" s="367"/>
      <c r="G182" s="364">
        <f t="shared" si="13"/>
        <v>0</v>
      </c>
      <c r="H182" s="65" t="s">
        <v>177</v>
      </c>
      <c r="J182" t="s">
        <v>3044</v>
      </c>
      <c r="K182">
        <f t="shared" si="15"/>
        <v>1750000</v>
      </c>
      <c r="L182">
        <f t="shared" si="16"/>
        <v>0</v>
      </c>
    </row>
    <row r="183" spans="1:12" s="65" customFormat="1" outlineLevel="1">
      <c r="A183" s="139">
        <v>44264</v>
      </c>
      <c r="B183" s="124"/>
      <c r="C183" s="123">
        <v>11596</v>
      </c>
      <c r="D183" s="146">
        <f t="shared" si="20"/>
        <v>1010838</v>
      </c>
      <c r="E183" s="331"/>
      <c r="F183" s="367"/>
      <c r="G183" s="364">
        <f t="shared" si="13"/>
        <v>0</v>
      </c>
      <c r="H183" s="65" t="s">
        <v>181</v>
      </c>
      <c r="J183" t="s">
        <v>3044</v>
      </c>
      <c r="K183">
        <f t="shared" si="15"/>
        <v>1750000</v>
      </c>
      <c r="L183">
        <f t="shared" si="16"/>
        <v>0</v>
      </c>
    </row>
    <row r="184" spans="1:12" s="65" customFormat="1" outlineLevel="1">
      <c r="A184" s="139">
        <v>44264</v>
      </c>
      <c r="B184" s="124"/>
      <c r="C184" s="123">
        <v>20062</v>
      </c>
      <c r="D184" s="146">
        <f t="shared" si="20"/>
        <v>1030900</v>
      </c>
      <c r="E184" s="331"/>
      <c r="F184" s="367"/>
      <c r="G184" s="364">
        <f t="shared" si="13"/>
        <v>0</v>
      </c>
      <c r="H184" s="65" t="s">
        <v>182</v>
      </c>
      <c r="J184" t="s">
        <v>3044</v>
      </c>
      <c r="K184">
        <f t="shared" si="15"/>
        <v>1750000</v>
      </c>
      <c r="L184">
        <f t="shared" si="16"/>
        <v>0</v>
      </c>
    </row>
    <row r="185" spans="1:12" s="65" customFormat="1" outlineLevel="1">
      <c r="A185" s="139">
        <v>44264</v>
      </c>
      <c r="B185" s="124"/>
      <c r="C185" s="123">
        <v>102047</v>
      </c>
      <c r="D185" s="146">
        <f t="shared" si="20"/>
        <v>1132947</v>
      </c>
      <c r="E185" s="331"/>
      <c r="F185" s="367"/>
      <c r="G185" s="364">
        <f t="shared" si="13"/>
        <v>0</v>
      </c>
      <c r="H185" s="65" t="s">
        <v>238</v>
      </c>
      <c r="J185" t="s">
        <v>3044</v>
      </c>
      <c r="K185">
        <f t="shared" si="15"/>
        <v>1750000</v>
      </c>
      <c r="L185">
        <f t="shared" si="16"/>
        <v>0</v>
      </c>
    </row>
    <row r="186" spans="1:12" s="65" customFormat="1" outlineLevel="1">
      <c r="A186" s="139">
        <v>44264</v>
      </c>
      <c r="B186" s="124"/>
      <c r="C186" s="123">
        <v>33353</v>
      </c>
      <c r="D186" s="146">
        <f t="shared" si="20"/>
        <v>1166300</v>
      </c>
      <c r="E186" s="331"/>
      <c r="F186" s="367"/>
      <c r="G186" s="364">
        <f t="shared" si="13"/>
        <v>0</v>
      </c>
      <c r="H186" s="65" t="s">
        <v>410</v>
      </c>
      <c r="J186" t="s">
        <v>3044</v>
      </c>
      <c r="K186">
        <f t="shared" si="15"/>
        <v>1750000</v>
      </c>
      <c r="L186">
        <f t="shared" si="16"/>
        <v>0</v>
      </c>
    </row>
    <row r="187" spans="1:12" s="65" customFormat="1" outlineLevel="1">
      <c r="A187" s="139">
        <v>44264</v>
      </c>
      <c r="B187" s="124"/>
      <c r="C187" s="123">
        <v>309624</v>
      </c>
      <c r="D187" s="146">
        <f t="shared" si="20"/>
        <v>1475924</v>
      </c>
      <c r="E187" s="331"/>
      <c r="F187" s="367"/>
      <c r="G187" s="364">
        <f t="shared" si="13"/>
        <v>0</v>
      </c>
      <c r="H187" s="65" t="s">
        <v>115</v>
      </c>
      <c r="J187" t="s">
        <v>3044</v>
      </c>
      <c r="K187">
        <f t="shared" si="15"/>
        <v>1750000</v>
      </c>
      <c r="L187">
        <f t="shared" si="16"/>
        <v>0</v>
      </c>
    </row>
    <row r="188" spans="1:12" s="65" customFormat="1" outlineLevel="1">
      <c r="A188" s="139">
        <v>44264</v>
      </c>
      <c r="B188" s="124"/>
      <c r="C188" s="123">
        <v>50875</v>
      </c>
      <c r="D188" s="146">
        <f t="shared" si="20"/>
        <v>1526799</v>
      </c>
      <c r="E188" s="331"/>
      <c r="F188" s="367"/>
      <c r="G188" s="364">
        <f t="shared" si="13"/>
        <v>0</v>
      </c>
      <c r="H188" s="65" t="s">
        <v>408</v>
      </c>
      <c r="J188" t="s">
        <v>3044</v>
      </c>
      <c r="K188">
        <f t="shared" si="15"/>
        <v>1750000</v>
      </c>
      <c r="L188">
        <f t="shared" si="16"/>
        <v>0</v>
      </c>
    </row>
    <row r="189" spans="1:12" s="65" customFormat="1" outlineLevel="1">
      <c r="A189" s="139">
        <v>44264</v>
      </c>
      <c r="B189" s="124"/>
      <c r="C189" s="123">
        <v>43906</v>
      </c>
      <c r="D189" s="146">
        <f t="shared" si="20"/>
        <v>1570705</v>
      </c>
      <c r="E189" s="331"/>
      <c r="F189" s="367"/>
      <c r="G189" s="364">
        <f t="shared" si="13"/>
        <v>0</v>
      </c>
      <c r="H189" s="65" t="s">
        <v>409</v>
      </c>
      <c r="J189" t="s">
        <v>3044</v>
      </c>
      <c r="K189">
        <f t="shared" si="15"/>
        <v>1750000</v>
      </c>
      <c r="L189">
        <f t="shared" si="16"/>
        <v>0</v>
      </c>
    </row>
    <row r="190" spans="1:12" s="65" customFormat="1" outlineLevel="1">
      <c r="A190" s="139">
        <v>44264</v>
      </c>
      <c r="B190" s="124"/>
      <c r="C190" s="123">
        <v>108518</v>
      </c>
      <c r="D190" s="146">
        <f t="shared" si="20"/>
        <v>1679223</v>
      </c>
      <c r="E190" s="331"/>
      <c r="F190" s="367"/>
      <c r="G190" s="364">
        <f t="shared" si="13"/>
        <v>0</v>
      </c>
      <c r="H190" s="65" t="s">
        <v>179</v>
      </c>
      <c r="J190" t="s">
        <v>3044</v>
      </c>
      <c r="K190">
        <f t="shared" si="15"/>
        <v>1750000</v>
      </c>
      <c r="L190">
        <f t="shared" si="16"/>
        <v>0</v>
      </c>
    </row>
    <row r="191" spans="1:12" s="65" customFormat="1" outlineLevel="1">
      <c r="A191" s="139">
        <v>44264</v>
      </c>
      <c r="B191" s="124"/>
      <c r="C191" s="123">
        <v>27628</v>
      </c>
      <c r="D191" s="146">
        <f t="shared" si="20"/>
        <v>1706851</v>
      </c>
      <c r="E191" s="331"/>
      <c r="F191" s="367"/>
      <c r="G191" s="364">
        <f t="shared" si="13"/>
        <v>0</v>
      </c>
      <c r="H191" s="65" t="s">
        <v>176</v>
      </c>
      <c r="J191" t="s">
        <v>3044</v>
      </c>
      <c r="K191">
        <f t="shared" si="15"/>
        <v>1750000</v>
      </c>
      <c r="L191">
        <f t="shared" si="16"/>
        <v>0</v>
      </c>
    </row>
    <row r="192" spans="1:12" s="65" customFormat="1" outlineLevel="1">
      <c r="A192" s="139">
        <v>44264</v>
      </c>
      <c r="B192" s="124"/>
      <c r="C192" s="123">
        <v>37136</v>
      </c>
      <c r="D192" s="146">
        <f t="shared" si="20"/>
        <v>1743987</v>
      </c>
      <c r="E192" s="331"/>
      <c r="F192" s="367"/>
      <c r="G192" s="364">
        <f t="shared" si="13"/>
        <v>0</v>
      </c>
      <c r="H192" s="65" t="s">
        <v>180</v>
      </c>
      <c r="J192" t="s">
        <v>3044</v>
      </c>
      <c r="K192">
        <f t="shared" si="15"/>
        <v>1750000</v>
      </c>
      <c r="L192">
        <f t="shared" si="16"/>
        <v>0</v>
      </c>
    </row>
    <row r="193" spans="1:12" s="65" customFormat="1" outlineLevel="1">
      <c r="A193" s="147">
        <v>44265</v>
      </c>
      <c r="B193" s="149"/>
      <c r="C193" s="148">
        <v>1008</v>
      </c>
      <c r="D193" s="150">
        <f t="shared" si="20"/>
        <v>1744995</v>
      </c>
      <c r="E193" s="333"/>
      <c r="F193" s="368"/>
      <c r="G193" s="369">
        <f t="shared" si="13"/>
        <v>0</v>
      </c>
      <c r="H193" s="152" t="s">
        <v>84</v>
      </c>
      <c r="I193" s="152"/>
      <c r="J193" t="s">
        <v>3044</v>
      </c>
      <c r="K193">
        <f t="shared" si="15"/>
        <v>1750000</v>
      </c>
      <c r="L193">
        <f t="shared" si="16"/>
        <v>0</v>
      </c>
    </row>
    <row r="194" spans="1:12" s="65" customFormat="1" outlineLevel="1">
      <c r="A194" s="66">
        <v>44266</v>
      </c>
      <c r="B194" s="124"/>
      <c r="C194" s="123">
        <v>25288</v>
      </c>
      <c r="D194" s="146">
        <f t="shared" si="20"/>
        <v>1770283</v>
      </c>
      <c r="E194" s="331"/>
      <c r="F194" s="367"/>
      <c r="G194" s="364">
        <f t="shared" ref="G194:G257" si="21">G193+F194-E194</f>
        <v>0</v>
      </c>
      <c r="H194" s="65" t="s">
        <v>2396</v>
      </c>
      <c r="J194" t="s">
        <v>3044</v>
      </c>
      <c r="K194">
        <f t="shared" si="15"/>
        <v>1750000</v>
      </c>
      <c r="L194">
        <f t="shared" si="16"/>
        <v>0</v>
      </c>
    </row>
    <row r="195" spans="1:12" s="65" customFormat="1" outlineLevel="1">
      <c r="A195" s="139">
        <v>44271</v>
      </c>
      <c r="B195" s="124"/>
      <c r="C195" s="123">
        <v>104039</v>
      </c>
      <c r="D195" s="146">
        <f t="shared" si="20"/>
        <v>1874322</v>
      </c>
      <c r="E195" s="331"/>
      <c r="F195" s="367"/>
      <c r="G195" s="364">
        <f t="shared" si="21"/>
        <v>0</v>
      </c>
      <c r="H195" s="65" t="s">
        <v>401</v>
      </c>
      <c r="J195" t="s">
        <v>3044</v>
      </c>
      <c r="K195">
        <f t="shared" si="15"/>
        <v>1750000</v>
      </c>
      <c r="L195">
        <f t="shared" si="16"/>
        <v>0</v>
      </c>
    </row>
    <row r="196" spans="1:12" s="65" customFormat="1" outlineLevel="1">
      <c r="A196" s="139">
        <v>44271</v>
      </c>
      <c r="B196" s="124"/>
      <c r="C196" s="123">
        <v>32904</v>
      </c>
      <c r="D196" s="146">
        <f t="shared" si="20"/>
        <v>1907226</v>
      </c>
      <c r="E196" s="331"/>
      <c r="F196" s="367"/>
      <c r="G196" s="364">
        <f t="shared" si="21"/>
        <v>0</v>
      </c>
      <c r="H196" s="65" t="s">
        <v>402</v>
      </c>
      <c r="J196" t="s">
        <v>3044</v>
      </c>
      <c r="K196">
        <f t="shared" ref="K196:K259" si="22">IF(J196="本金",-B196+C196+K195,K195)</f>
        <v>1750000</v>
      </c>
      <c r="L196">
        <f t="shared" ref="L196:L259" si="23">IF(J196="本金",-E196+F196+L195,L195)</f>
        <v>0</v>
      </c>
    </row>
    <row r="197" spans="1:12" s="65" customFormat="1" outlineLevel="1">
      <c r="A197" s="139">
        <v>44271</v>
      </c>
      <c r="B197" s="124"/>
      <c r="C197" s="123">
        <v>39923</v>
      </c>
      <c r="D197" s="146">
        <f t="shared" si="20"/>
        <v>1947149</v>
      </c>
      <c r="E197" s="331"/>
      <c r="F197" s="367"/>
      <c r="G197" s="364">
        <f t="shared" si="21"/>
        <v>0</v>
      </c>
      <c r="H197" s="65" t="s">
        <v>403</v>
      </c>
      <c r="J197" t="s">
        <v>3044</v>
      </c>
      <c r="K197">
        <f t="shared" si="22"/>
        <v>1750000</v>
      </c>
      <c r="L197">
        <f t="shared" si="23"/>
        <v>0</v>
      </c>
    </row>
    <row r="198" spans="1:12" s="65" customFormat="1" outlineLevel="1">
      <c r="A198" s="139">
        <v>44271</v>
      </c>
      <c r="B198" s="124"/>
      <c r="C198" s="123">
        <v>25687</v>
      </c>
      <c r="D198" s="146">
        <f t="shared" si="20"/>
        <v>1972836</v>
      </c>
      <c r="E198" s="331"/>
      <c r="F198" s="367"/>
      <c r="G198" s="364">
        <f t="shared" si="21"/>
        <v>0</v>
      </c>
      <c r="H198" s="65" t="s">
        <v>211</v>
      </c>
      <c r="J198" t="s">
        <v>3044</v>
      </c>
      <c r="K198">
        <f t="shared" si="22"/>
        <v>1750000</v>
      </c>
      <c r="L198">
        <f t="shared" si="23"/>
        <v>0</v>
      </c>
    </row>
    <row r="199" spans="1:12" s="65" customFormat="1" outlineLevel="1">
      <c r="A199" s="139">
        <v>44271</v>
      </c>
      <c r="B199" s="124">
        <v>51473</v>
      </c>
      <c r="C199" s="123">
        <v>53544</v>
      </c>
      <c r="D199" s="146">
        <f t="shared" si="20"/>
        <v>1974907</v>
      </c>
      <c r="E199" s="331"/>
      <c r="F199" s="367"/>
      <c r="G199" s="364">
        <f t="shared" si="21"/>
        <v>0</v>
      </c>
      <c r="H199" s="65" t="s">
        <v>404</v>
      </c>
      <c r="I199" s="65" t="s">
        <v>413</v>
      </c>
      <c r="J199" t="s">
        <v>3044</v>
      </c>
      <c r="K199">
        <f t="shared" si="22"/>
        <v>1750000</v>
      </c>
      <c r="L199">
        <f t="shared" si="23"/>
        <v>0</v>
      </c>
    </row>
    <row r="200" spans="1:12" s="65" customFormat="1" outlineLevel="1">
      <c r="A200" s="139">
        <v>44271</v>
      </c>
      <c r="B200" s="124">
        <v>114663</v>
      </c>
      <c r="C200" s="123">
        <v>115163</v>
      </c>
      <c r="D200" s="146">
        <f t="shared" si="20"/>
        <v>1975407</v>
      </c>
      <c r="E200" s="331"/>
      <c r="F200" s="367"/>
      <c r="G200" s="364">
        <f t="shared" si="21"/>
        <v>0</v>
      </c>
      <c r="H200" s="65" t="s">
        <v>405</v>
      </c>
      <c r="I200" s="65" t="s">
        <v>413</v>
      </c>
      <c r="J200" t="s">
        <v>3044</v>
      </c>
      <c r="K200">
        <f t="shared" si="22"/>
        <v>1750000</v>
      </c>
      <c r="L200">
        <f t="shared" si="23"/>
        <v>0</v>
      </c>
    </row>
    <row r="201" spans="1:12" s="65" customFormat="1" outlineLevel="1">
      <c r="A201" s="139">
        <v>44272</v>
      </c>
      <c r="B201" s="124">
        <v>53976</v>
      </c>
      <c r="C201" s="123"/>
      <c r="D201" s="146">
        <f t="shared" si="20"/>
        <v>1921431</v>
      </c>
      <c r="E201" s="331"/>
      <c r="F201" s="367"/>
      <c r="G201" s="364">
        <f t="shared" si="21"/>
        <v>0</v>
      </c>
      <c r="H201" s="65" t="s">
        <v>2397</v>
      </c>
      <c r="J201" t="s">
        <v>3044</v>
      </c>
      <c r="K201">
        <f t="shared" si="22"/>
        <v>1750000</v>
      </c>
      <c r="L201">
        <f t="shared" si="23"/>
        <v>0</v>
      </c>
    </row>
    <row r="202" spans="1:12" s="65" customFormat="1" outlineLevel="1">
      <c r="A202" s="139">
        <v>44272</v>
      </c>
      <c r="B202" s="124">
        <v>107152</v>
      </c>
      <c r="C202" s="123">
        <v>107685</v>
      </c>
      <c r="D202" s="146">
        <f t="shared" si="20"/>
        <v>1921964</v>
      </c>
      <c r="E202" s="331"/>
      <c r="F202" s="367"/>
      <c r="G202" s="364">
        <f t="shared" si="21"/>
        <v>0</v>
      </c>
      <c r="H202" s="65" t="s">
        <v>415</v>
      </c>
      <c r="J202" t="s">
        <v>3044</v>
      </c>
      <c r="K202">
        <f t="shared" si="22"/>
        <v>1750000</v>
      </c>
      <c r="L202">
        <f t="shared" si="23"/>
        <v>0</v>
      </c>
    </row>
    <row r="203" spans="1:12" s="65" customFormat="1" outlineLevel="1">
      <c r="A203" s="139">
        <v>44272</v>
      </c>
      <c r="B203" s="124">
        <v>107653</v>
      </c>
      <c r="C203" s="123"/>
      <c r="D203" s="146">
        <f t="shared" si="20"/>
        <v>1814311</v>
      </c>
      <c r="E203" s="331"/>
      <c r="F203" s="367"/>
      <c r="G203" s="364">
        <f t="shared" si="21"/>
        <v>0</v>
      </c>
      <c r="H203" s="65" t="s">
        <v>415</v>
      </c>
      <c r="J203" t="s">
        <v>3044</v>
      </c>
      <c r="K203">
        <f t="shared" si="22"/>
        <v>1750000</v>
      </c>
      <c r="L203">
        <f t="shared" si="23"/>
        <v>0</v>
      </c>
    </row>
    <row r="204" spans="1:12" s="65" customFormat="1" outlineLevel="1">
      <c r="A204" s="139">
        <v>44272</v>
      </c>
      <c r="B204" s="124">
        <v>42610</v>
      </c>
      <c r="C204" s="123"/>
      <c r="D204" s="146">
        <f t="shared" si="20"/>
        <v>1771701</v>
      </c>
      <c r="E204" s="331"/>
      <c r="F204" s="367"/>
      <c r="G204" s="364">
        <f t="shared" si="21"/>
        <v>0</v>
      </c>
      <c r="H204" s="65" t="s">
        <v>416</v>
      </c>
      <c r="J204" t="s">
        <v>3044</v>
      </c>
      <c r="K204">
        <f t="shared" si="22"/>
        <v>1750000</v>
      </c>
      <c r="L204">
        <f t="shared" si="23"/>
        <v>0</v>
      </c>
    </row>
    <row r="205" spans="1:12" s="65" customFormat="1" outlineLevel="1">
      <c r="A205" s="139">
        <v>44273</v>
      </c>
      <c r="B205" s="124"/>
      <c r="C205" s="123">
        <v>54658</v>
      </c>
      <c r="D205" s="146">
        <f t="shared" si="20"/>
        <v>1826359</v>
      </c>
      <c r="E205" s="331"/>
      <c r="F205" s="367"/>
      <c r="G205" s="364">
        <f t="shared" si="21"/>
        <v>0</v>
      </c>
      <c r="H205" s="65" t="s">
        <v>2397</v>
      </c>
      <c r="J205" t="s">
        <v>3044</v>
      </c>
      <c r="K205">
        <f t="shared" si="22"/>
        <v>1750000</v>
      </c>
      <c r="L205">
        <f t="shared" si="23"/>
        <v>0</v>
      </c>
    </row>
    <row r="206" spans="1:12" s="65" customFormat="1" outlineLevel="1">
      <c r="A206" s="139">
        <v>44274</v>
      </c>
      <c r="B206" s="124">
        <v>43662</v>
      </c>
      <c r="C206" s="123"/>
      <c r="D206" s="146">
        <f t="shared" si="20"/>
        <v>1782697</v>
      </c>
      <c r="E206" s="331"/>
      <c r="F206" s="367"/>
      <c r="G206" s="364">
        <f t="shared" si="21"/>
        <v>0</v>
      </c>
      <c r="H206" s="65" t="s">
        <v>417</v>
      </c>
      <c r="J206" t="s">
        <v>3044</v>
      </c>
      <c r="K206">
        <f t="shared" si="22"/>
        <v>1750000</v>
      </c>
      <c r="L206">
        <f t="shared" si="23"/>
        <v>0</v>
      </c>
    </row>
    <row r="207" spans="1:12" s="65" customFormat="1" outlineLevel="1">
      <c r="A207" s="139">
        <v>44274</v>
      </c>
      <c r="B207" s="124">
        <v>78912</v>
      </c>
      <c r="C207" s="123"/>
      <c r="D207" s="146">
        <f t="shared" si="20"/>
        <v>1703785</v>
      </c>
      <c r="E207" s="331"/>
      <c r="F207" s="367"/>
      <c r="G207" s="364">
        <f t="shared" si="21"/>
        <v>0</v>
      </c>
      <c r="H207" s="65" t="s">
        <v>418</v>
      </c>
      <c r="J207" t="s">
        <v>3044</v>
      </c>
      <c r="K207">
        <f t="shared" si="22"/>
        <v>1750000</v>
      </c>
      <c r="L207">
        <f t="shared" si="23"/>
        <v>0</v>
      </c>
    </row>
    <row r="208" spans="1:12" s="65" customFormat="1" outlineLevel="1">
      <c r="A208" s="139">
        <v>44274</v>
      </c>
      <c r="B208" s="124">
        <v>51373</v>
      </c>
      <c r="C208" s="123"/>
      <c r="D208" s="146">
        <f t="shared" si="20"/>
        <v>1652412</v>
      </c>
      <c r="E208" s="331"/>
      <c r="F208" s="367"/>
      <c r="G208" s="364">
        <f t="shared" si="21"/>
        <v>0</v>
      </c>
      <c r="H208" s="65" t="s">
        <v>419</v>
      </c>
      <c r="J208" t="s">
        <v>3044</v>
      </c>
      <c r="K208">
        <f t="shared" si="22"/>
        <v>1750000</v>
      </c>
      <c r="L208">
        <f t="shared" si="23"/>
        <v>0</v>
      </c>
    </row>
    <row r="209" spans="1:12" s="65" customFormat="1" outlineLevel="1">
      <c r="A209" s="139">
        <v>44274</v>
      </c>
      <c r="B209" s="124">
        <v>71301</v>
      </c>
      <c r="C209" s="123"/>
      <c r="D209" s="146">
        <f t="shared" si="20"/>
        <v>1581111</v>
      </c>
      <c r="E209" s="331"/>
      <c r="F209" s="367"/>
      <c r="G209" s="364">
        <f t="shared" si="21"/>
        <v>0</v>
      </c>
      <c r="H209" s="65" t="s">
        <v>420</v>
      </c>
      <c r="J209" t="s">
        <v>3044</v>
      </c>
      <c r="K209">
        <f t="shared" si="22"/>
        <v>1750000</v>
      </c>
      <c r="L209">
        <f t="shared" si="23"/>
        <v>0</v>
      </c>
    </row>
    <row r="210" spans="1:12" s="65" customFormat="1" outlineLevel="1">
      <c r="A210" s="139">
        <v>44274</v>
      </c>
      <c r="B210" s="124">
        <v>70600</v>
      </c>
      <c r="C210" s="123"/>
      <c r="D210" s="146">
        <f t="shared" si="20"/>
        <v>1510511</v>
      </c>
      <c r="E210" s="331"/>
      <c r="F210" s="367"/>
      <c r="G210" s="364">
        <f t="shared" si="21"/>
        <v>0</v>
      </c>
      <c r="H210" s="65" t="s">
        <v>420</v>
      </c>
      <c r="J210" t="s">
        <v>3044</v>
      </c>
      <c r="K210">
        <f t="shared" si="22"/>
        <v>1750000</v>
      </c>
      <c r="L210">
        <f t="shared" si="23"/>
        <v>0</v>
      </c>
    </row>
    <row r="211" spans="1:12" s="65" customFormat="1" outlineLevel="1">
      <c r="A211" s="139">
        <v>44277</v>
      </c>
      <c r="B211" s="124"/>
      <c r="C211" s="123">
        <v>71483</v>
      </c>
      <c r="D211" s="146">
        <f t="shared" si="20"/>
        <v>1581994</v>
      </c>
      <c r="E211" s="331"/>
      <c r="F211" s="367"/>
      <c r="G211" s="364">
        <f t="shared" si="21"/>
        <v>0</v>
      </c>
      <c r="H211" s="65" t="s">
        <v>420</v>
      </c>
      <c r="J211" t="s">
        <v>3044</v>
      </c>
      <c r="K211">
        <f t="shared" si="22"/>
        <v>1750000</v>
      </c>
      <c r="L211">
        <f t="shared" si="23"/>
        <v>0</v>
      </c>
    </row>
    <row r="212" spans="1:12" s="65" customFormat="1" outlineLevel="1">
      <c r="A212" s="139">
        <v>44277</v>
      </c>
      <c r="B212" s="124"/>
      <c r="C212" s="123">
        <v>73574</v>
      </c>
      <c r="D212" s="146">
        <f t="shared" si="20"/>
        <v>1655568</v>
      </c>
      <c r="E212" s="331"/>
      <c r="F212" s="367"/>
      <c r="G212" s="364">
        <f t="shared" si="21"/>
        <v>0</v>
      </c>
      <c r="H212" s="65" t="s">
        <v>418</v>
      </c>
      <c r="J212" t="s">
        <v>3044</v>
      </c>
      <c r="K212">
        <f t="shared" si="22"/>
        <v>1750000</v>
      </c>
      <c r="L212">
        <f t="shared" si="23"/>
        <v>0</v>
      </c>
    </row>
    <row r="213" spans="1:12" s="65" customFormat="1" outlineLevel="1">
      <c r="A213" s="139">
        <v>44277</v>
      </c>
      <c r="B213" s="124">
        <v>74105</v>
      </c>
      <c r="C213" s="123"/>
      <c r="D213" s="146">
        <f t="shared" si="20"/>
        <v>1581463</v>
      </c>
      <c r="E213" s="331"/>
      <c r="F213" s="367"/>
      <c r="G213" s="364">
        <f t="shared" si="21"/>
        <v>0</v>
      </c>
      <c r="H213" s="65" t="s">
        <v>1502</v>
      </c>
      <c r="J213" t="s">
        <v>3044</v>
      </c>
      <c r="K213">
        <f t="shared" si="22"/>
        <v>1750000</v>
      </c>
      <c r="L213">
        <f t="shared" si="23"/>
        <v>0</v>
      </c>
    </row>
    <row r="214" spans="1:12" s="65" customFormat="1" outlineLevel="1">
      <c r="A214" s="139">
        <v>44278</v>
      </c>
      <c r="B214" s="124">
        <v>109656</v>
      </c>
      <c r="C214" s="123"/>
      <c r="D214" s="146">
        <f t="shared" si="20"/>
        <v>1471807</v>
      </c>
      <c r="E214" s="331"/>
      <c r="F214" s="367"/>
      <c r="G214" s="364">
        <f t="shared" si="21"/>
        <v>0</v>
      </c>
      <c r="H214" s="65" t="s">
        <v>1503</v>
      </c>
      <c r="J214" t="s">
        <v>3044</v>
      </c>
      <c r="K214">
        <f t="shared" si="22"/>
        <v>1750000</v>
      </c>
      <c r="L214">
        <f t="shared" si="23"/>
        <v>0</v>
      </c>
    </row>
    <row r="215" spans="1:12" s="65" customFormat="1" outlineLevel="1">
      <c r="A215" s="139">
        <v>44278</v>
      </c>
      <c r="B215" s="124">
        <v>113561</v>
      </c>
      <c r="C215" s="123"/>
      <c r="D215" s="146">
        <f t="shared" si="20"/>
        <v>1358246</v>
      </c>
      <c r="E215" s="331"/>
      <c r="F215" s="367"/>
      <c r="G215" s="364">
        <f t="shared" si="21"/>
        <v>0</v>
      </c>
      <c r="H215" s="65" t="s">
        <v>1504</v>
      </c>
      <c r="J215" t="s">
        <v>3044</v>
      </c>
      <c r="K215">
        <f t="shared" si="22"/>
        <v>1750000</v>
      </c>
      <c r="L215">
        <f t="shared" si="23"/>
        <v>0</v>
      </c>
    </row>
    <row r="216" spans="1:12" s="65" customFormat="1" outlineLevel="1">
      <c r="A216" s="139">
        <v>44279</v>
      </c>
      <c r="B216" s="124"/>
      <c r="C216" s="123">
        <v>78651</v>
      </c>
      <c r="D216" s="146">
        <f t="shared" si="20"/>
        <v>1436897</v>
      </c>
      <c r="E216" s="331"/>
      <c r="F216" s="367"/>
      <c r="G216" s="364">
        <f t="shared" si="21"/>
        <v>0</v>
      </c>
      <c r="H216" s="65" t="s">
        <v>2418</v>
      </c>
      <c r="J216" t="s">
        <v>3044</v>
      </c>
      <c r="K216">
        <f t="shared" si="22"/>
        <v>1750000</v>
      </c>
      <c r="L216">
        <f t="shared" si="23"/>
        <v>0</v>
      </c>
    </row>
    <row r="217" spans="1:12" s="65" customFormat="1" outlineLevel="1">
      <c r="A217" s="139">
        <v>44281</v>
      </c>
      <c r="B217" s="124">
        <v>150328</v>
      </c>
      <c r="C217" s="123"/>
      <c r="D217" s="146">
        <f t="shared" si="20"/>
        <v>1286569</v>
      </c>
      <c r="E217" s="331"/>
      <c r="F217" s="367"/>
      <c r="G217" s="364">
        <f t="shared" si="21"/>
        <v>0</v>
      </c>
      <c r="H217" s="65" t="s">
        <v>1506</v>
      </c>
      <c r="J217" t="s">
        <v>3044</v>
      </c>
      <c r="K217">
        <f t="shared" si="22"/>
        <v>1750000</v>
      </c>
      <c r="L217">
        <f t="shared" si="23"/>
        <v>0</v>
      </c>
    </row>
    <row r="218" spans="1:12" s="65" customFormat="1" outlineLevel="1">
      <c r="A218" s="139">
        <v>44281</v>
      </c>
      <c r="B218" s="124"/>
      <c r="C218" s="123">
        <v>104039</v>
      </c>
      <c r="D218" s="146">
        <f t="shared" si="20"/>
        <v>1390608</v>
      </c>
      <c r="E218" s="331"/>
      <c r="F218" s="367"/>
      <c r="G218" s="364">
        <f t="shared" si="21"/>
        <v>0</v>
      </c>
      <c r="H218" s="65" t="s">
        <v>2404</v>
      </c>
      <c r="J218" t="s">
        <v>3044</v>
      </c>
      <c r="K218">
        <f t="shared" si="22"/>
        <v>1750000</v>
      </c>
      <c r="L218">
        <f t="shared" si="23"/>
        <v>0</v>
      </c>
    </row>
    <row r="219" spans="1:12" s="65" customFormat="1" outlineLevel="1">
      <c r="A219" s="139">
        <v>44281</v>
      </c>
      <c r="B219" s="124">
        <v>41358</v>
      </c>
      <c r="C219" s="123"/>
      <c r="D219" s="146">
        <f t="shared" si="20"/>
        <v>1349250</v>
      </c>
      <c r="E219" s="331"/>
      <c r="F219" s="367"/>
      <c r="G219" s="364">
        <f t="shared" si="21"/>
        <v>0</v>
      </c>
      <c r="H219" s="65" t="s">
        <v>1505</v>
      </c>
      <c r="J219" t="s">
        <v>3044</v>
      </c>
      <c r="K219">
        <f t="shared" si="22"/>
        <v>1750000</v>
      </c>
      <c r="L219">
        <f t="shared" si="23"/>
        <v>0</v>
      </c>
    </row>
    <row r="220" spans="1:12" s="65" customFormat="1" outlineLevel="1">
      <c r="A220" s="139">
        <v>44284</v>
      </c>
      <c r="B220" s="124">
        <v>598852</v>
      </c>
      <c r="C220" s="123"/>
      <c r="D220" s="146">
        <f t="shared" si="20"/>
        <v>750398</v>
      </c>
      <c r="E220" s="331"/>
      <c r="F220" s="367"/>
      <c r="G220" s="364">
        <f t="shared" si="21"/>
        <v>0</v>
      </c>
      <c r="H220" s="65" t="s">
        <v>1507</v>
      </c>
      <c r="J220" t="s">
        <v>3044</v>
      </c>
      <c r="K220">
        <f t="shared" si="22"/>
        <v>1750000</v>
      </c>
      <c r="L220">
        <f t="shared" si="23"/>
        <v>0</v>
      </c>
    </row>
    <row r="221" spans="1:12" s="65" customFormat="1" outlineLevel="1">
      <c r="A221" s="139">
        <v>44285</v>
      </c>
      <c r="B221" s="124">
        <v>35750</v>
      </c>
      <c r="C221" s="123"/>
      <c r="D221" s="146">
        <f t="shared" si="20"/>
        <v>714648</v>
      </c>
      <c r="E221" s="331"/>
      <c r="F221" s="367"/>
      <c r="G221" s="364">
        <f t="shared" si="21"/>
        <v>0</v>
      </c>
      <c r="H221" s="65" t="s">
        <v>1508</v>
      </c>
      <c r="J221" t="s">
        <v>3044</v>
      </c>
      <c r="K221">
        <f t="shared" si="22"/>
        <v>1750000</v>
      </c>
      <c r="L221">
        <f t="shared" si="23"/>
        <v>0</v>
      </c>
    </row>
    <row r="222" spans="1:12" s="65" customFormat="1" outlineLevel="1">
      <c r="A222" s="139">
        <v>44285</v>
      </c>
      <c r="B222" s="124">
        <v>30142</v>
      </c>
      <c r="C222" s="123"/>
      <c r="D222" s="146">
        <f t="shared" si="20"/>
        <v>684506</v>
      </c>
      <c r="E222" s="331"/>
      <c r="F222" s="367"/>
      <c r="G222" s="364">
        <f t="shared" si="21"/>
        <v>0</v>
      </c>
      <c r="H222" s="65" t="s">
        <v>2398</v>
      </c>
      <c r="J222" t="s">
        <v>3044</v>
      </c>
      <c r="K222">
        <f t="shared" si="22"/>
        <v>1750000</v>
      </c>
      <c r="L222">
        <f t="shared" si="23"/>
        <v>0</v>
      </c>
    </row>
    <row r="223" spans="1:12" s="65" customFormat="1" outlineLevel="1">
      <c r="A223" s="139">
        <v>44285</v>
      </c>
      <c r="B223" s="124">
        <v>64491</v>
      </c>
      <c r="C223" s="123"/>
      <c r="D223" s="146">
        <f t="shared" ref="D223:D225" si="24">D222+C223-B223</f>
        <v>620015</v>
      </c>
      <c r="E223" s="331"/>
      <c r="F223" s="367"/>
      <c r="G223" s="364">
        <f t="shared" si="21"/>
        <v>0</v>
      </c>
      <c r="H223" s="65" t="s">
        <v>2399</v>
      </c>
      <c r="J223" t="s">
        <v>3044</v>
      </c>
      <c r="K223">
        <f t="shared" si="22"/>
        <v>1750000</v>
      </c>
      <c r="L223">
        <f t="shared" si="23"/>
        <v>0</v>
      </c>
    </row>
    <row r="224" spans="1:12" s="65" customFormat="1" outlineLevel="1">
      <c r="A224" s="139">
        <v>44287</v>
      </c>
      <c r="B224" s="124">
        <v>41358</v>
      </c>
      <c r="C224" s="123"/>
      <c r="D224" s="146">
        <f t="shared" si="24"/>
        <v>578657</v>
      </c>
      <c r="E224" s="331"/>
      <c r="F224" s="367"/>
      <c r="G224" s="364">
        <f t="shared" si="21"/>
        <v>0</v>
      </c>
      <c r="H224" s="65" t="s">
        <v>1509</v>
      </c>
      <c r="J224" t="s">
        <v>3044</v>
      </c>
      <c r="K224">
        <f t="shared" si="22"/>
        <v>1750000</v>
      </c>
      <c r="L224">
        <f t="shared" si="23"/>
        <v>0</v>
      </c>
    </row>
    <row r="225" spans="1:12" s="65" customFormat="1" outlineLevel="1">
      <c r="A225" s="139">
        <v>44287</v>
      </c>
      <c r="B225" s="124"/>
      <c r="C225" s="123">
        <v>44801</v>
      </c>
      <c r="D225" s="146">
        <f t="shared" si="24"/>
        <v>623458</v>
      </c>
      <c r="E225" s="331"/>
      <c r="F225" s="367"/>
      <c r="G225" s="364">
        <f t="shared" si="21"/>
        <v>0</v>
      </c>
      <c r="H225" s="65" t="s">
        <v>416</v>
      </c>
      <c r="J225" t="s">
        <v>3044</v>
      </c>
      <c r="K225">
        <f t="shared" si="22"/>
        <v>1750000</v>
      </c>
      <c r="L225">
        <f t="shared" si="23"/>
        <v>0</v>
      </c>
    </row>
    <row r="226" spans="1:12" s="65" customFormat="1" outlineLevel="1">
      <c r="A226" s="139">
        <v>44287</v>
      </c>
      <c r="B226" s="124"/>
      <c r="C226" s="123">
        <v>44254</v>
      </c>
      <c r="D226" s="146">
        <f t="shared" ref="D226:D257" si="25">D225+C226-B226</f>
        <v>667712</v>
      </c>
      <c r="E226" s="331"/>
      <c r="F226" s="367"/>
      <c r="G226" s="364">
        <f t="shared" si="21"/>
        <v>0</v>
      </c>
      <c r="H226" s="65" t="s">
        <v>417</v>
      </c>
      <c r="J226" t="s">
        <v>3044</v>
      </c>
      <c r="K226">
        <f t="shared" si="22"/>
        <v>1750000</v>
      </c>
      <c r="L226">
        <f t="shared" si="23"/>
        <v>0</v>
      </c>
    </row>
    <row r="227" spans="1:12" s="65" customFormat="1" outlineLevel="1">
      <c r="A227" s="139">
        <v>44292</v>
      </c>
      <c r="B227" s="124"/>
      <c r="C227" s="123">
        <v>64116</v>
      </c>
      <c r="D227" s="146">
        <f t="shared" si="25"/>
        <v>731828</v>
      </c>
      <c r="E227" s="331"/>
      <c r="F227" s="367"/>
      <c r="G227" s="364">
        <f t="shared" si="21"/>
        <v>0</v>
      </c>
      <c r="H227" s="65" t="s">
        <v>419</v>
      </c>
      <c r="J227" t="s">
        <v>3044</v>
      </c>
      <c r="K227">
        <f t="shared" si="22"/>
        <v>1750000</v>
      </c>
      <c r="L227">
        <f t="shared" si="23"/>
        <v>0</v>
      </c>
    </row>
    <row r="228" spans="1:12" s="65" customFormat="1" outlineLevel="1">
      <c r="A228" s="139">
        <v>44292</v>
      </c>
      <c r="B228" s="124"/>
      <c r="C228" s="123">
        <v>45400</v>
      </c>
      <c r="D228" s="146">
        <f t="shared" si="25"/>
        <v>777228</v>
      </c>
      <c r="E228" s="331"/>
      <c r="F228" s="367"/>
      <c r="G228" s="364">
        <f t="shared" si="21"/>
        <v>0</v>
      </c>
      <c r="H228" s="65" t="s">
        <v>1505</v>
      </c>
      <c r="J228" t="s">
        <v>3044</v>
      </c>
      <c r="K228">
        <f t="shared" si="22"/>
        <v>1750000</v>
      </c>
      <c r="L228">
        <f t="shared" si="23"/>
        <v>0</v>
      </c>
    </row>
    <row r="229" spans="1:12" s="65" customFormat="1" outlineLevel="1">
      <c r="A229" s="139">
        <v>44292</v>
      </c>
      <c r="B229" s="124"/>
      <c r="C229" s="123">
        <v>607301</v>
      </c>
      <c r="D229" s="146">
        <f t="shared" si="25"/>
        <v>1384529</v>
      </c>
      <c r="E229" s="331"/>
      <c r="F229" s="367"/>
      <c r="G229" s="364">
        <f t="shared" si="21"/>
        <v>0</v>
      </c>
      <c r="H229" s="65" t="s">
        <v>1507</v>
      </c>
      <c r="J229" t="s">
        <v>3044</v>
      </c>
      <c r="K229">
        <f t="shared" si="22"/>
        <v>1750000</v>
      </c>
      <c r="L229">
        <f t="shared" si="23"/>
        <v>0</v>
      </c>
    </row>
    <row r="230" spans="1:12" s="65" customFormat="1" outlineLevel="1">
      <c r="A230" s="139">
        <v>44292</v>
      </c>
      <c r="B230" s="124"/>
      <c r="C230" s="123">
        <v>34100</v>
      </c>
      <c r="D230" s="146">
        <f t="shared" si="25"/>
        <v>1418629</v>
      </c>
      <c r="E230" s="331"/>
      <c r="F230" s="367"/>
      <c r="G230" s="364">
        <f t="shared" si="21"/>
        <v>0</v>
      </c>
      <c r="H230" s="65" t="s">
        <v>1508</v>
      </c>
      <c r="J230" t="s">
        <v>3044</v>
      </c>
      <c r="K230">
        <f t="shared" si="22"/>
        <v>1750000</v>
      </c>
      <c r="L230">
        <f t="shared" si="23"/>
        <v>0</v>
      </c>
    </row>
    <row r="231" spans="1:12" s="65" customFormat="1" outlineLevel="1">
      <c r="A231" s="139">
        <v>44292</v>
      </c>
      <c r="B231" s="124"/>
      <c r="C231" s="123">
        <v>58142</v>
      </c>
      <c r="D231" s="146">
        <f t="shared" si="25"/>
        <v>1476771</v>
      </c>
      <c r="E231" s="331"/>
      <c r="F231" s="367"/>
      <c r="G231" s="364">
        <f t="shared" si="21"/>
        <v>0</v>
      </c>
      <c r="H231" s="65" t="s">
        <v>2399</v>
      </c>
      <c r="J231" t="s">
        <v>3044</v>
      </c>
      <c r="K231">
        <f t="shared" si="22"/>
        <v>1750000</v>
      </c>
      <c r="L231">
        <f t="shared" si="23"/>
        <v>0</v>
      </c>
    </row>
    <row r="232" spans="1:12" s="65" customFormat="1" outlineLevel="1">
      <c r="A232" s="139">
        <v>44292</v>
      </c>
      <c r="B232" s="124"/>
      <c r="C232" s="123">
        <v>41815</v>
      </c>
      <c r="D232" s="146">
        <f t="shared" si="25"/>
        <v>1518586</v>
      </c>
      <c r="E232" s="331"/>
      <c r="F232" s="367"/>
      <c r="G232" s="364">
        <f t="shared" si="21"/>
        <v>0</v>
      </c>
      <c r="H232" s="65" t="s">
        <v>1509</v>
      </c>
      <c r="J232" t="s">
        <v>3044</v>
      </c>
      <c r="K232">
        <f t="shared" si="22"/>
        <v>1750000</v>
      </c>
      <c r="L232">
        <f t="shared" si="23"/>
        <v>0</v>
      </c>
    </row>
    <row r="233" spans="1:12" s="65" customFormat="1" outlineLevel="1">
      <c r="A233" s="139">
        <v>44292</v>
      </c>
      <c r="B233" s="124">
        <v>57682</v>
      </c>
      <c r="C233" s="123"/>
      <c r="D233" s="146">
        <f t="shared" si="25"/>
        <v>1460904</v>
      </c>
      <c r="E233" s="331"/>
      <c r="F233" s="367"/>
      <c r="G233" s="364">
        <f t="shared" si="21"/>
        <v>0</v>
      </c>
      <c r="H233" s="65" t="s">
        <v>1510</v>
      </c>
      <c r="J233" t="s">
        <v>3044</v>
      </c>
      <c r="K233">
        <f t="shared" si="22"/>
        <v>1750000</v>
      </c>
      <c r="L233">
        <f t="shared" si="23"/>
        <v>0</v>
      </c>
    </row>
    <row r="234" spans="1:12" s="65" customFormat="1" outlineLevel="1">
      <c r="A234" s="147">
        <v>44295</v>
      </c>
      <c r="B234" s="149"/>
      <c r="C234" s="148">
        <v>2211</v>
      </c>
      <c r="D234" s="150">
        <f t="shared" si="25"/>
        <v>1463115</v>
      </c>
      <c r="E234" s="333"/>
      <c r="F234" s="368"/>
      <c r="G234" s="369">
        <f t="shared" si="21"/>
        <v>0</v>
      </c>
      <c r="H234" s="152" t="s">
        <v>84</v>
      </c>
      <c r="I234" s="152"/>
      <c r="J234" t="s">
        <v>3044</v>
      </c>
      <c r="K234">
        <f t="shared" si="22"/>
        <v>1750000</v>
      </c>
      <c r="L234">
        <f t="shared" si="23"/>
        <v>0</v>
      </c>
    </row>
    <row r="235" spans="1:12" s="65" customFormat="1" outlineLevel="1">
      <c r="A235" s="139">
        <v>44293</v>
      </c>
      <c r="B235" s="124">
        <v>100643</v>
      </c>
      <c r="C235" s="123"/>
      <c r="D235" s="146">
        <f t="shared" si="25"/>
        <v>1362472</v>
      </c>
      <c r="E235" s="331"/>
      <c r="F235" s="367"/>
      <c r="G235" s="364">
        <f t="shared" si="21"/>
        <v>0</v>
      </c>
      <c r="H235" s="65" t="s">
        <v>1511</v>
      </c>
      <c r="J235" t="s">
        <v>3044</v>
      </c>
      <c r="K235">
        <f t="shared" si="22"/>
        <v>1750000</v>
      </c>
      <c r="L235">
        <f t="shared" si="23"/>
        <v>0</v>
      </c>
    </row>
    <row r="236" spans="1:12" s="65" customFormat="1" outlineLevel="1">
      <c r="A236" s="139">
        <v>44293</v>
      </c>
      <c r="B236" s="124">
        <v>280899</v>
      </c>
      <c r="C236" s="123"/>
      <c r="D236" s="146">
        <f t="shared" si="25"/>
        <v>1081573</v>
      </c>
      <c r="E236" s="331"/>
      <c r="F236" s="367"/>
      <c r="G236" s="364">
        <f t="shared" si="21"/>
        <v>0</v>
      </c>
      <c r="H236" s="65" t="s">
        <v>1512</v>
      </c>
      <c r="J236" t="s">
        <v>3044</v>
      </c>
      <c r="K236">
        <f t="shared" si="22"/>
        <v>1750000</v>
      </c>
      <c r="L236">
        <f t="shared" si="23"/>
        <v>0</v>
      </c>
    </row>
    <row r="237" spans="1:12" s="65" customFormat="1" outlineLevel="1">
      <c r="A237" s="139">
        <v>44293</v>
      </c>
      <c r="B237" s="124">
        <v>118668</v>
      </c>
      <c r="C237" s="123"/>
      <c r="D237" s="146">
        <f t="shared" si="25"/>
        <v>962905</v>
      </c>
      <c r="E237" s="331"/>
      <c r="F237" s="367"/>
      <c r="G237" s="364">
        <f t="shared" si="21"/>
        <v>0</v>
      </c>
      <c r="H237" s="65" t="s">
        <v>1513</v>
      </c>
      <c r="J237" t="s">
        <v>3044</v>
      </c>
      <c r="K237">
        <f t="shared" si="22"/>
        <v>1750000</v>
      </c>
      <c r="L237">
        <f t="shared" si="23"/>
        <v>0</v>
      </c>
    </row>
    <row r="238" spans="1:12" s="65" customFormat="1" outlineLevel="1">
      <c r="A238" s="139">
        <v>44293</v>
      </c>
      <c r="B238" s="124">
        <v>165735</v>
      </c>
      <c r="C238" s="123"/>
      <c r="D238" s="146">
        <f t="shared" si="25"/>
        <v>797170</v>
      </c>
      <c r="E238" s="331"/>
      <c r="F238" s="367"/>
      <c r="G238" s="364">
        <f t="shared" si="21"/>
        <v>0</v>
      </c>
      <c r="H238" s="65" t="s">
        <v>1514</v>
      </c>
      <c r="J238" t="s">
        <v>3044</v>
      </c>
      <c r="K238">
        <f t="shared" si="22"/>
        <v>1750000</v>
      </c>
      <c r="L238">
        <f t="shared" si="23"/>
        <v>0</v>
      </c>
    </row>
    <row r="239" spans="1:12" s="65" customFormat="1" outlineLevel="1">
      <c r="A239" s="139">
        <v>44294</v>
      </c>
      <c r="B239" s="124">
        <v>45664</v>
      </c>
      <c r="C239" s="123">
        <v>46266</v>
      </c>
      <c r="D239" s="146">
        <f t="shared" si="25"/>
        <v>797772</v>
      </c>
      <c r="E239" s="331"/>
      <c r="F239" s="367"/>
      <c r="G239" s="364">
        <f t="shared" si="21"/>
        <v>0</v>
      </c>
      <c r="H239" s="65" t="s">
        <v>1515</v>
      </c>
      <c r="I239" s="65" t="s">
        <v>413</v>
      </c>
      <c r="J239" t="s">
        <v>3044</v>
      </c>
      <c r="K239">
        <f t="shared" si="22"/>
        <v>1750000</v>
      </c>
      <c r="L239">
        <f t="shared" si="23"/>
        <v>0</v>
      </c>
    </row>
    <row r="240" spans="1:12" s="65" customFormat="1" outlineLevel="1">
      <c r="A240" s="139">
        <v>44294</v>
      </c>
      <c r="B240" s="124">
        <v>619882</v>
      </c>
      <c r="C240" s="123"/>
      <c r="D240" s="146">
        <f t="shared" si="25"/>
        <v>177890</v>
      </c>
      <c r="E240" s="331"/>
      <c r="F240" s="367"/>
      <c r="G240" s="364">
        <f t="shared" si="21"/>
        <v>0</v>
      </c>
      <c r="H240" s="65" t="s">
        <v>1516</v>
      </c>
      <c r="J240" t="s">
        <v>3044</v>
      </c>
      <c r="K240">
        <f t="shared" si="22"/>
        <v>1750000</v>
      </c>
      <c r="L240">
        <f t="shared" si="23"/>
        <v>0</v>
      </c>
    </row>
    <row r="241" spans="1:12" s="65" customFormat="1" outlineLevel="1">
      <c r="A241" s="161">
        <v>44300</v>
      </c>
      <c r="B241" s="164"/>
      <c r="C241" s="163">
        <v>1000000</v>
      </c>
      <c r="D241" s="165">
        <f t="shared" si="25"/>
        <v>1177890</v>
      </c>
      <c r="E241" s="372"/>
      <c r="F241" s="373"/>
      <c r="G241" s="374">
        <f t="shared" si="21"/>
        <v>0</v>
      </c>
      <c r="H241" s="168" t="s">
        <v>189</v>
      </c>
      <c r="I241" s="168" t="s">
        <v>190</v>
      </c>
      <c r="J241" t="s">
        <v>3041</v>
      </c>
      <c r="K241">
        <f t="shared" si="22"/>
        <v>2750000</v>
      </c>
      <c r="L241">
        <f t="shared" si="23"/>
        <v>0</v>
      </c>
    </row>
    <row r="242" spans="1:12" s="65" customFormat="1" outlineLevel="1">
      <c r="A242" s="139">
        <v>44299</v>
      </c>
      <c r="B242" s="124">
        <v>58883</v>
      </c>
      <c r="C242" s="123"/>
      <c r="D242" s="146">
        <f t="shared" si="25"/>
        <v>1119007</v>
      </c>
      <c r="E242" s="331"/>
      <c r="F242" s="367"/>
      <c r="G242" s="364">
        <f t="shared" si="21"/>
        <v>0</v>
      </c>
      <c r="H242" s="65" t="s">
        <v>1517</v>
      </c>
      <c r="J242" t="s">
        <v>3044</v>
      </c>
      <c r="K242">
        <f t="shared" si="22"/>
        <v>2750000</v>
      </c>
      <c r="L242">
        <f t="shared" si="23"/>
        <v>0</v>
      </c>
    </row>
    <row r="243" spans="1:12" s="65" customFormat="1" outlineLevel="1">
      <c r="A243" s="139">
        <v>44299</v>
      </c>
      <c r="B243" s="124">
        <v>49370</v>
      </c>
      <c r="C243" s="123"/>
      <c r="D243" s="146">
        <f t="shared" si="25"/>
        <v>1069637</v>
      </c>
      <c r="E243" s="331"/>
      <c r="F243" s="367"/>
      <c r="G243" s="364">
        <f t="shared" si="21"/>
        <v>0</v>
      </c>
      <c r="H243" s="65" t="s">
        <v>2409</v>
      </c>
      <c r="J243" t="s">
        <v>3044</v>
      </c>
      <c r="K243">
        <f t="shared" si="22"/>
        <v>2750000</v>
      </c>
      <c r="L243">
        <f t="shared" si="23"/>
        <v>0</v>
      </c>
    </row>
    <row r="244" spans="1:12" s="65" customFormat="1" outlineLevel="1">
      <c r="A244" s="139">
        <v>44299</v>
      </c>
      <c r="B244" s="124">
        <v>36001</v>
      </c>
      <c r="C244" s="123"/>
      <c r="D244" s="146">
        <f t="shared" si="25"/>
        <v>1033636</v>
      </c>
      <c r="E244" s="331"/>
      <c r="F244" s="367"/>
      <c r="G244" s="364">
        <f t="shared" si="21"/>
        <v>0</v>
      </c>
      <c r="H244" s="65" t="s">
        <v>1518</v>
      </c>
      <c r="J244" t="s">
        <v>3044</v>
      </c>
      <c r="K244">
        <f t="shared" si="22"/>
        <v>2750000</v>
      </c>
      <c r="L244">
        <f t="shared" si="23"/>
        <v>0</v>
      </c>
    </row>
    <row r="245" spans="1:12" s="65" customFormat="1" outlineLevel="1">
      <c r="A245" s="139">
        <v>44299</v>
      </c>
      <c r="B245" s="124"/>
      <c r="C245" s="123">
        <v>104039</v>
      </c>
      <c r="D245" s="146">
        <f t="shared" si="25"/>
        <v>1137675</v>
      </c>
      <c r="E245" s="331"/>
      <c r="F245" s="367"/>
      <c r="G245" s="364">
        <f t="shared" si="21"/>
        <v>0</v>
      </c>
      <c r="H245" s="65" t="s">
        <v>2407</v>
      </c>
      <c r="J245" t="s">
        <v>3044</v>
      </c>
      <c r="K245">
        <f t="shared" si="22"/>
        <v>2750000</v>
      </c>
      <c r="L245">
        <f t="shared" si="23"/>
        <v>0</v>
      </c>
    </row>
    <row r="246" spans="1:12" s="65" customFormat="1" outlineLevel="1">
      <c r="A246" s="139">
        <v>44299</v>
      </c>
      <c r="B246" s="124"/>
      <c r="C246" s="123">
        <v>125443</v>
      </c>
      <c r="D246" s="146">
        <f t="shared" si="25"/>
        <v>1263118</v>
      </c>
      <c r="E246" s="331"/>
      <c r="F246" s="367"/>
      <c r="G246" s="364">
        <f t="shared" si="21"/>
        <v>0</v>
      </c>
      <c r="H246" s="65" t="s">
        <v>1513</v>
      </c>
      <c r="J246" t="s">
        <v>3044</v>
      </c>
      <c r="K246">
        <f t="shared" si="22"/>
        <v>2750000</v>
      </c>
      <c r="L246">
        <f t="shared" si="23"/>
        <v>0</v>
      </c>
    </row>
    <row r="247" spans="1:12" s="65" customFormat="1" outlineLevel="1">
      <c r="A247" s="139">
        <v>44300</v>
      </c>
      <c r="B247" s="124">
        <v>607864</v>
      </c>
      <c r="C247" s="123"/>
      <c r="D247" s="146">
        <f t="shared" si="25"/>
        <v>655254</v>
      </c>
      <c r="E247" s="331"/>
      <c r="F247" s="367"/>
      <c r="G247" s="364">
        <f t="shared" si="21"/>
        <v>0</v>
      </c>
      <c r="H247" s="65" t="s">
        <v>1507</v>
      </c>
      <c r="J247" t="s">
        <v>3044</v>
      </c>
      <c r="K247">
        <f t="shared" si="22"/>
        <v>2750000</v>
      </c>
      <c r="L247">
        <f t="shared" si="23"/>
        <v>0</v>
      </c>
    </row>
    <row r="248" spans="1:12" s="65" customFormat="1" outlineLevel="1">
      <c r="A248" s="139">
        <v>44300</v>
      </c>
      <c r="B248" s="124">
        <v>204791</v>
      </c>
      <c r="C248" s="123"/>
      <c r="D248" s="146">
        <f t="shared" si="25"/>
        <v>450463</v>
      </c>
      <c r="E248" s="331"/>
      <c r="F248" s="367"/>
      <c r="G248" s="364">
        <f t="shared" si="21"/>
        <v>0</v>
      </c>
      <c r="H248" s="65" t="s">
        <v>1519</v>
      </c>
      <c r="J248" t="s">
        <v>3044</v>
      </c>
      <c r="K248">
        <f t="shared" si="22"/>
        <v>2750000</v>
      </c>
      <c r="L248">
        <f t="shared" si="23"/>
        <v>0</v>
      </c>
    </row>
    <row r="249" spans="1:12" s="65" customFormat="1" outlineLevel="1">
      <c r="A249" s="139">
        <v>44300</v>
      </c>
      <c r="B249" s="124">
        <v>89877</v>
      </c>
      <c r="C249" s="123"/>
      <c r="D249" s="146">
        <f t="shared" si="25"/>
        <v>360586</v>
      </c>
      <c r="E249" s="331"/>
      <c r="F249" s="367"/>
      <c r="G249" s="364">
        <f t="shared" si="21"/>
        <v>0</v>
      </c>
      <c r="H249" s="65" t="s">
        <v>1520</v>
      </c>
      <c r="J249" t="s">
        <v>3044</v>
      </c>
      <c r="K249">
        <f t="shared" si="22"/>
        <v>2750000</v>
      </c>
      <c r="L249">
        <f t="shared" si="23"/>
        <v>0</v>
      </c>
    </row>
    <row r="250" spans="1:12" s="65" customFormat="1" outlineLevel="1">
      <c r="A250" s="139">
        <v>44300</v>
      </c>
      <c r="B250" s="124">
        <v>109155</v>
      </c>
      <c r="C250" s="123"/>
      <c r="D250" s="146">
        <f t="shared" si="25"/>
        <v>251431</v>
      </c>
      <c r="E250" s="331"/>
      <c r="F250" s="367"/>
      <c r="G250" s="364">
        <f t="shared" si="21"/>
        <v>0</v>
      </c>
      <c r="H250" s="65" t="s">
        <v>1521</v>
      </c>
      <c r="J250" t="s">
        <v>3044</v>
      </c>
      <c r="K250">
        <f t="shared" si="22"/>
        <v>2750000</v>
      </c>
      <c r="L250">
        <f t="shared" si="23"/>
        <v>0</v>
      </c>
    </row>
    <row r="251" spans="1:12" s="65" customFormat="1" outlineLevel="1">
      <c r="A251" s="139">
        <v>44301</v>
      </c>
      <c r="B251" s="124">
        <v>115664</v>
      </c>
      <c r="C251" s="123"/>
      <c r="D251" s="146">
        <f t="shared" si="25"/>
        <v>135767</v>
      </c>
      <c r="E251" s="331"/>
      <c r="F251" s="367"/>
      <c r="G251" s="364">
        <f t="shared" si="21"/>
        <v>0</v>
      </c>
      <c r="H251" s="65" t="s">
        <v>1513</v>
      </c>
      <c r="J251" t="s">
        <v>3044</v>
      </c>
      <c r="K251">
        <f t="shared" si="22"/>
        <v>2750000</v>
      </c>
      <c r="L251">
        <f t="shared" si="23"/>
        <v>0</v>
      </c>
    </row>
    <row r="252" spans="1:12" s="65" customFormat="1" outlineLevel="1">
      <c r="A252" s="139">
        <v>44302</v>
      </c>
      <c r="B252" s="124">
        <v>30793</v>
      </c>
      <c r="C252" s="123"/>
      <c r="D252" s="146">
        <f t="shared" si="25"/>
        <v>104974</v>
      </c>
      <c r="E252" s="331"/>
      <c r="F252" s="367"/>
      <c r="G252" s="364">
        <f t="shared" si="21"/>
        <v>0</v>
      </c>
      <c r="H252" s="65" t="s">
        <v>1522</v>
      </c>
      <c r="J252" t="s">
        <v>3044</v>
      </c>
      <c r="K252">
        <f t="shared" si="22"/>
        <v>2750000</v>
      </c>
      <c r="L252">
        <f t="shared" si="23"/>
        <v>0</v>
      </c>
    </row>
    <row r="253" spans="1:12" s="65" customFormat="1" outlineLevel="1">
      <c r="A253" s="139">
        <v>44306</v>
      </c>
      <c r="B253" s="124">
        <v>50371</v>
      </c>
      <c r="C253" s="123"/>
      <c r="D253" s="146">
        <f t="shared" si="25"/>
        <v>54603</v>
      </c>
      <c r="E253" s="331"/>
      <c r="F253" s="367"/>
      <c r="G253" s="364">
        <f t="shared" si="21"/>
        <v>0</v>
      </c>
      <c r="H253" s="65" t="s">
        <v>1523</v>
      </c>
      <c r="J253" t="s">
        <v>3044</v>
      </c>
      <c r="K253">
        <f t="shared" si="22"/>
        <v>2750000</v>
      </c>
      <c r="L253">
        <f t="shared" si="23"/>
        <v>0</v>
      </c>
    </row>
    <row r="254" spans="1:12" s="65" customFormat="1" outlineLevel="1">
      <c r="A254" s="139">
        <v>44306</v>
      </c>
      <c r="B254" s="124">
        <v>46315</v>
      </c>
      <c r="C254" s="123"/>
      <c r="D254" s="146">
        <f t="shared" si="25"/>
        <v>8288</v>
      </c>
      <c r="E254" s="331"/>
      <c r="F254" s="367"/>
      <c r="G254" s="364">
        <f t="shared" si="21"/>
        <v>0</v>
      </c>
      <c r="H254" s="65" t="s">
        <v>1524</v>
      </c>
      <c r="J254" t="s">
        <v>3044</v>
      </c>
      <c r="K254">
        <f t="shared" si="22"/>
        <v>2750000</v>
      </c>
      <c r="L254">
        <f t="shared" si="23"/>
        <v>0</v>
      </c>
    </row>
    <row r="255" spans="1:12" s="65" customFormat="1" outlineLevel="1">
      <c r="A255" s="161">
        <v>44309</v>
      </c>
      <c r="B255" s="164"/>
      <c r="C255" s="163">
        <v>300000</v>
      </c>
      <c r="D255" s="165">
        <f t="shared" si="25"/>
        <v>308288</v>
      </c>
      <c r="E255" s="372"/>
      <c r="F255" s="373"/>
      <c r="G255" s="374">
        <f t="shared" si="21"/>
        <v>0</v>
      </c>
      <c r="H255" s="168" t="s">
        <v>189</v>
      </c>
      <c r="I255" s="168" t="s">
        <v>190</v>
      </c>
      <c r="J255" t="s">
        <v>3041</v>
      </c>
      <c r="K255">
        <f t="shared" si="22"/>
        <v>3050000</v>
      </c>
      <c r="L255">
        <f t="shared" si="23"/>
        <v>0</v>
      </c>
    </row>
    <row r="256" spans="1:12" s="65" customFormat="1" outlineLevel="1">
      <c r="A256" s="139">
        <v>44307</v>
      </c>
      <c r="B256" s="124">
        <v>192273</v>
      </c>
      <c r="C256" s="123"/>
      <c r="D256" s="146">
        <f t="shared" si="25"/>
        <v>116015</v>
      </c>
      <c r="E256" s="331"/>
      <c r="F256" s="367"/>
      <c r="G256" s="364">
        <f t="shared" si="21"/>
        <v>0</v>
      </c>
      <c r="H256" s="65" t="s">
        <v>1525</v>
      </c>
      <c r="J256" t="s">
        <v>3044</v>
      </c>
      <c r="K256">
        <f t="shared" si="22"/>
        <v>3050000</v>
      </c>
      <c r="L256">
        <f t="shared" si="23"/>
        <v>0</v>
      </c>
    </row>
    <row r="257" spans="1:12" s="65" customFormat="1" outlineLevel="1">
      <c r="A257" s="139">
        <v>44308</v>
      </c>
      <c r="B257" s="124"/>
      <c r="C257" s="123">
        <v>61229</v>
      </c>
      <c r="D257" s="146">
        <f t="shared" si="25"/>
        <v>177244</v>
      </c>
      <c r="E257" s="331"/>
      <c r="F257" s="367"/>
      <c r="G257" s="364">
        <f t="shared" si="21"/>
        <v>0</v>
      </c>
      <c r="H257" s="65" t="s">
        <v>2408</v>
      </c>
      <c r="J257" t="s">
        <v>3044</v>
      </c>
      <c r="K257">
        <f t="shared" si="22"/>
        <v>3050000</v>
      </c>
      <c r="L257">
        <f t="shared" si="23"/>
        <v>0</v>
      </c>
    </row>
    <row r="258" spans="1:12" s="65" customFormat="1" outlineLevel="1">
      <c r="A258" s="139">
        <v>44308</v>
      </c>
      <c r="B258" s="124"/>
      <c r="C258" s="123">
        <v>27578</v>
      </c>
      <c r="D258" s="146">
        <f t="shared" ref="D258:D289" si="26">D257+C258-B258</f>
        <v>204822</v>
      </c>
      <c r="E258" s="331"/>
      <c r="F258" s="367"/>
      <c r="G258" s="364">
        <f t="shared" ref="G258:G321" si="27">G257+F258-E258</f>
        <v>0</v>
      </c>
      <c r="H258" s="65" t="s">
        <v>2409</v>
      </c>
      <c r="J258" t="s">
        <v>3044</v>
      </c>
      <c r="K258">
        <f t="shared" si="22"/>
        <v>3050000</v>
      </c>
      <c r="L258">
        <f t="shared" si="23"/>
        <v>0</v>
      </c>
    </row>
    <row r="259" spans="1:12" s="65" customFormat="1" outlineLevel="1">
      <c r="A259" s="139">
        <v>44308</v>
      </c>
      <c r="B259" s="124"/>
      <c r="C259" s="123">
        <v>114492</v>
      </c>
      <c r="D259" s="146">
        <f t="shared" si="26"/>
        <v>319314</v>
      </c>
      <c r="E259" s="331"/>
      <c r="F259" s="367"/>
      <c r="G259" s="364">
        <f t="shared" si="27"/>
        <v>0</v>
      </c>
      <c r="H259" s="65" t="s">
        <v>2410</v>
      </c>
      <c r="J259" t="s">
        <v>3044</v>
      </c>
      <c r="K259">
        <f t="shared" si="22"/>
        <v>3050000</v>
      </c>
      <c r="L259">
        <f t="shared" si="23"/>
        <v>0</v>
      </c>
    </row>
    <row r="260" spans="1:12" s="65" customFormat="1" outlineLevel="1">
      <c r="A260" s="139">
        <v>44308</v>
      </c>
      <c r="B260" s="124"/>
      <c r="C260" s="123">
        <v>113496</v>
      </c>
      <c r="D260" s="146">
        <f t="shared" si="26"/>
        <v>432810</v>
      </c>
      <c r="E260" s="331"/>
      <c r="F260" s="367"/>
      <c r="G260" s="364">
        <f t="shared" si="27"/>
        <v>0</v>
      </c>
      <c r="H260" s="65" t="s">
        <v>2411</v>
      </c>
      <c r="J260" t="s">
        <v>3044</v>
      </c>
      <c r="K260">
        <f t="shared" ref="K260:K323" si="28">IF(J260="本金",-B260+C260+K259,K259)</f>
        <v>3050000</v>
      </c>
      <c r="L260">
        <f t="shared" ref="L260:L323" si="29">IF(J260="本金",-E260+F260+L259,L259)</f>
        <v>0</v>
      </c>
    </row>
    <row r="261" spans="1:12" s="65" customFormat="1" outlineLevel="1">
      <c r="A261" s="139">
        <v>44308</v>
      </c>
      <c r="B261" s="124"/>
      <c r="C261" s="123">
        <v>32756</v>
      </c>
      <c r="D261" s="146">
        <f t="shared" si="26"/>
        <v>465566</v>
      </c>
      <c r="E261" s="331"/>
      <c r="F261" s="367"/>
      <c r="G261" s="364">
        <f t="shared" si="27"/>
        <v>0</v>
      </c>
      <c r="H261" s="65" t="s">
        <v>2412</v>
      </c>
      <c r="J261" t="s">
        <v>3044</v>
      </c>
      <c r="K261">
        <f t="shared" si="28"/>
        <v>3050000</v>
      </c>
      <c r="L261">
        <f t="shared" si="29"/>
        <v>0</v>
      </c>
    </row>
    <row r="262" spans="1:12" s="65" customFormat="1" outlineLevel="1">
      <c r="A262" s="139">
        <v>44308</v>
      </c>
      <c r="B262" s="124"/>
      <c r="C262" s="123">
        <v>48535</v>
      </c>
      <c r="D262" s="146">
        <f t="shared" si="26"/>
        <v>514101</v>
      </c>
      <c r="E262" s="331"/>
      <c r="F262" s="367"/>
      <c r="G262" s="364">
        <f t="shared" si="27"/>
        <v>0</v>
      </c>
      <c r="H262" s="65" t="s">
        <v>2413</v>
      </c>
      <c r="J262" t="s">
        <v>3044</v>
      </c>
      <c r="K262">
        <f t="shared" si="28"/>
        <v>3050000</v>
      </c>
      <c r="L262">
        <f t="shared" si="29"/>
        <v>0</v>
      </c>
    </row>
    <row r="263" spans="1:12" s="65" customFormat="1" outlineLevel="1">
      <c r="A263" s="139">
        <v>44308</v>
      </c>
      <c r="B263" s="124"/>
      <c r="C263" s="123">
        <v>196129</v>
      </c>
      <c r="D263" s="146">
        <f t="shared" si="26"/>
        <v>710230</v>
      </c>
      <c r="E263" s="331"/>
      <c r="F263" s="367"/>
      <c r="G263" s="364">
        <f t="shared" si="27"/>
        <v>0</v>
      </c>
      <c r="H263" s="65" t="s">
        <v>2414</v>
      </c>
      <c r="J263" t="s">
        <v>3044</v>
      </c>
      <c r="K263">
        <f t="shared" si="28"/>
        <v>3050000</v>
      </c>
      <c r="L263">
        <f t="shared" si="29"/>
        <v>0</v>
      </c>
    </row>
    <row r="264" spans="1:12" s="65" customFormat="1" outlineLevel="1">
      <c r="A264" s="139">
        <v>44308</v>
      </c>
      <c r="B264" s="124">
        <v>26437</v>
      </c>
      <c r="C264" s="123"/>
      <c r="D264" s="146">
        <f t="shared" si="26"/>
        <v>683793</v>
      </c>
      <c r="E264" s="331"/>
      <c r="F264" s="367"/>
      <c r="G264" s="364">
        <f t="shared" si="27"/>
        <v>0</v>
      </c>
      <c r="H264" s="65" t="s">
        <v>1526</v>
      </c>
      <c r="J264" t="s">
        <v>3044</v>
      </c>
      <c r="K264">
        <f t="shared" si="28"/>
        <v>3050000</v>
      </c>
      <c r="L264">
        <f t="shared" si="29"/>
        <v>0</v>
      </c>
    </row>
    <row r="265" spans="1:12" s="65" customFormat="1" outlineLevel="1">
      <c r="A265" s="139">
        <v>44308</v>
      </c>
      <c r="B265" s="124">
        <v>39956</v>
      </c>
      <c r="C265" s="123"/>
      <c r="D265" s="146">
        <f t="shared" si="26"/>
        <v>643837</v>
      </c>
      <c r="E265" s="331"/>
      <c r="F265" s="367"/>
      <c r="G265" s="364">
        <f t="shared" si="27"/>
        <v>0</v>
      </c>
      <c r="H265" s="65" t="s">
        <v>211</v>
      </c>
      <c r="J265" t="s">
        <v>3044</v>
      </c>
      <c r="K265">
        <f t="shared" si="28"/>
        <v>3050000</v>
      </c>
      <c r="L265">
        <f t="shared" si="29"/>
        <v>0</v>
      </c>
    </row>
    <row r="266" spans="1:12" s="65" customFormat="1" outlineLevel="1">
      <c r="A266" s="139">
        <v>44308</v>
      </c>
      <c r="B266" s="124">
        <v>78511</v>
      </c>
      <c r="C266" s="123"/>
      <c r="D266" s="146">
        <f t="shared" si="26"/>
        <v>565326</v>
      </c>
      <c r="E266" s="331"/>
      <c r="F266" s="367"/>
      <c r="G266" s="364">
        <f t="shared" si="27"/>
        <v>0</v>
      </c>
      <c r="H266" s="65" t="s">
        <v>211</v>
      </c>
      <c r="J266" t="s">
        <v>3044</v>
      </c>
      <c r="K266">
        <f t="shared" si="28"/>
        <v>3050000</v>
      </c>
      <c r="L266">
        <f t="shared" si="29"/>
        <v>0</v>
      </c>
    </row>
    <row r="267" spans="1:12" s="65" customFormat="1" outlineLevel="1">
      <c r="A267" s="139">
        <v>44308</v>
      </c>
      <c r="B267" s="124">
        <v>61287</v>
      </c>
      <c r="C267" s="123"/>
      <c r="D267" s="146">
        <f t="shared" si="26"/>
        <v>504039</v>
      </c>
      <c r="E267" s="331"/>
      <c r="F267" s="367"/>
      <c r="G267" s="364">
        <f t="shared" si="27"/>
        <v>0</v>
      </c>
      <c r="H267" s="65" t="s">
        <v>1527</v>
      </c>
      <c r="J267" t="s">
        <v>3044</v>
      </c>
      <c r="K267">
        <f t="shared" si="28"/>
        <v>3050000</v>
      </c>
      <c r="L267">
        <f t="shared" si="29"/>
        <v>0</v>
      </c>
    </row>
    <row r="268" spans="1:12" s="65" customFormat="1" outlineLevel="1">
      <c r="A268" s="139">
        <v>44308</v>
      </c>
      <c r="B268" s="124">
        <v>58783</v>
      </c>
      <c r="C268" s="123"/>
      <c r="D268" s="146">
        <f t="shared" si="26"/>
        <v>445256</v>
      </c>
      <c r="E268" s="331"/>
      <c r="F268" s="367"/>
      <c r="G268" s="364">
        <f t="shared" si="27"/>
        <v>0</v>
      </c>
      <c r="H268" s="65" t="s">
        <v>1528</v>
      </c>
      <c r="J268" t="s">
        <v>3044</v>
      </c>
      <c r="K268">
        <f t="shared" si="28"/>
        <v>3050000</v>
      </c>
      <c r="L268">
        <f t="shared" si="29"/>
        <v>0</v>
      </c>
    </row>
    <row r="269" spans="1:12" s="65" customFormat="1" outlineLevel="1">
      <c r="A269" s="139">
        <v>44308</v>
      </c>
      <c r="B269" s="124">
        <v>30243</v>
      </c>
      <c r="C269" s="123"/>
      <c r="D269" s="146">
        <f t="shared" si="26"/>
        <v>415013</v>
      </c>
      <c r="E269" s="331"/>
      <c r="F269" s="367"/>
      <c r="G269" s="364">
        <f t="shared" si="27"/>
        <v>0</v>
      </c>
      <c r="H269" s="65" t="s">
        <v>2415</v>
      </c>
      <c r="J269" t="s">
        <v>3044</v>
      </c>
      <c r="K269">
        <f t="shared" si="28"/>
        <v>3050000</v>
      </c>
      <c r="L269">
        <f t="shared" si="29"/>
        <v>0</v>
      </c>
    </row>
    <row r="270" spans="1:12" s="65" customFormat="1" outlineLevel="1">
      <c r="A270" s="139">
        <v>44308</v>
      </c>
      <c r="B270" s="124">
        <v>30343</v>
      </c>
      <c r="C270" s="123"/>
      <c r="D270" s="146">
        <f t="shared" si="26"/>
        <v>384670</v>
      </c>
      <c r="E270" s="331"/>
      <c r="F270" s="367"/>
      <c r="G270" s="364">
        <f t="shared" si="27"/>
        <v>0</v>
      </c>
      <c r="H270" s="65" t="s">
        <v>1529</v>
      </c>
      <c r="J270" t="s">
        <v>3044</v>
      </c>
      <c r="K270">
        <f t="shared" si="28"/>
        <v>3050000</v>
      </c>
      <c r="L270">
        <f t="shared" si="29"/>
        <v>0</v>
      </c>
    </row>
    <row r="271" spans="1:12" s="65" customFormat="1" outlineLevel="1">
      <c r="A271" s="139">
        <v>44308</v>
      </c>
      <c r="B271" s="124">
        <v>53976</v>
      </c>
      <c r="C271" s="123"/>
      <c r="D271" s="146">
        <f t="shared" si="26"/>
        <v>330694</v>
      </c>
      <c r="E271" s="331"/>
      <c r="F271" s="367"/>
      <c r="G271" s="364">
        <f t="shared" si="27"/>
        <v>0</v>
      </c>
      <c r="H271" s="65" t="s">
        <v>1530</v>
      </c>
      <c r="J271" t="s">
        <v>3044</v>
      </c>
      <c r="K271">
        <f t="shared" si="28"/>
        <v>3050000</v>
      </c>
      <c r="L271">
        <f t="shared" si="29"/>
        <v>0</v>
      </c>
    </row>
    <row r="272" spans="1:12" s="65" customFormat="1" outlineLevel="1">
      <c r="A272" s="139">
        <v>44308</v>
      </c>
      <c r="B272" s="124">
        <v>59284</v>
      </c>
      <c r="C272" s="123"/>
      <c r="D272" s="146">
        <f t="shared" si="26"/>
        <v>271410</v>
      </c>
      <c r="E272" s="331"/>
      <c r="F272" s="367"/>
      <c r="G272" s="364">
        <f t="shared" si="27"/>
        <v>0</v>
      </c>
      <c r="H272" s="65" t="s">
        <v>1531</v>
      </c>
      <c r="J272" t="s">
        <v>3044</v>
      </c>
      <c r="K272">
        <f t="shared" si="28"/>
        <v>3050000</v>
      </c>
      <c r="L272">
        <f t="shared" si="29"/>
        <v>0</v>
      </c>
    </row>
    <row r="273" spans="1:12" s="65" customFormat="1" outlineLevel="1">
      <c r="A273" s="139">
        <v>44308</v>
      </c>
      <c r="B273" s="124">
        <v>29391</v>
      </c>
      <c r="C273" s="123"/>
      <c r="D273" s="146">
        <f t="shared" si="26"/>
        <v>242019</v>
      </c>
      <c r="E273" s="331"/>
      <c r="F273" s="367"/>
      <c r="G273" s="364">
        <f t="shared" si="27"/>
        <v>0</v>
      </c>
      <c r="H273" s="65" t="s">
        <v>2416</v>
      </c>
      <c r="J273" t="s">
        <v>3044</v>
      </c>
      <c r="K273">
        <f t="shared" si="28"/>
        <v>3050000</v>
      </c>
      <c r="L273">
        <f t="shared" si="29"/>
        <v>0</v>
      </c>
    </row>
    <row r="274" spans="1:12" s="65" customFormat="1" outlineLevel="1">
      <c r="A274" s="139">
        <v>44308</v>
      </c>
      <c r="B274" s="124">
        <v>29141</v>
      </c>
      <c r="C274" s="123"/>
      <c r="D274" s="146">
        <f t="shared" si="26"/>
        <v>212878</v>
      </c>
      <c r="E274" s="331"/>
      <c r="F274" s="367"/>
      <c r="G274" s="364">
        <f t="shared" si="27"/>
        <v>0</v>
      </c>
      <c r="H274" s="65" t="s">
        <v>1532</v>
      </c>
      <c r="J274" t="s">
        <v>3044</v>
      </c>
      <c r="K274">
        <f t="shared" si="28"/>
        <v>3050000</v>
      </c>
      <c r="L274">
        <f t="shared" si="29"/>
        <v>0</v>
      </c>
    </row>
    <row r="275" spans="1:12" s="65" customFormat="1" outlineLevel="1">
      <c r="A275" s="139">
        <v>44312</v>
      </c>
      <c r="B275" s="124"/>
      <c r="C275" s="123">
        <f>36837</f>
        <v>36837</v>
      </c>
      <c r="D275" s="146">
        <f t="shared" si="26"/>
        <v>249715</v>
      </c>
      <c r="E275" s="331"/>
      <c r="F275" s="367"/>
      <c r="G275" s="364">
        <f t="shared" si="27"/>
        <v>0</v>
      </c>
      <c r="H275" s="65" t="s">
        <v>2417</v>
      </c>
      <c r="J275" t="s">
        <v>3044</v>
      </c>
      <c r="K275">
        <f t="shared" si="28"/>
        <v>3050000</v>
      </c>
      <c r="L275">
        <f t="shared" si="29"/>
        <v>0</v>
      </c>
    </row>
    <row r="276" spans="1:12" s="65" customFormat="1" outlineLevel="1">
      <c r="A276" s="195">
        <v>44314</v>
      </c>
      <c r="B276" s="197">
        <v>0</v>
      </c>
      <c r="C276" s="196">
        <v>3577</v>
      </c>
      <c r="D276" s="198">
        <f t="shared" si="26"/>
        <v>253292</v>
      </c>
      <c r="E276" s="334"/>
      <c r="F276" s="370"/>
      <c r="G276" s="371">
        <f t="shared" si="27"/>
        <v>0</v>
      </c>
      <c r="H276" s="200" t="s">
        <v>1538</v>
      </c>
      <c r="I276" s="200" t="s">
        <v>101</v>
      </c>
      <c r="J276" t="s">
        <v>3044</v>
      </c>
      <c r="K276">
        <f t="shared" si="28"/>
        <v>3050000</v>
      </c>
      <c r="L276">
        <f t="shared" si="29"/>
        <v>0</v>
      </c>
    </row>
    <row r="277" spans="1:12" s="65" customFormat="1" outlineLevel="1">
      <c r="A277" s="139">
        <v>44313</v>
      </c>
      <c r="B277" s="124"/>
      <c r="C277" s="123">
        <v>47391</v>
      </c>
      <c r="D277" s="146">
        <f t="shared" si="26"/>
        <v>300683</v>
      </c>
      <c r="E277" s="331"/>
      <c r="F277" s="367"/>
      <c r="G277" s="364">
        <f t="shared" si="27"/>
        <v>0</v>
      </c>
      <c r="H277" s="65" t="s">
        <v>2406</v>
      </c>
      <c r="J277" t="s">
        <v>3044</v>
      </c>
      <c r="K277">
        <f t="shared" si="28"/>
        <v>3050000</v>
      </c>
      <c r="L277">
        <f t="shared" si="29"/>
        <v>0</v>
      </c>
    </row>
    <row r="278" spans="1:12" s="65" customFormat="1" outlineLevel="1">
      <c r="A278" s="139">
        <v>44313</v>
      </c>
      <c r="B278" s="124">
        <v>68697</v>
      </c>
      <c r="C278" s="123"/>
      <c r="D278" s="146">
        <f t="shared" si="26"/>
        <v>231986</v>
      </c>
      <c r="E278" s="331"/>
      <c r="F278" s="367"/>
      <c r="G278" s="364">
        <f t="shared" si="27"/>
        <v>0</v>
      </c>
      <c r="H278" s="65" t="s">
        <v>1533</v>
      </c>
      <c r="J278" t="s">
        <v>3044</v>
      </c>
      <c r="K278">
        <f t="shared" si="28"/>
        <v>3050000</v>
      </c>
      <c r="L278">
        <f t="shared" si="29"/>
        <v>0</v>
      </c>
    </row>
    <row r="279" spans="1:12" s="65" customFormat="1" outlineLevel="1">
      <c r="A279" s="139">
        <v>44313</v>
      </c>
      <c r="B279" s="124">
        <v>45464</v>
      </c>
      <c r="C279" s="123"/>
      <c r="D279" s="146">
        <f t="shared" si="26"/>
        <v>186522</v>
      </c>
      <c r="E279" s="331"/>
      <c r="F279" s="367"/>
      <c r="G279" s="364">
        <f t="shared" si="27"/>
        <v>0</v>
      </c>
      <c r="H279" s="65" t="s">
        <v>1534</v>
      </c>
      <c r="J279" t="s">
        <v>3044</v>
      </c>
      <c r="K279">
        <f t="shared" si="28"/>
        <v>3050000</v>
      </c>
      <c r="L279">
        <f t="shared" si="29"/>
        <v>0</v>
      </c>
    </row>
    <row r="280" spans="1:12" s="65" customFormat="1" outlineLevel="1">
      <c r="A280" s="195">
        <v>44314</v>
      </c>
      <c r="B280" s="197">
        <v>0</v>
      </c>
      <c r="C280" s="196">
        <v>1990</v>
      </c>
      <c r="D280" s="198">
        <f t="shared" si="26"/>
        <v>188512</v>
      </c>
      <c r="E280" s="334"/>
      <c r="F280" s="370"/>
      <c r="G280" s="371">
        <f t="shared" si="27"/>
        <v>0</v>
      </c>
      <c r="H280" s="200" t="s">
        <v>2382</v>
      </c>
      <c r="I280" s="200" t="s">
        <v>101</v>
      </c>
      <c r="J280" t="s">
        <v>3044</v>
      </c>
      <c r="K280">
        <f t="shared" si="28"/>
        <v>3050000</v>
      </c>
      <c r="L280">
        <f t="shared" si="29"/>
        <v>0</v>
      </c>
    </row>
    <row r="281" spans="1:12" s="65" customFormat="1" outlineLevel="1">
      <c r="A281" s="195">
        <v>44314</v>
      </c>
      <c r="B281" s="197">
        <v>0</v>
      </c>
      <c r="C281" s="196">
        <v>3490</v>
      </c>
      <c r="D281" s="198">
        <f t="shared" si="26"/>
        <v>192002</v>
      </c>
      <c r="E281" s="334"/>
      <c r="F281" s="370"/>
      <c r="G281" s="371">
        <f t="shared" si="27"/>
        <v>0</v>
      </c>
      <c r="H281" s="200" t="s">
        <v>2383</v>
      </c>
      <c r="I281" s="200" t="s">
        <v>101</v>
      </c>
      <c r="J281" t="s">
        <v>3044</v>
      </c>
      <c r="K281">
        <f t="shared" si="28"/>
        <v>3050000</v>
      </c>
      <c r="L281">
        <f t="shared" si="29"/>
        <v>0</v>
      </c>
    </row>
    <row r="282" spans="1:12" s="65" customFormat="1" outlineLevel="1">
      <c r="A282" s="139">
        <v>44321</v>
      </c>
      <c r="B282" s="124"/>
      <c r="C282" s="123">
        <v>60830</v>
      </c>
      <c r="D282" s="146">
        <f t="shared" si="26"/>
        <v>252832</v>
      </c>
      <c r="E282" s="331"/>
      <c r="F282" s="367"/>
      <c r="G282" s="364">
        <f t="shared" si="27"/>
        <v>0</v>
      </c>
      <c r="H282" s="65" t="s">
        <v>2419</v>
      </c>
      <c r="J282" t="s">
        <v>3044</v>
      </c>
      <c r="K282">
        <f t="shared" si="28"/>
        <v>3050000</v>
      </c>
      <c r="L282">
        <f t="shared" si="29"/>
        <v>0</v>
      </c>
    </row>
    <row r="283" spans="1:12" s="65" customFormat="1" outlineLevel="1">
      <c r="A283" s="147">
        <v>44326</v>
      </c>
      <c r="B283" s="149"/>
      <c r="C283" s="148">
        <v>3117</v>
      </c>
      <c r="D283" s="150">
        <f t="shared" si="26"/>
        <v>255949</v>
      </c>
      <c r="E283" s="333"/>
      <c r="F283" s="368"/>
      <c r="G283" s="369">
        <f t="shared" si="27"/>
        <v>0</v>
      </c>
      <c r="H283" s="152" t="s">
        <v>84</v>
      </c>
      <c r="I283" s="160"/>
      <c r="J283" t="s">
        <v>3044</v>
      </c>
      <c r="K283">
        <f t="shared" si="28"/>
        <v>3050000</v>
      </c>
      <c r="L283">
        <f t="shared" si="29"/>
        <v>0</v>
      </c>
    </row>
    <row r="284" spans="1:12" s="65" customFormat="1" outlineLevel="1">
      <c r="A284" s="139">
        <v>44326</v>
      </c>
      <c r="B284" s="124"/>
      <c r="C284" s="123">
        <v>98265</v>
      </c>
      <c r="D284" s="146">
        <f t="shared" si="26"/>
        <v>354214</v>
      </c>
      <c r="E284" s="331"/>
      <c r="F284" s="367"/>
      <c r="G284" s="364">
        <f t="shared" si="27"/>
        <v>0</v>
      </c>
      <c r="H284" s="65" t="s">
        <v>2420</v>
      </c>
      <c r="J284" t="s">
        <v>3044</v>
      </c>
      <c r="K284">
        <f t="shared" si="28"/>
        <v>3050000</v>
      </c>
      <c r="L284">
        <f t="shared" si="29"/>
        <v>0</v>
      </c>
    </row>
    <row r="285" spans="1:12" s="65" customFormat="1" outlineLevel="1">
      <c r="A285" s="161">
        <v>44328</v>
      </c>
      <c r="B285" s="170">
        <v>100000</v>
      </c>
      <c r="C285" s="163"/>
      <c r="D285" s="165">
        <f t="shared" si="26"/>
        <v>254214</v>
      </c>
      <c r="E285" s="375"/>
      <c r="F285" s="373"/>
      <c r="G285" s="374">
        <f t="shared" si="27"/>
        <v>0</v>
      </c>
      <c r="H285" s="168" t="s">
        <v>189</v>
      </c>
      <c r="I285" s="168" t="s">
        <v>1539</v>
      </c>
      <c r="J285" s="165"/>
      <c r="K285">
        <f t="shared" si="28"/>
        <v>3050000</v>
      </c>
      <c r="L285">
        <f t="shared" si="29"/>
        <v>0</v>
      </c>
    </row>
    <row r="286" spans="1:12" s="65" customFormat="1" outlineLevel="1">
      <c r="A286" s="195">
        <v>44333</v>
      </c>
      <c r="B286" s="197">
        <v>0</v>
      </c>
      <c r="C286" s="196">
        <v>972</v>
      </c>
      <c r="D286" s="198">
        <f t="shared" si="26"/>
        <v>255186</v>
      </c>
      <c r="E286" s="334"/>
      <c r="F286" s="370"/>
      <c r="G286" s="371">
        <f t="shared" si="27"/>
        <v>0</v>
      </c>
      <c r="H286" s="200" t="s">
        <v>2364</v>
      </c>
      <c r="I286" s="200" t="s">
        <v>101</v>
      </c>
      <c r="J286" t="s">
        <v>3044</v>
      </c>
      <c r="K286">
        <f t="shared" si="28"/>
        <v>3050000</v>
      </c>
      <c r="L286">
        <f t="shared" si="29"/>
        <v>0</v>
      </c>
    </row>
    <row r="287" spans="1:12" s="65" customFormat="1" outlineLevel="1">
      <c r="A287" s="139">
        <v>44330</v>
      </c>
      <c r="B287" s="124"/>
      <c r="C287" s="123">
        <v>26534</v>
      </c>
      <c r="D287" s="146">
        <f t="shared" si="26"/>
        <v>281720</v>
      </c>
      <c r="E287" s="331"/>
      <c r="F287" s="367"/>
      <c r="G287" s="364">
        <f t="shared" si="27"/>
        <v>0</v>
      </c>
      <c r="H287" s="65" t="s">
        <v>2409</v>
      </c>
      <c r="J287" t="s">
        <v>3044</v>
      </c>
      <c r="K287">
        <f t="shared" si="28"/>
        <v>3050000</v>
      </c>
      <c r="L287">
        <f t="shared" si="29"/>
        <v>0</v>
      </c>
    </row>
    <row r="288" spans="1:12" s="65" customFormat="1" outlineLevel="1">
      <c r="A288" s="147">
        <v>44357</v>
      </c>
      <c r="B288" s="149"/>
      <c r="C288" s="148">
        <v>103</v>
      </c>
      <c r="D288" s="150">
        <f t="shared" si="26"/>
        <v>281823</v>
      </c>
      <c r="E288" s="333"/>
      <c r="F288" s="368"/>
      <c r="G288" s="369">
        <f t="shared" si="27"/>
        <v>0</v>
      </c>
      <c r="H288" s="152" t="s">
        <v>84</v>
      </c>
      <c r="I288" s="160"/>
      <c r="J288" t="s">
        <v>3044</v>
      </c>
      <c r="K288">
        <f t="shared" si="28"/>
        <v>3050000</v>
      </c>
      <c r="L288">
        <f t="shared" si="29"/>
        <v>0</v>
      </c>
    </row>
    <row r="289" spans="1:12" s="65" customFormat="1" outlineLevel="1">
      <c r="A289" s="195">
        <v>44358</v>
      </c>
      <c r="B289" s="197">
        <v>0</v>
      </c>
      <c r="C289" s="196">
        <v>590</v>
      </c>
      <c r="D289" s="198">
        <f t="shared" si="26"/>
        <v>282413</v>
      </c>
      <c r="E289" s="334"/>
      <c r="F289" s="370"/>
      <c r="G289" s="371">
        <f t="shared" si="27"/>
        <v>0</v>
      </c>
      <c r="H289" s="200" t="s">
        <v>2384</v>
      </c>
      <c r="I289" s="200" t="s">
        <v>101</v>
      </c>
      <c r="J289" t="s">
        <v>3044</v>
      </c>
      <c r="K289">
        <f t="shared" si="28"/>
        <v>3050000</v>
      </c>
      <c r="L289">
        <f t="shared" si="29"/>
        <v>0</v>
      </c>
    </row>
    <row r="290" spans="1:12" s="65" customFormat="1" outlineLevel="1">
      <c r="A290" s="153">
        <v>44368</v>
      </c>
      <c r="B290" s="155"/>
      <c r="C290" s="154">
        <v>176</v>
      </c>
      <c r="D290" s="156">
        <f t="shared" ref="D290:D321" si="30">D289+C290-B290</f>
        <v>282589</v>
      </c>
      <c r="E290" s="332"/>
      <c r="F290" s="365"/>
      <c r="G290" s="366">
        <f t="shared" si="27"/>
        <v>0</v>
      </c>
      <c r="H290" s="158" t="s">
        <v>48</v>
      </c>
      <c r="I290" s="159"/>
      <c r="J290" t="s">
        <v>3044</v>
      </c>
      <c r="K290">
        <f t="shared" si="28"/>
        <v>3050000</v>
      </c>
      <c r="L290">
        <f t="shared" si="29"/>
        <v>0</v>
      </c>
    </row>
    <row r="291" spans="1:12" outlineLevel="1">
      <c r="A291" s="139">
        <v>44390</v>
      </c>
      <c r="B291" s="124">
        <v>49570</v>
      </c>
      <c r="C291" s="123"/>
      <c r="D291" s="146">
        <f t="shared" si="30"/>
        <v>233019</v>
      </c>
      <c r="E291" s="331"/>
      <c r="F291" s="367"/>
      <c r="G291" s="364">
        <f t="shared" si="27"/>
        <v>0</v>
      </c>
      <c r="H291" s="65" t="s">
        <v>1535</v>
      </c>
      <c r="I291" s="65"/>
      <c r="J291" t="s">
        <v>3044</v>
      </c>
      <c r="K291">
        <f t="shared" si="28"/>
        <v>3050000</v>
      </c>
      <c r="L291">
        <f t="shared" si="29"/>
        <v>0</v>
      </c>
    </row>
    <row r="292" spans="1:12" s="65" customFormat="1" outlineLevel="1">
      <c r="A292" s="139">
        <v>44390</v>
      </c>
      <c r="B292" s="124"/>
      <c r="C292" s="123">
        <v>67700</v>
      </c>
      <c r="D292" s="146">
        <f t="shared" si="30"/>
        <v>300719</v>
      </c>
      <c r="E292" s="331"/>
      <c r="F292" s="367"/>
      <c r="G292" s="364">
        <f t="shared" si="27"/>
        <v>0</v>
      </c>
      <c r="H292" s="65" t="s">
        <v>1502</v>
      </c>
      <c r="J292" t="s">
        <v>3044</v>
      </c>
      <c r="K292">
        <f t="shared" si="28"/>
        <v>3050000</v>
      </c>
      <c r="L292">
        <f t="shared" si="29"/>
        <v>0</v>
      </c>
    </row>
    <row r="293" spans="1:12" outlineLevel="1">
      <c r="A293" s="139">
        <v>44399</v>
      </c>
      <c r="B293" s="124">
        <v>111658</v>
      </c>
      <c r="C293" s="123"/>
      <c r="D293" s="146">
        <f t="shared" si="30"/>
        <v>189061</v>
      </c>
      <c r="E293" s="331"/>
      <c r="F293" s="367"/>
      <c r="G293" s="364">
        <f t="shared" si="27"/>
        <v>0</v>
      </c>
      <c r="H293" s="65" t="s">
        <v>1536</v>
      </c>
      <c r="I293" s="65"/>
      <c r="J293" t="s">
        <v>3044</v>
      </c>
      <c r="K293">
        <f t="shared" si="28"/>
        <v>3050000</v>
      </c>
      <c r="L293">
        <f t="shared" si="29"/>
        <v>0</v>
      </c>
    </row>
    <row r="294" spans="1:12" outlineLevel="1">
      <c r="A294" s="195">
        <v>44407</v>
      </c>
      <c r="B294" s="197">
        <v>0</v>
      </c>
      <c r="C294" s="196">
        <v>600</v>
      </c>
      <c r="D294" s="198">
        <f t="shared" si="30"/>
        <v>189661</v>
      </c>
      <c r="E294" s="334"/>
      <c r="F294" s="370"/>
      <c r="G294" s="371">
        <f t="shared" si="27"/>
        <v>0</v>
      </c>
      <c r="H294" s="200" t="s">
        <v>2385</v>
      </c>
      <c r="I294" s="200" t="s">
        <v>101</v>
      </c>
      <c r="J294" t="s">
        <v>3044</v>
      </c>
      <c r="K294">
        <f t="shared" si="28"/>
        <v>3050000</v>
      </c>
      <c r="L294">
        <f t="shared" si="29"/>
        <v>0</v>
      </c>
    </row>
    <row r="295" spans="1:12" outlineLevel="1">
      <c r="A295" s="195">
        <v>44407</v>
      </c>
      <c r="B295" s="197">
        <v>0</v>
      </c>
      <c r="C295" s="196">
        <v>190</v>
      </c>
      <c r="D295" s="198">
        <f t="shared" si="30"/>
        <v>189851</v>
      </c>
      <c r="E295" s="334"/>
      <c r="F295" s="370"/>
      <c r="G295" s="371">
        <f t="shared" si="27"/>
        <v>0</v>
      </c>
      <c r="H295" s="200" t="s">
        <v>2386</v>
      </c>
      <c r="I295" s="200" t="s">
        <v>101</v>
      </c>
      <c r="J295" t="s">
        <v>3044</v>
      </c>
      <c r="K295">
        <f t="shared" si="28"/>
        <v>3050000</v>
      </c>
      <c r="L295">
        <f t="shared" si="29"/>
        <v>0</v>
      </c>
    </row>
    <row r="296" spans="1:12" outlineLevel="1">
      <c r="A296" s="139">
        <v>44412</v>
      </c>
      <c r="B296" s="124"/>
      <c r="C296" s="123">
        <v>112003</v>
      </c>
      <c r="D296" s="146">
        <f t="shared" si="30"/>
        <v>301854</v>
      </c>
      <c r="E296" s="331"/>
      <c r="F296" s="367"/>
      <c r="G296" s="364">
        <f t="shared" si="27"/>
        <v>0</v>
      </c>
      <c r="H296" s="65" t="s">
        <v>1536</v>
      </c>
      <c r="I296" s="65"/>
      <c r="J296" t="s">
        <v>3044</v>
      </c>
      <c r="K296">
        <f t="shared" si="28"/>
        <v>3050000</v>
      </c>
      <c r="L296">
        <f t="shared" si="29"/>
        <v>0</v>
      </c>
    </row>
    <row r="297" spans="1:12" s="65" customFormat="1" outlineLevel="1">
      <c r="A297" s="139">
        <v>44413</v>
      </c>
      <c r="B297" s="124"/>
      <c r="C297" s="123">
        <v>132412</v>
      </c>
      <c r="D297" s="146">
        <f t="shared" si="30"/>
        <v>434266</v>
      </c>
      <c r="E297" s="331"/>
      <c r="F297" s="367"/>
      <c r="G297" s="364">
        <f t="shared" si="27"/>
        <v>0</v>
      </c>
      <c r="H297" s="65" t="s">
        <v>1503</v>
      </c>
      <c r="J297" t="s">
        <v>3044</v>
      </c>
      <c r="K297">
        <f t="shared" si="28"/>
        <v>3050000</v>
      </c>
      <c r="L297">
        <f t="shared" si="29"/>
        <v>0</v>
      </c>
    </row>
    <row r="298" spans="1:12" outlineLevel="1">
      <c r="A298" s="147">
        <v>44418</v>
      </c>
      <c r="B298" s="149"/>
      <c r="C298" s="148">
        <v>129</v>
      </c>
      <c r="D298" s="150">
        <f t="shared" si="30"/>
        <v>434395</v>
      </c>
      <c r="E298" s="333"/>
      <c r="F298" s="368"/>
      <c r="G298" s="369">
        <f t="shared" si="27"/>
        <v>0</v>
      </c>
      <c r="H298" s="152" t="s">
        <v>84</v>
      </c>
      <c r="I298" s="160"/>
      <c r="J298" t="s">
        <v>3044</v>
      </c>
      <c r="K298">
        <f t="shared" si="28"/>
        <v>3050000</v>
      </c>
      <c r="L298">
        <f t="shared" si="29"/>
        <v>0</v>
      </c>
    </row>
    <row r="299" spans="1:12" outlineLevel="1">
      <c r="A299" s="195">
        <v>44419</v>
      </c>
      <c r="B299" s="197">
        <v>0</v>
      </c>
      <c r="C299" s="196">
        <v>8990</v>
      </c>
      <c r="D299" s="198">
        <f t="shared" si="30"/>
        <v>443385</v>
      </c>
      <c r="E299" s="334"/>
      <c r="F299" s="370"/>
      <c r="G299" s="371">
        <f t="shared" si="27"/>
        <v>0</v>
      </c>
      <c r="H299" s="200" t="s">
        <v>2387</v>
      </c>
      <c r="I299" s="200" t="s">
        <v>101</v>
      </c>
      <c r="J299" t="s">
        <v>3044</v>
      </c>
      <c r="K299">
        <f t="shared" si="28"/>
        <v>3050000</v>
      </c>
      <c r="L299">
        <f t="shared" si="29"/>
        <v>0</v>
      </c>
    </row>
    <row r="300" spans="1:12" outlineLevel="1">
      <c r="A300" s="195">
        <v>44419</v>
      </c>
      <c r="B300" s="197">
        <v>0</v>
      </c>
      <c r="C300" s="196">
        <v>2990</v>
      </c>
      <c r="D300" s="198">
        <f t="shared" si="30"/>
        <v>446375</v>
      </c>
      <c r="E300" s="334"/>
      <c r="F300" s="370"/>
      <c r="G300" s="371">
        <f t="shared" si="27"/>
        <v>0</v>
      </c>
      <c r="H300" s="200" t="s">
        <v>2388</v>
      </c>
      <c r="I300" s="200" t="s">
        <v>101</v>
      </c>
      <c r="J300" t="s">
        <v>3044</v>
      </c>
      <c r="K300">
        <f t="shared" si="28"/>
        <v>3050000</v>
      </c>
      <c r="L300">
        <f t="shared" si="29"/>
        <v>0</v>
      </c>
    </row>
    <row r="301" spans="1:12" outlineLevel="1">
      <c r="A301" s="195">
        <v>44420</v>
      </c>
      <c r="B301" s="197">
        <v>0</v>
      </c>
      <c r="C301" s="196">
        <v>2000</v>
      </c>
      <c r="D301" s="198">
        <f t="shared" si="30"/>
        <v>448375</v>
      </c>
      <c r="E301" s="334"/>
      <c r="F301" s="370"/>
      <c r="G301" s="371">
        <f t="shared" si="27"/>
        <v>0</v>
      </c>
      <c r="H301" s="200" t="s">
        <v>2389</v>
      </c>
      <c r="I301" s="200" t="s">
        <v>101</v>
      </c>
      <c r="J301" t="s">
        <v>3044</v>
      </c>
      <c r="K301">
        <f t="shared" si="28"/>
        <v>3050000</v>
      </c>
      <c r="L301">
        <f t="shared" si="29"/>
        <v>0</v>
      </c>
    </row>
    <row r="302" spans="1:12" outlineLevel="1">
      <c r="A302" s="195">
        <v>44420</v>
      </c>
      <c r="B302" s="197">
        <v>0</v>
      </c>
      <c r="C302" s="196">
        <v>2500</v>
      </c>
      <c r="D302" s="198">
        <f t="shared" si="30"/>
        <v>450875</v>
      </c>
      <c r="E302" s="334"/>
      <c r="F302" s="370"/>
      <c r="G302" s="371">
        <f t="shared" si="27"/>
        <v>0</v>
      </c>
      <c r="H302" s="200" t="s">
        <v>2390</v>
      </c>
      <c r="I302" s="200" t="s">
        <v>101</v>
      </c>
      <c r="J302" t="s">
        <v>3044</v>
      </c>
      <c r="K302">
        <f t="shared" si="28"/>
        <v>3050000</v>
      </c>
      <c r="L302">
        <f t="shared" si="29"/>
        <v>0</v>
      </c>
    </row>
    <row r="303" spans="1:12" outlineLevel="1">
      <c r="A303" s="195">
        <v>44420</v>
      </c>
      <c r="B303" s="197">
        <v>0</v>
      </c>
      <c r="C303" s="196">
        <v>4484</v>
      </c>
      <c r="D303" s="198">
        <f t="shared" si="30"/>
        <v>455359</v>
      </c>
      <c r="E303" s="334"/>
      <c r="F303" s="370"/>
      <c r="G303" s="371">
        <f t="shared" si="27"/>
        <v>0</v>
      </c>
      <c r="H303" s="200" t="s">
        <v>2391</v>
      </c>
      <c r="I303" s="200" t="s">
        <v>101</v>
      </c>
      <c r="J303" t="s">
        <v>3044</v>
      </c>
      <c r="K303">
        <f t="shared" si="28"/>
        <v>3050000</v>
      </c>
      <c r="L303">
        <f t="shared" si="29"/>
        <v>0</v>
      </c>
    </row>
    <row r="304" spans="1:12" outlineLevel="1">
      <c r="A304" s="195">
        <v>44421</v>
      </c>
      <c r="B304" s="197">
        <v>0</v>
      </c>
      <c r="C304" s="196">
        <v>2790</v>
      </c>
      <c r="D304" s="198">
        <f t="shared" si="30"/>
        <v>458149</v>
      </c>
      <c r="E304" s="334"/>
      <c r="F304" s="370"/>
      <c r="G304" s="371">
        <f t="shared" si="27"/>
        <v>0</v>
      </c>
      <c r="H304" s="200" t="s">
        <v>2394</v>
      </c>
      <c r="I304" s="200" t="s">
        <v>101</v>
      </c>
      <c r="J304" t="s">
        <v>3044</v>
      </c>
      <c r="K304">
        <f t="shared" si="28"/>
        <v>3050000</v>
      </c>
      <c r="L304">
        <f t="shared" si="29"/>
        <v>0</v>
      </c>
    </row>
    <row r="305" spans="1:12" outlineLevel="1">
      <c r="A305" s="195">
        <v>44432</v>
      </c>
      <c r="B305" s="197">
        <v>0</v>
      </c>
      <c r="C305" s="196">
        <v>787</v>
      </c>
      <c r="D305" s="198">
        <f t="shared" si="30"/>
        <v>458936</v>
      </c>
      <c r="E305" s="334"/>
      <c r="F305" s="370"/>
      <c r="G305" s="371">
        <f t="shared" si="27"/>
        <v>0</v>
      </c>
      <c r="H305" s="200" t="s">
        <v>2392</v>
      </c>
      <c r="I305" s="200" t="s">
        <v>101</v>
      </c>
      <c r="J305" t="s">
        <v>3044</v>
      </c>
      <c r="K305">
        <f t="shared" si="28"/>
        <v>3050000</v>
      </c>
      <c r="L305">
        <f t="shared" si="29"/>
        <v>0</v>
      </c>
    </row>
    <row r="306" spans="1:12" outlineLevel="1">
      <c r="A306" s="195">
        <v>44433</v>
      </c>
      <c r="B306" s="197">
        <v>0</v>
      </c>
      <c r="C306" s="196">
        <v>3090</v>
      </c>
      <c r="D306" s="198">
        <f t="shared" si="30"/>
        <v>462026</v>
      </c>
      <c r="E306" s="334"/>
      <c r="F306" s="370"/>
      <c r="G306" s="371">
        <f t="shared" si="27"/>
        <v>0</v>
      </c>
      <c r="H306" s="200" t="s">
        <v>2393</v>
      </c>
      <c r="I306" s="200" t="s">
        <v>101</v>
      </c>
      <c r="J306" t="s">
        <v>3044</v>
      </c>
      <c r="K306">
        <f t="shared" si="28"/>
        <v>3050000</v>
      </c>
      <c r="L306">
        <f t="shared" si="29"/>
        <v>0</v>
      </c>
    </row>
    <row r="307" spans="1:12" outlineLevel="1">
      <c r="A307" s="161">
        <v>44438</v>
      </c>
      <c r="B307" s="164"/>
      <c r="C307" s="163">
        <v>500000</v>
      </c>
      <c r="D307" s="165">
        <f t="shared" si="30"/>
        <v>962026</v>
      </c>
      <c r="E307" s="372"/>
      <c r="F307" s="373"/>
      <c r="G307" s="374">
        <f t="shared" si="27"/>
        <v>0</v>
      </c>
      <c r="H307" s="168" t="s">
        <v>189</v>
      </c>
      <c r="I307" s="168" t="s">
        <v>190</v>
      </c>
      <c r="J307" t="s">
        <v>3041</v>
      </c>
      <c r="K307">
        <f t="shared" si="28"/>
        <v>3550000</v>
      </c>
      <c r="L307">
        <f t="shared" si="29"/>
        <v>0</v>
      </c>
    </row>
    <row r="308" spans="1:12" s="65" customFormat="1" outlineLevel="1">
      <c r="A308" s="139">
        <v>44439</v>
      </c>
      <c r="B308" s="124"/>
      <c r="C308" s="123">
        <v>18718</v>
      </c>
      <c r="D308" s="146">
        <f t="shared" si="30"/>
        <v>980744</v>
      </c>
      <c r="E308" s="331"/>
      <c r="F308" s="367"/>
      <c r="G308" s="364">
        <f t="shared" si="27"/>
        <v>0</v>
      </c>
      <c r="H308" s="65" t="s">
        <v>1534</v>
      </c>
      <c r="J308" t="s">
        <v>3044</v>
      </c>
      <c r="K308">
        <f t="shared" si="28"/>
        <v>3550000</v>
      </c>
      <c r="L308">
        <f t="shared" si="29"/>
        <v>0</v>
      </c>
    </row>
    <row r="309" spans="1:12" s="65" customFormat="1" outlineLevel="1">
      <c r="A309" s="139">
        <v>44439</v>
      </c>
      <c r="B309" s="124"/>
      <c r="C309" s="123">
        <v>24243</v>
      </c>
      <c r="D309" s="146">
        <f t="shared" si="30"/>
        <v>1004987</v>
      </c>
      <c r="E309" s="331"/>
      <c r="F309" s="367"/>
      <c r="G309" s="364">
        <f t="shared" si="27"/>
        <v>0</v>
      </c>
      <c r="H309" s="65" t="s">
        <v>1526</v>
      </c>
      <c r="J309" t="s">
        <v>3044</v>
      </c>
      <c r="K309">
        <f t="shared" si="28"/>
        <v>3550000</v>
      </c>
      <c r="L309">
        <f t="shared" si="29"/>
        <v>0</v>
      </c>
    </row>
    <row r="310" spans="1:12" outlineLevel="1">
      <c r="A310" s="139">
        <v>44439</v>
      </c>
      <c r="B310" s="124">
        <v>447636</v>
      </c>
      <c r="C310" s="123"/>
      <c r="D310" s="146">
        <f t="shared" si="30"/>
        <v>557351</v>
      </c>
      <c r="E310" s="331"/>
      <c r="F310" s="367"/>
      <c r="G310" s="364">
        <f t="shared" si="27"/>
        <v>0</v>
      </c>
      <c r="H310" s="65" t="s">
        <v>1516</v>
      </c>
      <c r="I310" s="65"/>
      <c r="J310" t="s">
        <v>3044</v>
      </c>
      <c r="K310">
        <f t="shared" si="28"/>
        <v>3550000</v>
      </c>
      <c r="L310">
        <f t="shared" si="29"/>
        <v>0</v>
      </c>
    </row>
    <row r="311" spans="1:12" s="65" customFormat="1" outlineLevel="1">
      <c r="A311" s="139">
        <v>44442</v>
      </c>
      <c r="B311" s="124"/>
      <c r="C311" s="123">
        <v>17274</v>
      </c>
      <c r="D311" s="146">
        <f t="shared" si="30"/>
        <v>574625</v>
      </c>
      <c r="E311" s="331"/>
      <c r="F311" s="367"/>
      <c r="G311" s="364">
        <f t="shared" si="27"/>
        <v>0</v>
      </c>
      <c r="H311" s="65" t="s">
        <v>2415</v>
      </c>
      <c r="J311" t="s">
        <v>3044</v>
      </c>
      <c r="K311">
        <f t="shared" si="28"/>
        <v>3550000</v>
      </c>
      <c r="L311">
        <f t="shared" si="29"/>
        <v>0</v>
      </c>
    </row>
    <row r="312" spans="1:12" s="65" customFormat="1" outlineLevel="1">
      <c r="A312" s="139">
        <v>44442</v>
      </c>
      <c r="B312" s="124"/>
      <c r="C312" s="123">
        <v>16776</v>
      </c>
      <c r="D312" s="146">
        <f t="shared" si="30"/>
        <v>591401</v>
      </c>
      <c r="E312" s="331"/>
      <c r="F312" s="367"/>
      <c r="G312" s="364">
        <f t="shared" si="27"/>
        <v>0</v>
      </c>
      <c r="H312" s="65" t="s">
        <v>2416</v>
      </c>
      <c r="J312" t="s">
        <v>3044</v>
      </c>
      <c r="K312">
        <f t="shared" si="28"/>
        <v>3550000</v>
      </c>
      <c r="L312">
        <f t="shared" si="29"/>
        <v>0</v>
      </c>
    </row>
    <row r="313" spans="1:12" s="65" customFormat="1" outlineLevel="1">
      <c r="A313" s="139">
        <v>44442</v>
      </c>
      <c r="B313" s="124"/>
      <c r="C313" s="123">
        <v>18369</v>
      </c>
      <c r="D313" s="146">
        <f t="shared" si="30"/>
        <v>609770</v>
      </c>
      <c r="E313" s="331"/>
      <c r="F313" s="367"/>
      <c r="G313" s="364">
        <f t="shared" si="27"/>
        <v>0</v>
      </c>
      <c r="H313" s="65" t="s">
        <v>1520</v>
      </c>
      <c r="J313" t="s">
        <v>3044</v>
      </c>
      <c r="K313">
        <f t="shared" si="28"/>
        <v>3550000</v>
      </c>
      <c r="L313">
        <f t="shared" si="29"/>
        <v>0</v>
      </c>
    </row>
    <row r="314" spans="1:12" s="65" customFormat="1" outlineLevel="1">
      <c r="A314" s="139">
        <v>44445</v>
      </c>
      <c r="B314" s="124"/>
      <c r="C314" s="123">
        <v>66704</v>
      </c>
      <c r="D314" s="146">
        <f t="shared" si="30"/>
        <v>676474</v>
      </c>
      <c r="E314" s="331"/>
      <c r="F314" s="367"/>
      <c r="G314" s="364">
        <f t="shared" si="27"/>
        <v>0</v>
      </c>
      <c r="H314" s="65" t="s">
        <v>1527</v>
      </c>
      <c r="J314" t="s">
        <v>3044</v>
      </c>
      <c r="K314">
        <f t="shared" si="28"/>
        <v>3550000</v>
      </c>
      <c r="L314">
        <f t="shared" si="29"/>
        <v>0</v>
      </c>
    </row>
    <row r="315" spans="1:12" outlineLevel="1">
      <c r="A315" s="139">
        <v>44445</v>
      </c>
      <c r="B315" s="124">
        <v>116165</v>
      </c>
      <c r="C315" s="123"/>
      <c r="D315" s="146">
        <f t="shared" si="30"/>
        <v>560309</v>
      </c>
      <c r="E315" s="331"/>
      <c r="F315" s="367"/>
      <c r="G315" s="364">
        <f t="shared" si="27"/>
        <v>0</v>
      </c>
      <c r="H315" s="65" t="s">
        <v>2421</v>
      </c>
      <c r="I315" s="65"/>
      <c r="J315" t="s">
        <v>3044</v>
      </c>
      <c r="K315">
        <f t="shared" si="28"/>
        <v>3550000</v>
      </c>
      <c r="L315">
        <f t="shared" si="29"/>
        <v>0</v>
      </c>
    </row>
    <row r="316" spans="1:12" outlineLevel="1">
      <c r="A316" s="195">
        <v>44448</v>
      </c>
      <c r="B316" s="197"/>
      <c r="C316" s="196">
        <v>1910</v>
      </c>
      <c r="D316" s="198">
        <f t="shared" si="30"/>
        <v>562219</v>
      </c>
      <c r="E316" s="334"/>
      <c r="F316" s="370"/>
      <c r="G316" s="371">
        <f t="shared" si="27"/>
        <v>0</v>
      </c>
      <c r="H316" s="200" t="s">
        <v>2359</v>
      </c>
      <c r="I316" s="200" t="s">
        <v>101</v>
      </c>
      <c r="J316" t="s">
        <v>3044</v>
      </c>
      <c r="K316">
        <f t="shared" si="28"/>
        <v>3550000</v>
      </c>
      <c r="L316">
        <f t="shared" si="29"/>
        <v>0</v>
      </c>
    </row>
    <row r="317" spans="1:12" outlineLevel="1">
      <c r="A317" s="147">
        <v>44449</v>
      </c>
      <c r="B317" s="149"/>
      <c r="C317" s="148">
        <v>416</v>
      </c>
      <c r="D317" s="150">
        <f t="shared" si="30"/>
        <v>562635</v>
      </c>
      <c r="E317" s="333"/>
      <c r="F317" s="368"/>
      <c r="G317" s="369">
        <f t="shared" si="27"/>
        <v>0</v>
      </c>
      <c r="H317" s="152" t="s">
        <v>84</v>
      </c>
      <c r="I317" s="160"/>
      <c r="J317" t="s">
        <v>3044</v>
      </c>
      <c r="K317">
        <f t="shared" si="28"/>
        <v>3550000</v>
      </c>
      <c r="L317">
        <f t="shared" si="29"/>
        <v>0</v>
      </c>
    </row>
    <row r="318" spans="1:12" outlineLevel="1">
      <c r="A318" s="195">
        <v>44455</v>
      </c>
      <c r="B318" s="197"/>
      <c r="C318" s="196">
        <v>1490</v>
      </c>
      <c r="D318" s="198">
        <f t="shared" si="30"/>
        <v>564125</v>
      </c>
      <c r="E318" s="334"/>
      <c r="F318" s="370"/>
      <c r="G318" s="371">
        <f t="shared" si="27"/>
        <v>0</v>
      </c>
      <c r="H318" s="200" t="s">
        <v>2360</v>
      </c>
      <c r="I318" s="200" t="s">
        <v>101</v>
      </c>
      <c r="J318" t="s">
        <v>3044</v>
      </c>
      <c r="K318">
        <f t="shared" si="28"/>
        <v>3550000</v>
      </c>
      <c r="L318">
        <f t="shared" si="29"/>
        <v>0</v>
      </c>
    </row>
    <row r="319" spans="1:12" outlineLevel="1">
      <c r="A319" s="195">
        <v>44456</v>
      </c>
      <c r="B319" s="197">
        <v>0</v>
      </c>
      <c r="C319" s="196">
        <v>6278</v>
      </c>
      <c r="D319" s="198">
        <f t="shared" si="30"/>
        <v>570403</v>
      </c>
      <c r="E319" s="334"/>
      <c r="F319" s="370"/>
      <c r="G319" s="371">
        <f t="shared" si="27"/>
        <v>0</v>
      </c>
      <c r="H319" s="200" t="s">
        <v>2361</v>
      </c>
      <c r="I319" s="200" t="s">
        <v>101</v>
      </c>
      <c r="J319" t="s">
        <v>3044</v>
      </c>
      <c r="K319">
        <f t="shared" si="28"/>
        <v>3550000</v>
      </c>
      <c r="L319">
        <f t="shared" si="29"/>
        <v>0</v>
      </c>
    </row>
    <row r="320" spans="1:12" outlineLevel="1">
      <c r="A320" s="195">
        <v>44456</v>
      </c>
      <c r="B320" s="197">
        <v>0</v>
      </c>
      <c r="C320" s="196">
        <v>893</v>
      </c>
      <c r="D320" s="198">
        <f t="shared" si="30"/>
        <v>571296</v>
      </c>
      <c r="E320" s="334"/>
      <c r="F320" s="370"/>
      <c r="G320" s="371">
        <f t="shared" si="27"/>
        <v>0</v>
      </c>
      <c r="H320" s="200" t="s">
        <v>2362</v>
      </c>
      <c r="I320" s="200" t="s">
        <v>101</v>
      </c>
      <c r="J320" t="s">
        <v>3044</v>
      </c>
      <c r="K320">
        <f t="shared" si="28"/>
        <v>3550000</v>
      </c>
      <c r="L320">
        <f t="shared" si="29"/>
        <v>0</v>
      </c>
    </row>
    <row r="321" spans="1:12" outlineLevel="1">
      <c r="A321" s="195">
        <v>44456</v>
      </c>
      <c r="B321" s="197">
        <v>0</v>
      </c>
      <c r="C321" s="196">
        <v>15590</v>
      </c>
      <c r="D321" s="198">
        <f t="shared" si="30"/>
        <v>586886</v>
      </c>
      <c r="E321" s="334"/>
      <c r="F321" s="370"/>
      <c r="G321" s="371">
        <f t="shared" si="27"/>
        <v>0</v>
      </c>
      <c r="H321" s="200" t="s">
        <v>2363</v>
      </c>
      <c r="I321" s="200" t="s">
        <v>101</v>
      </c>
      <c r="J321" t="s">
        <v>3044</v>
      </c>
      <c r="K321">
        <f t="shared" si="28"/>
        <v>3550000</v>
      </c>
      <c r="L321">
        <f t="shared" si="29"/>
        <v>0</v>
      </c>
    </row>
    <row r="322" spans="1:12" outlineLevel="1">
      <c r="A322" s="195">
        <v>44456</v>
      </c>
      <c r="B322" s="197">
        <v>0</v>
      </c>
      <c r="C322" s="196">
        <v>1402</v>
      </c>
      <c r="D322" s="198">
        <f t="shared" ref="D322:D325" si="31">D321+C322-B322</f>
        <v>588288</v>
      </c>
      <c r="E322" s="334"/>
      <c r="F322" s="370"/>
      <c r="G322" s="371">
        <f t="shared" ref="G322:G385" si="32">G321+F322-E322</f>
        <v>0</v>
      </c>
      <c r="H322" s="200" t="s">
        <v>2364</v>
      </c>
      <c r="I322" s="200" t="s">
        <v>101</v>
      </c>
      <c r="J322" t="s">
        <v>3044</v>
      </c>
      <c r="K322">
        <f t="shared" si="28"/>
        <v>3550000</v>
      </c>
      <c r="L322">
        <f t="shared" si="29"/>
        <v>0</v>
      </c>
    </row>
    <row r="323" spans="1:12" outlineLevel="1">
      <c r="A323" s="139">
        <v>44456</v>
      </c>
      <c r="B323" s="124"/>
      <c r="C323" s="123">
        <v>45698</v>
      </c>
      <c r="D323" s="146">
        <f t="shared" si="31"/>
        <v>633986</v>
      </c>
      <c r="E323" s="331"/>
      <c r="F323" s="367"/>
      <c r="G323" s="364">
        <f t="shared" si="32"/>
        <v>0</v>
      </c>
      <c r="H323" s="65" t="s">
        <v>1535</v>
      </c>
      <c r="I323" s="65"/>
      <c r="J323" t="s">
        <v>3044</v>
      </c>
      <c r="K323">
        <f t="shared" si="28"/>
        <v>3550000</v>
      </c>
      <c r="L323">
        <f t="shared" si="29"/>
        <v>0</v>
      </c>
    </row>
    <row r="324" spans="1:12" outlineLevel="1">
      <c r="A324" s="147">
        <v>44477</v>
      </c>
      <c r="B324" s="149"/>
      <c r="C324" s="148">
        <v>158</v>
      </c>
      <c r="D324" s="150">
        <f t="shared" si="31"/>
        <v>634144</v>
      </c>
      <c r="E324" s="333"/>
      <c r="F324" s="368"/>
      <c r="G324" s="369">
        <f t="shared" si="32"/>
        <v>0</v>
      </c>
      <c r="H324" s="152" t="s">
        <v>84</v>
      </c>
      <c r="I324" s="160"/>
      <c r="J324" t="s">
        <v>3044</v>
      </c>
      <c r="K324">
        <f t="shared" ref="K324:K387" si="33">IF(J324="本金",-B324+C324+K323,K323)</f>
        <v>3550000</v>
      </c>
      <c r="L324">
        <f t="shared" ref="L324:L387" si="34">IF(J324="本金",-E324+F324+L323,L323)</f>
        <v>0</v>
      </c>
    </row>
    <row r="325" spans="1:12" s="65" customFormat="1" outlineLevel="1">
      <c r="A325" s="139">
        <v>44505</v>
      </c>
      <c r="B325" s="124"/>
      <c r="C325" s="123">
        <f>81638</f>
        <v>81638</v>
      </c>
      <c r="D325" s="146">
        <f t="shared" si="31"/>
        <v>715782</v>
      </c>
      <c r="E325" s="331"/>
      <c r="F325" s="367"/>
      <c r="G325" s="364">
        <f t="shared" si="32"/>
        <v>0</v>
      </c>
      <c r="H325" s="65" t="s">
        <v>1520</v>
      </c>
      <c r="J325" t="s">
        <v>3044</v>
      </c>
      <c r="K325">
        <f t="shared" si="33"/>
        <v>3550000</v>
      </c>
      <c r="L325">
        <f t="shared" si="34"/>
        <v>0</v>
      </c>
    </row>
    <row r="326" spans="1:12" outlineLevel="1">
      <c r="A326" s="139">
        <v>44517</v>
      </c>
      <c r="B326" s="124">
        <v>63390</v>
      </c>
      <c r="C326" s="123"/>
      <c r="D326" s="146">
        <f t="shared" ref="D326:D331" si="35">D325+C326-B326</f>
        <v>652392</v>
      </c>
      <c r="E326" s="331"/>
      <c r="F326" s="367"/>
      <c r="G326" s="364">
        <f t="shared" si="32"/>
        <v>0</v>
      </c>
      <c r="H326" s="65" t="s">
        <v>2378</v>
      </c>
      <c r="I326" s="65"/>
      <c r="J326" t="s">
        <v>3044</v>
      </c>
      <c r="K326">
        <f t="shared" si="33"/>
        <v>3550000</v>
      </c>
      <c r="L326">
        <f t="shared" si="34"/>
        <v>0</v>
      </c>
    </row>
    <row r="327" spans="1:12" outlineLevel="1">
      <c r="A327" s="139">
        <v>44519</v>
      </c>
      <c r="B327" s="124">
        <v>164233</v>
      </c>
      <c r="C327" s="123"/>
      <c r="D327" s="146">
        <f t="shared" si="35"/>
        <v>488159</v>
      </c>
      <c r="E327" s="331"/>
      <c r="F327" s="367"/>
      <c r="G327" s="364">
        <f t="shared" si="32"/>
        <v>0</v>
      </c>
      <c r="H327" s="65" t="s">
        <v>2422</v>
      </c>
      <c r="I327" s="65"/>
      <c r="J327" t="s">
        <v>3044</v>
      </c>
      <c r="K327">
        <f t="shared" si="33"/>
        <v>3550000</v>
      </c>
      <c r="L327">
        <f t="shared" si="34"/>
        <v>0</v>
      </c>
    </row>
    <row r="328" spans="1:12" s="65" customFormat="1" outlineLevel="1">
      <c r="A328" s="139">
        <v>44524</v>
      </c>
      <c r="B328" s="124">
        <v>21981</v>
      </c>
      <c r="C328" s="123"/>
      <c r="D328" s="146">
        <f t="shared" si="35"/>
        <v>466178</v>
      </c>
      <c r="E328" s="331"/>
      <c r="F328" s="367"/>
      <c r="G328" s="364">
        <f t="shared" si="32"/>
        <v>0</v>
      </c>
      <c r="H328" s="65" t="s">
        <v>2415</v>
      </c>
      <c r="J328" t="s">
        <v>3044</v>
      </c>
      <c r="K328">
        <f t="shared" si="33"/>
        <v>3550000</v>
      </c>
      <c r="L328">
        <f t="shared" si="34"/>
        <v>0</v>
      </c>
    </row>
    <row r="329" spans="1:12" s="65" customFormat="1" outlineLevel="1">
      <c r="A329" s="139">
        <v>44524</v>
      </c>
      <c r="B329" s="124">
        <v>19077</v>
      </c>
      <c r="C329" s="123"/>
      <c r="D329" s="146">
        <f t="shared" si="35"/>
        <v>447101</v>
      </c>
      <c r="E329" s="331"/>
      <c r="F329" s="367"/>
      <c r="G329" s="364">
        <f t="shared" si="32"/>
        <v>0</v>
      </c>
      <c r="H329" s="65" t="s">
        <v>2416</v>
      </c>
      <c r="J329" t="s">
        <v>3044</v>
      </c>
      <c r="K329">
        <f t="shared" si="33"/>
        <v>3550000</v>
      </c>
      <c r="L329">
        <f t="shared" si="34"/>
        <v>0</v>
      </c>
    </row>
    <row r="330" spans="1:12" s="65" customFormat="1" outlineLevel="1">
      <c r="A330" s="139">
        <v>44525</v>
      </c>
      <c r="B330" s="124">
        <v>108153</v>
      </c>
      <c r="C330" s="123"/>
      <c r="D330" s="146">
        <f t="shared" si="35"/>
        <v>338948</v>
      </c>
      <c r="E330" s="331"/>
      <c r="F330" s="367"/>
      <c r="G330" s="364">
        <f t="shared" si="32"/>
        <v>0</v>
      </c>
      <c r="H330" s="65" t="s">
        <v>2429</v>
      </c>
      <c r="J330" t="s">
        <v>3044</v>
      </c>
      <c r="K330">
        <f t="shared" si="33"/>
        <v>3550000</v>
      </c>
      <c r="L330">
        <f t="shared" si="34"/>
        <v>0</v>
      </c>
    </row>
    <row r="331" spans="1:12" s="65" customFormat="1" outlineLevel="1">
      <c r="A331" s="139">
        <v>44533</v>
      </c>
      <c r="B331" s="124"/>
      <c r="C331" s="123">
        <v>18319</v>
      </c>
      <c r="D331" s="146">
        <f t="shared" si="35"/>
        <v>357267</v>
      </c>
      <c r="E331" s="331"/>
      <c r="F331" s="367"/>
      <c r="G331" s="364">
        <f t="shared" si="32"/>
        <v>0</v>
      </c>
      <c r="H331" s="65" t="s">
        <v>1534</v>
      </c>
      <c r="J331" t="s">
        <v>3044</v>
      </c>
      <c r="K331">
        <f t="shared" si="33"/>
        <v>3550000</v>
      </c>
      <c r="L331">
        <f t="shared" si="34"/>
        <v>0</v>
      </c>
    </row>
    <row r="332" spans="1:12" outlineLevel="1">
      <c r="A332" s="147">
        <v>44540</v>
      </c>
      <c r="B332" s="149"/>
      <c r="C332" s="148">
        <v>258</v>
      </c>
      <c r="D332" s="150">
        <f t="shared" ref="D332:D363" si="36">D331+C332-B332</f>
        <v>357525</v>
      </c>
      <c r="E332" s="333"/>
      <c r="F332" s="368"/>
      <c r="G332" s="369">
        <f t="shared" si="32"/>
        <v>0</v>
      </c>
      <c r="H332" s="152" t="s">
        <v>84</v>
      </c>
      <c r="I332" s="160"/>
      <c r="J332" t="s">
        <v>3044</v>
      </c>
      <c r="K332">
        <f t="shared" si="33"/>
        <v>3550000</v>
      </c>
      <c r="L332">
        <f t="shared" si="34"/>
        <v>0</v>
      </c>
    </row>
    <row r="333" spans="1:12" outlineLevel="1">
      <c r="A333" s="139">
        <v>44547</v>
      </c>
      <c r="B333" s="124"/>
      <c r="C333" s="123">
        <v>148341</v>
      </c>
      <c r="D333" s="146">
        <f t="shared" si="36"/>
        <v>505866</v>
      </c>
      <c r="E333" s="331"/>
      <c r="F333" s="367"/>
      <c r="G333" s="364">
        <f t="shared" si="32"/>
        <v>0</v>
      </c>
      <c r="H333" s="65" t="s">
        <v>2421</v>
      </c>
      <c r="I333" s="65"/>
      <c r="J333" t="s">
        <v>3044</v>
      </c>
      <c r="K333">
        <f t="shared" si="33"/>
        <v>3550000</v>
      </c>
      <c r="L333">
        <f t="shared" si="34"/>
        <v>0</v>
      </c>
    </row>
    <row r="334" spans="1:12" s="65" customFormat="1" outlineLevel="1">
      <c r="A334" s="153">
        <v>44551</v>
      </c>
      <c r="B334" s="155"/>
      <c r="C334" s="154">
        <v>113</v>
      </c>
      <c r="D334" s="156">
        <f t="shared" si="36"/>
        <v>505979</v>
      </c>
      <c r="E334" s="332"/>
      <c r="F334" s="365"/>
      <c r="G334" s="366">
        <f t="shared" si="32"/>
        <v>0</v>
      </c>
      <c r="H334" s="158" t="s">
        <v>48</v>
      </c>
      <c r="I334" s="159"/>
      <c r="J334" t="s">
        <v>3044</v>
      </c>
      <c r="K334">
        <f t="shared" si="33"/>
        <v>3550000</v>
      </c>
      <c r="L334">
        <f t="shared" si="34"/>
        <v>0</v>
      </c>
    </row>
    <row r="335" spans="1:12" s="65" customFormat="1" outlineLevel="1">
      <c r="A335" s="139">
        <v>44553</v>
      </c>
      <c r="B335" s="124">
        <v>38354</v>
      </c>
      <c r="C335" s="123"/>
      <c r="D335" s="146">
        <f t="shared" si="36"/>
        <v>467625</v>
      </c>
      <c r="E335" s="331"/>
      <c r="F335" s="367"/>
      <c r="G335" s="364">
        <f t="shared" si="32"/>
        <v>0</v>
      </c>
      <c r="H335" s="65" t="s">
        <v>2412</v>
      </c>
      <c r="J335" t="s">
        <v>3044</v>
      </c>
      <c r="K335">
        <f t="shared" si="33"/>
        <v>3550000</v>
      </c>
      <c r="L335">
        <f t="shared" si="34"/>
        <v>0</v>
      </c>
    </row>
    <row r="336" spans="1:12" s="65" customFormat="1" outlineLevel="1">
      <c r="A336" s="139">
        <v>44553</v>
      </c>
      <c r="B336" s="124">
        <v>27989</v>
      </c>
      <c r="C336" s="123"/>
      <c r="D336" s="146">
        <f t="shared" si="36"/>
        <v>439636</v>
      </c>
      <c r="E336" s="331"/>
      <c r="F336" s="367"/>
      <c r="G336" s="364">
        <f t="shared" si="32"/>
        <v>0</v>
      </c>
      <c r="H336" s="65" t="s">
        <v>2430</v>
      </c>
      <c r="J336" t="s">
        <v>3044</v>
      </c>
      <c r="K336">
        <f t="shared" si="33"/>
        <v>3550000</v>
      </c>
      <c r="L336">
        <f t="shared" si="34"/>
        <v>0</v>
      </c>
    </row>
    <row r="337" spans="1:12" s="65" customFormat="1" outlineLevel="1">
      <c r="A337" s="139">
        <v>44553</v>
      </c>
      <c r="B337" s="124"/>
      <c r="C337" s="123">
        <v>19265</v>
      </c>
      <c r="D337" s="146">
        <f t="shared" si="36"/>
        <v>458901</v>
      </c>
      <c r="E337" s="331"/>
      <c r="F337" s="367"/>
      <c r="G337" s="364">
        <f t="shared" si="32"/>
        <v>0</v>
      </c>
      <c r="H337" s="65" t="s">
        <v>2416</v>
      </c>
      <c r="J337" t="s">
        <v>3044</v>
      </c>
      <c r="K337">
        <f t="shared" si="33"/>
        <v>3550000</v>
      </c>
      <c r="L337">
        <f t="shared" si="34"/>
        <v>0</v>
      </c>
    </row>
    <row r="338" spans="1:12" s="65" customFormat="1" outlineLevel="1">
      <c r="A338" s="139">
        <v>44558</v>
      </c>
      <c r="B338" s="124"/>
      <c r="C338" s="123">
        <f>289500-412-868</f>
        <v>288220</v>
      </c>
      <c r="D338" s="146">
        <f t="shared" si="36"/>
        <v>747121</v>
      </c>
      <c r="E338" s="331"/>
      <c r="F338" s="367"/>
      <c r="G338" s="364">
        <f t="shared" si="32"/>
        <v>0</v>
      </c>
      <c r="H338" s="65" t="s">
        <v>1512</v>
      </c>
      <c r="J338" t="s">
        <v>3044</v>
      </c>
      <c r="K338">
        <f t="shared" si="33"/>
        <v>3550000</v>
      </c>
      <c r="L338">
        <f t="shared" si="34"/>
        <v>0</v>
      </c>
    </row>
    <row r="339" spans="1:12" s="65" customFormat="1" outlineLevel="1">
      <c r="A339" s="139">
        <v>44558</v>
      </c>
      <c r="B339" s="124"/>
      <c r="C339" s="123">
        <f>42900-60-128</f>
        <v>42712</v>
      </c>
      <c r="D339" s="146">
        <f t="shared" si="36"/>
        <v>789833</v>
      </c>
      <c r="E339" s="331"/>
      <c r="F339" s="367"/>
      <c r="G339" s="364">
        <f t="shared" si="32"/>
        <v>0</v>
      </c>
      <c r="H339" s="65" t="s">
        <v>1528</v>
      </c>
      <c r="J339" t="s">
        <v>3044</v>
      </c>
      <c r="K339">
        <f t="shared" si="33"/>
        <v>3550000</v>
      </c>
      <c r="L339">
        <f t="shared" si="34"/>
        <v>0</v>
      </c>
    </row>
    <row r="340" spans="1:12" s="65" customFormat="1" outlineLevel="1">
      <c r="A340" s="139">
        <v>44558</v>
      </c>
      <c r="B340" s="124"/>
      <c r="C340" s="123">
        <f>22350-31-67</f>
        <v>22252</v>
      </c>
      <c r="D340" s="146">
        <f t="shared" si="36"/>
        <v>812085</v>
      </c>
      <c r="E340" s="331"/>
      <c r="F340" s="367"/>
      <c r="G340" s="364">
        <f t="shared" si="32"/>
        <v>0</v>
      </c>
      <c r="H340" s="65" t="s">
        <v>2415</v>
      </c>
      <c r="J340" t="s">
        <v>3044</v>
      </c>
      <c r="K340">
        <f t="shared" si="33"/>
        <v>3550000</v>
      </c>
      <c r="L340">
        <f t="shared" si="34"/>
        <v>0</v>
      </c>
    </row>
    <row r="341" spans="1:12" s="65" customFormat="1" outlineLevel="1">
      <c r="A341" s="139">
        <v>44558</v>
      </c>
      <c r="B341" s="124"/>
      <c r="C341" s="123">
        <f>109000-155-327</f>
        <v>108518</v>
      </c>
      <c r="D341" s="146">
        <f t="shared" si="36"/>
        <v>920603</v>
      </c>
      <c r="E341" s="331"/>
      <c r="F341" s="367"/>
      <c r="G341" s="364">
        <f t="shared" si="32"/>
        <v>0</v>
      </c>
      <c r="H341" s="65" t="s">
        <v>2429</v>
      </c>
      <c r="J341" t="s">
        <v>3044</v>
      </c>
      <c r="K341">
        <f t="shared" si="33"/>
        <v>3550000</v>
      </c>
      <c r="L341">
        <f t="shared" si="34"/>
        <v>0</v>
      </c>
    </row>
    <row r="342" spans="1:12" s="65" customFormat="1" outlineLevel="1">
      <c r="A342" s="139">
        <v>44558</v>
      </c>
      <c r="B342" s="124"/>
      <c r="C342" s="123">
        <f>40950-58-122</f>
        <v>40770</v>
      </c>
      <c r="D342" s="146">
        <f t="shared" si="36"/>
        <v>961373</v>
      </c>
      <c r="E342" s="331"/>
      <c r="F342" s="367"/>
      <c r="G342" s="364">
        <f t="shared" si="32"/>
        <v>0</v>
      </c>
      <c r="H342" s="65" t="s">
        <v>2412</v>
      </c>
      <c r="J342" t="s">
        <v>3044</v>
      </c>
      <c r="K342">
        <f t="shared" si="33"/>
        <v>3550000</v>
      </c>
      <c r="L342">
        <f t="shared" si="34"/>
        <v>0</v>
      </c>
    </row>
    <row r="343" spans="1:12" s="65" customFormat="1" outlineLevel="1">
      <c r="A343" s="139">
        <v>44558</v>
      </c>
      <c r="B343" s="124"/>
      <c r="C343" s="123">
        <f>26300-37-78</f>
        <v>26185</v>
      </c>
      <c r="D343" s="146">
        <f t="shared" si="36"/>
        <v>987558</v>
      </c>
      <c r="E343" s="331"/>
      <c r="F343" s="367"/>
      <c r="G343" s="364">
        <f t="shared" si="32"/>
        <v>0</v>
      </c>
      <c r="H343" s="65" t="s">
        <v>2430</v>
      </c>
      <c r="J343" t="s">
        <v>3044</v>
      </c>
      <c r="K343">
        <f t="shared" si="33"/>
        <v>3550000</v>
      </c>
      <c r="L343">
        <f t="shared" si="34"/>
        <v>0</v>
      </c>
    </row>
    <row r="344" spans="1:12" outlineLevel="1">
      <c r="A344" s="139">
        <v>44561</v>
      </c>
      <c r="B344" s="124">
        <v>880</v>
      </c>
      <c r="C344" s="123"/>
      <c r="D344" s="146">
        <f t="shared" si="36"/>
        <v>986678</v>
      </c>
      <c r="E344" s="331"/>
      <c r="F344" s="367"/>
      <c r="G344" s="364">
        <f t="shared" si="32"/>
        <v>0</v>
      </c>
      <c r="H344" s="65" t="s">
        <v>57</v>
      </c>
      <c r="I344" s="65"/>
      <c r="J344" t="s">
        <v>3044</v>
      </c>
      <c r="K344">
        <f t="shared" si="33"/>
        <v>3550000</v>
      </c>
      <c r="L344">
        <f t="shared" si="34"/>
        <v>0</v>
      </c>
    </row>
    <row r="345" spans="1:12">
      <c r="A345" s="139">
        <v>44567</v>
      </c>
      <c r="B345" s="124">
        <v>79813</v>
      </c>
      <c r="C345" s="123"/>
      <c r="D345" s="146">
        <f t="shared" si="36"/>
        <v>906865</v>
      </c>
      <c r="E345" s="331"/>
      <c r="F345" s="367"/>
      <c r="G345" s="364">
        <f t="shared" si="32"/>
        <v>0</v>
      </c>
      <c r="H345" s="65" t="s">
        <v>2434</v>
      </c>
      <c r="I345" s="65"/>
      <c r="J345" t="s">
        <v>3044</v>
      </c>
      <c r="K345">
        <f t="shared" si="33"/>
        <v>3550000</v>
      </c>
      <c r="L345">
        <f t="shared" si="34"/>
        <v>0</v>
      </c>
    </row>
    <row r="346" spans="1:12" outlineLevel="1">
      <c r="A346" s="147">
        <v>44571</v>
      </c>
      <c r="B346" s="149"/>
      <c r="C346" s="148">
        <v>439</v>
      </c>
      <c r="D346" s="150">
        <f t="shared" si="36"/>
        <v>907304</v>
      </c>
      <c r="E346" s="333"/>
      <c r="F346" s="368"/>
      <c r="G346" s="369">
        <f t="shared" si="32"/>
        <v>0</v>
      </c>
      <c r="H346" s="152" t="s">
        <v>84</v>
      </c>
      <c r="I346" s="160"/>
      <c r="J346" t="s">
        <v>3044</v>
      </c>
      <c r="K346">
        <f t="shared" si="33"/>
        <v>3550000</v>
      </c>
      <c r="L346">
        <f t="shared" si="34"/>
        <v>0</v>
      </c>
    </row>
    <row r="347" spans="1:12" outlineLevel="1">
      <c r="A347" s="139">
        <v>44571</v>
      </c>
      <c r="B347" s="124"/>
      <c r="C347" s="123">
        <v>30615</v>
      </c>
      <c r="D347" s="146">
        <f t="shared" si="36"/>
        <v>937919</v>
      </c>
      <c r="E347" s="331"/>
      <c r="F347" s="367"/>
      <c r="G347" s="364">
        <f t="shared" si="32"/>
        <v>0</v>
      </c>
      <c r="H347" s="65" t="s">
        <v>2398</v>
      </c>
      <c r="I347" s="65"/>
      <c r="J347" t="s">
        <v>3044</v>
      </c>
      <c r="K347">
        <f t="shared" si="33"/>
        <v>3550000</v>
      </c>
      <c r="L347">
        <f t="shared" si="34"/>
        <v>0</v>
      </c>
    </row>
    <row r="348" spans="1:12" outlineLevel="1">
      <c r="A348" s="139">
        <v>44571</v>
      </c>
      <c r="B348" s="124"/>
      <c r="C348" s="123">
        <v>636173</v>
      </c>
      <c r="D348" s="146">
        <f t="shared" si="36"/>
        <v>1574092</v>
      </c>
      <c r="E348" s="331"/>
      <c r="F348" s="367"/>
      <c r="G348" s="364">
        <f t="shared" si="32"/>
        <v>0</v>
      </c>
      <c r="H348" s="65" t="s">
        <v>1507</v>
      </c>
      <c r="I348" s="65"/>
      <c r="J348" t="s">
        <v>3044</v>
      </c>
      <c r="K348">
        <f t="shared" si="33"/>
        <v>3550000</v>
      </c>
      <c r="L348">
        <f t="shared" si="34"/>
        <v>0</v>
      </c>
    </row>
    <row r="349" spans="1:12" outlineLevel="1">
      <c r="A349" s="139">
        <v>44571</v>
      </c>
      <c r="B349" s="124"/>
      <c r="C349" s="123">
        <v>513717</v>
      </c>
      <c r="D349" s="146">
        <f t="shared" si="36"/>
        <v>2087809</v>
      </c>
      <c r="E349" s="331"/>
      <c r="F349" s="367"/>
      <c r="G349" s="364">
        <f t="shared" si="32"/>
        <v>0</v>
      </c>
      <c r="H349" s="65" t="s">
        <v>1516</v>
      </c>
      <c r="I349" s="65"/>
      <c r="J349" t="s">
        <v>3044</v>
      </c>
      <c r="K349">
        <f t="shared" si="33"/>
        <v>3550000</v>
      </c>
      <c r="L349">
        <f t="shared" si="34"/>
        <v>0</v>
      </c>
    </row>
    <row r="350" spans="1:12" outlineLevel="1">
      <c r="A350" s="139">
        <v>44567</v>
      </c>
      <c r="B350" s="124">
        <v>31645</v>
      </c>
      <c r="C350" s="123"/>
      <c r="D350" s="146">
        <f t="shared" si="36"/>
        <v>2056164</v>
      </c>
      <c r="E350" s="331"/>
      <c r="F350" s="367"/>
      <c r="G350" s="364">
        <f t="shared" si="32"/>
        <v>0</v>
      </c>
      <c r="H350" s="65" t="s">
        <v>2441</v>
      </c>
      <c r="I350" s="65"/>
      <c r="J350" t="s">
        <v>3044</v>
      </c>
      <c r="K350">
        <f t="shared" si="33"/>
        <v>3550000</v>
      </c>
      <c r="L350">
        <f t="shared" si="34"/>
        <v>0</v>
      </c>
    </row>
    <row r="351" spans="1:12" outlineLevel="1">
      <c r="A351" s="139">
        <v>44571</v>
      </c>
      <c r="B351" s="124">
        <v>27989</v>
      </c>
      <c r="C351" s="123"/>
      <c r="D351" s="146">
        <f t="shared" si="36"/>
        <v>2028175</v>
      </c>
      <c r="E351" s="331"/>
      <c r="F351" s="367"/>
      <c r="G351" s="364">
        <f t="shared" si="32"/>
        <v>0</v>
      </c>
      <c r="H351" s="65" t="s">
        <v>2435</v>
      </c>
      <c r="I351" s="65"/>
      <c r="J351" t="s">
        <v>3044</v>
      </c>
      <c r="K351">
        <f t="shared" si="33"/>
        <v>3550000</v>
      </c>
      <c r="L351">
        <f t="shared" si="34"/>
        <v>0</v>
      </c>
    </row>
    <row r="352" spans="1:12" outlineLevel="1">
      <c r="A352" s="139">
        <v>44571</v>
      </c>
      <c r="B352" s="124">
        <v>27990</v>
      </c>
      <c r="C352" s="123"/>
      <c r="D352" s="146">
        <f t="shared" si="36"/>
        <v>2000185</v>
      </c>
      <c r="E352" s="331"/>
      <c r="F352" s="367"/>
      <c r="G352" s="364">
        <f t="shared" si="32"/>
        <v>0</v>
      </c>
      <c r="H352" s="65" t="s">
        <v>2435</v>
      </c>
      <c r="I352" s="65"/>
      <c r="J352" t="s">
        <v>3044</v>
      </c>
      <c r="K352">
        <f t="shared" si="33"/>
        <v>3550000</v>
      </c>
      <c r="L352">
        <f t="shared" si="34"/>
        <v>0</v>
      </c>
    </row>
    <row r="353" spans="1:12" outlineLevel="1">
      <c r="A353" s="139">
        <v>44571</v>
      </c>
      <c r="B353" s="124">
        <v>90929</v>
      </c>
      <c r="C353" s="123"/>
      <c r="D353" s="146">
        <f t="shared" si="36"/>
        <v>1909256</v>
      </c>
      <c r="E353" s="331"/>
      <c r="F353" s="367"/>
      <c r="G353" s="364">
        <f t="shared" si="32"/>
        <v>0</v>
      </c>
      <c r="H353" s="65" t="s">
        <v>2436</v>
      </c>
      <c r="I353" s="65"/>
      <c r="J353" t="s">
        <v>3044</v>
      </c>
      <c r="K353">
        <f t="shared" si="33"/>
        <v>3550000</v>
      </c>
      <c r="L353">
        <f t="shared" si="34"/>
        <v>0</v>
      </c>
    </row>
    <row r="354" spans="1:12" outlineLevel="1">
      <c r="A354" s="139">
        <v>44582</v>
      </c>
      <c r="B354" s="124"/>
      <c r="C354" s="123">
        <v>25040</v>
      </c>
      <c r="D354" s="146">
        <f t="shared" si="36"/>
        <v>1934296</v>
      </c>
      <c r="E354" s="331"/>
      <c r="F354" s="367"/>
      <c r="G354" s="364">
        <f t="shared" si="32"/>
        <v>0</v>
      </c>
      <c r="H354" s="65" t="s">
        <v>2435</v>
      </c>
      <c r="I354" s="65"/>
      <c r="J354" t="s">
        <v>3044</v>
      </c>
      <c r="K354">
        <f t="shared" si="33"/>
        <v>3550000</v>
      </c>
      <c r="L354">
        <f t="shared" si="34"/>
        <v>0</v>
      </c>
    </row>
    <row r="355" spans="1:12" outlineLevel="1">
      <c r="A355" s="139">
        <v>44585</v>
      </c>
      <c r="B355" s="124"/>
      <c r="C355" s="123">
        <v>24641</v>
      </c>
      <c r="D355" s="146">
        <f t="shared" si="36"/>
        <v>1958937</v>
      </c>
      <c r="E355" s="331"/>
      <c r="F355" s="367"/>
      <c r="G355" s="364">
        <f t="shared" si="32"/>
        <v>0</v>
      </c>
      <c r="H355" s="65" t="s">
        <v>2435</v>
      </c>
      <c r="I355" s="65"/>
      <c r="J355" t="s">
        <v>3044</v>
      </c>
      <c r="K355">
        <f t="shared" si="33"/>
        <v>3550000</v>
      </c>
      <c r="L355">
        <f t="shared" si="34"/>
        <v>0</v>
      </c>
    </row>
    <row r="356" spans="1:12" outlineLevel="1">
      <c r="A356" s="139">
        <v>44585</v>
      </c>
      <c r="B356" s="124"/>
      <c r="C356" s="123">
        <v>89902</v>
      </c>
      <c r="D356" s="146">
        <f t="shared" si="36"/>
        <v>2048839</v>
      </c>
      <c r="E356" s="331"/>
      <c r="F356" s="367"/>
      <c r="G356" s="364">
        <f t="shared" si="32"/>
        <v>0</v>
      </c>
      <c r="H356" s="65" t="s">
        <v>2436</v>
      </c>
      <c r="I356" s="65"/>
      <c r="J356" t="s">
        <v>3044</v>
      </c>
      <c r="K356">
        <f t="shared" si="33"/>
        <v>3550000</v>
      </c>
      <c r="L356">
        <f t="shared" si="34"/>
        <v>0</v>
      </c>
    </row>
    <row r="357" spans="1:12" outlineLevel="1">
      <c r="A357" s="139">
        <v>44585</v>
      </c>
      <c r="B357" s="124">
        <v>58883</v>
      </c>
      <c r="C357" s="123"/>
      <c r="D357" s="146">
        <f t="shared" si="36"/>
        <v>1989956</v>
      </c>
      <c r="E357" s="331"/>
      <c r="F357" s="367"/>
      <c r="G357" s="364">
        <f t="shared" si="32"/>
        <v>0</v>
      </c>
      <c r="H357" s="65" t="s">
        <v>2437</v>
      </c>
      <c r="I357" s="65"/>
      <c r="J357" t="s">
        <v>3044</v>
      </c>
      <c r="K357">
        <f t="shared" si="33"/>
        <v>3550000</v>
      </c>
      <c r="L357">
        <f t="shared" si="34"/>
        <v>0</v>
      </c>
    </row>
    <row r="358" spans="1:12" outlineLevel="1">
      <c r="A358" s="139">
        <v>44585</v>
      </c>
      <c r="B358" s="124">
        <v>74305</v>
      </c>
      <c r="C358" s="123"/>
      <c r="D358" s="146">
        <f t="shared" si="36"/>
        <v>1915651</v>
      </c>
      <c r="E358" s="331"/>
      <c r="F358" s="367"/>
      <c r="G358" s="364">
        <f t="shared" si="32"/>
        <v>0</v>
      </c>
      <c r="H358" s="65" t="s">
        <v>2446</v>
      </c>
      <c r="I358" s="65"/>
      <c r="J358" t="s">
        <v>3044</v>
      </c>
      <c r="K358">
        <f t="shared" si="33"/>
        <v>3550000</v>
      </c>
      <c r="L358">
        <f t="shared" si="34"/>
        <v>0</v>
      </c>
    </row>
    <row r="359" spans="1:12" outlineLevel="1">
      <c r="A359" s="147">
        <v>44602</v>
      </c>
      <c r="B359" s="149"/>
      <c r="C359" s="148">
        <v>974</v>
      </c>
      <c r="D359" s="150">
        <f t="shared" si="36"/>
        <v>1916625</v>
      </c>
      <c r="E359" s="333"/>
      <c r="F359" s="368"/>
      <c r="G359" s="369">
        <f t="shared" si="32"/>
        <v>0</v>
      </c>
      <c r="H359" s="152" t="s">
        <v>84</v>
      </c>
      <c r="I359" s="160"/>
      <c r="J359" t="s">
        <v>3044</v>
      </c>
      <c r="K359">
        <f t="shared" si="33"/>
        <v>3550000</v>
      </c>
      <c r="L359">
        <f t="shared" si="34"/>
        <v>0</v>
      </c>
    </row>
    <row r="360" spans="1:12" outlineLevel="1">
      <c r="A360" s="139">
        <v>44602</v>
      </c>
      <c r="B360" s="124">
        <v>72002</v>
      </c>
      <c r="C360" s="123"/>
      <c r="D360" s="146">
        <f t="shared" si="36"/>
        <v>1844623</v>
      </c>
      <c r="E360" s="331"/>
      <c r="F360" s="367"/>
      <c r="G360" s="364">
        <f t="shared" si="32"/>
        <v>0</v>
      </c>
      <c r="H360" s="65" t="s">
        <v>2442</v>
      </c>
      <c r="I360" s="65"/>
      <c r="J360" t="s">
        <v>3044</v>
      </c>
      <c r="K360">
        <f t="shared" si="33"/>
        <v>3550000</v>
      </c>
      <c r="L360">
        <f t="shared" si="34"/>
        <v>0</v>
      </c>
    </row>
    <row r="361" spans="1:12" outlineLevel="1">
      <c r="A361" s="139">
        <v>44603</v>
      </c>
      <c r="B361" s="124">
        <v>105149</v>
      </c>
      <c r="C361" s="123"/>
      <c r="D361" s="146">
        <f t="shared" si="36"/>
        <v>1739474</v>
      </c>
      <c r="E361" s="331"/>
      <c r="F361" s="367"/>
      <c r="G361" s="364">
        <f t="shared" si="32"/>
        <v>0</v>
      </c>
      <c r="H361" s="65" t="s">
        <v>2440</v>
      </c>
      <c r="I361" s="65"/>
      <c r="J361" t="s">
        <v>3044</v>
      </c>
      <c r="K361">
        <f t="shared" si="33"/>
        <v>3550000</v>
      </c>
      <c r="L361">
        <f t="shared" si="34"/>
        <v>0</v>
      </c>
    </row>
    <row r="362" spans="1:12" outlineLevel="1">
      <c r="A362" s="139">
        <v>44603</v>
      </c>
      <c r="B362" s="124">
        <v>118168</v>
      </c>
      <c r="C362" s="123"/>
      <c r="D362" s="146">
        <f t="shared" si="36"/>
        <v>1621306</v>
      </c>
      <c r="E362" s="331"/>
      <c r="F362" s="367"/>
      <c r="G362" s="364">
        <f t="shared" si="32"/>
        <v>0</v>
      </c>
      <c r="H362" s="65" t="s">
        <v>2447</v>
      </c>
      <c r="I362" s="65"/>
      <c r="J362" t="s">
        <v>3044</v>
      </c>
      <c r="K362">
        <f t="shared" si="33"/>
        <v>3550000</v>
      </c>
      <c r="L362">
        <f t="shared" si="34"/>
        <v>0</v>
      </c>
    </row>
    <row r="363" spans="1:12" outlineLevel="1">
      <c r="A363" s="139">
        <v>44607</v>
      </c>
      <c r="B363" s="124">
        <v>503716</v>
      </c>
      <c r="C363" s="123"/>
      <c r="D363" s="146">
        <f t="shared" si="36"/>
        <v>1117590</v>
      </c>
      <c r="E363" s="331"/>
      <c r="F363" s="367"/>
      <c r="G363" s="364">
        <f t="shared" si="32"/>
        <v>0</v>
      </c>
      <c r="H363" s="65" t="s">
        <v>2448</v>
      </c>
      <c r="I363" s="65"/>
      <c r="J363" t="s">
        <v>3044</v>
      </c>
      <c r="K363">
        <f t="shared" si="33"/>
        <v>3550000</v>
      </c>
      <c r="L363">
        <f t="shared" si="34"/>
        <v>0</v>
      </c>
    </row>
    <row r="364" spans="1:12" outlineLevel="1">
      <c r="A364" s="139">
        <v>44621</v>
      </c>
      <c r="B364" s="124"/>
      <c r="C364" s="123">
        <v>54260</v>
      </c>
      <c r="D364" s="146">
        <f t="shared" ref="D364:D393" si="37">D363+C364-B364</f>
        <v>1171850</v>
      </c>
      <c r="E364" s="331"/>
      <c r="F364" s="367"/>
      <c r="G364" s="364">
        <f t="shared" si="32"/>
        <v>0</v>
      </c>
      <c r="H364" s="65" t="s">
        <v>2437</v>
      </c>
      <c r="I364" s="65"/>
      <c r="J364" t="s">
        <v>3044</v>
      </c>
      <c r="K364">
        <f t="shared" si="33"/>
        <v>3550000</v>
      </c>
      <c r="L364">
        <f t="shared" si="34"/>
        <v>0</v>
      </c>
    </row>
    <row r="365" spans="1:12" outlineLevel="1">
      <c r="A365" s="139">
        <v>44624</v>
      </c>
      <c r="B365" s="124">
        <v>63290</v>
      </c>
      <c r="C365" s="123">
        <v>63016</v>
      </c>
      <c r="D365" s="146">
        <f t="shared" si="37"/>
        <v>1171576</v>
      </c>
      <c r="E365" s="331"/>
      <c r="F365" s="367"/>
      <c r="G365" s="364">
        <f t="shared" si="32"/>
        <v>0</v>
      </c>
      <c r="H365" s="65" t="s">
        <v>1517</v>
      </c>
      <c r="I365" s="65" t="s">
        <v>413</v>
      </c>
      <c r="J365" t="s">
        <v>3044</v>
      </c>
      <c r="K365">
        <f t="shared" si="33"/>
        <v>3550000</v>
      </c>
      <c r="L365">
        <f t="shared" si="34"/>
        <v>0</v>
      </c>
    </row>
    <row r="366" spans="1:12" outlineLevel="1">
      <c r="A366" s="139">
        <v>44624</v>
      </c>
      <c r="B366" s="124">
        <v>63790</v>
      </c>
      <c r="C366" s="123">
        <v>62318</v>
      </c>
      <c r="D366" s="146">
        <f t="shared" si="37"/>
        <v>1170104</v>
      </c>
      <c r="E366" s="331"/>
      <c r="F366" s="367"/>
      <c r="G366" s="364">
        <f t="shared" si="32"/>
        <v>0</v>
      </c>
      <c r="H366" s="65" t="s">
        <v>2438</v>
      </c>
      <c r="I366" s="65" t="s">
        <v>413</v>
      </c>
      <c r="J366" t="s">
        <v>3044</v>
      </c>
      <c r="K366">
        <f t="shared" si="33"/>
        <v>3550000</v>
      </c>
      <c r="L366">
        <f t="shared" si="34"/>
        <v>0</v>
      </c>
    </row>
    <row r="367" spans="1:12" outlineLevel="1">
      <c r="A367" s="139">
        <v>44624</v>
      </c>
      <c r="B367" s="124">
        <v>68797</v>
      </c>
      <c r="C367" s="123">
        <v>67303</v>
      </c>
      <c r="D367" s="146">
        <f t="shared" si="37"/>
        <v>1168610</v>
      </c>
      <c r="E367" s="331"/>
      <c r="F367" s="367"/>
      <c r="G367" s="364">
        <f t="shared" si="32"/>
        <v>0</v>
      </c>
      <c r="H367" s="65" t="s">
        <v>2439</v>
      </c>
      <c r="I367" s="65" t="s">
        <v>413</v>
      </c>
      <c r="J367" t="s">
        <v>3044</v>
      </c>
      <c r="K367">
        <f t="shared" si="33"/>
        <v>3550000</v>
      </c>
      <c r="L367">
        <f t="shared" si="34"/>
        <v>0</v>
      </c>
    </row>
    <row r="368" spans="1:12" outlineLevel="1">
      <c r="A368" s="139">
        <v>44624</v>
      </c>
      <c r="B368" s="124"/>
      <c r="C368" s="123"/>
      <c r="D368" s="146">
        <f t="shared" si="37"/>
        <v>1168610</v>
      </c>
      <c r="E368" s="331"/>
      <c r="F368" s="367"/>
      <c r="G368" s="364">
        <f t="shared" si="32"/>
        <v>0</v>
      </c>
      <c r="H368" s="65" t="s">
        <v>2440</v>
      </c>
      <c r="I368" s="65"/>
      <c r="J368" t="s">
        <v>3044</v>
      </c>
      <c r="K368">
        <f t="shared" si="33"/>
        <v>3550000</v>
      </c>
      <c r="L368">
        <f t="shared" si="34"/>
        <v>0</v>
      </c>
    </row>
    <row r="369" spans="1:12" outlineLevel="1">
      <c r="A369" s="139">
        <v>44624</v>
      </c>
      <c r="B369" s="124">
        <v>88525</v>
      </c>
      <c r="C369" s="123"/>
      <c r="D369" s="146">
        <f t="shared" si="37"/>
        <v>1080085</v>
      </c>
      <c r="E369" s="331"/>
      <c r="F369" s="367"/>
      <c r="G369" s="364">
        <f t="shared" si="32"/>
        <v>0</v>
      </c>
      <c r="H369" s="65" t="s">
        <v>2498</v>
      </c>
      <c r="I369" s="65"/>
      <c r="J369" t="s">
        <v>3044</v>
      </c>
      <c r="K369">
        <f t="shared" si="33"/>
        <v>3550000</v>
      </c>
      <c r="L369">
        <f t="shared" si="34"/>
        <v>0</v>
      </c>
    </row>
    <row r="370" spans="1:12" outlineLevel="1">
      <c r="A370" s="139">
        <v>44628</v>
      </c>
      <c r="B370" s="124"/>
      <c r="C370" s="123">
        <v>114492</v>
      </c>
      <c r="D370" s="146">
        <f t="shared" si="37"/>
        <v>1194577</v>
      </c>
      <c r="E370" s="331"/>
      <c r="F370" s="367"/>
      <c r="G370" s="364">
        <f t="shared" si="32"/>
        <v>0</v>
      </c>
      <c r="H370" s="65" t="s">
        <v>2440</v>
      </c>
      <c r="I370" s="65"/>
      <c r="J370" t="s">
        <v>3044</v>
      </c>
      <c r="K370">
        <f t="shared" si="33"/>
        <v>3550000</v>
      </c>
      <c r="L370">
        <f t="shared" si="34"/>
        <v>0</v>
      </c>
    </row>
    <row r="371" spans="1:12" outlineLevel="1">
      <c r="A371" s="147">
        <v>44630</v>
      </c>
      <c r="B371" s="149"/>
      <c r="C371" s="148">
        <v>482</v>
      </c>
      <c r="D371" s="150">
        <f t="shared" si="37"/>
        <v>1195059</v>
      </c>
      <c r="E371" s="333"/>
      <c r="F371" s="368"/>
      <c r="G371" s="369">
        <f t="shared" si="32"/>
        <v>0</v>
      </c>
      <c r="H371" s="152" t="s">
        <v>84</v>
      </c>
      <c r="I371" s="160"/>
      <c r="J371" t="s">
        <v>3044</v>
      </c>
      <c r="K371">
        <f t="shared" si="33"/>
        <v>3550000</v>
      </c>
      <c r="L371">
        <f t="shared" si="34"/>
        <v>0</v>
      </c>
    </row>
    <row r="372" spans="1:12" outlineLevel="1">
      <c r="A372" s="195">
        <v>44642</v>
      </c>
      <c r="B372" s="197">
        <v>0</v>
      </c>
      <c r="C372" s="196">
        <v>2558</v>
      </c>
      <c r="D372" s="198">
        <f t="shared" si="37"/>
        <v>1197617</v>
      </c>
      <c r="E372" s="334"/>
      <c r="F372" s="370"/>
      <c r="G372" s="371">
        <f t="shared" si="32"/>
        <v>0</v>
      </c>
      <c r="H372" s="200" t="s">
        <v>2364</v>
      </c>
      <c r="I372" s="200" t="s">
        <v>101</v>
      </c>
      <c r="J372" t="s">
        <v>3044</v>
      </c>
      <c r="K372">
        <f t="shared" si="33"/>
        <v>3550000</v>
      </c>
      <c r="L372">
        <f t="shared" si="34"/>
        <v>0</v>
      </c>
    </row>
    <row r="373" spans="1:12" outlineLevel="1">
      <c r="A373" s="139">
        <v>44648</v>
      </c>
      <c r="B373" s="124"/>
      <c r="C373" s="123">
        <v>30067</v>
      </c>
      <c r="D373" s="146">
        <f t="shared" si="37"/>
        <v>1227684</v>
      </c>
      <c r="E373" s="331"/>
      <c r="F373" s="367"/>
      <c r="G373" s="364">
        <f t="shared" si="32"/>
        <v>0</v>
      </c>
      <c r="H373" s="65" t="s">
        <v>2441</v>
      </c>
      <c r="I373" s="65"/>
      <c r="J373" t="s">
        <v>3044</v>
      </c>
      <c r="K373">
        <f t="shared" si="33"/>
        <v>3550000</v>
      </c>
      <c r="L373">
        <f t="shared" si="34"/>
        <v>0</v>
      </c>
    </row>
    <row r="374" spans="1:12" outlineLevel="1">
      <c r="A374" s="139">
        <v>44624</v>
      </c>
      <c r="B374" s="124"/>
      <c r="C374" s="123">
        <v>80443</v>
      </c>
      <c r="D374" s="146">
        <f t="shared" si="37"/>
        <v>1308127</v>
      </c>
      <c r="E374" s="331"/>
      <c r="F374" s="367"/>
      <c r="G374" s="364">
        <f t="shared" si="32"/>
        <v>0</v>
      </c>
      <c r="H374" s="65" t="s">
        <v>2442</v>
      </c>
      <c r="I374" s="65"/>
      <c r="J374" t="s">
        <v>3044</v>
      </c>
      <c r="K374">
        <f t="shared" si="33"/>
        <v>3550000</v>
      </c>
      <c r="L374">
        <f t="shared" si="34"/>
        <v>0</v>
      </c>
    </row>
    <row r="375" spans="1:12">
      <c r="A375" s="195">
        <v>44648</v>
      </c>
      <c r="B375" s="197">
        <v>0</v>
      </c>
      <c r="C375" s="196">
        <v>4039</v>
      </c>
      <c r="D375" s="198">
        <f t="shared" si="37"/>
        <v>1312166</v>
      </c>
      <c r="E375" s="334"/>
      <c r="F375" s="370"/>
      <c r="G375" s="371">
        <f t="shared" si="32"/>
        <v>0</v>
      </c>
      <c r="H375" s="200" t="s">
        <v>2460</v>
      </c>
      <c r="I375" s="200" t="s">
        <v>2461</v>
      </c>
      <c r="J375" t="s">
        <v>3044</v>
      </c>
      <c r="K375">
        <f t="shared" si="33"/>
        <v>3550000</v>
      </c>
      <c r="L375">
        <f t="shared" si="34"/>
        <v>0</v>
      </c>
    </row>
    <row r="376" spans="1:12" outlineLevel="1">
      <c r="A376" s="139">
        <v>44652</v>
      </c>
      <c r="B376" s="124">
        <v>104148</v>
      </c>
      <c r="C376" s="123"/>
      <c r="D376" s="146">
        <f t="shared" si="37"/>
        <v>1208018</v>
      </c>
      <c r="E376" s="331"/>
      <c r="F376" s="367"/>
      <c r="G376" s="364">
        <f t="shared" si="32"/>
        <v>0</v>
      </c>
      <c r="H376" s="65" t="s">
        <v>2469</v>
      </c>
      <c r="I376" s="65"/>
      <c r="J376" t="s">
        <v>3044</v>
      </c>
      <c r="K376">
        <f t="shared" si="33"/>
        <v>3550000</v>
      </c>
      <c r="L376">
        <f t="shared" si="34"/>
        <v>0</v>
      </c>
    </row>
    <row r="377" spans="1:12" outlineLevel="1">
      <c r="A377" s="139">
        <v>44652</v>
      </c>
      <c r="B377" s="124">
        <v>54577</v>
      </c>
      <c r="C377" s="123"/>
      <c r="D377" s="146">
        <f t="shared" si="37"/>
        <v>1153441</v>
      </c>
      <c r="E377" s="331"/>
      <c r="F377" s="367"/>
      <c r="G377" s="364">
        <f t="shared" si="32"/>
        <v>0</v>
      </c>
      <c r="H377" s="65" t="s">
        <v>2475</v>
      </c>
      <c r="I377" s="65"/>
      <c r="J377" t="s">
        <v>3044</v>
      </c>
      <c r="K377">
        <f t="shared" si="33"/>
        <v>3550000</v>
      </c>
      <c r="L377">
        <f t="shared" si="34"/>
        <v>0</v>
      </c>
    </row>
    <row r="378" spans="1:12" outlineLevel="1">
      <c r="A378" s="139">
        <v>44657</v>
      </c>
      <c r="B378" s="124">
        <v>17074</v>
      </c>
      <c r="C378" s="123"/>
      <c r="D378" s="146">
        <f t="shared" si="37"/>
        <v>1136367</v>
      </c>
      <c r="E378" s="331"/>
      <c r="F378" s="367"/>
      <c r="G378" s="364">
        <f t="shared" si="32"/>
        <v>0</v>
      </c>
      <c r="H378" s="65" t="s">
        <v>2443</v>
      </c>
      <c r="I378" s="65"/>
      <c r="J378" t="s">
        <v>3044</v>
      </c>
      <c r="K378">
        <f t="shared" si="33"/>
        <v>3550000</v>
      </c>
      <c r="L378">
        <f t="shared" si="34"/>
        <v>0</v>
      </c>
    </row>
    <row r="379" spans="1:12" outlineLevel="1">
      <c r="A379" s="139">
        <v>44657</v>
      </c>
      <c r="B379" s="124">
        <v>17074</v>
      </c>
      <c r="C379" s="123"/>
      <c r="D379" s="146">
        <f t="shared" si="37"/>
        <v>1119293</v>
      </c>
      <c r="E379" s="331"/>
      <c r="F379" s="367"/>
      <c r="G379" s="364">
        <f t="shared" si="32"/>
        <v>0</v>
      </c>
      <c r="H379" s="65" t="s">
        <v>2443</v>
      </c>
      <c r="I379" s="65"/>
      <c r="J379" t="s">
        <v>3044</v>
      </c>
      <c r="K379">
        <f t="shared" si="33"/>
        <v>3550000</v>
      </c>
      <c r="L379">
        <f t="shared" si="34"/>
        <v>0</v>
      </c>
    </row>
    <row r="380" spans="1:12" outlineLevel="1">
      <c r="A380" s="147">
        <v>44659</v>
      </c>
      <c r="B380" s="149"/>
      <c r="C380" s="148">
        <v>505</v>
      </c>
      <c r="D380" s="150">
        <f t="shared" si="37"/>
        <v>1119798</v>
      </c>
      <c r="E380" s="333"/>
      <c r="F380" s="368"/>
      <c r="G380" s="369">
        <f t="shared" si="32"/>
        <v>0</v>
      </c>
      <c r="H380" s="152" t="s">
        <v>84</v>
      </c>
      <c r="I380" s="160"/>
      <c r="J380" t="s">
        <v>3044</v>
      </c>
      <c r="K380">
        <f t="shared" si="33"/>
        <v>3550000</v>
      </c>
      <c r="L380">
        <f t="shared" si="34"/>
        <v>0</v>
      </c>
    </row>
    <row r="381" spans="1:12" outlineLevel="1">
      <c r="A381" s="139">
        <v>44662</v>
      </c>
      <c r="B381" s="124"/>
      <c r="C381" s="123">
        <v>15283</v>
      </c>
      <c r="D381" s="146">
        <f t="shared" si="37"/>
        <v>1135081</v>
      </c>
      <c r="E381" s="331"/>
      <c r="F381" s="367"/>
      <c r="G381" s="364">
        <f t="shared" si="32"/>
        <v>0</v>
      </c>
      <c r="H381" s="65" t="s">
        <v>2443</v>
      </c>
      <c r="I381" s="65"/>
      <c r="J381" t="s">
        <v>3044</v>
      </c>
      <c r="K381">
        <f t="shared" si="33"/>
        <v>3550000</v>
      </c>
      <c r="L381">
        <f t="shared" si="34"/>
        <v>0</v>
      </c>
    </row>
    <row r="382" spans="1:12" outlineLevel="1">
      <c r="A382" s="139">
        <v>44662</v>
      </c>
      <c r="B382" s="124">
        <v>29392</v>
      </c>
      <c r="C382" s="123"/>
      <c r="D382" s="146">
        <f t="shared" si="37"/>
        <v>1105689</v>
      </c>
      <c r="E382" s="331"/>
      <c r="F382" s="367"/>
      <c r="G382" s="364">
        <f t="shared" si="32"/>
        <v>0</v>
      </c>
      <c r="H382" s="65" t="s">
        <v>2445</v>
      </c>
      <c r="I382" s="65"/>
      <c r="J382" t="s">
        <v>3044</v>
      </c>
      <c r="K382">
        <f t="shared" si="33"/>
        <v>3550000</v>
      </c>
      <c r="L382">
        <f t="shared" si="34"/>
        <v>0</v>
      </c>
    </row>
    <row r="383" spans="1:12" outlineLevel="1">
      <c r="A383" s="139">
        <v>44662</v>
      </c>
      <c r="B383" s="124">
        <v>29391</v>
      </c>
      <c r="C383" s="123"/>
      <c r="D383" s="146">
        <f t="shared" si="37"/>
        <v>1076298</v>
      </c>
      <c r="E383" s="331"/>
      <c r="F383" s="367"/>
      <c r="G383" s="364">
        <f t="shared" si="32"/>
        <v>0</v>
      </c>
      <c r="H383" s="65" t="s">
        <v>2445</v>
      </c>
      <c r="I383" s="65"/>
      <c r="J383" t="s">
        <v>3044</v>
      </c>
      <c r="K383">
        <f t="shared" si="33"/>
        <v>3550000</v>
      </c>
      <c r="L383">
        <f t="shared" si="34"/>
        <v>0</v>
      </c>
    </row>
    <row r="384" spans="1:12" outlineLevel="1">
      <c r="A384" s="139">
        <v>44662</v>
      </c>
      <c r="B384" s="124">
        <v>29792</v>
      </c>
      <c r="C384" s="123"/>
      <c r="D384" s="146">
        <f t="shared" si="37"/>
        <v>1046506</v>
      </c>
      <c r="E384" s="331"/>
      <c r="F384" s="367"/>
      <c r="G384" s="364">
        <f t="shared" si="32"/>
        <v>0</v>
      </c>
      <c r="H384" s="65" t="s">
        <v>2499</v>
      </c>
      <c r="I384" s="65"/>
      <c r="J384" t="s">
        <v>3044</v>
      </c>
      <c r="K384">
        <f t="shared" si="33"/>
        <v>3550000</v>
      </c>
      <c r="L384">
        <f t="shared" si="34"/>
        <v>0</v>
      </c>
    </row>
    <row r="385" spans="1:12" outlineLevel="1">
      <c r="A385" s="139">
        <v>44662</v>
      </c>
      <c r="B385" s="124">
        <v>30843</v>
      </c>
      <c r="C385" s="123"/>
      <c r="D385" s="146">
        <f t="shared" si="37"/>
        <v>1015663</v>
      </c>
      <c r="E385" s="331"/>
      <c r="F385" s="367"/>
      <c r="G385" s="364">
        <f t="shared" si="32"/>
        <v>0</v>
      </c>
      <c r="H385" s="65" t="s">
        <v>2500</v>
      </c>
      <c r="I385" s="65"/>
      <c r="J385" t="s">
        <v>3044</v>
      </c>
      <c r="K385">
        <f t="shared" si="33"/>
        <v>3550000</v>
      </c>
      <c r="L385">
        <f t="shared" si="34"/>
        <v>0</v>
      </c>
    </row>
    <row r="386" spans="1:12" outlineLevel="1">
      <c r="A386" s="139">
        <v>44664</v>
      </c>
      <c r="B386" s="124"/>
      <c r="C386" s="123">
        <v>14537</v>
      </c>
      <c r="D386" s="146">
        <f t="shared" si="37"/>
        <v>1030200</v>
      </c>
      <c r="E386" s="331"/>
      <c r="F386" s="367"/>
      <c r="G386" s="364">
        <f t="shared" ref="G386:G449" si="38">G385+F386-E386</f>
        <v>0</v>
      </c>
      <c r="H386" s="65" t="s">
        <v>2443</v>
      </c>
      <c r="I386" s="65"/>
      <c r="J386" t="s">
        <v>3044</v>
      </c>
      <c r="K386">
        <f t="shared" si="33"/>
        <v>3550000</v>
      </c>
      <c r="L386">
        <f t="shared" si="34"/>
        <v>0</v>
      </c>
    </row>
    <row r="387" spans="1:12" outlineLevel="1">
      <c r="A387" s="139">
        <v>44665</v>
      </c>
      <c r="B387" s="124">
        <v>23934</v>
      </c>
      <c r="C387" s="123"/>
      <c r="D387" s="146">
        <f t="shared" si="37"/>
        <v>1006266</v>
      </c>
      <c r="E387" s="331"/>
      <c r="F387" s="367"/>
      <c r="G387" s="364">
        <f t="shared" si="38"/>
        <v>0</v>
      </c>
      <c r="H387" s="65" t="s">
        <v>2444</v>
      </c>
      <c r="I387" s="65"/>
      <c r="J387" t="s">
        <v>3044</v>
      </c>
      <c r="K387">
        <f t="shared" si="33"/>
        <v>3550000</v>
      </c>
      <c r="L387">
        <f t="shared" si="34"/>
        <v>0</v>
      </c>
    </row>
    <row r="388" spans="1:12" outlineLevel="1">
      <c r="A388" s="139">
        <v>44666</v>
      </c>
      <c r="B388" s="124"/>
      <c r="C388" s="123">
        <v>24044</v>
      </c>
      <c r="D388" s="146">
        <f t="shared" si="37"/>
        <v>1030310</v>
      </c>
      <c r="E388" s="331"/>
      <c r="F388" s="367"/>
      <c r="G388" s="364">
        <f t="shared" si="38"/>
        <v>0</v>
      </c>
      <c r="H388" s="65" t="s">
        <v>2444</v>
      </c>
      <c r="I388" s="65"/>
      <c r="J388" t="s">
        <v>3044</v>
      </c>
      <c r="K388">
        <f t="shared" ref="K388:K451" si="39">IF(J388="本金",-B388+C388+K387,K387)</f>
        <v>3550000</v>
      </c>
      <c r="L388">
        <f t="shared" ref="L388:L451" si="40">IF(J388="本金",-E388+F388+L387,L387)</f>
        <v>0</v>
      </c>
    </row>
    <row r="389" spans="1:12" outlineLevel="1">
      <c r="A389" s="139">
        <v>44669</v>
      </c>
      <c r="B389" s="124">
        <v>21180</v>
      </c>
      <c r="C389" s="123"/>
      <c r="D389" s="146">
        <f t="shared" si="37"/>
        <v>1009130</v>
      </c>
      <c r="E389" s="331"/>
      <c r="F389" s="367"/>
      <c r="G389" s="364">
        <f t="shared" si="38"/>
        <v>0</v>
      </c>
      <c r="H389" s="65" t="s">
        <v>2444</v>
      </c>
      <c r="I389" s="65"/>
      <c r="J389" t="s">
        <v>3044</v>
      </c>
      <c r="K389">
        <f t="shared" si="39"/>
        <v>3550000</v>
      </c>
      <c r="L389">
        <f t="shared" si="40"/>
        <v>0</v>
      </c>
    </row>
    <row r="390" spans="1:12" outlineLevel="1">
      <c r="A390" s="195">
        <v>44671</v>
      </c>
      <c r="B390" s="197">
        <v>0</v>
      </c>
      <c r="C390" s="196">
        <v>2846</v>
      </c>
      <c r="D390" s="198">
        <f t="shared" si="37"/>
        <v>1011976</v>
      </c>
      <c r="E390" s="334"/>
      <c r="F390" s="370"/>
      <c r="G390" s="371">
        <f t="shared" si="38"/>
        <v>0</v>
      </c>
      <c r="H390" s="200" t="s">
        <v>2463</v>
      </c>
      <c r="I390" s="200" t="s">
        <v>101</v>
      </c>
      <c r="J390" t="s">
        <v>3044</v>
      </c>
      <c r="K390">
        <f t="shared" si="39"/>
        <v>3550000</v>
      </c>
      <c r="L390">
        <f t="shared" si="40"/>
        <v>0</v>
      </c>
    </row>
    <row r="391" spans="1:12" outlineLevel="1">
      <c r="A391" s="195">
        <v>44687</v>
      </c>
      <c r="B391" s="197">
        <v>0</v>
      </c>
      <c r="C391" s="196">
        <v>4990</v>
      </c>
      <c r="D391" s="198">
        <f t="shared" si="37"/>
        <v>1016966</v>
      </c>
      <c r="E391" s="334"/>
      <c r="F391" s="370"/>
      <c r="G391" s="371">
        <f t="shared" si="38"/>
        <v>0</v>
      </c>
      <c r="H391" s="200" t="s">
        <v>2466</v>
      </c>
      <c r="I391" s="200" t="s">
        <v>101</v>
      </c>
      <c r="J391" t="s">
        <v>3044</v>
      </c>
      <c r="K391">
        <f t="shared" si="39"/>
        <v>3550000</v>
      </c>
      <c r="L391">
        <f t="shared" si="40"/>
        <v>0</v>
      </c>
    </row>
    <row r="392" spans="1:12" outlineLevel="1">
      <c r="A392" s="147">
        <v>44691</v>
      </c>
      <c r="B392" s="149"/>
      <c r="C392" s="148">
        <v>120</v>
      </c>
      <c r="D392" s="150">
        <f t="shared" si="37"/>
        <v>1017086</v>
      </c>
      <c r="E392" s="333"/>
      <c r="F392" s="368"/>
      <c r="G392" s="369">
        <f t="shared" si="38"/>
        <v>0</v>
      </c>
      <c r="H392" s="152" t="s">
        <v>84</v>
      </c>
      <c r="I392" s="160"/>
      <c r="J392" t="s">
        <v>3044</v>
      </c>
      <c r="K392">
        <f t="shared" si="39"/>
        <v>3550000</v>
      </c>
      <c r="L392">
        <f t="shared" si="40"/>
        <v>0</v>
      </c>
    </row>
    <row r="393" spans="1:12" outlineLevel="1">
      <c r="A393" s="139">
        <v>44720</v>
      </c>
      <c r="B393" s="124"/>
      <c r="C393" s="123">
        <v>38331</v>
      </c>
      <c r="D393" s="146">
        <f t="shared" si="37"/>
        <v>1055417</v>
      </c>
      <c r="E393" s="331"/>
      <c r="F393" s="367"/>
      <c r="G393" s="364">
        <f t="shared" si="38"/>
        <v>0</v>
      </c>
      <c r="H393" s="65" t="s">
        <v>2445</v>
      </c>
      <c r="I393" s="65"/>
      <c r="J393" t="s">
        <v>3044</v>
      </c>
      <c r="K393">
        <f t="shared" si="39"/>
        <v>3550000</v>
      </c>
      <c r="L393">
        <f t="shared" si="40"/>
        <v>0</v>
      </c>
    </row>
    <row r="394" spans="1:12" outlineLevel="1">
      <c r="A394" s="139">
        <v>44720</v>
      </c>
      <c r="B394" s="124"/>
      <c r="C394" s="123">
        <v>105034</v>
      </c>
      <c r="D394" s="146">
        <f t="shared" ref="D394:D396" si="41">D393+C394-B394</f>
        <v>1160451</v>
      </c>
      <c r="E394" s="331"/>
      <c r="F394" s="367"/>
      <c r="G394" s="364">
        <f t="shared" si="38"/>
        <v>0</v>
      </c>
      <c r="H394" s="65" t="s">
        <v>2469</v>
      </c>
      <c r="I394" s="65"/>
      <c r="J394" t="s">
        <v>3044</v>
      </c>
      <c r="K394">
        <f t="shared" si="39"/>
        <v>3550000</v>
      </c>
      <c r="L394">
        <f t="shared" si="40"/>
        <v>0</v>
      </c>
    </row>
    <row r="395" spans="1:12" outlineLevel="1">
      <c r="A395" s="139">
        <v>44722</v>
      </c>
      <c r="B395" s="124"/>
      <c r="C395" s="123">
        <v>34995</v>
      </c>
      <c r="D395" s="146">
        <f t="shared" si="41"/>
        <v>1195446</v>
      </c>
      <c r="E395" s="331"/>
      <c r="F395" s="367"/>
      <c r="G395" s="364">
        <f t="shared" si="38"/>
        <v>0</v>
      </c>
      <c r="H395" s="65" t="s">
        <v>2445</v>
      </c>
      <c r="I395" s="65"/>
      <c r="J395" t="s">
        <v>3044</v>
      </c>
      <c r="K395">
        <f t="shared" si="39"/>
        <v>3550000</v>
      </c>
      <c r="L395">
        <f t="shared" si="40"/>
        <v>0</v>
      </c>
    </row>
    <row r="396" spans="1:12" outlineLevel="1">
      <c r="A396" s="139">
        <v>44726</v>
      </c>
      <c r="B396" s="124"/>
      <c r="C396" s="123">
        <v>66904</v>
      </c>
      <c r="D396" s="146">
        <f t="shared" si="41"/>
        <v>1262350</v>
      </c>
      <c r="E396" s="331"/>
      <c r="F396" s="367"/>
      <c r="G396" s="364">
        <f t="shared" si="38"/>
        <v>0</v>
      </c>
      <c r="H396" s="65" t="s">
        <v>2446</v>
      </c>
      <c r="I396" s="65"/>
      <c r="J396" t="s">
        <v>3044</v>
      </c>
      <c r="K396">
        <f t="shared" si="39"/>
        <v>3550000</v>
      </c>
      <c r="L396">
        <f t="shared" si="40"/>
        <v>0</v>
      </c>
    </row>
    <row r="397" spans="1:12" outlineLevel="1">
      <c r="A397" s="139">
        <v>44726</v>
      </c>
      <c r="B397" s="124"/>
      <c r="C397" s="123">
        <v>91495</v>
      </c>
      <c r="D397" s="146">
        <f t="shared" ref="D397:D428" si="42">D396+C397-B397</f>
        <v>1353845</v>
      </c>
      <c r="E397" s="331"/>
      <c r="F397" s="367"/>
      <c r="G397" s="364">
        <f t="shared" si="38"/>
        <v>0</v>
      </c>
      <c r="H397" s="65" t="s">
        <v>2434</v>
      </c>
      <c r="I397" s="65"/>
      <c r="J397" t="s">
        <v>3044</v>
      </c>
      <c r="K397">
        <f t="shared" si="39"/>
        <v>3550000</v>
      </c>
      <c r="L397">
        <f t="shared" si="40"/>
        <v>0</v>
      </c>
    </row>
    <row r="398" spans="1:12" outlineLevel="1">
      <c r="A398" s="153">
        <v>44733</v>
      </c>
      <c r="B398" s="155"/>
      <c r="C398" s="154">
        <v>348</v>
      </c>
      <c r="D398" s="156">
        <f t="shared" si="42"/>
        <v>1354193</v>
      </c>
      <c r="E398" s="332"/>
      <c r="F398" s="365"/>
      <c r="G398" s="366">
        <f t="shared" si="38"/>
        <v>0</v>
      </c>
      <c r="H398" s="158" t="s">
        <v>48</v>
      </c>
      <c r="I398" s="159"/>
      <c r="J398" t="s">
        <v>3044</v>
      </c>
      <c r="K398">
        <f t="shared" si="39"/>
        <v>3550000</v>
      </c>
      <c r="L398">
        <f t="shared" si="40"/>
        <v>0</v>
      </c>
    </row>
    <row r="399" spans="1:12" outlineLevel="1">
      <c r="A399" s="147">
        <v>44750</v>
      </c>
      <c r="B399" s="149"/>
      <c r="C399" s="148">
        <v>191</v>
      </c>
      <c r="D399" s="150">
        <f t="shared" si="42"/>
        <v>1354384</v>
      </c>
      <c r="E399" s="333"/>
      <c r="F399" s="368"/>
      <c r="G399" s="369">
        <f t="shared" si="38"/>
        <v>0</v>
      </c>
      <c r="H399" s="152" t="s">
        <v>84</v>
      </c>
      <c r="I399" s="160"/>
      <c r="J399" t="s">
        <v>3044</v>
      </c>
      <c r="K399">
        <f t="shared" si="39"/>
        <v>3550000</v>
      </c>
      <c r="L399">
        <f t="shared" si="40"/>
        <v>0</v>
      </c>
    </row>
    <row r="400" spans="1:12" outlineLevel="1">
      <c r="A400" s="195">
        <v>44750</v>
      </c>
      <c r="B400" s="197">
        <v>0</v>
      </c>
      <c r="C400" s="196">
        <v>3290</v>
      </c>
      <c r="D400" s="198">
        <f t="shared" si="42"/>
        <v>1357674</v>
      </c>
      <c r="E400" s="334"/>
      <c r="F400" s="370"/>
      <c r="G400" s="371">
        <f t="shared" si="38"/>
        <v>0</v>
      </c>
      <c r="H400" s="200" t="s">
        <v>2474</v>
      </c>
      <c r="I400" s="200" t="s">
        <v>101</v>
      </c>
      <c r="J400" t="s">
        <v>3044</v>
      </c>
      <c r="K400">
        <f t="shared" si="39"/>
        <v>3550000</v>
      </c>
      <c r="L400">
        <f t="shared" si="40"/>
        <v>0</v>
      </c>
    </row>
    <row r="401" spans="1:12" outlineLevel="1">
      <c r="A401" s="139">
        <v>44652</v>
      </c>
      <c r="B401" s="124"/>
      <c r="C401" s="123">
        <v>50476</v>
      </c>
      <c r="D401" s="146">
        <f t="shared" si="42"/>
        <v>1408150</v>
      </c>
      <c r="E401" s="331"/>
      <c r="F401" s="367"/>
      <c r="G401" s="364">
        <f t="shared" si="38"/>
        <v>0</v>
      </c>
      <c r="H401" s="65" t="s">
        <v>2475</v>
      </c>
      <c r="I401" s="65"/>
      <c r="J401" t="s">
        <v>3044</v>
      </c>
      <c r="K401">
        <f t="shared" si="39"/>
        <v>3550000</v>
      </c>
      <c r="L401">
        <f t="shared" si="40"/>
        <v>0</v>
      </c>
    </row>
    <row r="402" spans="1:12" outlineLevel="1">
      <c r="A402" s="195">
        <v>44757</v>
      </c>
      <c r="B402" s="197">
        <v>0</v>
      </c>
      <c r="C402" s="196">
        <v>2695</v>
      </c>
      <c r="D402" s="198">
        <f t="shared" si="42"/>
        <v>1410845</v>
      </c>
      <c r="E402" s="334"/>
      <c r="F402" s="370"/>
      <c r="G402" s="371">
        <f t="shared" si="38"/>
        <v>0</v>
      </c>
      <c r="H402" s="200" t="s">
        <v>2476</v>
      </c>
      <c r="I402" s="200" t="s">
        <v>101</v>
      </c>
      <c r="J402" t="s">
        <v>3044</v>
      </c>
      <c r="K402">
        <f t="shared" si="39"/>
        <v>3550000</v>
      </c>
      <c r="L402">
        <f t="shared" si="40"/>
        <v>0</v>
      </c>
    </row>
    <row r="403" spans="1:12" outlineLevel="1">
      <c r="A403" s="195">
        <v>44769</v>
      </c>
      <c r="B403" s="197">
        <v>0</v>
      </c>
      <c r="C403" s="196">
        <v>13801</v>
      </c>
      <c r="D403" s="198">
        <f t="shared" si="42"/>
        <v>1424646</v>
      </c>
      <c r="E403" s="334"/>
      <c r="F403" s="370"/>
      <c r="G403" s="371">
        <f t="shared" si="38"/>
        <v>0</v>
      </c>
      <c r="H403" s="200" t="s">
        <v>2387</v>
      </c>
      <c r="I403" s="200" t="s">
        <v>101</v>
      </c>
      <c r="J403" t="s">
        <v>3044</v>
      </c>
      <c r="K403">
        <f t="shared" si="39"/>
        <v>3550000</v>
      </c>
      <c r="L403">
        <f t="shared" si="40"/>
        <v>0</v>
      </c>
    </row>
    <row r="404" spans="1:12" outlineLevel="1">
      <c r="A404" s="195">
        <v>44771</v>
      </c>
      <c r="B404" s="197">
        <v>0</v>
      </c>
      <c r="C404" s="196">
        <v>12990</v>
      </c>
      <c r="D404" s="198">
        <f t="shared" si="42"/>
        <v>1437636</v>
      </c>
      <c r="E404" s="334"/>
      <c r="F404" s="370"/>
      <c r="G404" s="371">
        <f t="shared" si="38"/>
        <v>0</v>
      </c>
      <c r="H404" s="200" t="s">
        <v>2477</v>
      </c>
      <c r="I404" s="200" t="s">
        <v>101</v>
      </c>
      <c r="J404" t="s">
        <v>3044</v>
      </c>
      <c r="K404">
        <f t="shared" si="39"/>
        <v>3550000</v>
      </c>
      <c r="L404">
        <f t="shared" si="40"/>
        <v>0</v>
      </c>
    </row>
    <row r="405" spans="1:12" outlineLevel="1">
      <c r="A405" s="195">
        <v>44771</v>
      </c>
      <c r="B405" s="197">
        <v>0</v>
      </c>
      <c r="C405" s="196">
        <v>3990</v>
      </c>
      <c r="D405" s="198">
        <f t="shared" si="42"/>
        <v>1441626</v>
      </c>
      <c r="E405" s="334"/>
      <c r="F405" s="370"/>
      <c r="G405" s="371">
        <f t="shared" si="38"/>
        <v>0</v>
      </c>
      <c r="H405" s="200" t="s">
        <v>2393</v>
      </c>
      <c r="I405" s="200" t="s">
        <v>101</v>
      </c>
      <c r="J405" t="s">
        <v>3044</v>
      </c>
      <c r="K405">
        <f t="shared" si="39"/>
        <v>3550000</v>
      </c>
      <c r="L405">
        <f t="shared" si="40"/>
        <v>0</v>
      </c>
    </row>
    <row r="406" spans="1:12" outlineLevel="1">
      <c r="A406" s="195">
        <v>44778</v>
      </c>
      <c r="B406" s="197">
        <v>0</v>
      </c>
      <c r="C406" s="196">
        <v>2790</v>
      </c>
      <c r="D406" s="198">
        <f t="shared" si="42"/>
        <v>1444416</v>
      </c>
      <c r="E406" s="334"/>
      <c r="F406" s="370"/>
      <c r="G406" s="371">
        <f t="shared" si="38"/>
        <v>0</v>
      </c>
      <c r="H406" s="200" t="s">
        <v>2480</v>
      </c>
      <c r="I406" s="200" t="s">
        <v>101</v>
      </c>
      <c r="J406" t="s">
        <v>3044</v>
      </c>
      <c r="K406">
        <f t="shared" si="39"/>
        <v>3550000</v>
      </c>
      <c r="L406">
        <f t="shared" si="40"/>
        <v>0</v>
      </c>
    </row>
    <row r="407" spans="1:12" outlineLevel="1">
      <c r="A407" s="195">
        <v>44778</v>
      </c>
      <c r="B407" s="197">
        <v>0</v>
      </c>
      <c r="C407" s="196">
        <v>1000</v>
      </c>
      <c r="D407" s="198">
        <f t="shared" si="42"/>
        <v>1445416</v>
      </c>
      <c r="E407" s="334"/>
      <c r="F407" s="370"/>
      <c r="G407" s="371">
        <f t="shared" si="38"/>
        <v>0</v>
      </c>
      <c r="H407" s="200" t="s">
        <v>2385</v>
      </c>
      <c r="I407" s="200" t="s">
        <v>101</v>
      </c>
      <c r="J407" t="s">
        <v>3044</v>
      </c>
      <c r="K407">
        <f t="shared" si="39"/>
        <v>3550000</v>
      </c>
      <c r="L407">
        <f t="shared" si="40"/>
        <v>0</v>
      </c>
    </row>
    <row r="408" spans="1:12" outlineLevel="1">
      <c r="A408" s="147">
        <v>44783</v>
      </c>
      <c r="B408" s="149"/>
      <c r="C408" s="148">
        <v>28</v>
      </c>
      <c r="D408" s="150">
        <f t="shared" si="42"/>
        <v>1445444</v>
      </c>
      <c r="E408" s="333"/>
      <c r="F408" s="368"/>
      <c r="G408" s="369">
        <f t="shared" si="38"/>
        <v>0</v>
      </c>
      <c r="H408" s="152" t="s">
        <v>84</v>
      </c>
      <c r="I408" s="160"/>
      <c r="J408" t="s">
        <v>3044</v>
      </c>
      <c r="K408">
        <f t="shared" si="39"/>
        <v>3550000</v>
      </c>
      <c r="L408">
        <f t="shared" si="40"/>
        <v>0</v>
      </c>
    </row>
    <row r="409" spans="1:12" outlineLevel="1">
      <c r="A409" s="195">
        <v>44783</v>
      </c>
      <c r="B409" s="197">
        <v>0</v>
      </c>
      <c r="C409" s="196">
        <v>1044</v>
      </c>
      <c r="D409" s="198">
        <f t="shared" si="42"/>
        <v>1446488</v>
      </c>
      <c r="E409" s="334"/>
      <c r="F409" s="370"/>
      <c r="G409" s="371">
        <f t="shared" si="38"/>
        <v>0</v>
      </c>
      <c r="H409" s="200" t="s">
        <v>2392</v>
      </c>
      <c r="I409" s="200" t="s">
        <v>101</v>
      </c>
      <c r="J409" t="s">
        <v>3044</v>
      </c>
      <c r="K409">
        <f t="shared" si="39"/>
        <v>3550000</v>
      </c>
      <c r="L409">
        <f t="shared" si="40"/>
        <v>0</v>
      </c>
    </row>
    <row r="410" spans="1:12" outlineLevel="1">
      <c r="A410" s="195">
        <v>44785</v>
      </c>
      <c r="B410" s="197">
        <v>0</v>
      </c>
      <c r="C410" s="196">
        <v>50403</v>
      </c>
      <c r="D410" s="198">
        <f t="shared" si="42"/>
        <v>1496891</v>
      </c>
      <c r="E410" s="334"/>
      <c r="F410" s="370"/>
      <c r="G410" s="371">
        <f t="shared" si="38"/>
        <v>0</v>
      </c>
      <c r="H410" s="200" t="s">
        <v>2363</v>
      </c>
      <c r="I410" s="200" t="s">
        <v>101</v>
      </c>
      <c r="J410" t="s">
        <v>3044</v>
      </c>
      <c r="K410">
        <f t="shared" si="39"/>
        <v>3550000</v>
      </c>
      <c r="L410">
        <f t="shared" si="40"/>
        <v>0</v>
      </c>
    </row>
    <row r="411" spans="1:12" outlineLevel="1">
      <c r="A411" s="195">
        <v>44797</v>
      </c>
      <c r="B411" s="197">
        <v>0</v>
      </c>
      <c r="C411" s="196">
        <v>15826</v>
      </c>
      <c r="D411" s="198">
        <f t="shared" si="42"/>
        <v>1512717</v>
      </c>
      <c r="E411" s="334"/>
      <c r="F411" s="370"/>
      <c r="G411" s="371">
        <f t="shared" si="38"/>
        <v>0</v>
      </c>
      <c r="H411" s="200" t="s">
        <v>2487</v>
      </c>
      <c r="I411" s="200" t="s">
        <v>101</v>
      </c>
      <c r="J411" t="s">
        <v>3044</v>
      </c>
      <c r="K411">
        <f t="shared" si="39"/>
        <v>3550000</v>
      </c>
      <c r="L411">
        <f t="shared" si="40"/>
        <v>0</v>
      </c>
    </row>
    <row r="412" spans="1:12" outlineLevel="1">
      <c r="A412" s="195">
        <v>44798</v>
      </c>
      <c r="B412" s="197">
        <v>0</v>
      </c>
      <c r="C412" s="196">
        <v>990</v>
      </c>
      <c r="D412" s="198">
        <f t="shared" si="42"/>
        <v>1513707</v>
      </c>
      <c r="E412" s="334"/>
      <c r="F412" s="370"/>
      <c r="G412" s="371">
        <f t="shared" si="38"/>
        <v>0</v>
      </c>
      <c r="H412" s="200" t="s">
        <v>2489</v>
      </c>
      <c r="I412" s="200" t="s">
        <v>101</v>
      </c>
      <c r="J412" t="s">
        <v>3044</v>
      </c>
      <c r="K412">
        <f t="shared" si="39"/>
        <v>3550000</v>
      </c>
      <c r="L412">
        <f t="shared" si="40"/>
        <v>0</v>
      </c>
    </row>
    <row r="413" spans="1:12" outlineLevel="1">
      <c r="A413" s="195">
        <v>44798</v>
      </c>
      <c r="B413" s="197">
        <v>0</v>
      </c>
      <c r="C413" s="196">
        <v>9293</v>
      </c>
      <c r="D413" s="198">
        <f t="shared" si="42"/>
        <v>1523000</v>
      </c>
      <c r="E413" s="334"/>
      <c r="F413" s="370"/>
      <c r="G413" s="371">
        <f t="shared" si="38"/>
        <v>0</v>
      </c>
      <c r="H413" s="200" t="s">
        <v>2362</v>
      </c>
      <c r="I413" s="200" t="s">
        <v>101</v>
      </c>
      <c r="J413" t="s">
        <v>3044</v>
      </c>
      <c r="K413">
        <f t="shared" si="39"/>
        <v>3550000</v>
      </c>
      <c r="L413">
        <f t="shared" si="40"/>
        <v>0</v>
      </c>
    </row>
    <row r="414" spans="1:12" outlineLevel="1">
      <c r="A414" s="195">
        <v>44804</v>
      </c>
      <c r="B414" s="197">
        <v>0</v>
      </c>
      <c r="C414" s="196">
        <v>5390</v>
      </c>
      <c r="D414" s="198">
        <f t="shared" si="42"/>
        <v>1528390</v>
      </c>
      <c r="E414" s="334"/>
      <c r="F414" s="370"/>
      <c r="G414" s="371">
        <f t="shared" si="38"/>
        <v>0</v>
      </c>
      <c r="H414" s="200" t="s">
        <v>2490</v>
      </c>
      <c r="I414" s="200" t="s">
        <v>101</v>
      </c>
      <c r="J414" t="s">
        <v>3044</v>
      </c>
      <c r="K414">
        <f t="shared" si="39"/>
        <v>3550000</v>
      </c>
      <c r="L414">
        <f t="shared" si="40"/>
        <v>0</v>
      </c>
    </row>
    <row r="415" spans="1:12" outlineLevel="1">
      <c r="A415" s="195">
        <v>44817</v>
      </c>
      <c r="B415" s="197">
        <v>0</v>
      </c>
      <c r="C415" s="196">
        <v>990</v>
      </c>
      <c r="D415" s="198">
        <f t="shared" si="42"/>
        <v>1529380</v>
      </c>
      <c r="E415" s="334"/>
      <c r="F415" s="370"/>
      <c r="G415" s="371">
        <f t="shared" si="38"/>
        <v>0</v>
      </c>
      <c r="H415" s="200" t="s">
        <v>2494</v>
      </c>
      <c r="I415" s="200" t="s">
        <v>101</v>
      </c>
      <c r="J415" t="s">
        <v>3044</v>
      </c>
      <c r="K415">
        <f t="shared" si="39"/>
        <v>3550000</v>
      </c>
      <c r="L415">
        <f t="shared" si="40"/>
        <v>0</v>
      </c>
    </row>
    <row r="416" spans="1:12" outlineLevel="1">
      <c r="A416" s="139">
        <v>44819</v>
      </c>
      <c r="B416" s="124">
        <v>20070</v>
      </c>
      <c r="C416" s="123">
        <v>20050</v>
      </c>
      <c r="D416" s="146">
        <f t="shared" si="42"/>
        <v>1529360</v>
      </c>
      <c r="E416" s="331"/>
      <c r="F416" s="367"/>
      <c r="G416" s="364">
        <f t="shared" si="38"/>
        <v>0</v>
      </c>
      <c r="H416" s="65" t="s">
        <v>143</v>
      </c>
      <c r="I416" s="65"/>
      <c r="J416" t="s">
        <v>3044</v>
      </c>
      <c r="K416">
        <f t="shared" si="39"/>
        <v>3550000</v>
      </c>
      <c r="L416">
        <f t="shared" si="40"/>
        <v>0</v>
      </c>
    </row>
    <row r="417" spans="1:12" outlineLevel="1">
      <c r="A417" s="139">
        <v>44819</v>
      </c>
      <c r="B417" s="124">
        <v>100070</v>
      </c>
      <c r="C417" s="123">
        <v>100050</v>
      </c>
      <c r="D417" s="146">
        <f t="shared" si="42"/>
        <v>1529340</v>
      </c>
      <c r="E417" s="331"/>
      <c r="F417" s="367"/>
      <c r="G417" s="364">
        <f t="shared" si="38"/>
        <v>0</v>
      </c>
      <c r="H417" s="65" t="s">
        <v>2495</v>
      </c>
      <c r="I417" s="65"/>
      <c r="J417" t="s">
        <v>3044</v>
      </c>
      <c r="K417">
        <f t="shared" si="39"/>
        <v>3550000</v>
      </c>
      <c r="L417">
        <f t="shared" si="40"/>
        <v>0</v>
      </c>
    </row>
    <row r="418" spans="1:12" outlineLevel="1">
      <c r="A418" s="195">
        <v>44825</v>
      </c>
      <c r="B418" s="197">
        <v>0</v>
      </c>
      <c r="C418" s="196">
        <v>1574</v>
      </c>
      <c r="D418" s="198">
        <f t="shared" si="42"/>
        <v>1530914</v>
      </c>
      <c r="E418" s="334"/>
      <c r="F418" s="370"/>
      <c r="G418" s="371">
        <f t="shared" si="38"/>
        <v>0</v>
      </c>
      <c r="H418" s="200" t="s">
        <v>2364</v>
      </c>
      <c r="I418" s="200" t="s">
        <v>101</v>
      </c>
      <c r="J418" t="s">
        <v>3044</v>
      </c>
      <c r="K418">
        <f t="shared" si="39"/>
        <v>3550000</v>
      </c>
      <c r="L418">
        <f t="shared" si="40"/>
        <v>0</v>
      </c>
    </row>
    <row r="419" spans="1:12" outlineLevel="1">
      <c r="A419" s="195">
        <v>44845</v>
      </c>
      <c r="B419" s="197">
        <v>0</v>
      </c>
      <c r="C419" s="196">
        <v>2000</v>
      </c>
      <c r="D419" s="198">
        <f t="shared" si="42"/>
        <v>1532914</v>
      </c>
      <c r="E419" s="334"/>
      <c r="F419" s="370"/>
      <c r="G419" s="371">
        <f t="shared" si="38"/>
        <v>0</v>
      </c>
      <c r="H419" s="200" t="s">
        <v>2496</v>
      </c>
      <c r="I419" s="200" t="s">
        <v>2461</v>
      </c>
      <c r="J419" t="s">
        <v>3044</v>
      </c>
      <c r="K419">
        <f t="shared" si="39"/>
        <v>3550000</v>
      </c>
      <c r="L419">
        <f t="shared" si="40"/>
        <v>0</v>
      </c>
    </row>
    <row r="420" spans="1:12" outlineLevel="1">
      <c r="A420" s="195">
        <v>44845</v>
      </c>
      <c r="B420" s="197">
        <v>0</v>
      </c>
      <c r="C420" s="196">
        <v>940</v>
      </c>
      <c r="D420" s="198">
        <f t="shared" si="42"/>
        <v>1533854</v>
      </c>
      <c r="E420" s="334"/>
      <c r="F420" s="370"/>
      <c r="G420" s="371">
        <f t="shared" si="38"/>
        <v>0</v>
      </c>
      <c r="H420" s="200" t="s">
        <v>2497</v>
      </c>
      <c r="I420" s="200" t="s">
        <v>2461</v>
      </c>
      <c r="J420" t="s">
        <v>3044</v>
      </c>
      <c r="K420">
        <f t="shared" si="39"/>
        <v>3550000</v>
      </c>
      <c r="L420">
        <f t="shared" si="40"/>
        <v>0</v>
      </c>
    </row>
    <row r="421" spans="1:12" outlineLevel="1">
      <c r="A421" s="153">
        <v>44916</v>
      </c>
      <c r="B421" s="155"/>
      <c r="C421" s="154">
        <v>1869</v>
      </c>
      <c r="D421" s="156">
        <f t="shared" si="42"/>
        <v>1535723</v>
      </c>
      <c r="E421" s="332"/>
      <c r="F421" s="365"/>
      <c r="G421" s="366">
        <f t="shared" si="38"/>
        <v>0</v>
      </c>
      <c r="H421" s="158" t="s">
        <v>48</v>
      </c>
      <c r="I421" s="159"/>
      <c r="J421" t="s">
        <v>3044</v>
      </c>
      <c r="K421">
        <f t="shared" si="39"/>
        <v>3550000</v>
      </c>
      <c r="L421">
        <f t="shared" si="40"/>
        <v>0</v>
      </c>
    </row>
    <row r="422" spans="1:12" outlineLevel="1">
      <c r="A422" s="139">
        <v>44926</v>
      </c>
      <c r="B422" s="124">
        <v>860</v>
      </c>
      <c r="C422" s="123"/>
      <c r="D422" s="146">
        <f t="shared" si="42"/>
        <v>1534863</v>
      </c>
      <c r="E422" s="331"/>
      <c r="F422" s="367"/>
      <c r="G422" s="364">
        <f t="shared" si="38"/>
        <v>0</v>
      </c>
      <c r="H422" s="65" t="s">
        <v>57</v>
      </c>
      <c r="I422" s="65"/>
      <c r="J422" t="s">
        <v>3044</v>
      </c>
      <c r="K422">
        <f t="shared" si="39"/>
        <v>3550000</v>
      </c>
      <c r="L422">
        <f t="shared" si="40"/>
        <v>0</v>
      </c>
    </row>
    <row r="423" spans="1:12">
      <c r="A423" s="195">
        <v>44932</v>
      </c>
      <c r="B423" s="197">
        <v>0</v>
      </c>
      <c r="C423" s="196">
        <v>10267</v>
      </c>
      <c r="D423" s="198">
        <f t="shared" si="42"/>
        <v>1545130</v>
      </c>
      <c r="E423" s="334"/>
      <c r="F423" s="370"/>
      <c r="G423" s="371">
        <f t="shared" si="38"/>
        <v>0</v>
      </c>
      <c r="H423" s="200" t="s">
        <v>2477</v>
      </c>
      <c r="I423" s="200" t="s">
        <v>101</v>
      </c>
      <c r="J423" t="s">
        <v>3044</v>
      </c>
      <c r="K423">
        <f t="shared" si="39"/>
        <v>3550000</v>
      </c>
      <c r="L423">
        <f t="shared" si="40"/>
        <v>0</v>
      </c>
    </row>
    <row r="424" spans="1:12" outlineLevel="1">
      <c r="A424" s="139">
        <v>45008</v>
      </c>
      <c r="B424" s="124">
        <v>140</v>
      </c>
      <c r="C424" s="123"/>
      <c r="D424" s="146">
        <f t="shared" si="42"/>
        <v>1544990</v>
      </c>
      <c r="E424" s="331"/>
      <c r="F424" s="367"/>
      <c r="G424" s="364">
        <f t="shared" si="38"/>
        <v>0</v>
      </c>
      <c r="H424" s="65"/>
      <c r="I424" s="65"/>
      <c r="J424" t="s">
        <v>3044</v>
      </c>
      <c r="K424">
        <f t="shared" si="39"/>
        <v>3550000</v>
      </c>
      <c r="L424">
        <f t="shared" si="40"/>
        <v>0</v>
      </c>
    </row>
    <row r="425" spans="1:12" outlineLevel="1">
      <c r="A425" s="139">
        <v>45008</v>
      </c>
      <c r="B425" s="124"/>
      <c r="C425" s="123">
        <v>36091</v>
      </c>
      <c r="D425" s="146">
        <f t="shared" si="42"/>
        <v>1581081</v>
      </c>
      <c r="E425" s="331"/>
      <c r="F425" s="367"/>
      <c r="G425" s="364">
        <f t="shared" si="38"/>
        <v>0</v>
      </c>
      <c r="H425" s="65" t="s">
        <v>2505</v>
      </c>
      <c r="I425" s="65"/>
      <c r="J425" t="s">
        <v>3044</v>
      </c>
      <c r="K425">
        <f t="shared" si="39"/>
        <v>3550000</v>
      </c>
      <c r="L425">
        <f t="shared" si="40"/>
        <v>0</v>
      </c>
    </row>
    <row r="426" spans="1:12" outlineLevel="1">
      <c r="A426" s="139">
        <v>45009</v>
      </c>
      <c r="B426" s="124"/>
      <c r="C426" s="123">
        <v>43806</v>
      </c>
      <c r="D426" s="146">
        <f t="shared" si="42"/>
        <v>1624887</v>
      </c>
      <c r="E426" s="331"/>
      <c r="F426" s="367"/>
      <c r="G426" s="364">
        <f t="shared" si="38"/>
        <v>0</v>
      </c>
      <c r="H426" s="65" t="s">
        <v>2505</v>
      </c>
      <c r="I426" s="65"/>
      <c r="J426" t="s">
        <v>3044</v>
      </c>
      <c r="K426">
        <f t="shared" si="39"/>
        <v>3550000</v>
      </c>
      <c r="L426">
        <f t="shared" si="40"/>
        <v>0</v>
      </c>
    </row>
    <row r="427" spans="1:12" outlineLevel="1">
      <c r="A427" s="139">
        <v>45013</v>
      </c>
      <c r="B427" s="124">
        <v>55178</v>
      </c>
      <c r="C427" s="123"/>
      <c r="D427" s="146">
        <f t="shared" si="42"/>
        <v>1569709</v>
      </c>
      <c r="E427" s="331"/>
      <c r="F427" s="367"/>
      <c r="G427" s="364">
        <f t="shared" si="38"/>
        <v>0</v>
      </c>
      <c r="H427" s="65" t="s">
        <v>2506</v>
      </c>
      <c r="I427" s="65"/>
      <c r="J427" t="s">
        <v>3044</v>
      </c>
      <c r="K427">
        <f t="shared" si="39"/>
        <v>3550000</v>
      </c>
      <c r="L427">
        <f t="shared" si="40"/>
        <v>0</v>
      </c>
    </row>
    <row r="428" spans="1:12" outlineLevel="1">
      <c r="A428" s="147">
        <v>45026</v>
      </c>
      <c r="B428" s="149"/>
      <c r="C428" s="148">
        <v>75</v>
      </c>
      <c r="D428" s="150">
        <f t="shared" si="42"/>
        <v>1569784</v>
      </c>
      <c r="E428" s="333"/>
      <c r="F428" s="368"/>
      <c r="G428" s="369">
        <f t="shared" si="38"/>
        <v>0</v>
      </c>
      <c r="H428" s="152" t="s">
        <v>84</v>
      </c>
      <c r="I428" s="152"/>
      <c r="J428" t="s">
        <v>3044</v>
      </c>
      <c r="K428">
        <f t="shared" si="39"/>
        <v>3550000</v>
      </c>
      <c r="L428">
        <f t="shared" si="40"/>
        <v>0</v>
      </c>
    </row>
    <row r="429" spans="1:12" outlineLevel="1">
      <c r="A429" s="139">
        <v>45030</v>
      </c>
      <c r="B429" s="124"/>
      <c r="C429" s="123">
        <v>51870</v>
      </c>
      <c r="D429" s="146">
        <f t="shared" ref="D429:D460" si="43">D428+C429-B429</f>
        <v>1621654</v>
      </c>
      <c r="E429" s="331"/>
      <c r="F429" s="367"/>
      <c r="G429" s="364">
        <f t="shared" si="38"/>
        <v>0</v>
      </c>
      <c r="H429" s="65" t="s">
        <v>2506</v>
      </c>
      <c r="I429" s="65"/>
      <c r="J429" t="s">
        <v>3044</v>
      </c>
      <c r="K429">
        <f t="shared" si="39"/>
        <v>3550000</v>
      </c>
      <c r="L429">
        <f t="shared" si="40"/>
        <v>0</v>
      </c>
    </row>
    <row r="430" spans="1:12" outlineLevel="1">
      <c r="A430" s="195">
        <v>45030</v>
      </c>
      <c r="B430" s="197"/>
      <c r="C430" s="196">
        <v>641</v>
      </c>
      <c r="D430" s="198">
        <f t="shared" si="43"/>
        <v>1622295</v>
      </c>
      <c r="E430" s="334"/>
      <c r="F430" s="370"/>
      <c r="G430" s="371">
        <f t="shared" si="38"/>
        <v>0</v>
      </c>
      <c r="H430" s="200" t="s">
        <v>2364</v>
      </c>
      <c r="I430" s="200" t="s">
        <v>101</v>
      </c>
      <c r="J430" t="s">
        <v>3044</v>
      </c>
      <c r="K430">
        <f t="shared" si="39"/>
        <v>3550000</v>
      </c>
      <c r="L430">
        <f t="shared" si="40"/>
        <v>0</v>
      </c>
    </row>
    <row r="431" spans="1:12" outlineLevel="1">
      <c r="A431" s="195">
        <v>45042</v>
      </c>
      <c r="B431" s="197"/>
      <c r="C431" s="196">
        <v>3059</v>
      </c>
      <c r="D431" s="198">
        <f t="shared" si="43"/>
        <v>1625354</v>
      </c>
      <c r="E431" s="334"/>
      <c r="F431" s="370"/>
      <c r="G431" s="371">
        <f t="shared" si="38"/>
        <v>0</v>
      </c>
      <c r="H431" s="200" t="s">
        <v>2387</v>
      </c>
      <c r="I431" s="200" t="s">
        <v>101</v>
      </c>
      <c r="J431" t="s">
        <v>3044</v>
      </c>
      <c r="K431">
        <f t="shared" si="39"/>
        <v>3550000</v>
      </c>
      <c r="L431">
        <f t="shared" si="40"/>
        <v>0</v>
      </c>
    </row>
    <row r="432" spans="1:12" outlineLevel="1">
      <c r="A432" s="195">
        <v>45042</v>
      </c>
      <c r="B432" s="197"/>
      <c r="C432" s="196">
        <v>1180</v>
      </c>
      <c r="D432" s="198">
        <f t="shared" si="43"/>
        <v>1626534</v>
      </c>
      <c r="E432" s="334"/>
      <c r="F432" s="370"/>
      <c r="G432" s="371">
        <f t="shared" si="38"/>
        <v>0</v>
      </c>
      <c r="H432" s="200" t="s">
        <v>2463</v>
      </c>
      <c r="I432" s="200" t="s">
        <v>101</v>
      </c>
      <c r="J432" t="s">
        <v>3044</v>
      </c>
      <c r="K432">
        <f t="shared" si="39"/>
        <v>3550000</v>
      </c>
      <c r="L432">
        <f t="shared" si="40"/>
        <v>0</v>
      </c>
    </row>
    <row r="433" spans="1:12" outlineLevel="1">
      <c r="A433" s="195">
        <v>45043</v>
      </c>
      <c r="B433" s="197"/>
      <c r="C433" s="196">
        <v>3990</v>
      </c>
      <c r="D433" s="198">
        <f t="shared" si="43"/>
        <v>1630524</v>
      </c>
      <c r="E433" s="334"/>
      <c r="F433" s="370"/>
      <c r="G433" s="371">
        <f t="shared" si="38"/>
        <v>0</v>
      </c>
      <c r="H433" s="200" t="s">
        <v>2466</v>
      </c>
      <c r="I433" s="200" t="s">
        <v>101</v>
      </c>
      <c r="J433" t="s">
        <v>3044</v>
      </c>
      <c r="K433">
        <f t="shared" si="39"/>
        <v>3550000</v>
      </c>
      <c r="L433">
        <f t="shared" si="40"/>
        <v>0</v>
      </c>
    </row>
    <row r="434" spans="1:12" outlineLevel="1">
      <c r="A434" s="147">
        <v>45051</v>
      </c>
      <c r="B434" s="149"/>
      <c r="C434" s="148">
        <v>29</v>
      </c>
      <c r="D434" s="150">
        <f t="shared" si="43"/>
        <v>1630553</v>
      </c>
      <c r="E434" s="333"/>
      <c r="F434" s="368"/>
      <c r="G434" s="369">
        <f t="shared" si="38"/>
        <v>0</v>
      </c>
      <c r="H434" s="152" t="s">
        <v>84</v>
      </c>
      <c r="I434" s="152"/>
      <c r="J434" t="s">
        <v>3044</v>
      </c>
      <c r="K434">
        <f t="shared" si="39"/>
        <v>3550000</v>
      </c>
      <c r="L434">
        <f t="shared" si="40"/>
        <v>0</v>
      </c>
    </row>
    <row r="435" spans="1:12" outlineLevel="1">
      <c r="A435" s="153">
        <v>45098</v>
      </c>
      <c r="B435" s="155"/>
      <c r="C435" s="154">
        <v>3915</v>
      </c>
      <c r="D435" s="156">
        <f t="shared" si="43"/>
        <v>1634468</v>
      </c>
      <c r="E435" s="332"/>
      <c r="F435" s="365"/>
      <c r="G435" s="366">
        <f t="shared" si="38"/>
        <v>0</v>
      </c>
      <c r="H435" s="158" t="s">
        <v>48</v>
      </c>
      <c r="I435" s="159"/>
      <c r="J435" t="s">
        <v>3044</v>
      </c>
      <c r="K435">
        <f t="shared" si="39"/>
        <v>3550000</v>
      </c>
      <c r="L435">
        <f t="shared" si="40"/>
        <v>0</v>
      </c>
    </row>
    <row r="436" spans="1:12" outlineLevel="1">
      <c r="A436" s="139">
        <v>45105</v>
      </c>
      <c r="B436" s="124">
        <v>74105</v>
      </c>
      <c r="C436" s="123"/>
      <c r="D436" s="146">
        <f t="shared" si="43"/>
        <v>1560363</v>
      </c>
      <c r="E436" s="331"/>
      <c r="F436" s="367"/>
      <c r="G436" s="364">
        <f t="shared" si="38"/>
        <v>0</v>
      </c>
      <c r="H436" s="65" t="s">
        <v>2507</v>
      </c>
      <c r="I436" s="65"/>
      <c r="J436" t="s">
        <v>3044</v>
      </c>
      <c r="K436">
        <f t="shared" si="39"/>
        <v>3550000</v>
      </c>
      <c r="L436">
        <f t="shared" si="40"/>
        <v>0</v>
      </c>
    </row>
    <row r="437" spans="1:12" outlineLevel="1">
      <c r="A437" s="139">
        <v>45105</v>
      </c>
      <c r="B437" s="124">
        <v>47167</v>
      </c>
      <c r="C437" s="123"/>
      <c r="D437" s="146">
        <f t="shared" si="43"/>
        <v>1513196</v>
      </c>
      <c r="E437" s="331"/>
      <c r="F437" s="367"/>
      <c r="G437" s="364">
        <f t="shared" si="38"/>
        <v>0</v>
      </c>
      <c r="H437" s="65" t="s">
        <v>2508</v>
      </c>
      <c r="I437" s="65"/>
      <c r="J437" t="s">
        <v>3044</v>
      </c>
      <c r="K437">
        <f t="shared" si="39"/>
        <v>3550000</v>
      </c>
      <c r="L437">
        <f t="shared" si="40"/>
        <v>0</v>
      </c>
    </row>
    <row r="438" spans="1:12" outlineLevel="1">
      <c r="A438" s="139">
        <v>45105</v>
      </c>
      <c r="B438" s="124">
        <v>46866</v>
      </c>
      <c r="C438" s="123"/>
      <c r="D438" s="146">
        <f t="shared" si="43"/>
        <v>1466330</v>
      </c>
      <c r="E438" s="331"/>
      <c r="F438" s="367"/>
      <c r="G438" s="364">
        <f t="shared" si="38"/>
        <v>0</v>
      </c>
      <c r="H438" s="65" t="s">
        <v>2509</v>
      </c>
      <c r="I438" s="65"/>
      <c r="J438" t="s">
        <v>3044</v>
      </c>
      <c r="K438">
        <f t="shared" si="39"/>
        <v>3550000</v>
      </c>
      <c r="L438">
        <f t="shared" si="40"/>
        <v>0</v>
      </c>
    </row>
    <row r="439" spans="1:12" outlineLevel="1">
      <c r="A439" s="139">
        <v>45106</v>
      </c>
      <c r="B439" s="124">
        <v>42810</v>
      </c>
      <c r="C439" s="123"/>
      <c r="D439" s="146">
        <f t="shared" si="43"/>
        <v>1423520</v>
      </c>
      <c r="E439" s="331"/>
      <c r="F439" s="367"/>
      <c r="G439" s="364">
        <f t="shared" si="38"/>
        <v>0</v>
      </c>
      <c r="H439" s="65" t="s">
        <v>2510</v>
      </c>
      <c r="I439" s="65"/>
      <c r="J439" t="s">
        <v>3044</v>
      </c>
      <c r="K439">
        <f t="shared" si="39"/>
        <v>3550000</v>
      </c>
      <c r="L439">
        <f t="shared" si="40"/>
        <v>0</v>
      </c>
    </row>
    <row r="440" spans="1:12" outlineLevel="1">
      <c r="A440" s="139">
        <v>45106</v>
      </c>
      <c r="B440" s="124"/>
      <c r="C440" s="123">
        <v>57944</v>
      </c>
      <c r="D440" s="146">
        <f t="shared" si="43"/>
        <v>1481464</v>
      </c>
      <c r="E440" s="331"/>
      <c r="F440" s="367"/>
      <c r="G440" s="364">
        <f t="shared" si="38"/>
        <v>0</v>
      </c>
      <c r="H440" s="65" t="s">
        <v>1531</v>
      </c>
      <c r="I440" s="65"/>
      <c r="J440" t="s">
        <v>3044</v>
      </c>
      <c r="K440">
        <f t="shared" si="39"/>
        <v>3550000</v>
      </c>
      <c r="L440">
        <f t="shared" si="40"/>
        <v>0</v>
      </c>
    </row>
    <row r="441" spans="1:12" outlineLevel="1">
      <c r="A441" s="147">
        <v>45112</v>
      </c>
      <c r="B441" s="149"/>
      <c r="C441" s="148">
        <v>150</v>
      </c>
      <c r="D441" s="150">
        <f t="shared" si="43"/>
        <v>1481614</v>
      </c>
      <c r="E441" s="333"/>
      <c r="F441" s="368"/>
      <c r="G441" s="369">
        <f t="shared" si="38"/>
        <v>0</v>
      </c>
      <c r="H441" s="152" t="s">
        <v>84</v>
      </c>
      <c r="I441" s="152"/>
      <c r="J441" t="s">
        <v>3044</v>
      </c>
      <c r="K441">
        <f t="shared" si="39"/>
        <v>3550000</v>
      </c>
      <c r="L441">
        <f t="shared" si="40"/>
        <v>0</v>
      </c>
    </row>
    <row r="442" spans="1:12" outlineLevel="1">
      <c r="A442" s="139">
        <v>45117</v>
      </c>
      <c r="B442" s="124"/>
      <c r="C442" s="123">
        <v>44553</v>
      </c>
      <c r="D442" s="146">
        <f t="shared" si="43"/>
        <v>1526167</v>
      </c>
      <c r="E442" s="331"/>
      <c r="F442" s="367"/>
      <c r="G442" s="364">
        <f t="shared" si="38"/>
        <v>0</v>
      </c>
      <c r="H442" s="65" t="s">
        <v>2509</v>
      </c>
      <c r="I442" s="65"/>
      <c r="J442" t="s">
        <v>3044</v>
      </c>
      <c r="K442">
        <f t="shared" si="39"/>
        <v>3550000</v>
      </c>
      <c r="L442">
        <f t="shared" si="40"/>
        <v>0</v>
      </c>
    </row>
    <row r="443" spans="1:12" outlineLevel="1">
      <c r="A443" s="139">
        <v>45119</v>
      </c>
      <c r="B443" s="124"/>
      <c r="C443" s="123">
        <v>16428</v>
      </c>
      <c r="D443" s="146">
        <f t="shared" si="43"/>
        <v>1542595</v>
      </c>
      <c r="E443" s="331"/>
      <c r="F443" s="367"/>
      <c r="G443" s="364">
        <f t="shared" si="38"/>
        <v>0</v>
      </c>
      <c r="H443" s="65" t="s">
        <v>2508</v>
      </c>
      <c r="I443" s="65"/>
      <c r="J443" t="s">
        <v>3044</v>
      </c>
      <c r="K443">
        <f t="shared" si="39"/>
        <v>3550000</v>
      </c>
      <c r="L443">
        <f t="shared" si="40"/>
        <v>0</v>
      </c>
    </row>
    <row r="444" spans="1:12" outlineLevel="1">
      <c r="A444" s="139">
        <v>45119</v>
      </c>
      <c r="B444" s="124"/>
      <c r="C444" s="123">
        <v>16578</v>
      </c>
      <c r="D444" s="146">
        <f t="shared" si="43"/>
        <v>1559173</v>
      </c>
      <c r="E444" s="331"/>
      <c r="F444" s="367"/>
      <c r="G444" s="364">
        <f t="shared" si="38"/>
        <v>0</v>
      </c>
      <c r="H444" s="65" t="s">
        <v>2508</v>
      </c>
      <c r="I444" s="65"/>
      <c r="J444" t="s">
        <v>3044</v>
      </c>
      <c r="K444">
        <f t="shared" si="39"/>
        <v>3550000</v>
      </c>
      <c r="L444">
        <f t="shared" si="40"/>
        <v>0</v>
      </c>
    </row>
    <row r="445" spans="1:12" outlineLevel="1">
      <c r="A445" s="139">
        <v>45120</v>
      </c>
      <c r="B445" s="124"/>
      <c r="C445" s="123">
        <v>16079</v>
      </c>
      <c r="D445" s="146">
        <f t="shared" si="43"/>
        <v>1575252</v>
      </c>
      <c r="E445" s="331"/>
      <c r="F445" s="367"/>
      <c r="G445" s="364">
        <f t="shared" si="38"/>
        <v>0</v>
      </c>
      <c r="H445" s="65" t="s">
        <v>2501</v>
      </c>
      <c r="I445" s="65"/>
      <c r="J445" t="s">
        <v>3044</v>
      </c>
      <c r="K445">
        <f t="shared" si="39"/>
        <v>3550000</v>
      </c>
      <c r="L445">
        <f t="shared" si="40"/>
        <v>0</v>
      </c>
    </row>
    <row r="446" spans="1:12" outlineLevel="1">
      <c r="A446" s="139">
        <v>45122</v>
      </c>
      <c r="B446" s="124">
        <v>24985</v>
      </c>
      <c r="C446" s="123"/>
      <c r="D446" s="146">
        <f t="shared" si="43"/>
        <v>1550267</v>
      </c>
      <c r="E446" s="331"/>
      <c r="F446" s="367"/>
      <c r="G446" s="364">
        <f t="shared" si="38"/>
        <v>0</v>
      </c>
      <c r="H446" s="65" t="s">
        <v>2511</v>
      </c>
      <c r="I446" s="65"/>
      <c r="J446" t="s">
        <v>3044</v>
      </c>
      <c r="K446">
        <f t="shared" si="39"/>
        <v>3550000</v>
      </c>
      <c r="L446">
        <f t="shared" si="40"/>
        <v>0</v>
      </c>
    </row>
    <row r="447" spans="1:12" outlineLevel="1">
      <c r="A447" s="139">
        <v>45123</v>
      </c>
      <c r="B447" s="124">
        <v>37152</v>
      </c>
      <c r="C447" s="123"/>
      <c r="D447" s="146">
        <f t="shared" si="43"/>
        <v>1513115</v>
      </c>
      <c r="E447" s="331"/>
      <c r="F447" s="367"/>
      <c r="G447" s="364">
        <f t="shared" si="38"/>
        <v>0</v>
      </c>
      <c r="H447" s="65" t="s">
        <v>1520</v>
      </c>
      <c r="I447" s="65"/>
      <c r="J447" t="s">
        <v>3044</v>
      </c>
      <c r="K447">
        <f t="shared" si="39"/>
        <v>3550000</v>
      </c>
      <c r="L447">
        <f t="shared" si="40"/>
        <v>0</v>
      </c>
    </row>
    <row r="448" spans="1:12" outlineLevel="1">
      <c r="A448" s="195">
        <v>45135</v>
      </c>
      <c r="B448" s="197"/>
      <c r="C448" s="196">
        <v>493</v>
      </c>
      <c r="D448" s="198">
        <f t="shared" si="43"/>
        <v>1513608</v>
      </c>
      <c r="E448" s="334"/>
      <c r="F448" s="370"/>
      <c r="G448" s="371">
        <f t="shared" si="38"/>
        <v>0</v>
      </c>
      <c r="H448" s="200" t="s">
        <v>2487</v>
      </c>
      <c r="I448" s="200" t="s">
        <v>101</v>
      </c>
      <c r="J448" t="s">
        <v>3044</v>
      </c>
      <c r="K448">
        <f t="shared" si="39"/>
        <v>3550000</v>
      </c>
      <c r="L448">
        <f t="shared" si="40"/>
        <v>0</v>
      </c>
    </row>
    <row r="449" spans="1:12" outlineLevel="1">
      <c r="A449" s="195">
        <v>45135</v>
      </c>
      <c r="B449" s="197"/>
      <c r="C449" s="196">
        <v>1590</v>
      </c>
      <c r="D449" s="198">
        <f t="shared" si="43"/>
        <v>1515198</v>
      </c>
      <c r="E449" s="334"/>
      <c r="F449" s="370"/>
      <c r="G449" s="371">
        <f t="shared" si="38"/>
        <v>0</v>
      </c>
      <c r="H449" s="200" t="s">
        <v>2516</v>
      </c>
      <c r="I449" s="200" t="s">
        <v>101</v>
      </c>
      <c r="J449" t="s">
        <v>3044</v>
      </c>
      <c r="K449">
        <f t="shared" si="39"/>
        <v>3550000</v>
      </c>
      <c r="L449">
        <f t="shared" si="40"/>
        <v>0</v>
      </c>
    </row>
    <row r="450" spans="1:12" outlineLevel="1">
      <c r="A450" s="195">
        <v>45138</v>
      </c>
      <c r="B450" s="197"/>
      <c r="C450" s="196">
        <v>4440</v>
      </c>
      <c r="D450" s="198">
        <f t="shared" si="43"/>
        <v>1519638</v>
      </c>
      <c r="E450" s="334"/>
      <c r="F450" s="370"/>
      <c r="G450" s="371">
        <f t="shared" ref="G450:G479" si="44">G449+F450-E450</f>
        <v>0</v>
      </c>
      <c r="H450" s="200" t="s">
        <v>2477</v>
      </c>
      <c r="I450" s="200" t="s">
        <v>101</v>
      </c>
      <c r="J450" t="s">
        <v>3044</v>
      </c>
      <c r="K450">
        <f t="shared" si="39"/>
        <v>3550000</v>
      </c>
      <c r="L450">
        <f t="shared" si="40"/>
        <v>0</v>
      </c>
    </row>
    <row r="451" spans="1:12" outlineLevel="1">
      <c r="A451" s="139">
        <v>45140</v>
      </c>
      <c r="B451" s="124">
        <v>54076</v>
      </c>
      <c r="C451" s="123"/>
      <c r="D451" s="146">
        <f t="shared" si="43"/>
        <v>1465562</v>
      </c>
      <c r="E451" s="331"/>
      <c r="F451" s="367"/>
      <c r="G451" s="364">
        <f t="shared" si="44"/>
        <v>0</v>
      </c>
      <c r="H451" s="65" t="s">
        <v>2512</v>
      </c>
      <c r="I451" s="65"/>
      <c r="J451" t="s">
        <v>3044</v>
      </c>
      <c r="K451">
        <f t="shared" si="39"/>
        <v>3550000</v>
      </c>
      <c r="L451">
        <f t="shared" si="40"/>
        <v>0</v>
      </c>
    </row>
    <row r="452" spans="1:12" outlineLevel="1">
      <c r="A452" s="147">
        <v>45142</v>
      </c>
      <c r="B452" s="149"/>
      <c r="C452" s="148">
        <v>116</v>
      </c>
      <c r="D452" s="150">
        <f t="shared" si="43"/>
        <v>1465678</v>
      </c>
      <c r="E452" s="333"/>
      <c r="F452" s="368"/>
      <c r="G452" s="369">
        <f t="shared" si="44"/>
        <v>0</v>
      </c>
      <c r="H452" s="152" t="s">
        <v>84</v>
      </c>
      <c r="I452" s="152"/>
      <c r="J452" t="s">
        <v>3044</v>
      </c>
      <c r="K452">
        <f t="shared" ref="K452:K515" si="45">IF(J452="本金",-B452+C452+K451,K451)</f>
        <v>3550000</v>
      </c>
      <c r="L452">
        <f t="shared" ref="L452:L515" si="46">IF(J452="本金",-E452+F452+L451,L451)</f>
        <v>0</v>
      </c>
    </row>
    <row r="453" spans="1:12" outlineLevel="1">
      <c r="A453" s="139">
        <v>45145</v>
      </c>
      <c r="B453" s="124">
        <v>49510</v>
      </c>
      <c r="C453" s="123"/>
      <c r="D453" s="146">
        <f t="shared" si="43"/>
        <v>1416168</v>
      </c>
      <c r="E453" s="331"/>
      <c r="F453" s="367"/>
      <c r="G453" s="364">
        <f t="shared" si="44"/>
        <v>0</v>
      </c>
      <c r="H453" s="65" t="s">
        <v>2513</v>
      </c>
      <c r="I453" s="65"/>
      <c r="J453" t="s">
        <v>3044</v>
      </c>
      <c r="K453">
        <f t="shared" si="45"/>
        <v>3550000</v>
      </c>
      <c r="L453">
        <f t="shared" si="46"/>
        <v>0</v>
      </c>
    </row>
    <row r="454" spans="1:12" outlineLevel="1">
      <c r="A454" s="139">
        <v>45145</v>
      </c>
      <c r="B454" s="124"/>
      <c r="C454" s="123">
        <v>37036</v>
      </c>
      <c r="D454" s="146">
        <f t="shared" si="43"/>
        <v>1453204</v>
      </c>
      <c r="E454" s="331"/>
      <c r="F454" s="367"/>
      <c r="G454" s="364">
        <f t="shared" si="44"/>
        <v>0</v>
      </c>
      <c r="H454" s="65" t="s">
        <v>2507</v>
      </c>
      <c r="I454" s="65"/>
      <c r="J454" t="s">
        <v>3044</v>
      </c>
      <c r="K454">
        <f t="shared" si="45"/>
        <v>3550000</v>
      </c>
      <c r="L454">
        <f t="shared" si="46"/>
        <v>0</v>
      </c>
    </row>
    <row r="455" spans="1:12" outlineLevel="1">
      <c r="A455" s="139">
        <v>45146</v>
      </c>
      <c r="B455" s="124"/>
      <c r="C455" s="123">
        <v>55753</v>
      </c>
      <c r="D455" s="146">
        <f t="shared" si="43"/>
        <v>1508957</v>
      </c>
      <c r="E455" s="331"/>
      <c r="F455" s="367"/>
      <c r="G455" s="364">
        <f t="shared" si="44"/>
        <v>0</v>
      </c>
      <c r="H455" s="65" t="s">
        <v>2512</v>
      </c>
      <c r="I455" s="65"/>
      <c r="J455" t="s">
        <v>3044</v>
      </c>
      <c r="K455">
        <f t="shared" si="45"/>
        <v>3550000</v>
      </c>
      <c r="L455">
        <f t="shared" si="46"/>
        <v>0</v>
      </c>
    </row>
    <row r="456" spans="1:12" outlineLevel="1">
      <c r="A456" s="195">
        <v>45149</v>
      </c>
      <c r="B456" s="197">
        <v>0</v>
      </c>
      <c r="C456" s="196">
        <v>36209</v>
      </c>
      <c r="D456" s="198">
        <f t="shared" si="43"/>
        <v>1545166</v>
      </c>
      <c r="E456" s="334"/>
      <c r="F456" s="370"/>
      <c r="G456" s="371">
        <f t="shared" si="44"/>
        <v>0</v>
      </c>
      <c r="H456" s="200" t="s">
        <v>2363</v>
      </c>
      <c r="I456" s="200" t="s">
        <v>101</v>
      </c>
      <c r="J456" t="s">
        <v>3044</v>
      </c>
      <c r="K456">
        <f t="shared" si="45"/>
        <v>3550000</v>
      </c>
      <c r="L456">
        <f t="shared" si="46"/>
        <v>0</v>
      </c>
    </row>
    <row r="457" spans="1:12" outlineLevel="1">
      <c r="A457" s="139">
        <v>45154</v>
      </c>
      <c r="B457" s="124"/>
      <c r="C457" s="123">
        <v>37136</v>
      </c>
      <c r="D457" s="146">
        <f t="shared" si="43"/>
        <v>1582302</v>
      </c>
      <c r="E457" s="331"/>
      <c r="F457" s="367"/>
      <c r="G457" s="364">
        <f t="shared" si="44"/>
        <v>0</v>
      </c>
      <c r="H457" s="65" t="s">
        <v>2507</v>
      </c>
      <c r="I457" s="65"/>
      <c r="J457" t="s">
        <v>3044</v>
      </c>
      <c r="K457">
        <f t="shared" si="45"/>
        <v>3550000</v>
      </c>
      <c r="L457">
        <f t="shared" si="46"/>
        <v>0</v>
      </c>
    </row>
    <row r="458" spans="1:12" outlineLevel="1">
      <c r="A458" s="195">
        <v>45163</v>
      </c>
      <c r="B458" s="197"/>
      <c r="C458" s="196">
        <v>2993</v>
      </c>
      <c r="D458" s="198">
        <f t="shared" si="43"/>
        <v>1585295</v>
      </c>
      <c r="E458" s="334"/>
      <c r="F458" s="370"/>
      <c r="G458" s="371">
        <f t="shared" si="44"/>
        <v>0</v>
      </c>
      <c r="H458" s="200" t="s">
        <v>2362</v>
      </c>
      <c r="I458" s="200" t="s">
        <v>101</v>
      </c>
      <c r="J458" t="s">
        <v>3044</v>
      </c>
      <c r="K458">
        <f t="shared" si="45"/>
        <v>3550000</v>
      </c>
      <c r="L458">
        <f t="shared" si="46"/>
        <v>0</v>
      </c>
    </row>
    <row r="459" spans="1:12" outlineLevel="1">
      <c r="A459" s="195">
        <v>45167</v>
      </c>
      <c r="B459" s="197"/>
      <c r="C459" s="196">
        <v>3059</v>
      </c>
      <c r="D459" s="198">
        <f t="shared" si="43"/>
        <v>1588354</v>
      </c>
      <c r="E459" s="334"/>
      <c r="F459" s="370"/>
      <c r="G459" s="371">
        <f t="shared" si="44"/>
        <v>0</v>
      </c>
      <c r="H459" s="200" t="s">
        <v>2387</v>
      </c>
      <c r="I459" s="200" t="s">
        <v>101</v>
      </c>
      <c r="J459" t="s">
        <v>3044</v>
      </c>
      <c r="K459">
        <f t="shared" si="45"/>
        <v>3550000</v>
      </c>
      <c r="L459">
        <f t="shared" si="46"/>
        <v>0</v>
      </c>
    </row>
    <row r="460" spans="1:12" outlineLevel="1">
      <c r="A460" s="195">
        <v>45169</v>
      </c>
      <c r="B460" s="197"/>
      <c r="C460" s="196">
        <v>806</v>
      </c>
      <c r="D460" s="198">
        <f t="shared" si="43"/>
        <v>1589160</v>
      </c>
      <c r="E460" s="334"/>
      <c r="F460" s="370"/>
      <c r="G460" s="371">
        <f t="shared" si="44"/>
        <v>0</v>
      </c>
      <c r="H460" s="200" t="s">
        <v>2489</v>
      </c>
      <c r="I460" s="200" t="s">
        <v>101</v>
      </c>
      <c r="J460" t="s">
        <v>3044</v>
      </c>
      <c r="K460">
        <f t="shared" si="45"/>
        <v>3550000</v>
      </c>
      <c r="L460">
        <f t="shared" si="46"/>
        <v>0</v>
      </c>
    </row>
    <row r="461" spans="1:12" outlineLevel="1">
      <c r="A461" s="195">
        <v>45169</v>
      </c>
      <c r="B461" s="197"/>
      <c r="C461" s="196">
        <v>640</v>
      </c>
      <c r="D461" s="198">
        <f t="shared" ref="D461:D477" si="47">D460+C461-B461</f>
        <v>1589800</v>
      </c>
      <c r="E461" s="334"/>
      <c r="F461" s="370"/>
      <c r="G461" s="371">
        <f t="shared" si="44"/>
        <v>0</v>
      </c>
      <c r="H461" s="200" t="s">
        <v>2385</v>
      </c>
      <c r="I461" s="200" t="s">
        <v>101</v>
      </c>
      <c r="J461" t="s">
        <v>3044</v>
      </c>
      <c r="K461">
        <f t="shared" si="45"/>
        <v>3550000</v>
      </c>
      <c r="L461">
        <f t="shared" si="46"/>
        <v>0</v>
      </c>
    </row>
    <row r="462" spans="1:12" outlineLevel="1">
      <c r="A462" s="195">
        <v>45169</v>
      </c>
      <c r="B462" s="197"/>
      <c r="C462" s="196">
        <v>5990</v>
      </c>
      <c r="D462" s="198">
        <f t="shared" si="47"/>
        <v>1595790</v>
      </c>
      <c r="E462" s="334"/>
      <c r="F462" s="370"/>
      <c r="G462" s="371">
        <f t="shared" si="44"/>
        <v>0</v>
      </c>
      <c r="H462" s="200" t="s">
        <v>2517</v>
      </c>
      <c r="I462" s="200" t="s">
        <v>101</v>
      </c>
      <c r="J462" t="s">
        <v>3044</v>
      </c>
      <c r="K462">
        <f t="shared" si="45"/>
        <v>3550000</v>
      </c>
      <c r="L462">
        <f t="shared" si="46"/>
        <v>0</v>
      </c>
    </row>
    <row r="463" spans="1:12" outlineLevel="1">
      <c r="A463" s="195">
        <v>45170</v>
      </c>
      <c r="B463" s="197"/>
      <c r="C463" s="196">
        <v>452</v>
      </c>
      <c r="D463" s="198">
        <f t="shared" si="47"/>
        <v>1596242</v>
      </c>
      <c r="E463" s="334"/>
      <c r="F463" s="370"/>
      <c r="G463" s="371">
        <f t="shared" si="44"/>
        <v>0</v>
      </c>
      <c r="H463" s="200" t="s">
        <v>2497</v>
      </c>
      <c r="I463" s="200" t="s">
        <v>2461</v>
      </c>
      <c r="J463" t="s">
        <v>3044</v>
      </c>
      <c r="K463">
        <f t="shared" si="45"/>
        <v>3550000</v>
      </c>
      <c r="L463">
        <f t="shared" si="46"/>
        <v>0</v>
      </c>
    </row>
    <row r="464" spans="1:12" outlineLevel="1">
      <c r="A464" s="147">
        <v>45174</v>
      </c>
      <c r="B464" s="149"/>
      <c r="C464" s="148">
        <v>101</v>
      </c>
      <c r="D464" s="150">
        <f t="shared" si="47"/>
        <v>1596343</v>
      </c>
      <c r="E464" s="333"/>
      <c r="F464" s="368"/>
      <c r="G464" s="369">
        <f t="shared" si="44"/>
        <v>0</v>
      </c>
      <c r="H464" s="152" t="s">
        <v>84</v>
      </c>
      <c r="I464" s="152"/>
      <c r="J464" t="s">
        <v>3044</v>
      </c>
      <c r="K464">
        <f t="shared" si="45"/>
        <v>3550000</v>
      </c>
      <c r="L464">
        <f t="shared" si="46"/>
        <v>0</v>
      </c>
    </row>
    <row r="465" spans="1:12" outlineLevel="1">
      <c r="A465" s="139">
        <v>45180</v>
      </c>
      <c r="B465" s="124">
        <v>17775</v>
      </c>
      <c r="C465" s="123"/>
      <c r="D465" s="146">
        <f t="shared" si="47"/>
        <v>1578568</v>
      </c>
      <c r="E465" s="331"/>
      <c r="F465" s="367"/>
      <c r="G465" s="364">
        <f t="shared" si="44"/>
        <v>0</v>
      </c>
      <c r="H465" s="65" t="s">
        <v>2518</v>
      </c>
      <c r="I465" s="65"/>
      <c r="J465" t="s">
        <v>3044</v>
      </c>
      <c r="K465">
        <f t="shared" si="45"/>
        <v>3550000</v>
      </c>
      <c r="L465">
        <f t="shared" si="46"/>
        <v>0</v>
      </c>
    </row>
    <row r="466" spans="1:12" outlineLevel="1">
      <c r="A466" s="195">
        <v>45181</v>
      </c>
      <c r="B466" s="197"/>
      <c r="C466" s="196">
        <v>505</v>
      </c>
      <c r="D466" s="198">
        <f t="shared" si="47"/>
        <v>1579073</v>
      </c>
      <c r="E466" s="334"/>
      <c r="F466" s="370"/>
      <c r="G466" s="371">
        <f t="shared" si="44"/>
        <v>0</v>
      </c>
      <c r="H466" s="200" t="s">
        <v>2494</v>
      </c>
      <c r="I466" s="200" t="s">
        <v>101</v>
      </c>
      <c r="J466" t="s">
        <v>3044</v>
      </c>
      <c r="K466">
        <f t="shared" si="45"/>
        <v>3550000</v>
      </c>
      <c r="L466">
        <f t="shared" si="46"/>
        <v>0</v>
      </c>
    </row>
    <row r="467" spans="1:12" outlineLevel="1">
      <c r="A467" s="195">
        <v>45181</v>
      </c>
      <c r="B467" s="197"/>
      <c r="C467" s="196">
        <v>330</v>
      </c>
      <c r="D467" s="198">
        <f t="shared" si="47"/>
        <v>1579403</v>
      </c>
      <c r="E467" s="334"/>
      <c r="F467" s="370"/>
      <c r="G467" s="371">
        <f t="shared" si="44"/>
        <v>0</v>
      </c>
      <c r="H467" s="200" t="s">
        <v>2519</v>
      </c>
      <c r="I467" s="200" t="s">
        <v>101</v>
      </c>
      <c r="J467" t="s">
        <v>3044</v>
      </c>
      <c r="K467">
        <f t="shared" si="45"/>
        <v>3550000</v>
      </c>
      <c r="L467">
        <f t="shared" si="46"/>
        <v>0</v>
      </c>
    </row>
    <row r="468" spans="1:12" outlineLevel="1">
      <c r="A468" s="195">
        <v>45190</v>
      </c>
      <c r="B468" s="197"/>
      <c r="C468" s="196">
        <v>712</v>
      </c>
      <c r="D468" s="198">
        <f t="shared" si="47"/>
        <v>1580115</v>
      </c>
      <c r="E468" s="334"/>
      <c r="F468" s="370"/>
      <c r="G468" s="371">
        <f t="shared" si="44"/>
        <v>0</v>
      </c>
      <c r="H468" s="200" t="s">
        <v>2360</v>
      </c>
      <c r="I468" s="200" t="s">
        <v>101</v>
      </c>
      <c r="J468" t="s">
        <v>3044</v>
      </c>
      <c r="K468">
        <f t="shared" si="45"/>
        <v>3550000</v>
      </c>
      <c r="L468">
        <f t="shared" si="46"/>
        <v>0</v>
      </c>
    </row>
    <row r="469" spans="1:12" outlineLevel="1">
      <c r="A469" s="147">
        <v>45204</v>
      </c>
      <c r="B469" s="149"/>
      <c r="C469" s="148">
        <v>10</v>
      </c>
      <c r="D469" s="150">
        <f t="shared" si="47"/>
        <v>1580125</v>
      </c>
      <c r="E469" s="333"/>
      <c r="F469" s="368"/>
      <c r="G469" s="369">
        <f t="shared" si="44"/>
        <v>0</v>
      </c>
      <c r="H469" s="152" t="s">
        <v>84</v>
      </c>
      <c r="I469" s="152"/>
      <c r="J469" t="s">
        <v>3044</v>
      </c>
      <c r="K469">
        <f t="shared" si="45"/>
        <v>3550000</v>
      </c>
      <c r="L469">
        <f t="shared" si="46"/>
        <v>0</v>
      </c>
    </row>
    <row r="470" spans="1:12" outlineLevel="1">
      <c r="A470" s="139">
        <v>45211</v>
      </c>
      <c r="B470" s="124">
        <v>17544</v>
      </c>
      <c r="C470" s="123"/>
      <c r="D470" s="146">
        <f t="shared" si="47"/>
        <v>1562581</v>
      </c>
      <c r="E470" s="331"/>
      <c r="F470" s="367"/>
      <c r="G470" s="364">
        <f t="shared" si="44"/>
        <v>0</v>
      </c>
      <c r="H470" s="65" t="s">
        <v>2518</v>
      </c>
      <c r="I470" s="65"/>
      <c r="J470" t="s">
        <v>3044</v>
      </c>
      <c r="K470">
        <f t="shared" si="45"/>
        <v>3550000</v>
      </c>
      <c r="L470">
        <f t="shared" si="46"/>
        <v>0</v>
      </c>
    </row>
    <row r="471" spans="1:12" outlineLevel="1">
      <c r="A471" s="195">
        <v>45217</v>
      </c>
      <c r="B471" s="197"/>
      <c r="C471" s="196">
        <v>440</v>
      </c>
      <c r="D471" s="198">
        <f t="shared" si="47"/>
        <v>1563021</v>
      </c>
      <c r="E471" s="334"/>
      <c r="F471" s="370"/>
      <c r="G471" s="371">
        <f t="shared" si="44"/>
        <v>0</v>
      </c>
      <c r="H471" s="200" t="s">
        <v>2519</v>
      </c>
      <c r="I471" s="200" t="s">
        <v>101</v>
      </c>
      <c r="J471" t="s">
        <v>3044</v>
      </c>
      <c r="K471">
        <f t="shared" si="45"/>
        <v>3550000</v>
      </c>
      <c r="L471">
        <f t="shared" si="46"/>
        <v>0</v>
      </c>
    </row>
    <row r="472" spans="1:12" outlineLevel="1">
      <c r="A472" s="139">
        <v>45230</v>
      </c>
      <c r="B472" s="124">
        <v>40</v>
      </c>
      <c r="C472" s="123"/>
      <c r="D472" s="146">
        <f t="shared" si="47"/>
        <v>1562981</v>
      </c>
      <c r="E472" s="331"/>
      <c r="F472" s="367"/>
      <c r="G472" s="364">
        <f t="shared" si="44"/>
        <v>0</v>
      </c>
      <c r="H472" s="65"/>
      <c r="I472" s="65"/>
      <c r="J472" t="s">
        <v>3044</v>
      </c>
      <c r="K472">
        <f t="shared" si="45"/>
        <v>3550000</v>
      </c>
      <c r="L472">
        <f t="shared" si="46"/>
        <v>0</v>
      </c>
    </row>
    <row r="473" spans="1:12" outlineLevel="1">
      <c r="A473" s="195">
        <v>45230</v>
      </c>
      <c r="B473" s="197"/>
      <c r="C473" s="196">
        <v>2036</v>
      </c>
      <c r="D473" s="198">
        <f t="shared" si="47"/>
        <v>1565017</v>
      </c>
      <c r="E473" s="334"/>
      <c r="F473" s="370"/>
      <c r="G473" s="371">
        <f t="shared" si="44"/>
        <v>0</v>
      </c>
      <c r="H473" s="200" t="s">
        <v>2387</v>
      </c>
      <c r="I473" s="200" t="s">
        <v>101</v>
      </c>
      <c r="J473" t="s">
        <v>3044</v>
      </c>
      <c r="K473">
        <f t="shared" si="45"/>
        <v>3550000</v>
      </c>
      <c r="L473">
        <f t="shared" si="46"/>
        <v>0</v>
      </c>
    </row>
    <row r="474" spans="1:12" outlineLevel="1">
      <c r="A474" s="147">
        <v>45233</v>
      </c>
      <c r="B474" s="149"/>
      <c r="C474" s="148">
        <v>9</v>
      </c>
      <c r="D474" s="150">
        <f t="shared" si="47"/>
        <v>1565026</v>
      </c>
      <c r="E474" s="333"/>
      <c r="F474" s="368"/>
      <c r="G474" s="369">
        <f t="shared" si="44"/>
        <v>0</v>
      </c>
      <c r="H474" s="152" t="s">
        <v>84</v>
      </c>
      <c r="I474" s="152"/>
      <c r="J474" t="s">
        <v>3044</v>
      </c>
      <c r="K474">
        <f t="shared" si="45"/>
        <v>3550000</v>
      </c>
      <c r="L474">
        <f t="shared" si="46"/>
        <v>0</v>
      </c>
    </row>
    <row r="475" spans="1:12" outlineLevel="1">
      <c r="A475" s="139">
        <v>45238</v>
      </c>
      <c r="B475" s="124">
        <v>140</v>
      </c>
      <c r="C475" s="123"/>
      <c r="D475" s="146">
        <f t="shared" si="47"/>
        <v>1564886</v>
      </c>
      <c r="E475" s="331"/>
      <c r="F475" s="367"/>
      <c r="G475" s="364">
        <f t="shared" si="44"/>
        <v>0</v>
      </c>
      <c r="H475" s="65"/>
      <c r="I475" s="65"/>
      <c r="J475" t="s">
        <v>3044</v>
      </c>
      <c r="K475">
        <f t="shared" si="45"/>
        <v>3550000</v>
      </c>
      <c r="L475">
        <f t="shared" si="46"/>
        <v>0</v>
      </c>
    </row>
    <row r="476" spans="1:12" outlineLevel="1">
      <c r="A476" s="195">
        <v>45247</v>
      </c>
      <c r="B476" s="197"/>
      <c r="C476" s="196">
        <v>550</v>
      </c>
      <c r="D476" s="198">
        <f t="shared" si="47"/>
        <v>1565436</v>
      </c>
      <c r="E476" s="334"/>
      <c r="F476" s="370"/>
      <c r="G476" s="371">
        <f t="shared" si="44"/>
        <v>0</v>
      </c>
      <c r="H476" s="200" t="s">
        <v>2519</v>
      </c>
      <c r="I476" s="200" t="s">
        <v>101</v>
      </c>
      <c r="J476" t="s">
        <v>3044</v>
      </c>
      <c r="K476">
        <f t="shared" si="45"/>
        <v>3550000</v>
      </c>
      <c r="L476">
        <f t="shared" si="46"/>
        <v>0</v>
      </c>
    </row>
    <row r="477" spans="1:12" outlineLevel="1">
      <c r="A477" s="139">
        <v>45264</v>
      </c>
      <c r="B477" s="124">
        <v>20</v>
      </c>
      <c r="C477" s="123"/>
      <c r="D477" s="146">
        <f t="shared" si="47"/>
        <v>1565416</v>
      </c>
      <c r="E477" s="331"/>
      <c r="F477" s="367"/>
      <c r="G477" s="364">
        <f t="shared" si="44"/>
        <v>0</v>
      </c>
      <c r="H477" s="65"/>
      <c r="I477" s="65"/>
      <c r="J477" t="s">
        <v>3044</v>
      </c>
      <c r="K477">
        <f t="shared" si="45"/>
        <v>3550000</v>
      </c>
      <c r="L477">
        <f t="shared" si="46"/>
        <v>0</v>
      </c>
    </row>
    <row r="478" spans="1:12" outlineLevel="1">
      <c r="A478" s="139">
        <v>45275</v>
      </c>
      <c r="B478" s="124">
        <v>362515</v>
      </c>
      <c r="C478" s="123"/>
      <c r="D478" s="146">
        <f t="shared" ref="D478:D479" si="48">D477+C478-B478</f>
        <v>1202901</v>
      </c>
      <c r="E478" s="331"/>
      <c r="F478" s="367"/>
      <c r="G478" s="364">
        <f t="shared" si="44"/>
        <v>0</v>
      </c>
      <c r="H478" s="65" t="s">
        <v>2514</v>
      </c>
      <c r="I478" s="65"/>
      <c r="J478" t="s">
        <v>3044</v>
      </c>
      <c r="K478">
        <f t="shared" si="45"/>
        <v>3550000</v>
      </c>
      <c r="L478">
        <f t="shared" si="46"/>
        <v>0</v>
      </c>
    </row>
    <row r="479" spans="1:12" outlineLevel="1">
      <c r="A479" s="139">
        <v>45275</v>
      </c>
      <c r="B479" s="124"/>
      <c r="C479" s="123">
        <v>137390</v>
      </c>
      <c r="D479" s="146">
        <f t="shared" si="48"/>
        <v>1340291</v>
      </c>
      <c r="E479" s="331"/>
      <c r="F479" s="367"/>
      <c r="G479" s="364">
        <f t="shared" si="44"/>
        <v>0</v>
      </c>
      <c r="H479" s="65" t="s">
        <v>2447</v>
      </c>
      <c r="I479" s="65"/>
      <c r="J479" t="s">
        <v>3044</v>
      </c>
      <c r="K479">
        <f t="shared" si="45"/>
        <v>3550000</v>
      </c>
      <c r="L479">
        <f t="shared" si="46"/>
        <v>0</v>
      </c>
    </row>
    <row r="480" spans="1:12" outlineLevel="1">
      <c r="A480" s="195">
        <v>45275</v>
      </c>
      <c r="B480" s="197"/>
      <c r="C480" s="196">
        <v>550</v>
      </c>
      <c r="D480" s="198">
        <f>D479+C480-B480</f>
        <v>1340841</v>
      </c>
      <c r="E480" s="334"/>
      <c r="F480" s="370"/>
      <c r="G480" s="371">
        <f>G479+F480-E480</f>
        <v>0</v>
      </c>
      <c r="H480" s="200" t="s">
        <v>2519</v>
      </c>
      <c r="I480" s="200" t="s">
        <v>101</v>
      </c>
      <c r="J480" t="s">
        <v>3044</v>
      </c>
      <c r="K480">
        <f t="shared" si="45"/>
        <v>3550000</v>
      </c>
      <c r="L480">
        <f t="shared" si="46"/>
        <v>0</v>
      </c>
    </row>
    <row r="481" spans="1:12" outlineLevel="1">
      <c r="A481" s="153">
        <v>45281</v>
      </c>
      <c r="B481" s="155"/>
      <c r="C481" s="154">
        <v>4274</v>
      </c>
      <c r="D481" s="156">
        <f>D480+C481-B481</f>
        <v>1345115</v>
      </c>
      <c r="E481" s="332"/>
      <c r="F481" s="365"/>
      <c r="G481" s="366">
        <f>G480+F481-E481</f>
        <v>0</v>
      </c>
      <c r="H481" s="158" t="s">
        <v>48</v>
      </c>
      <c r="I481" s="159"/>
      <c r="J481" t="s">
        <v>3044</v>
      </c>
      <c r="K481">
        <f t="shared" si="45"/>
        <v>3550000</v>
      </c>
      <c r="L481">
        <f t="shared" si="46"/>
        <v>0</v>
      </c>
    </row>
    <row r="482" spans="1:12" outlineLevel="1">
      <c r="A482" s="139">
        <v>45289</v>
      </c>
      <c r="B482" s="124">
        <v>38534</v>
      </c>
      <c r="C482" s="123"/>
      <c r="D482" s="146">
        <f>D481+C482-B482</f>
        <v>1306581</v>
      </c>
      <c r="E482" s="331"/>
      <c r="F482" s="367"/>
      <c r="G482" s="364">
        <f>G481+F482-E482</f>
        <v>0</v>
      </c>
      <c r="H482" s="65" t="s">
        <v>2513</v>
      </c>
      <c r="I482" s="65"/>
      <c r="J482" t="s">
        <v>3044</v>
      </c>
      <c r="K482">
        <f t="shared" si="45"/>
        <v>3550000</v>
      </c>
      <c r="L482">
        <f t="shared" si="46"/>
        <v>0</v>
      </c>
    </row>
    <row r="483" spans="1:12" outlineLevel="1">
      <c r="A483" s="139">
        <v>45289</v>
      </c>
      <c r="B483" s="124">
        <v>53776</v>
      </c>
      <c r="C483" s="123"/>
      <c r="D483" s="146">
        <f t="shared" ref="D483:D484" si="49">D482+C483-B483</f>
        <v>1252805</v>
      </c>
      <c r="E483" s="331"/>
      <c r="F483" s="367"/>
      <c r="G483" s="364">
        <f t="shared" ref="G483:G532" si="50">G482+F483-E483</f>
        <v>0</v>
      </c>
      <c r="H483" s="65" t="s">
        <v>2515</v>
      </c>
      <c r="I483" s="65"/>
      <c r="J483" t="s">
        <v>3044</v>
      </c>
      <c r="K483">
        <f t="shared" si="45"/>
        <v>3550000</v>
      </c>
      <c r="L483">
        <f t="shared" si="46"/>
        <v>0</v>
      </c>
    </row>
    <row r="484" spans="1:12" outlineLevel="1">
      <c r="A484" s="139">
        <v>45291</v>
      </c>
      <c r="B484" s="124">
        <v>840</v>
      </c>
      <c r="C484" s="123"/>
      <c r="D484" s="146">
        <f t="shared" si="49"/>
        <v>1251965</v>
      </c>
      <c r="E484" s="331"/>
      <c r="F484" s="367"/>
      <c r="G484" s="364">
        <f t="shared" si="50"/>
        <v>0</v>
      </c>
      <c r="H484" s="65" t="s">
        <v>57</v>
      </c>
      <c r="I484" s="65"/>
      <c r="J484" t="s">
        <v>3044</v>
      </c>
      <c r="K484">
        <f t="shared" si="45"/>
        <v>3550000</v>
      </c>
      <c r="L484">
        <f t="shared" si="46"/>
        <v>0</v>
      </c>
    </row>
    <row r="485" spans="1:12">
      <c r="A485" s="147">
        <v>45296</v>
      </c>
      <c r="B485" s="149"/>
      <c r="C485" s="148">
        <v>335</v>
      </c>
      <c r="D485" s="150">
        <f t="shared" ref="D485:D493" si="51">D484+C485-B485</f>
        <v>1252300</v>
      </c>
      <c r="E485" s="333"/>
      <c r="F485" s="368"/>
      <c r="G485" s="369">
        <f t="shared" si="50"/>
        <v>0</v>
      </c>
      <c r="H485" s="152" t="s">
        <v>84</v>
      </c>
      <c r="I485" s="152"/>
      <c r="J485" t="s">
        <v>3044</v>
      </c>
      <c r="K485">
        <f t="shared" si="45"/>
        <v>3550000</v>
      </c>
      <c r="L485">
        <f t="shared" si="46"/>
        <v>0</v>
      </c>
    </row>
    <row r="486" spans="1:12">
      <c r="A486" s="139">
        <v>45301</v>
      </c>
      <c r="B486" s="124">
        <v>20</v>
      </c>
      <c r="C486" s="123"/>
      <c r="D486" s="146">
        <f t="shared" si="51"/>
        <v>1252280</v>
      </c>
      <c r="E486" s="331"/>
      <c r="F486" s="367"/>
      <c r="G486" s="364">
        <f t="shared" si="50"/>
        <v>0</v>
      </c>
      <c r="H486" s="65"/>
      <c r="I486" s="65"/>
      <c r="J486" t="s">
        <v>3044</v>
      </c>
      <c r="K486">
        <f t="shared" si="45"/>
        <v>3550000</v>
      </c>
      <c r="L486">
        <f t="shared" si="46"/>
        <v>0</v>
      </c>
    </row>
    <row r="487" spans="1:12">
      <c r="A487" s="195">
        <v>45306</v>
      </c>
      <c r="B487" s="197"/>
      <c r="C487" s="196">
        <v>550</v>
      </c>
      <c r="D487" s="198">
        <f t="shared" si="51"/>
        <v>1252830</v>
      </c>
      <c r="E487" s="334"/>
      <c r="F487" s="370"/>
      <c r="G487" s="371">
        <f t="shared" si="50"/>
        <v>0</v>
      </c>
      <c r="H487" s="200" t="s">
        <v>2519</v>
      </c>
      <c r="I487" s="200" t="s">
        <v>101</v>
      </c>
      <c r="J487" t="s">
        <v>3044</v>
      </c>
      <c r="K487">
        <f t="shared" si="45"/>
        <v>3550000</v>
      </c>
      <c r="L487">
        <f t="shared" si="46"/>
        <v>0</v>
      </c>
    </row>
    <row r="488" spans="1:12">
      <c r="A488" s="195">
        <v>45310</v>
      </c>
      <c r="B488" s="197"/>
      <c r="C488" s="196">
        <v>4414</v>
      </c>
      <c r="D488" s="198">
        <f t="shared" si="51"/>
        <v>1257244</v>
      </c>
      <c r="E488" s="334"/>
      <c r="F488" s="370"/>
      <c r="G488" s="371">
        <f t="shared" si="50"/>
        <v>0</v>
      </c>
      <c r="H488" s="200" t="s">
        <v>2477</v>
      </c>
      <c r="I488" s="200" t="s">
        <v>101</v>
      </c>
      <c r="J488" t="s">
        <v>3044</v>
      </c>
      <c r="K488">
        <f t="shared" si="45"/>
        <v>3550000</v>
      </c>
      <c r="L488">
        <f t="shared" si="46"/>
        <v>0</v>
      </c>
    </row>
    <row r="489" spans="1:12">
      <c r="A489" s="139">
        <v>45315</v>
      </c>
      <c r="B489" s="124"/>
      <c r="C489" s="123">
        <v>50377</v>
      </c>
      <c r="D489" s="146">
        <f t="shared" si="51"/>
        <v>1307621</v>
      </c>
      <c r="E489" s="331"/>
      <c r="F489" s="367"/>
      <c r="G489" s="364">
        <f t="shared" si="50"/>
        <v>0</v>
      </c>
      <c r="H489" s="65" t="s">
        <v>2515</v>
      </c>
      <c r="I489" s="65"/>
      <c r="J489" t="s">
        <v>3044</v>
      </c>
      <c r="K489">
        <f t="shared" si="45"/>
        <v>3550000</v>
      </c>
      <c r="L489">
        <f t="shared" si="46"/>
        <v>0</v>
      </c>
    </row>
    <row r="490" spans="1:12">
      <c r="A490" s="139">
        <v>45322</v>
      </c>
      <c r="B490" s="124"/>
      <c r="C490" s="123">
        <v>392257</v>
      </c>
      <c r="D490" s="146">
        <f t="shared" si="51"/>
        <v>1699878</v>
      </c>
      <c r="E490" s="331"/>
      <c r="F490" s="367"/>
      <c r="G490" s="364">
        <f t="shared" si="50"/>
        <v>0</v>
      </c>
      <c r="H490" s="65" t="s">
        <v>2514</v>
      </c>
      <c r="I490" s="65"/>
      <c r="J490" t="s">
        <v>3044</v>
      </c>
      <c r="K490">
        <f t="shared" si="45"/>
        <v>3550000</v>
      </c>
      <c r="L490">
        <f t="shared" si="46"/>
        <v>0</v>
      </c>
    </row>
    <row r="491" spans="1:12">
      <c r="A491" s="147">
        <v>45296</v>
      </c>
      <c r="B491" s="149"/>
      <c r="C491" s="148">
        <v>252</v>
      </c>
      <c r="D491" s="150">
        <f t="shared" si="51"/>
        <v>1700130</v>
      </c>
      <c r="E491" s="333"/>
      <c r="F491" s="368"/>
      <c r="G491" s="369">
        <f t="shared" si="50"/>
        <v>0</v>
      </c>
      <c r="H491" s="152" t="s">
        <v>84</v>
      </c>
      <c r="I491" s="152"/>
      <c r="J491" t="s">
        <v>3044</v>
      </c>
      <c r="K491">
        <f t="shared" si="45"/>
        <v>3550000</v>
      </c>
      <c r="L491">
        <f t="shared" si="46"/>
        <v>0</v>
      </c>
    </row>
    <row r="492" spans="1:12">
      <c r="A492" s="139">
        <v>45342</v>
      </c>
      <c r="B492" s="124">
        <v>18977</v>
      </c>
      <c r="C492" s="123"/>
      <c r="D492" s="146">
        <f t="shared" si="51"/>
        <v>1681153</v>
      </c>
      <c r="E492" s="331"/>
      <c r="F492" s="367"/>
      <c r="G492" s="364">
        <f t="shared" si="50"/>
        <v>0</v>
      </c>
      <c r="H492" s="65" t="s">
        <v>2502</v>
      </c>
      <c r="I492" s="65"/>
      <c r="J492" t="s">
        <v>3044</v>
      </c>
      <c r="K492">
        <f t="shared" si="45"/>
        <v>3550000</v>
      </c>
      <c r="L492">
        <f t="shared" si="46"/>
        <v>0</v>
      </c>
    </row>
    <row r="493" spans="1:12">
      <c r="A493" s="139">
        <v>45342</v>
      </c>
      <c r="B493" s="124">
        <v>162230</v>
      </c>
      <c r="C493" s="123"/>
      <c r="D493" s="146">
        <f t="shared" si="51"/>
        <v>1518923</v>
      </c>
      <c r="E493" s="331"/>
      <c r="F493" s="367"/>
      <c r="G493" s="364">
        <f t="shared" si="50"/>
        <v>0</v>
      </c>
      <c r="H493" s="65" t="s">
        <v>2503</v>
      </c>
      <c r="I493" s="65"/>
      <c r="J493" t="s">
        <v>3044</v>
      </c>
      <c r="K493">
        <f t="shared" si="45"/>
        <v>3550000</v>
      </c>
      <c r="L493">
        <f t="shared" si="46"/>
        <v>0</v>
      </c>
    </row>
    <row r="494" spans="1:12">
      <c r="A494" s="139">
        <v>45342</v>
      </c>
      <c r="B494" s="124">
        <v>52274</v>
      </c>
      <c r="C494" s="123"/>
      <c r="D494" s="146">
        <f t="shared" ref="D494" si="52">D493+C494-B494</f>
        <v>1466649</v>
      </c>
      <c r="E494" s="331"/>
      <c r="F494" s="367"/>
      <c r="G494" s="364">
        <f t="shared" si="50"/>
        <v>0</v>
      </c>
      <c r="H494" s="65" t="s">
        <v>2504</v>
      </c>
      <c r="I494" s="65"/>
      <c r="J494" t="s">
        <v>3044</v>
      </c>
      <c r="K494">
        <f t="shared" si="45"/>
        <v>3550000</v>
      </c>
      <c r="L494">
        <f t="shared" si="46"/>
        <v>0</v>
      </c>
    </row>
    <row r="495" spans="1:12">
      <c r="A495" s="195">
        <v>45344</v>
      </c>
      <c r="B495" s="197"/>
      <c r="C495" s="196">
        <v>910</v>
      </c>
      <c r="D495" s="198">
        <f t="shared" ref="D495:D531" si="53">D494+C495-B495</f>
        <v>1467559</v>
      </c>
      <c r="E495" s="334"/>
      <c r="F495" s="370"/>
      <c r="G495" s="371">
        <f t="shared" si="50"/>
        <v>0</v>
      </c>
      <c r="H495" s="200" t="s">
        <v>2519</v>
      </c>
      <c r="I495" s="200" t="s">
        <v>101</v>
      </c>
      <c r="J495" t="s">
        <v>3044</v>
      </c>
      <c r="K495">
        <f t="shared" si="45"/>
        <v>3550000</v>
      </c>
      <c r="L495">
        <f t="shared" si="46"/>
        <v>0</v>
      </c>
    </row>
    <row r="496" spans="1:12">
      <c r="A496" s="139">
        <v>45352</v>
      </c>
      <c r="B496" s="124">
        <v>105650</v>
      </c>
      <c r="C496" s="123"/>
      <c r="D496" s="146">
        <f t="shared" si="53"/>
        <v>1361909</v>
      </c>
      <c r="E496" s="331"/>
      <c r="F496" s="367"/>
      <c r="G496" s="364">
        <f t="shared" si="50"/>
        <v>0</v>
      </c>
      <c r="H496" s="65" t="s">
        <v>2524</v>
      </c>
      <c r="I496" s="65"/>
      <c r="J496" t="s">
        <v>3044</v>
      </c>
      <c r="K496">
        <f t="shared" si="45"/>
        <v>3550000</v>
      </c>
      <c r="L496">
        <f t="shared" si="46"/>
        <v>0</v>
      </c>
    </row>
    <row r="497" spans="1:12">
      <c r="A497" s="147">
        <v>45356</v>
      </c>
      <c r="B497" s="149"/>
      <c r="C497" s="148">
        <v>191</v>
      </c>
      <c r="D497" s="150">
        <f t="shared" si="53"/>
        <v>1362100</v>
      </c>
      <c r="E497" s="333"/>
      <c r="F497" s="368"/>
      <c r="G497" s="369">
        <f t="shared" si="50"/>
        <v>0</v>
      </c>
      <c r="H497" s="152" t="s">
        <v>84</v>
      </c>
      <c r="I497" s="152"/>
      <c r="J497" t="s">
        <v>3044</v>
      </c>
      <c r="K497">
        <f t="shared" si="45"/>
        <v>3550000</v>
      </c>
      <c r="L497">
        <f t="shared" si="46"/>
        <v>0</v>
      </c>
    </row>
    <row r="498" spans="1:12">
      <c r="A498" s="139">
        <v>45363</v>
      </c>
      <c r="B498" s="124">
        <v>168740</v>
      </c>
      <c r="C498" s="123"/>
      <c r="D498" s="146">
        <f t="shared" si="53"/>
        <v>1193360</v>
      </c>
      <c r="E498" s="331"/>
      <c r="F498" s="367"/>
      <c r="G498" s="364">
        <f t="shared" si="50"/>
        <v>0</v>
      </c>
      <c r="H498" s="65" t="s">
        <v>2525</v>
      </c>
      <c r="I498" s="65"/>
      <c r="J498" t="s">
        <v>3044</v>
      </c>
      <c r="K498">
        <f t="shared" si="45"/>
        <v>3550000</v>
      </c>
      <c r="L498">
        <f t="shared" si="46"/>
        <v>0</v>
      </c>
    </row>
    <row r="499" spans="1:12">
      <c r="A499" s="139">
        <v>45363</v>
      </c>
      <c r="B499" s="124">
        <v>60085</v>
      </c>
      <c r="C499" s="123"/>
      <c r="D499" s="146">
        <f t="shared" si="53"/>
        <v>1133275</v>
      </c>
      <c r="E499" s="331"/>
      <c r="F499" s="367"/>
      <c r="G499" s="364">
        <f t="shared" si="50"/>
        <v>0</v>
      </c>
      <c r="H499" s="65" t="s">
        <v>2526</v>
      </c>
      <c r="I499" s="65"/>
      <c r="J499" t="s">
        <v>3044</v>
      </c>
      <c r="K499">
        <f t="shared" si="45"/>
        <v>3550000</v>
      </c>
      <c r="L499">
        <f t="shared" si="46"/>
        <v>0</v>
      </c>
    </row>
    <row r="500" spans="1:12">
      <c r="A500" s="139">
        <v>45364</v>
      </c>
      <c r="B500" s="124">
        <v>31995</v>
      </c>
      <c r="C500" s="123"/>
      <c r="D500" s="146">
        <f t="shared" si="53"/>
        <v>1101280</v>
      </c>
      <c r="E500" s="331"/>
      <c r="F500" s="367"/>
      <c r="G500" s="364">
        <f t="shared" si="50"/>
        <v>0</v>
      </c>
      <c r="H500" s="65" t="s">
        <v>2527</v>
      </c>
      <c r="I500" s="65"/>
      <c r="J500" t="s">
        <v>3044</v>
      </c>
      <c r="K500">
        <f t="shared" si="45"/>
        <v>3550000</v>
      </c>
      <c r="L500">
        <f t="shared" si="46"/>
        <v>0</v>
      </c>
    </row>
    <row r="501" spans="1:12">
      <c r="A501" s="139">
        <v>45370</v>
      </c>
      <c r="B501" s="124"/>
      <c r="C501" s="123">
        <v>105531</v>
      </c>
      <c r="D501" s="146">
        <f t="shared" si="53"/>
        <v>1206811</v>
      </c>
      <c r="E501" s="331"/>
      <c r="F501" s="367"/>
      <c r="G501" s="364">
        <f t="shared" si="50"/>
        <v>0</v>
      </c>
      <c r="H501" s="65" t="s">
        <v>2524</v>
      </c>
      <c r="I501" s="65"/>
      <c r="J501" t="s">
        <v>3044</v>
      </c>
      <c r="K501">
        <f t="shared" si="45"/>
        <v>3550000</v>
      </c>
      <c r="L501">
        <f t="shared" si="46"/>
        <v>0</v>
      </c>
    </row>
    <row r="502" spans="1:12">
      <c r="A502" s="139">
        <v>45371</v>
      </c>
      <c r="B502" s="124"/>
      <c r="C502" s="123">
        <v>172235</v>
      </c>
      <c r="D502" s="146">
        <f t="shared" si="53"/>
        <v>1379046</v>
      </c>
      <c r="E502" s="331"/>
      <c r="F502" s="367"/>
      <c r="G502" s="364">
        <f t="shared" si="50"/>
        <v>0</v>
      </c>
      <c r="H502" s="65" t="s">
        <v>2525</v>
      </c>
      <c r="I502" s="65"/>
      <c r="J502" t="s">
        <v>3044</v>
      </c>
      <c r="K502">
        <f t="shared" si="45"/>
        <v>3550000</v>
      </c>
      <c r="L502">
        <f t="shared" si="46"/>
        <v>0</v>
      </c>
    </row>
    <row r="503" spans="1:12">
      <c r="A503" s="195">
        <v>45377</v>
      </c>
      <c r="B503" s="197"/>
      <c r="C503" s="196">
        <v>1040</v>
      </c>
      <c r="D503" s="198">
        <f t="shared" si="53"/>
        <v>1380086</v>
      </c>
      <c r="E503" s="334"/>
      <c r="F503" s="370"/>
      <c r="G503" s="371">
        <f t="shared" si="50"/>
        <v>0</v>
      </c>
      <c r="H503" s="200" t="s">
        <v>2519</v>
      </c>
      <c r="I503" s="200" t="s">
        <v>101</v>
      </c>
      <c r="J503" t="s">
        <v>3044</v>
      </c>
      <c r="K503">
        <f t="shared" si="45"/>
        <v>3550000</v>
      </c>
      <c r="L503">
        <f t="shared" si="46"/>
        <v>0</v>
      </c>
    </row>
    <row r="504" spans="1:12">
      <c r="A504" s="139">
        <v>45379</v>
      </c>
      <c r="B504" s="124">
        <v>50070</v>
      </c>
      <c r="C504" s="123"/>
      <c r="D504" s="146">
        <f t="shared" si="53"/>
        <v>1330016</v>
      </c>
      <c r="E504" s="331"/>
      <c r="F504" s="367"/>
      <c r="G504" s="364">
        <f t="shared" si="50"/>
        <v>0</v>
      </c>
      <c r="H504" s="65" t="s">
        <v>2532</v>
      </c>
      <c r="I504" s="65" t="s">
        <v>2533</v>
      </c>
      <c r="J504" t="s">
        <v>3044</v>
      </c>
      <c r="K504">
        <f t="shared" si="45"/>
        <v>3550000</v>
      </c>
      <c r="L504">
        <f t="shared" si="46"/>
        <v>0</v>
      </c>
    </row>
    <row r="505" spans="1:12">
      <c r="A505" s="139">
        <v>45384</v>
      </c>
      <c r="B505" s="124"/>
      <c r="C505" s="123">
        <v>30266</v>
      </c>
      <c r="D505" s="146">
        <f t="shared" si="53"/>
        <v>1360282</v>
      </c>
      <c r="E505" s="331"/>
      <c r="F505" s="367"/>
      <c r="G505" s="364">
        <f t="shared" si="50"/>
        <v>0</v>
      </c>
      <c r="H505" s="65" t="s">
        <v>2527</v>
      </c>
      <c r="I505" s="65"/>
      <c r="J505" t="s">
        <v>3044</v>
      </c>
      <c r="K505">
        <f t="shared" si="45"/>
        <v>3550000</v>
      </c>
      <c r="L505">
        <f t="shared" si="46"/>
        <v>0</v>
      </c>
    </row>
    <row r="506" spans="1:12">
      <c r="A506" s="147">
        <v>45385</v>
      </c>
      <c r="B506" s="149"/>
      <c r="C506" s="148">
        <v>323</v>
      </c>
      <c r="D506" s="150">
        <f t="shared" si="53"/>
        <v>1360605</v>
      </c>
      <c r="E506" s="333"/>
      <c r="F506" s="368"/>
      <c r="G506" s="369">
        <f t="shared" si="50"/>
        <v>0</v>
      </c>
      <c r="H506" s="152" t="s">
        <v>84</v>
      </c>
      <c r="I506" s="152"/>
      <c r="J506" t="s">
        <v>3044</v>
      </c>
      <c r="K506">
        <f t="shared" si="45"/>
        <v>3550000</v>
      </c>
      <c r="L506">
        <f t="shared" si="46"/>
        <v>0</v>
      </c>
    </row>
    <row r="507" spans="1:12">
      <c r="A507" s="139">
        <v>45385</v>
      </c>
      <c r="B507" s="124">
        <v>62889</v>
      </c>
      <c r="C507" s="123"/>
      <c r="D507" s="146">
        <f t="shared" si="53"/>
        <v>1297716</v>
      </c>
      <c r="E507" s="331"/>
      <c r="F507" s="367"/>
      <c r="G507" s="364">
        <f t="shared" si="50"/>
        <v>0</v>
      </c>
      <c r="H507" s="65" t="s">
        <v>2528</v>
      </c>
      <c r="I507" s="65"/>
      <c r="J507" t="s">
        <v>3044</v>
      </c>
      <c r="K507">
        <f t="shared" si="45"/>
        <v>3550000</v>
      </c>
      <c r="L507">
        <f t="shared" si="46"/>
        <v>0</v>
      </c>
    </row>
    <row r="508" spans="1:12">
      <c r="A508" s="139">
        <v>45385</v>
      </c>
      <c r="B508" s="124">
        <v>79513</v>
      </c>
      <c r="C508" s="123"/>
      <c r="D508" s="146">
        <f t="shared" si="53"/>
        <v>1218203</v>
      </c>
      <c r="E508" s="331"/>
      <c r="F508" s="367"/>
      <c r="G508" s="364">
        <f t="shared" si="50"/>
        <v>0</v>
      </c>
      <c r="H508" s="65" t="s">
        <v>2529</v>
      </c>
      <c r="I508" s="65"/>
      <c r="J508" t="s">
        <v>3044</v>
      </c>
      <c r="K508">
        <f t="shared" si="45"/>
        <v>3550000</v>
      </c>
      <c r="L508">
        <f t="shared" si="46"/>
        <v>0</v>
      </c>
    </row>
    <row r="509" spans="1:12">
      <c r="A509" s="139">
        <v>45385</v>
      </c>
      <c r="B509" s="124">
        <v>157223</v>
      </c>
      <c r="C509" s="123"/>
      <c r="D509" s="146">
        <f t="shared" si="53"/>
        <v>1060980</v>
      </c>
      <c r="E509" s="331"/>
      <c r="F509" s="367"/>
      <c r="G509" s="364">
        <f t="shared" si="50"/>
        <v>0</v>
      </c>
      <c r="H509" s="65" t="s">
        <v>2530</v>
      </c>
      <c r="I509" s="65"/>
      <c r="J509" t="s">
        <v>3044</v>
      </c>
      <c r="K509">
        <f t="shared" si="45"/>
        <v>3550000</v>
      </c>
      <c r="L509">
        <f t="shared" si="46"/>
        <v>0</v>
      </c>
    </row>
    <row r="510" spans="1:12">
      <c r="A510" s="139">
        <v>45390</v>
      </c>
      <c r="B510" s="124">
        <v>59985</v>
      </c>
      <c r="C510" s="123"/>
      <c r="D510" s="146">
        <f t="shared" si="53"/>
        <v>1000995</v>
      </c>
      <c r="E510" s="331"/>
      <c r="F510" s="367"/>
      <c r="G510" s="364">
        <f t="shared" si="50"/>
        <v>0</v>
      </c>
      <c r="H510" s="65" t="s">
        <v>2531</v>
      </c>
      <c r="I510" s="65"/>
      <c r="J510" t="s">
        <v>3044</v>
      </c>
      <c r="K510">
        <f t="shared" si="45"/>
        <v>3550000</v>
      </c>
      <c r="L510">
        <f t="shared" si="46"/>
        <v>0</v>
      </c>
    </row>
    <row r="511" spans="1:12">
      <c r="A511" s="139">
        <v>45390</v>
      </c>
      <c r="B511" s="124"/>
      <c r="C511" s="123">
        <v>716814</v>
      </c>
      <c r="D511" s="146">
        <f t="shared" si="53"/>
        <v>1717809</v>
      </c>
      <c r="E511" s="331"/>
      <c r="F511" s="367"/>
      <c r="G511" s="364">
        <f t="shared" si="50"/>
        <v>0</v>
      </c>
      <c r="H511" s="65" t="s">
        <v>2448</v>
      </c>
      <c r="I511" s="65"/>
      <c r="J511" t="s">
        <v>3044</v>
      </c>
      <c r="K511">
        <f t="shared" si="45"/>
        <v>3550000</v>
      </c>
      <c r="L511">
        <f t="shared" si="46"/>
        <v>0</v>
      </c>
    </row>
    <row r="512" spans="1:12">
      <c r="A512" s="139">
        <v>45397</v>
      </c>
      <c r="B512" s="124"/>
      <c r="C512" s="123">
        <v>70686</v>
      </c>
      <c r="D512" s="146">
        <f t="shared" si="53"/>
        <v>1788495</v>
      </c>
      <c r="E512" s="331"/>
      <c r="F512" s="367"/>
      <c r="G512" s="364">
        <f t="shared" si="50"/>
        <v>0</v>
      </c>
      <c r="H512" s="65" t="s">
        <v>2535</v>
      </c>
      <c r="I512" s="65"/>
      <c r="J512" t="s">
        <v>3044</v>
      </c>
      <c r="K512">
        <f t="shared" si="45"/>
        <v>3550000</v>
      </c>
      <c r="L512">
        <f t="shared" si="46"/>
        <v>0</v>
      </c>
    </row>
    <row r="513" spans="1:12">
      <c r="A513" s="139">
        <v>45397</v>
      </c>
      <c r="B513" s="124"/>
      <c r="C513" s="123">
        <v>67004</v>
      </c>
      <c r="D513" s="146">
        <f t="shared" si="53"/>
        <v>1855499</v>
      </c>
      <c r="E513" s="331"/>
      <c r="F513" s="367"/>
      <c r="G513" s="364">
        <f t="shared" si="50"/>
        <v>0</v>
      </c>
      <c r="H513" s="65" t="s">
        <v>2532</v>
      </c>
      <c r="I513" s="65"/>
      <c r="J513" t="s">
        <v>3044</v>
      </c>
      <c r="K513">
        <f t="shared" si="45"/>
        <v>3550000</v>
      </c>
      <c r="L513">
        <f t="shared" si="46"/>
        <v>0</v>
      </c>
    </row>
    <row r="514" spans="1:12">
      <c r="A514" s="195">
        <v>45398</v>
      </c>
      <c r="B514" s="197"/>
      <c r="C514" s="196">
        <v>1040</v>
      </c>
      <c r="D514" s="198">
        <f t="shared" si="53"/>
        <v>1856539</v>
      </c>
      <c r="E514" s="334"/>
      <c r="F514" s="370"/>
      <c r="G514" s="371">
        <f t="shared" si="50"/>
        <v>0</v>
      </c>
      <c r="H514" s="200" t="s">
        <v>2519</v>
      </c>
      <c r="I514" s="200" t="s">
        <v>101</v>
      </c>
      <c r="J514" t="s">
        <v>3044</v>
      </c>
      <c r="K514">
        <f t="shared" si="45"/>
        <v>3550000</v>
      </c>
      <c r="L514">
        <f t="shared" si="46"/>
        <v>0</v>
      </c>
    </row>
    <row r="515" spans="1:12">
      <c r="A515" s="195">
        <v>45406</v>
      </c>
      <c r="B515" s="197"/>
      <c r="C515" s="196">
        <v>1358</v>
      </c>
      <c r="D515" s="198">
        <f t="shared" si="53"/>
        <v>1857897</v>
      </c>
      <c r="E515" s="334"/>
      <c r="F515" s="370"/>
      <c r="G515" s="371">
        <f t="shared" si="50"/>
        <v>0</v>
      </c>
      <c r="H515" s="200" t="s">
        <v>2534</v>
      </c>
      <c r="I515" s="200" t="s">
        <v>101</v>
      </c>
      <c r="J515" t="s">
        <v>3044</v>
      </c>
      <c r="K515">
        <f t="shared" si="45"/>
        <v>3550000</v>
      </c>
      <c r="L515">
        <f t="shared" si="46"/>
        <v>0</v>
      </c>
    </row>
    <row r="516" spans="1:12">
      <c r="A516" s="195">
        <v>45407</v>
      </c>
      <c r="B516" s="197"/>
      <c r="C516" s="196">
        <v>5290</v>
      </c>
      <c r="D516" s="198">
        <f t="shared" si="53"/>
        <v>1863187</v>
      </c>
      <c r="E516" s="334"/>
      <c r="F516" s="370"/>
      <c r="G516" s="371">
        <f t="shared" si="50"/>
        <v>0</v>
      </c>
      <c r="H516" s="200" t="s">
        <v>2536</v>
      </c>
      <c r="I516" s="200" t="s">
        <v>101</v>
      </c>
      <c r="J516" t="s">
        <v>3044</v>
      </c>
      <c r="K516">
        <f t="shared" ref="K516:K579" si="54">IF(J516="本金",-B516+C516+K515,K515)</f>
        <v>3550000</v>
      </c>
      <c r="L516">
        <f t="shared" ref="L516:L579" si="55">IF(J516="本金",-E516+F516+L515,L515)</f>
        <v>0</v>
      </c>
    </row>
    <row r="517" spans="1:12">
      <c r="A517" s="195">
        <v>45408</v>
      </c>
      <c r="B517" s="197"/>
      <c r="C517" s="196">
        <v>3042</v>
      </c>
      <c r="D517" s="198">
        <f t="shared" si="53"/>
        <v>1866229</v>
      </c>
      <c r="E517" s="334"/>
      <c r="F517" s="370"/>
      <c r="G517" s="371">
        <f t="shared" si="50"/>
        <v>0</v>
      </c>
      <c r="H517" s="200" t="s">
        <v>2387</v>
      </c>
      <c r="I517" s="200" t="s">
        <v>101</v>
      </c>
      <c r="J517" t="s">
        <v>3044</v>
      </c>
      <c r="K517">
        <f t="shared" si="54"/>
        <v>3550000</v>
      </c>
      <c r="L517">
        <f t="shared" si="55"/>
        <v>0</v>
      </c>
    </row>
    <row r="518" spans="1:12">
      <c r="A518" s="147">
        <v>45415</v>
      </c>
      <c r="B518" s="149"/>
      <c r="C518" s="148">
        <v>691</v>
      </c>
      <c r="D518" s="150">
        <f t="shared" si="53"/>
        <v>1866920</v>
      </c>
      <c r="E518" s="333"/>
      <c r="F518" s="368"/>
      <c r="G518" s="369">
        <f t="shared" si="50"/>
        <v>0</v>
      </c>
      <c r="H518" s="152" t="s">
        <v>84</v>
      </c>
      <c r="I518" s="152"/>
      <c r="J518" t="s">
        <v>3044</v>
      </c>
      <c r="K518">
        <f t="shared" si="54"/>
        <v>3550000</v>
      </c>
      <c r="L518">
        <f t="shared" si="55"/>
        <v>0</v>
      </c>
    </row>
    <row r="519" spans="1:12">
      <c r="A519" s="139">
        <v>45417</v>
      </c>
      <c r="B519" s="124"/>
      <c r="C519" s="123">
        <v>66704</v>
      </c>
      <c r="D519" s="146">
        <f t="shared" si="53"/>
        <v>1933624</v>
      </c>
      <c r="E519" s="331"/>
      <c r="F519" s="367"/>
      <c r="G519" s="364">
        <f t="shared" si="50"/>
        <v>0</v>
      </c>
      <c r="H519" s="65" t="s">
        <v>2528</v>
      </c>
      <c r="I519" s="65"/>
      <c r="J519" t="s">
        <v>3044</v>
      </c>
      <c r="K519">
        <f t="shared" si="54"/>
        <v>3550000</v>
      </c>
      <c r="L519">
        <f t="shared" si="55"/>
        <v>0</v>
      </c>
    </row>
    <row r="520" spans="1:12">
      <c r="A520" s="139">
        <v>45418</v>
      </c>
      <c r="B520" s="124"/>
      <c r="C520" s="123">
        <v>76461</v>
      </c>
      <c r="D520" s="146">
        <f t="shared" si="53"/>
        <v>2010085</v>
      </c>
      <c r="E520" s="331"/>
      <c r="F520" s="367"/>
      <c r="G520" s="364">
        <f t="shared" si="50"/>
        <v>0</v>
      </c>
      <c r="H520" s="65" t="s">
        <v>2529</v>
      </c>
      <c r="I520" s="65"/>
      <c r="J520" t="s">
        <v>3044</v>
      </c>
      <c r="K520">
        <f t="shared" si="54"/>
        <v>3550000</v>
      </c>
      <c r="L520">
        <f t="shared" si="55"/>
        <v>0</v>
      </c>
    </row>
    <row r="521" spans="1:12">
      <c r="A521" s="139">
        <v>45422</v>
      </c>
      <c r="B521" s="124"/>
      <c r="C521" s="123">
        <v>158297</v>
      </c>
      <c r="D521" s="146">
        <f t="shared" si="53"/>
        <v>2168382</v>
      </c>
      <c r="E521" s="331"/>
      <c r="F521" s="367"/>
      <c r="G521" s="364">
        <f t="shared" si="50"/>
        <v>0</v>
      </c>
      <c r="H521" s="65" t="s">
        <v>2530</v>
      </c>
      <c r="I521" s="65"/>
      <c r="J521" t="s">
        <v>3044</v>
      </c>
      <c r="K521">
        <f t="shared" si="54"/>
        <v>3550000</v>
      </c>
      <c r="L521">
        <f t="shared" si="55"/>
        <v>0</v>
      </c>
    </row>
    <row r="522" spans="1:12">
      <c r="A522" s="195">
        <v>45422</v>
      </c>
      <c r="B522" s="197"/>
      <c r="C522" s="196">
        <v>3490</v>
      </c>
      <c r="D522" s="198">
        <f t="shared" si="53"/>
        <v>2171872</v>
      </c>
      <c r="E522" s="334"/>
      <c r="F522" s="370"/>
      <c r="G522" s="371">
        <f t="shared" si="50"/>
        <v>0</v>
      </c>
      <c r="H522" s="200" t="s">
        <v>2466</v>
      </c>
      <c r="I522" s="200" t="s">
        <v>101</v>
      </c>
      <c r="J522" t="s">
        <v>3044</v>
      </c>
      <c r="K522">
        <f t="shared" si="54"/>
        <v>3550000</v>
      </c>
      <c r="L522">
        <f t="shared" si="55"/>
        <v>0</v>
      </c>
    </row>
    <row r="523" spans="1:12">
      <c r="A523" s="195">
        <v>45422</v>
      </c>
      <c r="B523" s="197"/>
      <c r="C523" s="196">
        <v>889</v>
      </c>
      <c r="D523" s="198">
        <f t="shared" si="53"/>
        <v>2172761</v>
      </c>
      <c r="E523" s="334"/>
      <c r="F523" s="370"/>
      <c r="G523" s="371">
        <f t="shared" si="50"/>
        <v>0</v>
      </c>
      <c r="H523" s="200" t="s">
        <v>2537</v>
      </c>
      <c r="I523" s="200" t="s">
        <v>101</v>
      </c>
      <c r="J523" t="s">
        <v>3044</v>
      </c>
      <c r="K523">
        <f t="shared" si="54"/>
        <v>3550000</v>
      </c>
      <c r="L523">
        <f t="shared" si="55"/>
        <v>0</v>
      </c>
    </row>
    <row r="524" spans="1:12">
      <c r="A524" s="139">
        <v>45417</v>
      </c>
      <c r="B524" s="124">
        <v>400</v>
      </c>
      <c r="C524" s="123"/>
      <c r="D524" s="146">
        <f t="shared" si="53"/>
        <v>2172361</v>
      </c>
      <c r="E524" s="331"/>
      <c r="F524" s="367"/>
      <c r="G524" s="364">
        <f t="shared" si="50"/>
        <v>0</v>
      </c>
      <c r="H524" s="65"/>
      <c r="I524" s="65" t="s">
        <v>2381</v>
      </c>
      <c r="J524" t="s">
        <v>3044</v>
      </c>
      <c r="K524">
        <f t="shared" si="54"/>
        <v>3550000</v>
      </c>
      <c r="L524">
        <f t="shared" si="55"/>
        <v>0</v>
      </c>
    </row>
    <row r="525" spans="1:12">
      <c r="A525" s="195">
        <v>45432</v>
      </c>
      <c r="B525" s="197"/>
      <c r="C525" s="196">
        <v>1600</v>
      </c>
      <c r="D525" s="198">
        <f t="shared" si="53"/>
        <v>2173961</v>
      </c>
      <c r="E525" s="334"/>
      <c r="F525" s="370"/>
      <c r="G525" s="371">
        <f t="shared" si="50"/>
        <v>0</v>
      </c>
      <c r="H525" s="200" t="s">
        <v>2519</v>
      </c>
      <c r="I525" s="200" t="s">
        <v>101</v>
      </c>
      <c r="J525" t="s">
        <v>3044</v>
      </c>
      <c r="K525">
        <f t="shared" si="54"/>
        <v>3550000</v>
      </c>
      <c r="L525">
        <f t="shared" si="55"/>
        <v>0</v>
      </c>
    </row>
    <row r="526" spans="1:12">
      <c r="A526" s="139">
        <v>45440</v>
      </c>
      <c r="B526" s="124"/>
      <c r="C526" s="123">
        <v>28126</v>
      </c>
      <c r="D526" s="146">
        <f t="shared" si="53"/>
        <v>2202087</v>
      </c>
      <c r="E526" s="331"/>
      <c r="F526" s="367"/>
      <c r="G526" s="364">
        <f t="shared" si="50"/>
        <v>0</v>
      </c>
      <c r="H526" s="65" t="s">
        <v>2499</v>
      </c>
      <c r="I526" s="65"/>
      <c r="J526" t="s">
        <v>3044</v>
      </c>
      <c r="K526">
        <f t="shared" si="54"/>
        <v>3550000</v>
      </c>
      <c r="L526">
        <f t="shared" si="55"/>
        <v>0</v>
      </c>
    </row>
    <row r="527" spans="1:12">
      <c r="A527" s="139">
        <v>45440</v>
      </c>
      <c r="B527" s="124"/>
      <c r="C527" s="123">
        <v>1411</v>
      </c>
      <c r="D527" s="146">
        <f t="shared" si="53"/>
        <v>2203498</v>
      </c>
      <c r="E527" s="331"/>
      <c r="F527" s="367"/>
      <c r="G527" s="364">
        <f t="shared" si="50"/>
        <v>0</v>
      </c>
      <c r="H527" s="65" t="s">
        <v>2499</v>
      </c>
      <c r="I527" s="65"/>
      <c r="J527" t="s">
        <v>3044</v>
      </c>
      <c r="K527">
        <f t="shared" si="54"/>
        <v>3550000</v>
      </c>
      <c r="L527">
        <f t="shared" si="55"/>
        <v>0</v>
      </c>
    </row>
    <row r="528" spans="1:12">
      <c r="A528" s="139">
        <v>45441</v>
      </c>
      <c r="B528" s="124"/>
      <c r="C528" s="123"/>
      <c r="D528" s="146">
        <f t="shared" si="53"/>
        <v>2203498</v>
      </c>
      <c r="E528" s="331"/>
      <c r="F528" s="367">
        <v>10000</v>
      </c>
      <c r="G528" s="364">
        <f t="shared" si="50"/>
        <v>10000</v>
      </c>
      <c r="H528" s="65"/>
      <c r="I528" s="227" t="s">
        <v>3139</v>
      </c>
      <c r="J528" t="s">
        <v>3041</v>
      </c>
      <c r="K528">
        <f t="shared" si="54"/>
        <v>3550000</v>
      </c>
      <c r="L528">
        <f t="shared" si="55"/>
        <v>10000</v>
      </c>
    </row>
    <row r="529" spans="1:12">
      <c r="A529" s="139">
        <v>45441</v>
      </c>
      <c r="B529" s="124">
        <v>1550</v>
      </c>
      <c r="C529" s="123"/>
      <c r="D529" s="146">
        <f t="shared" si="53"/>
        <v>2201948</v>
      </c>
      <c r="E529" s="331"/>
      <c r="F529" s="367"/>
      <c r="G529" s="364">
        <f t="shared" si="50"/>
        <v>10000</v>
      </c>
      <c r="H529" s="65"/>
      <c r="I529" s="227" t="s">
        <v>2538</v>
      </c>
      <c r="J529" t="s">
        <v>3044</v>
      </c>
      <c r="K529">
        <f t="shared" si="54"/>
        <v>3550000</v>
      </c>
      <c r="L529">
        <f t="shared" si="55"/>
        <v>10000</v>
      </c>
    </row>
    <row r="530" spans="1:12">
      <c r="A530" s="139">
        <v>45547</v>
      </c>
      <c r="B530" s="124">
        <f>3669452+248970</f>
        <v>3918422</v>
      </c>
      <c r="C530" s="123">
        <v>3203901</v>
      </c>
      <c r="D530" s="146">
        <f>D529+C530-B530</f>
        <v>1487427</v>
      </c>
      <c r="E530" s="331"/>
      <c r="F530" s="367"/>
      <c r="G530" s="364">
        <f t="shared" si="50"/>
        <v>10000</v>
      </c>
      <c r="H530" s="65" t="s">
        <v>3140</v>
      </c>
      <c r="I530" s="65"/>
      <c r="J530" t="s">
        <v>3044</v>
      </c>
      <c r="K530">
        <f t="shared" si="54"/>
        <v>3550000</v>
      </c>
      <c r="L530">
        <f t="shared" si="55"/>
        <v>10000</v>
      </c>
    </row>
    <row r="531" spans="1:12">
      <c r="A531" s="139">
        <v>45547</v>
      </c>
      <c r="B531" s="124"/>
      <c r="C531" s="123"/>
      <c r="D531" s="146">
        <f t="shared" si="53"/>
        <v>1487427</v>
      </c>
      <c r="E531" s="331"/>
      <c r="F531" s="367">
        <v>1.74</v>
      </c>
      <c r="G531" s="364">
        <f t="shared" si="50"/>
        <v>10001.74</v>
      </c>
      <c r="H531" s="65"/>
      <c r="I531" s="227" t="s">
        <v>3139</v>
      </c>
      <c r="J531" t="s">
        <v>3041</v>
      </c>
      <c r="K531">
        <f t="shared" si="54"/>
        <v>3550000</v>
      </c>
      <c r="L531">
        <f t="shared" si="55"/>
        <v>10001.74</v>
      </c>
    </row>
    <row r="532" spans="1:12">
      <c r="A532" s="139">
        <v>45547</v>
      </c>
      <c r="B532" s="124"/>
      <c r="C532" s="123"/>
      <c r="D532" s="146">
        <f>D531+C532-B532</f>
        <v>1487427</v>
      </c>
      <c r="E532" s="331">
        <v>9190.92</v>
      </c>
      <c r="F532" s="367"/>
      <c r="G532" s="364">
        <f t="shared" si="50"/>
        <v>810.81999999999971</v>
      </c>
      <c r="H532" t="s">
        <v>2552</v>
      </c>
      <c r="I532" s="65" t="s">
        <v>3119</v>
      </c>
      <c r="J532" t="s">
        <v>3044</v>
      </c>
      <c r="K532">
        <f t="shared" si="54"/>
        <v>3550000</v>
      </c>
      <c r="L532">
        <f t="shared" si="55"/>
        <v>10001.74</v>
      </c>
    </row>
    <row r="533" spans="1:12">
      <c r="A533" s="195">
        <v>45548</v>
      </c>
      <c r="B533" s="197"/>
      <c r="C533" s="196">
        <v>1440</v>
      </c>
      <c r="D533" s="198">
        <f>D532+C533-B533</f>
        <v>1488867</v>
      </c>
      <c r="E533" s="334"/>
      <c r="F533" s="370"/>
      <c r="G533" s="371">
        <f>G532+F533-E533</f>
        <v>810.81999999999971</v>
      </c>
      <c r="H533" s="200" t="s">
        <v>2519</v>
      </c>
      <c r="I533" s="200" t="s">
        <v>101</v>
      </c>
      <c r="J533" t="s">
        <v>3044</v>
      </c>
      <c r="K533">
        <f t="shared" si="54"/>
        <v>3550000</v>
      </c>
      <c r="L533">
        <f t="shared" si="55"/>
        <v>10001.74</v>
      </c>
    </row>
    <row r="534" spans="1:12">
      <c r="A534" s="139">
        <v>45551</v>
      </c>
      <c r="B534" s="124"/>
      <c r="C534" s="123">
        <v>110050</v>
      </c>
      <c r="D534" s="146">
        <f t="shared" ref="D534" si="56">D533+C534-B534</f>
        <v>1598917</v>
      </c>
      <c r="E534" s="331"/>
      <c r="F534" s="367"/>
      <c r="G534" s="364">
        <f t="shared" ref="G534" si="57">G533+F534-E534</f>
        <v>810.81999999999971</v>
      </c>
      <c r="H534" t="s">
        <v>3143</v>
      </c>
      <c r="I534" t="s">
        <v>101</v>
      </c>
      <c r="J534" t="s">
        <v>3044</v>
      </c>
      <c r="K534">
        <f t="shared" si="54"/>
        <v>3550000</v>
      </c>
      <c r="L534">
        <f t="shared" si="55"/>
        <v>10001.74</v>
      </c>
    </row>
    <row r="535" spans="1:12">
      <c r="A535" s="195">
        <v>45551</v>
      </c>
      <c r="B535" s="197"/>
      <c r="C535" s="196">
        <v>692</v>
      </c>
      <c r="D535" s="198">
        <f>D534+C535-B535</f>
        <v>1599609</v>
      </c>
      <c r="E535" s="334"/>
      <c r="F535" s="370"/>
      <c r="G535" s="371">
        <f>G534+F535-E535</f>
        <v>810.81999999999971</v>
      </c>
      <c r="H535" s="200" t="s">
        <v>3141</v>
      </c>
      <c r="I535" s="200" t="s">
        <v>101</v>
      </c>
      <c r="J535" t="s">
        <v>3044</v>
      </c>
      <c r="K535">
        <f t="shared" si="54"/>
        <v>3550000</v>
      </c>
      <c r="L535">
        <f t="shared" si="55"/>
        <v>10001.74</v>
      </c>
    </row>
    <row r="536" spans="1:12">
      <c r="A536" s="139">
        <v>45565</v>
      </c>
      <c r="B536" s="124"/>
      <c r="C536" s="123">
        <v>947</v>
      </c>
      <c r="D536" s="146">
        <f>D535+C536-B536</f>
        <v>1600556</v>
      </c>
      <c r="E536" s="331"/>
      <c r="F536" s="367"/>
      <c r="G536" s="364">
        <f t="shared" ref="G536" si="58">G535+F536-E536</f>
        <v>810.81999999999971</v>
      </c>
      <c r="H536" t="s">
        <v>3143</v>
      </c>
      <c r="I536" t="s">
        <v>101</v>
      </c>
      <c r="J536" t="s">
        <v>3044</v>
      </c>
      <c r="K536">
        <f t="shared" si="54"/>
        <v>3550000</v>
      </c>
      <c r="L536">
        <f t="shared" si="55"/>
        <v>10001.74</v>
      </c>
    </row>
    <row r="537" spans="1:12">
      <c r="A537" s="195">
        <v>45555</v>
      </c>
      <c r="B537" s="197"/>
      <c r="C537" s="196">
        <v>989</v>
      </c>
      <c r="D537" s="198">
        <f>D536+C537-B537</f>
        <v>1601545</v>
      </c>
      <c r="E537" s="334"/>
      <c r="F537" s="370"/>
      <c r="G537" s="371">
        <f>G536+F537-E537</f>
        <v>810.81999999999971</v>
      </c>
      <c r="H537" s="200" t="s">
        <v>2480</v>
      </c>
      <c r="I537" s="200" t="s">
        <v>101</v>
      </c>
      <c r="J537" t="s">
        <v>3044</v>
      </c>
      <c r="K537">
        <f t="shared" si="54"/>
        <v>3550000</v>
      </c>
      <c r="L537">
        <f t="shared" si="55"/>
        <v>10001.74</v>
      </c>
    </row>
    <row r="538" spans="1:12">
      <c r="A538" s="195">
        <v>45560</v>
      </c>
      <c r="B538" s="197"/>
      <c r="C538" s="196">
        <v>490</v>
      </c>
      <c r="D538" s="198">
        <f t="shared" ref="D538:D541" si="59">D537+C538-B538</f>
        <v>1602035</v>
      </c>
      <c r="E538" s="334"/>
      <c r="F538" s="370"/>
      <c r="G538" s="371">
        <f t="shared" ref="G538:G545" si="60">G537+F538-E538</f>
        <v>810.81999999999971</v>
      </c>
      <c r="H538" s="200" t="s">
        <v>3142</v>
      </c>
      <c r="I538" s="200" t="s">
        <v>101</v>
      </c>
      <c r="J538" t="s">
        <v>3044</v>
      </c>
      <c r="K538">
        <f t="shared" si="54"/>
        <v>3550000</v>
      </c>
      <c r="L538">
        <f t="shared" si="55"/>
        <v>10001.74</v>
      </c>
    </row>
    <row r="539" spans="1:12">
      <c r="A539" s="139">
        <v>45565</v>
      </c>
      <c r="B539" s="124">
        <v>194869</v>
      </c>
      <c r="C539" s="123"/>
      <c r="D539" s="146">
        <f t="shared" si="59"/>
        <v>1407166</v>
      </c>
      <c r="E539" s="331"/>
      <c r="F539" s="367"/>
      <c r="G539" s="364">
        <f t="shared" si="60"/>
        <v>810.81999999999971</v>
      </c>
      <c r="H539" t="s">
        <v>3143</v>
      </c>
      <c r="I539" t="s">
        <v>101</v>
      </c>
      <c r="J539" t="s">
        <v>3044</v>
      </c>
      <c r="K539">
        <f t="shared" si="54"/>
        <v>3550000</v>
      </c>
      <c r="L539">
        <f t="shared" si="55"/>
        <v>10001.74</v>
      </c>
    </row>
    <row r="540" spans="1:12">
      <c r="A540" s="195">
        <v>45565</v>
      </c>
      <c r="B540" s="197"/>
      <c r="C540" s="196">
        <v>390</v>
      </c>
      <c r="D540" s="198">
        <f t="shared" si="59"/>
        <v>1407556</v>
      </c>
      <c r="E540" s="334"/>
      <c r="F540" s="370"/>
      <c r="G540" s="371">
        <f t="shared" si="60"/>
        <v>810.81999999999971</v>
      </c>
      <c r="H540" s="200" t="s">
        <v>3144</v>
      </c>
      <c r="I540" s="200" t="s">
        <v>101</v>
      </c>
      <c r="J540" t="s">
        <v>3044</v>
      </c>
      <c r="K540">
        <f t="shared" si="54"/>
        <v>3550000</v>
      </c>
      <c r="L540">
        <f t="shared" si="55"/>
        <v>10001.74</v>
      </c>
    </row>
    <row r="541" spans="1:12">
      <c r="A541" s="195">
        <v>45569</v>
      </c>
      <c r="B541" s="197"/>
      <c r="C541" s="196"/>
      <c r="D541" s="198">
        <f t="shared" si="59"/>
        <v>1407556</v>
      </c>
      <c r="E541" s="334"/>
      <c r="F541" s="370">
        <v>0.56000000000000005</v>
      </c>
      <c r="G541" s="371">
        <f t="shared" si="60"/>
        <v>811.37999999999965</v>
      </c>
      <c r="H541" s="200" t="s">
        <v>2560</v>
      </c>
      <c r="I541" s="200" t="s">
        <v>101</v>
      </c>
      <c r="J541" t="s">
        <v>3044</v>
      </c>
      <c r="K541">
        <f t="shared" si="54"/>
        <v>3550000</v>
      </c>
      <c r="L541">
        <f t="shared" si="55"/>
        <v>10001.74</v>
      </c>
    </row>
    <row r="542" spans="1:12">
      <c r="A542" s="147">
        <v>45572</v>
      </c>
      <c r="B542" s="149"/>
      <c r="C542" s="148">
        <v>528</v>
      </c>
      <c r="D542" s="150">
        <f t="shared" ref="D542:D548" si="61">D541+C542-B542</f>
        <v>1408084</v>
      </c>
      <c r="E542" s="333"/>
      <c r="F542" s="368"/>
      <c r="G542" s="369">
        <f t="shared" si="60"/>
        <v>811.37999999999965</v>
      </c>
      <c r="H542" s="152" t="s">
        <v>84</v>
      </c>
      <c r="I542" s="152"/>
      <c r="J542" t="s">
        <v>3044</v>
      </c>
      <c r="K542">
        <f t="shared" si="54"/>
        <v>3550000</v>
      </c>
      <c r="L542">
        <f t="shared" si="55"/>
        <v>10001.74</v>
      </c>
    </row>
    <row r="543" spans="1:12">
      <c r="A543" s="139">
        <v>45572</v>
      </c>
      <c r="B543" s="124"/>
      <c r="C543" s="123">
        <v>39935</v>
      </c>
      <c r="D543" s="146">
        <f t="shared" si="61"/>
        <v>1448019</v>
      </c>
      <c r="E543" s="331"/>
      <c r="F543" s="367"/>
      <c r="G543" s="364">
        <f t="shared" si="60"/>
        <v>811.37999999999965</v>
      </c>
      <c r="H543" t="s">
        <v>3143</v>
      </c>
      <c r="I543" t="s">
        <v>101</v>
      </c>
      <c r="J543" t="s">
        <v>3044</v>
      </c>
      <c r="K543">
        <f t="shared" si="54"/>
        <v>3550000</v>
      </c>
      <c r="L543">
        <f t="shared" si="55"/>
        <v>10001.74</v>
      </c>
    </row>
    <row r="544" spans="1:12">
      <c r="A544" s="195">
        <v>45581</v>
      </c>
      <c r="B544" s="197"/>
      <c r="C544" s="196">
        <v>1280</v>
      </c>
      <c r="D544" s="198">
        <f t="shared" si="61"/>
        <v>1449299</v>
      </c>
      <c r="E544" s="334"/>
      <c r="F544" s="370"/>
      <c r="G544" s="371">
        <f t="shared" si="60"/>
        <v>811.37999999999965</v>
      </c>
      <c r="H544" s="200" t="s">
        <v>2519</v>
      </c>
      <c r="I544" s="200" t="s">
        <v>101</v>
      </c>
      <c r="J544" t="s">
        <v>3044</v>
      </c>
      <c r="K544">
        <f t="shared" si="54"/>
        <v>3550000</v>
      </c>
      <c r="L544">
        <f t="shared" si="55"/>
        <v>10001.74</v>
      </c>
    </row>
    <row r="545" spans="1:12">
      <c r="A545" s="195">
        <v>45583</v>
      </c>
      <c r="B545" s="197"/>
      <c r="C545" s="196">
        <v>4059</v>
      </c>
      <c r="D545" s="198">
        <f t="shared" si="61"/>
        <v>1453358</v>
      </c>
      <c r="E545" s="334"/>
      <c r="F545" s="370"/>
      <c r="G545" s="371">
        <f t="shared" si="60"/>
        <v>811.37999999999965</v>
      </c>
      <c r="H545" s="200" t="s">
        <v>2387</v>
      </c>
      <c r="I545" s="200" t="s">
        <v>101</v>
      </c>
      <c r="J545" t="s">
        <v>3044</v>
      </c>
      <c r="K545">
        <f t="shared" si="54"/>
        <v>3550000</v>
      </c>
      <c r="L545">
        <f t="shared" si="55"/>
        <v>10001.74</v>
      </c>
    </row>
    <row r="546" spans="1:12">
      <c r="A546" s="147">
        <v>45601</v>
      </c>
      <c r="B546" s="149"/>
      <c r="C546" s="148">
        <v>21</v>
      </c>
      <c r="D546" s="150">
        <f t="shared" si="61"/>
        <v>1453379</v>
      </c>
      <c r="E546" s="333"/>
      <c r="F546" s="368"/>
      <c r="G546" s="369">
        <f t="shared" ref="G546:G549" si="62">G545+F546-E546</f>
        <v>811.37999999999965</v>
      </c>
      <c r="H546" s="152" t="s">
        <v>84</v>
      </c>
      <c r="I546" s="152"/>
      <c r="J546" t="s">
        <v>3044</v>
      </c>
      <c r="K546">
        <f t="shared" si="54"/>
        <v>3550000</v>
      </c>
      <c r="L546">
        <f t="shared" si="55"/>
        <v>10001.74</v>
      </c>
    </row>
    <row r="547" spans="1:12">
      <c r="A547" s="139">
        <v>45609</v>
      </c>
      <c r="B547" s="124"/>
      <c r="C547" s="123">
        <v>73078</v>
      </c>
      <c r="D547" s="146">
        <f t="shared" si="61"/>
        <v>1526457</v>
      </c>
      <c r="E547" s="331"/>
      <c r="F547" s="367"/>
      <c r="G547" s="364">
        <f t="shared" si="62"/>
        <v>811.37999999999965</v>
      </c>
      <c r="H547" t="s">
        <v>3143</v>
      </c>
      <c r="I547" t="s">
        <v>101</v>
      </c>
      <c r="J547" t="s">
        <v>3044</v>
      </c>
      <c r="K547">
        <f t="shared" si="54"/>
        <v>3550000</v>
      </c>
      <c r="L547">
        <f t="shared" si="55"/>
        <v>10001.74</v>
      </c>
    </row>
    <row r="548" spans="1:12">
      <c r="A548" s="195">
        <v>45611</v>
      </c>
      <c r="B548" s="197"/>
      <c r="C548" s="196">
        <v>1120</v>
      </c>
      <c r="D548" s="198">
        <f t="shared" si="61"/>
        <v>1527577</v>
      </c>
      <c r="E548" s="334"/>
      <c r="F548" s="370"/>
      <c r="G548" s="371">
        <f t="shared" si="62"/>
        <v>811.37999999999965</v>
      </c>
      <c r="H548" s="200" t="s">
        <v>2519</v>
      </c>
      <c r="I548" s="200" t="s">
        <v>101</v>
      </c>
      <c r="J548" t="s">
        <v>3044</v>
      </c>
      <c r="K548">
        <f t="shared" si="54"/>
        <v>3550000</v>
      </c>
      <c r="L548">
        <f t="shared" si="55"/>
        <v>10001.74</v>
      </c>
    </row>
    <row r="549" spans="1:12">
      <c r="A549" s="139">
        <v>45624</v>
      </c>
      <c r="B549" s="124">
        <v>508070</v>
      </c>
      <c r="C549" s="123"/>
      <c r="D549" s="146">
        <f t="shared" ref="D549" si="63">D548+C549-B549</f>
        <v>1019507</v>
      </c>
      <c r="E549" s="331"/>
      <c r="F549" s="367"/>
      <c r="G549" s="364">
        <f t="shared" si="62"/>
        <v>811.37999999999965</v>
      </c>
      <c r="H549" s="65" t="s">
        <v>3145</v>
      </c>
      <c r="I549" s="65" t="s">
        <v>2533</v>
      </c>
      <c r="J549" t="s">
        <v>3044</v>
      </c>
      <c r="K549">
        <f t="shared" si="54"/>
        <v>3550000</v>
      </c>
      <c r="L549">
        <f t="shared" si="55"/>
        <v>10001.74</v>
      </c>
    </row>
    <row r="550" spans="1:12">
      <c r="A550" s="147">
        <v>45631</v>
      </c>
      <c r="B550" s="149"/>
      <c r="C550" s="148">
        <v>40</v>
      </c>
      <c r="D550" s="150">
        <f>D549+C550-B550</f>
        <v>1019547</v>
      </c>
      <c r="E550" s="333"/>
      <c r="F550" s="368"/>
      <c r="G550" s="369">
        <f t="shared" ref="G550:G551" si="64">G549+F550-E550</f>
        <v>811.37999999999965</v>
      </c>
      <c r="H550" s="152" t="s">
        <v>84</v>
      </c>
      <c r="I550" s="152"/>
      <c r="J550" t="s">
        <v>3044</v>
      </c>
      <c r="K550">
        <f t="shared" si="54"/>
        <v>3550000</v>
      </c>
      <c r="L550">
        <f t="shared" si="55"/>
        <v>10001.74</v>
      </c>
    </row>
    <row r="551" spans="1:12">
      <c r="A551" s="195">
        <v>45639</v>
      </c>
      <c r="B551" s="197"/>
      <c r="C551" s="196">
        <v>880</v>
      </c>
      <c r="D551" s="198">
        <f>D550+C551-B551</f>
        <v>1020427</v>
      </c>
      <c r="E551" s="334"/>
      <c r="F551" s="370"/>
      <c r="G551" s="371">
        <f t="shared" si="64"/>
        <v>811.37999999999965</v>
      </c>
      <c r="H551" s="200" t="s">
        <v>2519</v>
      </c>
      <c r="I551" s="200" t="s">
        <v>101</v>
      </c>
      <c r="J551" t="s">
        <v>3044</v>
      </c>
      <c r="K551">
        <f t="shared" si="54"/>
        <v>3550000</v>
      </c>
      <c r="L551">
        <f t="shared" si="55"/>
        <v>10001.74</v>
      </c>
    </row>
    <row r="552" spans="1:12">
      <c r="A552" s="153">
        <v>45647</v>
      </c>
      <c r="B552" s="155"/>
      <c r="C552" s="154">
        <v>3979</v>
      </c>
      <c r="D552" s="156">
        <f>D551+C552-B552</f>
        <v>1024406</v>
      </c>
      <c r="E552" s="332"/>
      <c r="F552" s="365"/>
      <c r="G552" s="366">
        <f>G551+F552-E552</f>
        <v>811.37999999999965</v>
      </c>
      <c r="H552" s="158" t="s">
        <v>48</v>
      </c>
      <c r="I552" s="159"/>
      <c r="J552" t="s">
        <v>3044</v>
      </c>
      <c r="K552">
        <f t="shared" si="54"/>
        <v>3550000</v>
      </c>
      <c r="L552">
        <f t="shared" si="55"/>
        <v>10001.74</v>
      </c>
    </row>
    <row r="553" spans="1:12">
      <c r="A553" s="153">
        <v>45647</v>
      </c>
      <c r="B553" s="155"/>
      <c r="C553" s="154"/>
      <c r="D553" s="156">
        <f>D552+C553-B553</f>
        <v>1024406</v>
      </c>
      <c r="E553" s="332"/>
      <c r="F553" s="365">
        <v>4.32</v>
      </c>
      <c r="G553" s="366">
        <f>G552+F553-E553</f>
        <v>815.6999999999997</v>
      </c>
      <c r="H553" s="158" t="s">
        <v>48</v>
      </c>
      <c r="I553" s="159"/>
      <c r="J553" t="s">
        <v>3044</v>
      </c>
      <c r="K553">
        <f t="shared" si="54"/>
        <v>3550000</v>
      </c>
      <c r="L553">
        <f t="shared" si="55"/>
        <v>10001.74</v>
      </c>
    </row>
    <row r="554" spans="1:12">
      <c r="A554" s="195">
        <v>45657</v>
      </c>
      <c r="B554" s="197"/>
      <c r="C554" s="196"/>
      <c r="D554" s="198">
        <f t="shared" ref="D554:D555" si="65">D553+C554-B554</f>
        <v>1024406</v>
      </c>
      <c r="E554" s="334"/>
      <c r="F554" s="370">
        <v>0.56000000000000005</v>
      </c>
      <c r="G554" s="371">
        <f t="shared" ref="G554:G555" si="66">G553+F554-E554</f>
        <v>816.25999999999965</v>
      </c>
      <c r="H554" s="200" t="s">
        <v>2560</v>
      </c>
      <c r="I554" s="200" t="s">
        <v>101</v>
      </c>
      <c r="J554" t="s">
        <v>3044</v>
      </c>
      <c r="K554">
        <f t="shared" si="54"/>
        <v>3550000</v>
      </c>
      <c r="L554">
        <f t="shared" si="55"/>
        <v>10001.74</v>
      </c>
    </row>
    <row r="555" spans="1:12">
      <c r="A555" s="139">
        <v>45657</v>
      </c>
      <c r="B555" s="124">
        <v>820</v>
      </c>
      <c r="C555" s="123"/>
      <c r="D555" s="146">
        <f t="shared" si="65"/>
        <v>1023586</v>
      </c>
      <c r="E555" s="331"/>
      <c r="F555" s="367"/>
      <c r="G555" s="364">
        <f t="shared" si="66"/>
        <v>816.25999999999965</v>
      </c>
      <c r="H555" s="65" t="s">
        <v>57</v>
      </c>
      <c r="I555" s="65"/>
      <c r="J555" t="s">
        <v>3044</v>
      </c>
      <c r="K555">
        <f t="shared" si="54"/>
        <v>3550000</v>
      </c>
      <c r="L555">
        <f t="shared" si="55"/>
        <v>10001.74</v>
      </c>
    </row>
    <row r="556" spans="1:12">
      <c r="A556" s="139">
        <v>45665</v>
      </c>
      <c r="B556" s="124"/>
      <c r="C556" s="123">
        <v>681970</v>
      </c>
      <c r="D556" s="146">
        <f t="shared" ref="D556" si="67">D555+C556-B556</f>
        <v>1705556</v>
      </c>
      <c r="E556" s="331"/>
      <c r="F556" s="367"/>
      <c r="G556" s="364">
        <f t="shared" ref="G556" si="68">G555+F556-E556</f>
        <v>816.25999999999965</v>
      </c>
      <c r="H556" t="s">
        <v>3143</v>
      </c>
      <c r="I556" s="65"/>
      <c r="J556" t="s">
        <v>3044</v>
      </c>
      <c r="K556">
        <f t="shared" si="54"/>
        <v>3550000</v>
      </c>
      <c r="L556">
        <f t="shared" si="55"/>
        <v>10001.74</v>
      </c>
    </row>
    <row r="557" spans="1:12">
      <c r="A557" s="139">
        <v>45666</v>
      </c>
      <c r="B557" s="124"/>
      <c r="C557" s="123">
        <v>146286</v>
      </c>
      <c r="D557" s="146">
        <f t="shared" ref="D557" si="69">D556+C557-B557</f>
        <v>1851842</v>
      </c>
      <c r="E557" s="331"/>
      <c r="F557" s="367"/>
      <c r="G557" s="364">
        <f t="shared" ref="G557" si="70">G556+F557-E557</f>
        <v>816.25999999999965</v>
      </c>
      <c r="H557" t="s">
        <v>3143</v>
      </c>
      <c r="I557" s="65"/>
      <c r="J557" t="s">
        <v>3044</v>
      </c>
      <c r="K557">
        <f t="shared" si="54"/>
        <v>3550000</v>
      </c>
      <c r="L557">
        <f t="shared" si="55"/>
        <v>10001.74</v>
      </c>
    </row>
    <row r="558" spans="1:12">
      <c r="A558" s="139">
        <v>45670</v>
      </c>
      <c r="B558" s="124">
        <v>88566</v>
      </c>
      <c r="C558" s="123"/>
      <c r="D558" s="146">
        <f t="shared" ref="D558" si="71">D557+C558-B558</f>
        <v>1763276</v>
      </c>
      <c r="E558" s="331"/>
      <c r="F558" s="367"/>
      <c r="G558" s="364">
        <f t="shared" ref="G558:G560" si="72">G557+F558-E558</f>
        <v>816.25999999999965</v>
      </c>
      <c r="H558" t="s">
        <v>3143</v>
      </c>
      <c r="I558" s="65"/>
      <c r="J558" t="s">
        <v>3044</v>
      </c>
      <c r="K558">
        <f t="shared" si="54"/>
        <v>3550000</v>
      </c>
      <c r="L558">
        <f t="shared" si="55"/>
        <v>10001.74</v>
      </c>
    </row>
    <row r="559" spans="1:12">
      <c r="A559" s="195">
        <v>45671</v>
      </c>
      <c r="B559" s="197"/>
      <c r="C559" s="196">
        <v>400</v>
      </c>
      <c r="D559" s="198">
        <f>D558+C559-B559</f>
        <v>1763676</v>
      </c>
      <c r="E559" s="334"/>
      <c r="F559" s="370"/>
      <c r="G559" s="371">
        <f t="shared" si="72"/>
        <v>816.25999999999965</v>
      </c>
      <c r="H559" s="200" t="s">
        <v>2519</v>
      </c>
      <c r="I559" s="200" t="s">
        <v>101</v>
      </c>
      <c r="J559" t="s">
        <v>3044</v>
      </c>
      <c r="K559">
        <f t="shared" si="54"/>
        <v>3550000</v>
      </c>
      <c r="L559">
        <f t="shared" si="55"/>
        <v>10001.74</v>
      </c>
    </row>
    <row r="560" spans="1:12">
      <c r="A560" s="147">
        <v>45693</v>
      </c>
      <c r="B560" s="149"/>
      <c r="C560" s="148">
        <v>522</v>
      </c>
      <c r="D560" s="150">
        <f>D559+C560-B560</f>
        <v>1764198</v>
      </c>
      <c r="E560" s="333"/>
      <c r="F560" s="368"/>
      <c r="G560" s="369">
        <f t="shared" si="72"/>
        <v>816.25999999999965</v>
      </c>
      <c r="H560" s="152" t="s">
        <v>84</v>
      </c>
      <c r="I560" s="152"/>
      <c r="J560" t="s">
        <v>3044</v>
      </c>
      <c r="K560">
        <f t="shared" si="54"/>
        <v>3550000</v>
      </c>
      <c r="L560">
        <f t="shared" si="55"/>
        <v>10001.74</v>
      </c>
    </row>
    <row r="561" spans="1:12">
      <c r="A561" s="139">
        <v>45699</v>
      </c>
      <c r="B561" s="124">
        <f>594846+129281+76170+81515+202788+77648</f>
        <v>1162248</v>
      </c>
      <c r="C561" s="123">
        <f>108021+271296</f>
        <v>379317</v>
      </c>
      <c r="D561" s="146">
        <f t="shared" ref="D561" si="73">D560+C561-B561</f>
        <v>981267</v>
      </c>
      <c r="E561" s="331"/>
      <c r="F561" s="367"/>
      <c r="G561" s="364">
        <f t="shared" ref="G561:G562" si="74">G560+F561-E561</f>
        <v>816.25999999999965</v>
      </c>
      <c r="H561" t="s">
        <v>3143</v>
      </c>
      <c r="I561" s="65"/>
      <c r="J561" t="s">
        <v>3044</v>
      </c>
      <c r="K561">
        <f t="shared" si="54"/>
        <v>3550000</v>
      </c>
      <c r="L561">
        <f t="shared" si="55"/>
        <v>10001.74</v>
      </c>
    </row>
    <row r="562" spans="1:12">
      <c r="A562" s="147">
        <v>45721</v>
      </c>
      <c r="B562" s="149"/>
      <c r="C562" s="148">
        <v>1451</v>
      </c>
      <c r="D562" s="150">
        <f>D561+C562-B562</f>
        <v>982718</v>
      </c>
      <c r="E562" s="333"/>
      <c r="F562" s="368"/>
      <c r="G562" s="369">
        <f t="shared" si="74"/>
        <v>816.25999999999965</v>
      </c>
      <c r="H562" s="152" t="s">
        <v>84</v>
      </c>
      <c r="I562" s="152"/>
      <c r="J562" t="s">
        <v>3044</v>
      </c>
      <c r="K562">
        <f t="shared" si="54"/>
        <v>3550000</v>
      </c>
      <c r="L562">
        <f t="shared" si="55"/>
        <v>10001.74</v>
      </c>
    </row>
    <row r="563" spans="1:12">
      <c r="A563" s="139">
        <v>45722</v>
      </c>
      <c r="B563" s="124">
        <f>227622</f>
        <v>227622</v>
      </c>
      <c r="C563" s="123">
        <f>132513+142270+159791+153421+48187+183685</f>
        <v>819867</v>
      </c>
      <c r="D563" s="146">
        <f t="shared" ref="D563" si="75">D562+C563-B563</f>
        <v>1574963</v>
      </c>
      <c r="E563" s="331"/>
      <c r="F563" s="367"/>
      <c r="G563" s="364">
        <f t="shared" ref="G563:G567" si="76">G562+F563-E563</f>
        <v>816.25999999999965</v>
      </c>
      <c r="H563" t="s">
        <v>3143</v>
      </c>
      <c r="I563" s="65"/>
      <c r="J563" t="s">
        <v>3044</v>
      </c>
      <c r="K563">
        <f t="shared" si="54"/>
        <v>3550000</v>
      </c>
      <c r="L563">
        <f t="shared" si="55"/>
        <v>10001.74</v>
      </c>
    </row>
    <row r="564" spans="1:12">
      <c r="A564" s="147">
        <v>45749</v>
      </c>
      <c r="B564" s="149"/>
      <c r="C564" s="148">
        <v>608</v>
      </c>
      <c r="D564" s="150">
        <f>D563+C564-B564</f>
        <v>1575571</v>
      </c>
      <c r="E564" s="333"/>
      <c r="F564" s="368"/>
      <c r="G564" s="369">
        <f t="shared" si="76"/>
        <v>816.25999999999965</v>
      </c>
      <c r="H564" s="152" t="s">
        <v>84</v>
      </c>
      <c r="I564" s="152"/>
      <c r="J564" t="s">
        <v>3044</v>
      </c>
      <c r="K564">
        <f t="shared" si="54"/>
        <v>3550000</v>
      </c>
      <c r="L564">
        <f t="shared" si="55"/>
        <v>10001.74</v>
      </c>
    </row>
    <row r="565" spans="1:12">
      <c r="A565" s="139">
        <v>45722</v>
      </c>
      <c r="B565" s="124">
        <v>28440</v>
      </c>
      <c r="C565" s="123"/>
      <c r="D565" s="146">
        <f t="shared" ref="D565" si="77">D564+C565-B565</f>
        <v>1547131</v>
      </c>
      <c r="E565" s="331"/>
      <c r="F565" s="367"/>
      <c r="G565" s="364">
        <f t="shared" ref="G565" si="78">G564+F565-E565</f>
        <v>816.25999999999965</v>
      </c>
      <c r="H565" t="s">
        <v>3143</v>
      </c>
      <c r="I565" s="65"/>
      <c r="J565" t="s">
        <v>3044</v>
      </c>
      <c r="K565">
        <f t="shared" si="54"/>
        <v>3550000</v>
      </c>
      <c r="L565">
        <f t="shared" si="55"/>
        <v>10001.74</v>
      </c>
    </row>
    <row r="566" spans="1:12">
      <c r="A566" s="195">
        <v>45754</v>
      </c>
      <c r="B566" s="197"/>
      <c r="C566" s="196"/>
      <c r="D566" s="198">
        <f t="shared" ref="D566:D572" si="79">D565+C566-B566</f>
        <v>1547131</v>
      </c>
      <c r="E566" s="334"/>
      <c r="F566" s="370">
        <v>0.56000000000000005</v>
      </c>
      <c r="G566" s="371">
        <f>G565+F566-E566</f>
        <v>816.8199999999996</v>
      </c>
      <c r="H566" s="200" t="s">
        <v>2560</v>
      </c>
      <c r="I566" s="200" t="s">
        <v>101</v>
      </c>
      <c r="J566" t="s">
        <v>3044</v>
      </c>
      <c r="K566">
        <f t="shared" si="54"/>
        <v>3550000</v>
      </c>
      <c r="L566">
        <f t="shared" si="55"/>
        <v>10001.74</v>
      </c>
    </row>
    <row r="567" spans="1:12">
      <c r="A567" s="195">
        <v>45764</v>
      </c>
      <c r="B567" s="197"/>
      <c r="C567" s="196">
        <v>3753</v>
      </c>
      <c r="D567" s="198">
        <f t="shared" si="79"/>
        <v>1550884</v>
      </c>
      <c r="E567" s="334"/>
      <c r="F567" s="370"/>
      <c r="G567" s="371">
        <f t="shared" si="76"/>
        <v>816.8199999999996</v>
      </c>
      <c r="H567" s="200" t="s">
        <v>2387</v>
      </c>
      <c r="I567" s="200" t="s">
        <v>101</v>
      </c>
      <c r="J567" t="s">
        <v>3044</v>
      </c>
      <c r="K567">
        <f t="shared" si="54"/>
        <v>3550000</v>
      </c>
      <c r="L567">
        <f t="shared" si="55"/>
        <v>10001.74</v>
      </c>
    </row>
    <row r="568" spans="1:12">
      <c r="A568" s="195">
        <v>45765</v>
      </c>
      <c r="B568" s="197"/>
      <c r="C568" s="196">
        <v>1490</v>
      </c>
      <c r="D568" s="198">
        <f t="shared" si="79"/>
        <v>1552374</v>
      </c>
      <c r="E568" s="334"/>
      <c r="F568" s="370"/>
      <c r="G568" s="371">
        <f t="shared" ref="G568" si="80">G567+F568-E568</f>
        <v>816.8199999999996</v>
      </c>
      <c r="H568" s="200" t="s">
        <v>3146</v>
      </c>
      <c r="I568" s="200" t="s">
        <v>101</v>
      </c>
      <c r="J568" t="s">
        <v>3044</v>
      </c>
      <c r="K568">
        <f t="shared" si="54"/>
        <v>3550000</v>
      </c>
      <c r="L568">
        <f t="shared" si="55"/>
        <v>10001.74</v>
      </c>
    </row>
    <row r="569" spans="1:12">
      <c r="A569" s="195">
        <v>45772</v>
      </c>
      <c r="B569" s="197"/>
      <c r="C569" s="196">
        <v>3490</v>
      </c>
      <c r="D569" s="198">
        <f t="shared" si="79"/>
        <v>1555864</v>
      </c>
      <c r="E569" s="334"/>
      <c r="F569" s="370"/>
      <c r="G569" s="371">
        <f t="shared" ref="G569" si="81">G568+F569-E569</f>
        <v>816.8199999999996</v>
      </c>
      <c r="H569" s="200" t="s">
        <v>3147</v>
      </c>
      <c r="I569" s="200" t="s">
        <v>101</v>
      </c>
      <c r="J569" t="s">
        <v>3044</v>
      </c>
      <c r="K569">
        <f t="shared" si="54"/>
        <v>3550000</v>
      </c>
      <c r="L569">
        <f t="shared" si="55"/>
        <v>10001.74</v>
      </c>
    </row>
    <row r="570" spans="1:12">
      <c r="A570" s="195">
        <v>45827</v>
      </c>
      <c r="B570" s="197"/>
      <c r="C570" s="196">
        <v>745</v>
      </c>
      <c r="D570" s="198">
        <f t="shared" si="79"/>
        <v>1556609</v>
      </c>
      <c r="E570" s="334"/>
      <c r="F570" s="370"/>
      <c r="G570" s="371">
        <f t="shared" ref="G570" si="82">G569+F570-E570</f>
        <v>816.8199999999996</v>
      </c>
      <c r="H570" s="200" t="s">
        <v>3147</v>
      </c>
      <c r="I570" s="200" t="s">
        <v>101</v>
      </c>
      <c r="J570" t="s">
        <v>3044</v>
      </c>
      <c r="K570">
        <f t="shared" si="54"/>
        <v>3550000</v>
      </c>
      <c r="L570">
        <f t="shared" si="55"/>
        <v>10001.74</v>
      </c>
    </row>
    <row r="571" spans="1:12">
      <c r="A571" s="153">
        <v>45829</v>
      </c>
      <c r="B571" s="155"/>
      <c r="C571" s="154">
        <v>4849</v>
      </c>
      <c r="D571" s="156">
        <f t="shared" si="79"/>
        <v>1561458</v>
      </c>
      <c r="E571" s="332"/>
      <c r="F571" s="365"/>
      <c r="G571" s="366">
        <f>G570+F571-E571</f>
        <v>816.8199999999996</v>
      </c>
      <c r="H571" s="158" t="s">
        <v>48</v>
      </c>
      <c r="I571" s="159"/>
      <c r="J571" t="s">
        <v>3044</v>
      </c>
      <c r="K571">
        <f t="shared" si="54"/>
        <v>3550000</v>
      </c>
      <c r="L571">
        <f t="shared" si="55"/>
        <v>10001.74</v>
      </c>
    </row>
    <row r="572" spans="1:12">
      <c r="A572" s="153">
        <v>45829</v>
      </c>
      <c r="B572" s="155"/>
      <c r="C572" s="154"/>
      <c r="D572" s="156">
        <f t="shared" si="79"/>
        <v>1561458</v>
      </c>
      <c r="E572" s="332"/>
      <c r="F572" s="365">
        <v>2.91</v>
      </c>
      <c r="G572" s="366">
        <f>G571+F572-E572</f>
        <v>819.72999999999956</v>
      </c>
      <c r="H572" s="158" t="s">
        <v>48</v>
      </c>
      <c r="I572" s="159"/>
      <c r="J572" t="s">
        <v>3044</v>
      </c>
      <c r="K572">
        <f t="shared" si="54"/>
        <v>3550000</v>
      </c>
      <c r="L572">
        <f t="shared" si="55"/>
        <v>10001.74</v>
      </c>
    </row>
    <row r="573" spans="1:12">
      <c r="A573" s="139">
        <v>45839</v>
      </c>
      <c r="B573" s="124">
        <f>313345</f>
        <v>313345</v>
      </c>
      <c r="C573" s="123"/>
      <c r="D573" s="146">
        <f t="shared" ref="D573" si="83">D572+C573-B573</f>
        <v>1248113</v>
      </c>
      <c r="E573" s="331"/>
      <c r="F573" s="367"/>
      <c r="G573" s="364">
        <f t="shared" ref="G573:G574" si="84">G572+F573-E573</f>
        <v>819.72999999999956</v>
      </c>
      <c r="H573" t="s">
        <v>3143</v>
      </c>
      <c r="I573" s="65"/>
      <c r="J573" t="s">
        <v>3044</v>
      </c>
      <c r="K573">
        <f t="shared" si="54"/>
        <v>3550000</v>
      </c>
      <c r="L573">
        <f t="shared" si="55"/>
        <v>10001.74</v>
      </c>
    </row>
    <row r="574" spans="1:12">
      <c r="A574" s="147">
        <v>45842</v>
      </c>
      <c r="B574" s="149"/>
      <c r="C574" s="148">
        <v>177</v>
      </c>
      <c r="D574" s="150">
        <f>D573+C574-B574</f>
        <v>1248290</v>
      </c>
      <c r="E574" s="333"/>
      <c r="F574" s="368"/>
      <c r="G574" s="369">
        <f t="shared" si="84"/>
        <v>819.72999999999956</v>
      </c>
      <c r="H574" s="152" t="s">
        <v>84</v>
      </c>
      <c r="I574" s="152"/>
      <c r="J574" t="s">
        <v>3044</v>
      </c>
      <c r="K574">
        <f t="shared" si="54"/>
        <v>3550000</v>
      </c>
      <c r="L574">
        <f t="shared" si="55"/>
        <v>10001.74</v>
      </c>
    </row>
    <row r="575" spans="1:12">
      <c r="A575" s="195">
        <v>45842</v>
      </c>
      <c r="B575" s="197"/>
      <c r="C575" s="196"/>
      <c r="D575" s="198">
        <f>D574+C575-B575</f>
        <v>1248290</v>
      </c>
      <c r="E575" s="334"/>
      <c r="F575" s="370">
        <v>0.56000000000000005</v>
      </c>
      <c r="G575" s="371">
        <f>G574+F575-E575</f>
        <v>820.28999999999951</v>
      </c>
      <c r="H575" s="200" t="s">
        <v>2560</v>
      </c>
      <c r="I575" s="200" t="s">
        <v>101</v>
      </c>
      <c r="J575" t="s">
        <v>3044</v>
      </c>
      <c r="K575">
        <f t="shared" si="54"/>
        <v>3550000</v>
      </c>
      <c r="L575">
        <f t="shared" si="55"/>
        <v>10001.74</v>
      </c>
    </row>
    <row r="576" spans="1:12">
      <c r="A576" s="139">
        <v>45853</v>
      </c>
      <c r="B576" s="124">
        <f>149111</f>
        <v>149111</v>
      </c>
      <c r="C576" s="123">
        <f>102047</f>
        <v>102047</v>
      </c>
      <c r="D576" s="146">
        <f t="shared" ref="D576" si="85">D575+C576-B576</f>
        <v>1201226</v>
      </c>
      <c r="E576" s="331"/>
      <c r="F576" s="367"/>
      <c r="G576" s="364">
        <f t="shared" ref="G576:G577" si="86">G575+F576-E576</f>
        <v>820.28999999999951</v>
      </c>
      <c r="H576" t="s">
        <v>3143</v>
      </c>
      <c r="I576" s="65"/>
      <c r="J576" t="s">
        <v>3044</v>
      </c>
      <c r="K576">
        <f t="shared" si="54"/>
        <v>3550000</v>
      </c>
      <c r="L576">
        <f t="shared" si="55"/>
        <v>10001.74</v>
      </c>
    </row>
    <row r="577" spans="1:12">
      <c r="A577" s="195">
        <v>45856</v>
      </c>
      <c r="B577" s="197"/>
      <c r="C577" s="196">
        <v>31804</v>
      </c>
      <c r="D577" s="198">
        <f>D576+C577-B577</f>
        <v>1233030</v>
      </c>
      <c r="E577" s="334"/>
      <c r="F577" s="370"/>
      <c r="G577" s="371">
        <f t="shared" si="86"/>
        <v>820.28999999999951</v>
      </c>
      <c r="H577" s="200" t="s">
        <v>3148</v>
      </c>
      <c r="I577" s="200" t="s">
        <v>101</v>
      </c>
      <c r="J577" t="s">
        <v>3044</v>
      </c>
      <c r="K577">
        <f t="shared" si="54"/>
        <v>3550000</v>
      </c>
      <c r="L577">
        <f t="shared" si="55"/>
        <v>10001.74</v>
      </c>
    </row>
    <row r="578" spans="1:12">
      <c r="A578" s="195">
        <v>45861</v>
      </c>
      <c r="B578" s="197"/>
      <c r="C578" s="196">
        <v>4590</v>
      </c>
      <c r="D578" s="198">
        <f>D577+C578-B578</f>
        <v>1237620</v>
      </c>
      <c r="E578" s="334"/>
      <c r="F578" s="370"/>
      <c r="G578" s="371">
        <f t="shared" ref="G578" si="87">G577+F578-E578</f>
        <v>820.28999999999951</v>
      </c>
      <c r="H578" s="200" t="s">
        <v>3149</v>
      </c>
      <c r="I578" s="200" t="s">
        <v>101</v>
      </c>
      <c r="J578" t="s">
        <v>3044</v>
      </c>
      <c r="K578">
        <f t="shared" si="54"/>
        <v>3550000</v>
      </c>
      <c r="L578">
        <f t="shared" si="55"/>
        <v>10001.74</v>
      </c>
    </row>
    <row r="579" spans="1:12">
      <c r="A579" s="195">
        <v>45862</v>
      </c>
      <c r="B579" s="197"/>
      <c r="C579" s="196">
        <v>12990</v>
      </c>
      <c r="D579" s="198">
        <f>D578+C579-B579</f>
        <v>1250610</v>
      </c>
      <c r="E579" s="334"/>
      <c r="F579" s="370"/>
      <c r="G579" s="371">
        <f t="shared" ref="G579" si="88">G578+F579-E579</f>
        <v>820.28999999999951</v>
      </c>
      <c r="H579" s="200" t="s">
        <v>3150</v>
      </c>
      <c r="I579" s="200" t="s">
        <v>101</v>
      </c>
      <c r="J579" t="s">
        <v>3044</v>
      </c>
      <c r="K579">
        <f t="shared" si="54"/>
        <v>3550000</v>
      </c>
      <c r="L579">
        <f t="shared" si="55"/>
        <v>10001.74</v>
      </c>
    </row>
    <row r="580" spans="1:12">
      <c r="A580" s="195">
        <v>45862</v>
      </c>
      <c r="B580" s="197"/>
      <c r="C580" s="196">
        <v>3590</v>
      </c>
      <c r="D580" s="198">
        <f>D579+C580-B580</f>
        <v>1254200</v>
      </c>
      <c r="E580" s="334"/>
      <c r="F580" s="370"/>
      <c r="G580" s="371">
        <f t="shared" ref="G580:G581" si="89">G579+F580-E580</f>
        <v>820.28999999999951</v>
      </c>
      <c r="H580" s="200" t="s">
        <v>3151</v>
      </c>
      <c r="I580" s="200" t="s">
        <v>101</v>
      </c>
      <c r="J580" t="s">
        <v>3044</v>
      </c>
      <c r="K580">
        <f t="shared" ref="K580:K643" si="90">IF(J580="本金",-B580+C580+K579,K579)</f>
        <v>3550000</v>
      </c>
      <c r="L580">
        <f t="shared" ref="L580:L643" si="91">IF(J580="本金",-E580+F580+L579,L579)</f>
        <v>10001.74</v>
      </c>
    </row>
    <row r="581" spans="1:12">
      <c r="A581" s="139">
        <v>45863</v>
      </c>
      <c r="B581" s="124"/>
      <c r="C581" s="123">
        <f>164769+41317+39276+149936</f>
        <v>395298</v>
      </c>
      <c r="D581" s="146">
        <f t="shared" ref="D581" si="92">D580+C581-B581</f>
        <v>1649498</v>
      </c>
      <c r="E581" s="331"/>
      <c r="F581" s="367"/>
      <c r="G581" s="364">
        <f t="shared" si="89"/>
        <v>820.28999999999951</v>
      </c>
      <c r="H581" t="s">
        <v>3143</v>
      </c>
      <c r="I581" s="65"/>
      <c r="J581" t="s">
        <v>3044</v>
      </c>
      <c r="K581">
        <f t="shared" si="90"/>
        <v>3550000</v>
      </c>
      <c r="L581">
        <f t="shared" si="91"/>
        <v>10001.74</v>
      </c>
    </row>
    <row r="582" spans="1:12">
      <c r="A582" s="195">
        <v>45868</v>
      </c>
      <c r="B582" s="197"/>
      <c r="C582" s="196">
        <v>5894</v>
      </c>
      <c r="D582" s="198">
        <f>D581+C582-B582</f>
        <v>1655392</v>
      </c>
      <c r="E582" s="334"/>
      <c r="F582" s="370"/>
      <c r="G582" s="371">
        <f t="shared" ref="G582:G586" si="93">G581+F582-E582</f>
        <v>820.28999999999951</v>
      </c>
      <c r="H582" s="200" t="s">
        <v>3152</v>
      </c>
      <c r="I582" s="200" t="s">
        <v>101</v>
      </c>
      <c r="J582" t="s">
        <v>3044</v>
      </c>
      <c r="K582">
        <f t="shared" si="90"/>
        <v>3550000</v>
      </c>
      <c r="L582">
        <f t="shared" si="91"/>
        <v>10001.74</v>
      </c>
    </row>
    <row r="583" spans="1:12">
      <c r="A583" s="139">
        <v>45870</v>
      </c>
      <c r="B583" s="124">
        <f>48697+38054+266879</f>
        <v>353630</v>
      </c>
      <c r="C583" s="123">
        <f>161462+77058+40372</f>
        <v>278892</v>
      </c>
      <c r="D583" s="146">
        <f t="shared" ref="D583" si="94">D582+C583-B583</f>
        <v>1580654</v>
      </c>
      <c r="E583" s="331"/>
      <c r="F583" s="367"/>
      <c r="G583" s="364">
        <f t="shared" si="93"/>
        <v>820.28999999999951</v>
      </c>
      <c r="H583" t="s">
        <v>3143</v>
      </c>
      <c r="I583" s="65"/>
      <c r="J583" t="s">
        <v>3044</v>
      </c>
      <c r="K583">
        <f t="shared" si="90"/>
        <v>3550000</v>
      </c>
      <c r="L583">
        <f t="shared" si="91"/>
        <v>10001.74</v>
      </c>
    </row>
    <row r="584" spans="1:12">
      <c r="A584" s="147">
        <v>45874</v>
      </c>
      <c r="B584" s="149"/>
      <c r="C584" s="148">
        <v>544</v>
      </c>
      <c r="D584" s="150">
        <f t="shared" ref="D584:D589" si="95">D583+C584-B584</f>
        <v>1581198</v>
      </c>
      <c r="E584" s="333"/>
      <c r="F584" s="368"/>
      <c r="G584" s="369">
        <f t="shared" si="93"/>
        <v>820.28999999999951</v>
      </c>
      <c r="H584" s="152" t="s">
        <v>84</v>
      </c>
      <c r="I584" s="152"/>
      <c r="J584" t="s">
        <v>3044</v>
      </c>
      <c r="K584">
        <f t="shared" si="90"/>
        <v>3550000</v>
      </c>
      <c r="L584">
        <f t="shared" si="91"/>
        <v>10001.74</v>
      </c>
    </row>
    <row r="585" spans="1:12">
      <c r="A585" s="195">
        <v>45877</v>
      </c>
      <c r="B585" s="197"/>
      <c r="C585" s="196">
        <v>27399</v>
      </c>
      <c r="D585" s="198">
        <f t="shared" si="95"/>
        <v>1608597</v>
      </c>
      <c r="E585" s="334"/>
      <c r="F585" s="370"/>
      <c r="G585" s="371">
        <f t="shared" si="93"/>
        <v>820.28999999999951</v>
      </c>
      <c r="H585" s="200" t="s">
        <v>3153</v>
      </c>
      <c r="I585" s="200" t="s">
        <v>101</v>
      </c>
      <c r="J585" t="s">
        <v>3044</v>
      </c>
      <c r="K585">
        <f t="shared" si="90"/>
        <v>3550000</v>
      </c>
      <c r="L585">
        <f t="shared" si="91"/>
        <v>10001.74</v>
      </c>
    </row>
    <row r="586" spans="1:12">
      <c r="A586" s="195">
        <v>45880</v>
      </c>
      <c r="B586" s="197"/>
      <c r="C586" s="196">
        <v>3690</v>
      </c>
      <c r="D586" s="198">
        <f t="shared" si="95"/>
        <v>1612287</v>
      </c>
      <c r="E586" s="334"/>
      <c r="F586" s="370"/>
      <c r="G586" s="371">
        <f t="shared" si="93"/>
        <v>820.28999999999951</v>
      </c>
      <c r="H586" s="200" t="s">
        <v>3154</v>
      </c>
      <c r="I586" s="200" t="s">
        <v>101</v>
      </c>
      <c r="J586" t="s">
        <v>3044</v>
      </c>
      <c r="K586">
        <f t="shared" si="90"/>
        <v>3550000</v>
      </c>
      <c r="L586">
        <f t="shared" si="91"/>
        <v>10001.74</v>
      </c>
    </row>
    <row r="587" spans="1:12">
      <c r="A587" s="195">
        <v>45884</v>
      </c>
      <c r="B587" s="197"/>
      <c r="C587" s="196">
        <v>5990</v>
      </c>
      <c r="D587" s="198">
        <f t="shared" si="95"/>
        <v>1618277</v>
      </c>
      <c r="E587" s="334"/>
      <c r="F587" s="370"/>
      <c r="G587" s="371">
        <f t="shared" ref="G587" si="96">G586+F587-E587</f>
        <v>820.28999999999951</v>
      </c>
      <c r="H587" s="200" t="s">
        <v>3142</v>
      </c>
      <c r="I587" s="200" t="s">
        <v>101</v>
      </c>
      <c r="J587" t="s">
        <v>3044</v>
      </c>
      <c r="K587">
        <f t="shared" si="90"/>
        <v>3550000</v>
      </c>
      <c r="L587">
        <f t="shared" si="91"/>
        <v>10001.74</v>
      </c>
    </row>
    <row r="588" spans="1:12">
      <c r="A588" s="195">
        <v>45896</v>
      </c>
      <c r="B588" s="197"/>
      <c r="C588" s="196">
        <v>983</v>
      </c>
      <c r="D588" s="198">
        <f t="shared" si="95"/>
        <v>1619260</v>
      </c>
      <c r="E588" s="334"/>
      <c r="F588" s="370"/>
      <c r="G588" s="371">
        <f t="shared" ref="G588" si="97">G587+F588-E588</f>
        <v>820.28999999999951</v>
      </c>
      <c r="H588" s="200" t="s">
        <v>2362</v>
      </c>
      <c r="I588" s="200" t="s">
        <v>101</v>
      </c>
      <c r="J588" t="s">
        <v>3044</v>
      </c>
      <c r="K588">
        <f t="shared" si="90"/>
        <v>3550000</v>
      </c>
      <c r="L588">
        <f t="shared" si="91"/>
        <v>10001.74</v>
      </c>
    </row>
    <row r="589" spans="1:12">
      <c r="A589" s="195">
        <v>45898</v>
      </c>
      <c r="B589" s="197"/>
      <c r="C589" s="196">
        <v>244</v>
      </c>
      <c r="D589" s="198">
        <f t="shared" si="95"/>
        <v>1619504</v>
      </c>
      <c r="E589" s="334"/>
      <c r="F589" s="370"/>
      <c r="G589" s="371">
        <f t="shared" ref="G589:G591" si="98">G588+F589-E589</f>
        <v>820.28999999999951</v>
      </c>
      <c r="H589" s="200" t="s">
        <v>2385</v>
      </c>
      <c r="I589" s="200" t="s">
        <v>101</v>
      </c>
      <c r="J589" t="s">
        <v>3044</v>
      </c>
      <c r="K589">
        <f t="shared" si="90"/>
        <v>3550000</v>
      </c>
      <c r="L589">
        <f t="shared" si="91"/>
        <v>10001.74</v>
      </c>
    </row>
    <row r="590" spans="1:12">
      <c r="A590" s="139">
        <v>45902</v>
      </c>
      <c r="B590" s="124">
        <f>37453+92531</f>
        <v>129984</v>
      </c>
      <c r="C590" s="123">
        <f>82036+117828</f>
        <v>199864</v>
      </c>
      <c r="D590" s="146">
        <f t="shared" ref="D590" si="99">D589+C590-B590</f>
        <v>1689384</v>
      </c>
      <c r="E590" s="331"/>
      <c r="F590" s="367"/>
      <c r="G590" s="364">
        <f t="shared" si="98"/>
        <v>820.28999999999951</v>
      </c>
      <c r="H590" t="s">
        <v>3143</v>
      </c>
      <c r="I590" s="65"/>
      <c r="J590" t="s">
        <v>3044</v>
      </c>
      <c r="K590">
        <f t="shared" si="90"/>
        <v>3550000</v>
      </c>
      <c r="L590">
        <f t="shared" si="91"/>
        <v>10001.74</v>
      </c>
    </row>
    <row r="591" spans="1:12">
      <c r="A591" s="147">
        <v>45905</v>
      </c>
      <c r="B591" s="149"/>
      <c r="C591" s="148">
        <v>292</v>
      </c>
      <c r="D591" s="150">
        <f t="shared" ref="D591:D596" si="100">D590+C591-B591</f>
        <v>1689676</v>
      </c>
      <c r="E591" s="333"/>
      <c r="F591" s="368"/>
      <c r="G591" s="369">
        <f t="shared" si="98"/>
        <v>820.28999999999951</v>
      </c>
      <c r="H591" s="152" t="s">
        <v>84</v>
      </c>
      <c r="I591" s="152"/>
      <c r="J591" t="s">
        <v>3044</v>
      </c>
      <c r="K591">
        <f t="shared" si="90"/>
        <v>3550000</v>
      </c>
      <c r="L591">
        <f t="shared" si="91"/>
        <v>10001.74</v>
      </c>
    </row>
    <row r="592" spans="1:12">
      <c r="A592" s="195">
        <v>45912</v>
      </c>
      <c r="B592" s="197"/>
      <c r="C592" s="196">
        <v>1490</v>
      </c>
      <c r="D592" s="198">
        <f t="shared" si="100"/>
        <v>1691166</v>
      </c>
      <c r="E592" s="334"/>
      <c r="F592" s="370"/>
      <c r="G592" s="371">
        <f t="shared" ref="G592:G593" si="101">G591+F592-E592</f>
        <v>820.28999999999951</v>
      </c>
      <c r="H592" s="200" t="s">
        <v>3155</v>
      </c>
      <c r="I592" s="200" t="s">
        <v>101</v>
      </c>
      <c r="J592" t="s">
        <v>3044</v>
      </c>
      <c r="K592">
        <f t="shared" si="90"/>
        <v>3550000</v>
      </c>
      <c r="L592">
        <f t="shared" si="91"/>
        <v>10001.74</v>
      </c>
    </row>
    <row r="593" spans="1:12">
      <c r="A593" s="139">
        <v>45916</v>
      </c>
      <c r="B593" s="124"/>
      <c r="C593" s="123"/>
      <c r="D593" s="146">
        <f t="shared" si="100"/>
        <v>1691166</v>
      </c>
      <c r="E593" s="331">
        <v>433.38</v>
      </c>
      <c r="F593" s="367"/>
      <c r="G593" s="364">
        <f t="shared" si="101"/>
        <v>386.90999999999951</v>
      </c>
      <c r="H593" t="s">
        <v>2874</v>
      </c>
      <c r="I593" s="65" t="s">
        <v>3119</v>
      </c>
      <c r="J593" t="s">
        <v>3041</v>
      </c>
      <c r="K593">
        <f t="shared" si="90"/>
        <v>3550000</v>
      </c>
      <c r="L593">
        <f t="shared" si="91"/>
        <v>9568.36</v>
      </c>
    </row>
    <row r="594" spans="1:12">
      <c r="A594" s="195">
        <v>45933</v>
      </c>
      <c r="B594" s="197"/>
      <c r="C594" s="196"/>
      <c r="D594" s="198">
        <f t="shared" si="100"/>
        <v>1691166</v>
      </c>
      <c r="E594" s="334"/>
      <c r="F594" s="370">
        <v>0.56000000000000005</v>
      </c>
      <c r="G594" s="371">
        <f>G593+F594-E594</f>
        <v>387.46999999999952</v>
      </c>
      <c r="H594" s="200" t="s">
        <v>2560</v>
      </c>
      <c r="I594" s="200" t="s">
        <v>101</v>
      </c>
      <c r="J594" t="s">
        <v>3044</v>
      </c>
      <c r="K594">
        <f t="shared" si="90"/>
        <v>3550000</v>
      </c>
      <c r="L594">
        <f t="shared" si="91"/>
        <v>9568.36</v>
      </c>
    </row>
    <row r="595" spans="1:12">
      <c r="A595" s="153">
        <v>45829</v>
      </c>
      <c r="B595" s="155"/>
      <c r="C595" s="154"/>
      <c r="D595" s="156">
        <f t="shared" si="100"/>
        <v>1691166</v>
      </c>
      <c r="E595" s="332"/>
      <c r="F595" s="365">
        <v>1.89</v>
      </c>
      <c r="G595" s="366">
        <f>G594+F595-E595</f>
        <v>389.3599999999995</v>
      </c>
      <c r="H595" s="158" t="s">
        <v>48</v>
      </c>
      <c r="I595" s="159"/>
      <c r="J595" t="s">
        <v>3044</v>
      </c>
      <c r="K595">
        <f t="shared" si="90"/>
        <v>3550000</v>
      </c>
      <c r="L595">
        <f t="shared" si="91"/>
        <v>9568.36</v>
      </c>
    </row>
    <row r="596" spans="1:12">
      <c r="A596" s="195">
        <v>46021</v>
      </c>
      <c r="B596" s="197"/>
      <c r="C596" s="196"/>
      <c r="D596" s="198">
        <f t="shared" si="100"/>
        <v>1691166</v>
      </c>
      <c r="E596" s="334"/>
      <c r="F596" s="370">
        <v>0.56000000000000005</v>
      </c>
      <c r="G596" s="371">
        <f>G595+F596-E596</f>
        <v>389.9199999999995</v>
      </c>
      <c r="H596" s="200" t="s">
        <v>2560</v>
      </c>
      <c r="I596" s="200" t="s">
        <v>101</v>
      </c>
      <c r="J596" t="s">
        <v>3044</v>
      </c>
      <c r="K596">
        <f t="shared" si="90"/>
        <v>3550000</v>
      </c>
      <c r="L596">
        <f t="shared" si="91"/>
        <v>9568.36</v>
      </c>
    </row>
    <row r="597" spans="1:12">
      <c r="A597" s="139">
        <v>46022</v>
      </c>
      <c r="B597" s="124">
        <v>700</v>
      </c>
      <c r="C597" s="123"/>
      <c r="D597" s="146">
        <f>D596+C597-B597</f>
        <v>1690466</v>
      </c>
      <c r="E597" s="331"/>
      <c r="F597" s="367"/>
      <c r="G597" s="364">
        <f t="shared" ref="G597:G602" si="102">G596+F597-E597</f>
        <v>389.9199999999995</v>
      </c>
      <c r="H597" s="65" t="s">
        <v>57</v>
      </c>
      <c r="I597" s="65"/>
      <c r="J597" t="s">
        <v>3044</v>
      </c>
      <c r="K597">
        <f t="shared" si="90"/>
        <v>3550000</v>
      </c>
      <c r="L597">
        <f t="shared" si="91"/>
        <v>9568.36</v>
      </c>
    </row>
    <row r="598" spans="1:12">
      <c r="A598" s="139">
        <v>46035</v>
      </c>
      <c r="B598" s="124">
        <f>2732965+166990</f>
        <v>2899955</v>
      </c>
      <c r="C598" s="123">
        <v>3162137</v>
      </c>
      <c r="D598" s="146">
        <f t="shared" ref="D598:D603" si="103">D597+C598-B598</f>
        <v>1952648</v>
      </c>
      <c r="E598" s="331"/>
      <c r="F598" s="367"/>
      <c r="G598" s="364">
        <f t="shared" si="102"/>
        <v>389.9199999999995</v>
      </c>
      <c r="H598" s="65" t="s">
        <v>3140</v>
      </c>
      <c r="I598" s="65"/>
      <c r="J598" t="s">
        <v>3044</v>
      </c>
      <c r="K598">
        <f t="shared" si="90"/>
        <v>3550000</v>
      </c>
      <c r="L598">
        <f t="shared" si="91"/>
        <v>9568.36</v>
      </c>
    </row>
    <row r="599" spans="1:12">
      <c r="A599" s="139">
        <v>46037</v>
      </c>
      <c r="B599" s="124">
        <v>9994</v>
      </c>
      <c r="C599" s="123"/>
      <c r="D599" s="146">
        <f t="shared" si="103"/>
        <v>1942654</v>
      </c>
      <c r="E599" s="331"/>
      <c r="F599" s="367"/>
      <c r="G599" s="364">
        <f t="shared" si="102"/>
        <v>389.9199999999995</v>
      </c>
      <c r="H599" s="65" t="s">
        <v>3050</v>
      </c>
      <c r="I599" s="65"/>
      <c r="J599" t="s">
        <v>3044</v>
      </c>
      <c r="K599">
        <f t="shared" si="90"/>
        <v>3550000</v>
      </c>
      <c r="L599">
        <f t="shared" si="91"/>
        <v>9568.36</v>
      </c>
    </row>
    <row r="600" spans="1:12">
      <c r="A600" s="139">
        <v>46043</v>
      </c>
      <c r="B600" s="124">
        <v>150000</v>
      </c>
      <c r="C600" s="123"/>
      <c r="D600" s="146">
        <f t="shared" si="103"/>
        <v>1792654</v>
      </c>
      <c r="E600" s="331"/>
      <c r="F600" s="367"/>
      <c r="G600" s="364">
        <f t="shared" si="102"/>
        <v>389.9199999999995</v>
      </c>
      <c r="H600" s="65" t="s">
        <v>3156</v>
      </c>
      <c r="I600" s="65"/>
      <c r="J600" t="s">
        <v>3044</v>
      </c>
      <c r="K600">
        <f t="shared" si="90"/>
        <v>3550000</v>
      </c>
      <c r="L600">
        <f t="shared" si="91"/>
        <v>9568.36</v>
      </c>
    </row>
    <row r="601" spans="1:12">
      <c r="A601" s="139">
        <v>46044</v>
      </c>
      <c r="B601" s="124"/>
      <c r="C601" s="123">
        <f>19166+37932+11054</f>
        <v>68152</v>
      </c>
      <c r="D601" s="146">
        <f t="shared" si="103"/>
        <v>1860806</v>
      </c>
      <c r="E601" s="331"/>
      <c r="F601" s="367"/>
      <c r="G601" s="364">
        <f t="shared" si="102"/>
        <v>389.9199999999995</v>
      </c>
      <c r="H601" t="s">
        <v>3143</v>
      </c>
      <c r="I601" s="65"/>
      <c r="J601" t="s">
        <v>3044</v>
      </c>
      <c r="K601">
        <f t="shared" si="90"/>
        <v>3550000</v>
      </c>
      <c r="L601">
        <f t="shared" si="91"/>
        <v>9568.36</v>
      </c>
    </row>
    <row r="602" spans="1:12">
      <c r="A602" s="139">
        <v>46048</v>
      </c>
      <c r="B602" s="124">
        <v>9978</v>
      </c>
      <c r="C602" s="123"/>
      <c r="D602" s="146">
        <f t="shared" si="103"/>
        <v>1850828</v>
      </c>
      <c r="E602" s="331"/>
      <c r="F602" s="367"/>
      <c r="G602" s="364">
        <f t="shared" si="102"/>
        <v>389.9199999999995</v>
      </c>
      <c r="H602" s="65" t="s">
        <v>3050</v>
      </c>
      <c r="I602" s="65"/>
      <c r="J602" t="s">
        <v>3044</v>
      </c>
      <c r="K602">
        <f t="shared" si="90"/>
        <v>3550000</v>
      </c>
      <c r="L602">
        <f t="shared" si="91"/>
        <v>9568.36</v>
      </c>
    </row>
    <row r="603" spans="1:12">
      <c r="A603" s="139">
        <v>46055</v>
      </c>
      <c r="B603" s="124">
        <f>18235</f>
        <v>18235</v>
      </c>
      <c r="C603" s="123"/>
      <c r="D603" s="146">
        <f t="shared" si="103"/>
        <v>1832593</v>
      </c>
      <c r="E603" s="331"/>
      <c r="F603" s="367"/>
      <c r="G603" s="364">
        <f>G602+F603-E603</f>
        <v>389.9199999999995</v>
      </c>
      <c r="H603" t="s">
        <v>3143</v>
      </c>
      <c r="I603" s="65"/>
      <c r="J603" t="s">
        <v>3044</v>
      </c>
      <c r="K603">
        <f t="shared" si="90"/>
        <v>3550000</v>
      </c>
      <c r="L603">
        <f t="shared" si="91"/>
        <v>9568.36</v>
      </c>
    </row>
    <row r="604" spans="1:12">
      <c r="A604" s="147">
        <v>46058</v>
      </c>
      <c r="B604" s="149"/>
      <c r="C604" s="148">
        <v>334</v>
      </c>
      <c r="D604" s="150">
        <f>D603+C604-B604</f>
        <v>1832927</v>
      </c>
      <c r="E604" s="333"/>
      <c r="F604" s="368"/>
      <c r="G604" s="369">
        <f>G603+F604-E604</f>
        <v>389.9199999999995</v>
      </c>
      <c r="H604" s="152" t="s">
        <v>84</v>
      </c>
      <c r="I604" s="152"/>
      <c r="J604" t="s">
        <v>3044</v>
      </c>
      <c r="K604">
        <f t="shared" si="90"/>
        <v>3550000</v>
      </c>
      <c r="L604">
        <f t="shared" si="91"/>
        <v>9568.36</v>
      </c>
    </row>
    <row r="605" spans="1:12">
      <c r="A605" s="139">
        <v>46058</v>
      </c>
      <c r="B605" s="124">
        <v>9992</v>
      </c>
      <c r="C605" s="123"/>
      <c r="D605" s="146">
        <f>D604+C605-B605</f>
        <v>1822935</v>
      </c>
      <c r="E605" s="331"/>
      <c r="F605" s="367"/>
      <c r="G605" s="364">
        <f>G604+F605-E605</f>
        <v>389.9199999999995</v>
      </c>
      <c r="H605" s="65" t="s">
        <v>3050</v>
      </c>
      <c r="I605" s="65"/>
      <c r="J605" t="s">
        <v>3044</v>
      </c>
      <c r="K605">
        <f t="shared" si="90"/>
        <v>3550000</v>
      </c>
      <c r="L605">
        <f t="shared" si="91"/>
        <v>9568.36</v>
      </c>
    </row>
    <row r="606" spans="1:12">
      <c r="A606" s="195">
        <v>46065</v>
      </c>
      <c r="B606" s="197"/>
      <c r="C606" s="196">
        <v>8835</v>
      </c>
      <c r="D606" s="198">
        <f>D605+C606-B606</f>
        <v>1831770</v>
      </c>
      <c r="E606" s="334"/>
      <c r="F606" s="370"/>
      <c r="G606" s="371">
        <f>G605+F606-E606</f>
        <v>389.9199999999995</v>
      </c>
      <c r="H606" s="200">
        <v>770</v>
      </c>
      <c r="I606" s="200" t="s">
        <v>101</v>
      </c>
      <c r="J606" t="s">
        <v>3044</v>
      </c>
      <c r="K606">
        <f t="shared" si="90"/>
        <v>3550000</v>
      </c>
      <c r="L606">
        <f t="shared" si="91"/>
        <v>9568.36</v>
      </c>
    </row>
    <row r="607" spans="1:12">
      <c r="A607" s="139">
        <v>46076</v>
      </c>
      <c r="B607" s="124">
        <v>19964</v>
      </c>
      <c r="C607" s="123"/>
      <c r="D607" s="146">
        <f>D606+C607-B607</f>
        <v>1811806</v>
      </c>
      <c r="E607" s="331"/>
      <c r="F607" s="367"/>
      <c r="G607" s="364">
        <f>G606+F607-E607</f>
        <v>389.9199999999995</v>
      </c>
      <c r="H607" s="65" t="s">
        <v>3050</v>
      </c>
      <c r="I607" s="65"/>
      <c r="J607" t="s">
        <v>3044</v>
      </c>
      <c r="K607">
        <f t="shared" si="90"/>
        <v>3550000</v>
      </c>
      <c r="L607">
        <f t="shared" si="91"/>
        <v>9568.36</v>
      </c>
    </row>
    <row r="608" spans="1:12">
      <c r="A608" s="139">
        <v>46078</v>
      </c>
      <c r="B608" s="124">
        <v>9969</v>
      </c>
      <c r="C608" s="123"/>
      <c r="D608" s="146">
        <f t="shared" ref="D608:D617" si="104">D607+C608-B608</f>
        <v>1801837</v>
      </c>
      <c r="E608" s="331"/>
      <c r="F608" s="367"/>
      <c r="G608" s="364">
        <f t="shared" ref="G608:G617" si="105">G607+F608-E608</f>
        <v>389.9199999999995</v>
      </c>
      <c r="H608" s="65" t="s">
        <v>3050</v>
      </c>
      <c r="I608" s="65"/>
      <c r="J608" t="s">
        <v>3044</v>
      </c>
      <c r="K608">
        <f t="shared" si="90"/>
        <v>3550000</v>
      </c>
      <c r="L608">
        <f t="shared" si="91"/>
        <v>9568.36</v>
      </c>
    </row>
    <row r="609" spans="1:12">
      <c r="A609" s="139">
        <v>46079</v>
      </c>
      <c r="B609" s="124">
        <v>9995</v>
      </c>
      <c r="C609" s="123"/>
      <c r="D609" s="146">
        <f t="shared" si="104"/>
        <v>1791842</v>
      </c>
      <c r="E609" s="331"/>
      <c r="F609" s="367"/>
      <c r="G609" s="364">
        <f t="shared" si="105"/>
        <v>389.9199999999995</v>
      </c>
      <c r="H609" s="65" t="s">
        <v>3050</v>
      </c>
      <c r="I609" s="65"/>
      <c r="J609" t="s">
        <v>3044</v>
      </c>
      <c r="K609">
        <f t="shared" si="90"/>
        <v>3550000</v>
      </c>
      <c r="L609">
        <f t="shared" si="91"/>
        <v>9568.36</v>
      </c>
    </row>
    <row r="610" spans="1:12">
      <c r="A610" s="139">
        <v>46087</v>
      </c>
      <c r="B610" s="124">
        <v>9991</v>
      </c>
      <c r="C610" s="123"/>
      <c r="D610" s="146">
        <f t="shared" si="104"/>
        <v>1781851</v>
      </c>
      <c r="E610" s="331"/>
      <c r="F610" s="367"/>
      <c r="G610" s="364">
        <f t="shared" si="105"/>
        <v>389.9199999999995</v>
      </c>
      <c r="H610" s="65" t="s">
        <v>3050</v>
      </c>
      <c r="I610" s="65"/>
      <c r="J610" t="s">
        <v>3044</v>
      </c>
      <c r="K610">
        <f t="shared" si="90"/>
        <v>3550000</v>
      </c>
      <c r="L610">
        <f t="shared" si="91"/>
        <v>9568.36</v>
      </c>
    </row>
    <row r="611" spans="1:12">
      <c r="A611" s="139">
        <v>46090</v>
      </c>
      <c r="B611" s="124">
        <v>19952</v>
      </c>
      <c r="C611" s="123"/>
      <c r="D611" s="146">
        <f t="shared" si="104"/>
        <v>1761899</v>
      </c>
      <c r="E611" s="331"/>
      <c r="F611" s="367"/>
      <c r="G611" s="364">
        <f t="shared" si="105"/>
        <v>389.9199999999995</v>
      </c>
      <c r="H611" s="65" t="s">
        <v>3050</v>
      </c>
      <c r="I611" s="65"/>
      <c r="J611" t="s">
        <v>3044</v>
      </c>
      <c r="K611">
        <f t="shared" si="90"/>
        <v>3550000</v>
      </c>
      <c r="L611">
        <f t="shared" si="91"/>
        <v>9568.36</v>
      </c>
    </row>
    <row r="612" spans="1:12">
      <c r="A612" s="139">
        <v>46091</v>
      </c>
      <c r="B612" s="124"/>
      <c r="C612" s="123"/>
      <c r="D612" s="146">
        <f t="shared" si="104"/>
        <v>1761899</v>
      </c>
      <c r="E612" s="331"/>
      <c r="F612" s="367">
        <v>432.74</v>
      </c>
      <c r="G612" s="364">
        <f t="shared" si="105"/>
        <v>822.65999999999951</v>
      </c>
      <c r="I612" s="65" t="s">
        <v>3118</v>
      </c>
      <c r="J612" t="s">
        <v>3044</v>
      </c>
      <c r="K612">
        <f t="shared" si="90"/>
        <v>3550000</v>
      </c>
      <c r="L612">
        <f t="shared" si="91"/>
        <v>9568.36</v>
      </c>
    </row>
    <row r="613" spans="1:12">
      <c r="A613" s="139">
        <v>46092</v>
      </c>
      <c r="B613" s="124"/>
      <c r="C613" s="123">
        <v>322773</v>
      </c>
      <c r="D613" s="146">
        <f t="shared" si="104"/>
        <v>2084672</v>
      </c>
      <c r="E613" s="331"/>
      <c r="F613" s="367"/>
      <c r="G613" s="364">
        <f t="shared" si="105"/>
        <v>822.65999999999951</v>
      </c>
      <c r="H613" t="s">
        <v>3143</v>
      </c>
      <c r="I613" s="65"/>
      <c r="J613" t="s">
        <v>3044</v>
      </c>
      <c r="K613">
        <f t="shared" si="90"/>
        <v>3550000</v>
      </c>
      <c r="L613">
        <f t="shared" si="91"/>
        <v>9568.36</v>
      </c>
    </row>
    <row r="614" spans="1:12">
      <c r="A614" s="139">
        <v>46097</v>
      </c>
      <c r="B614" s="124">
        <v>9999</v>
      </c>
      <c r="C614" s="123"/>
      <c r="D614" s="146">
        <f t="shared" si="104"/>
        <v>2074673</v>
      </c>
      <c r="E614" s="331"/>
      <c r="F614" s="367"/>
      <c r="G614" s="364">
        <f t="shared" si="105"/>
        <v>822.65999999999951</v>
      </c>
      <c r="H614" s="65" t="s">
        <v>3050</v>
      </c>
      <c r="I614" s="65"/>
      <c r="J614" t="s">
        <v>3044</v>
      </c>
      <c r="K614">
        <f t="shared" si="90"/>
        <v>3550000</v>
      </c>
      <c r="L614">
        <f t="shared" si="91"/>
        <v>9568.36</v>
      </c>
    </row>
    <row r="615" spans="1:12">
      <c r="A615" s="139">
        <v>46098</v>
      </c>
      <c r="B615" s="124">
        <v>9974</v>
      </c>
      <c r="C615" s="123"/>
      <c r="D615" s="146">
        <f t="shared" si="104"/>
        <v>2064699</v>
      </c>
      <c r="E615" s="331"/>
      <c r="F615" s="367"/>
      <c r="G615" s="364">
        <f t="shared" si="105"/>
        <v>822.65999999999951</v>
      </c>
      <c r="H615" s="65" t="s">
        <v>3050</v>
      </c>
      <c r="I615" s="65"/>
      <c r="J615" t="s">
        <v>3044</v>
      </c>
      <c r="K615">
        <f t="shared" si="90"/>
        <v>3550000</v>
      </c>
      <c r="L615">
        <f t="shared" si="91"/>
        <v>9568.36</v>
      </c>
    </row>
    <row r="616" spans="1:12">
      <c r="A616" s="139">
        <v>46099</v>
      </c>
      <c r="B616" s="124">
        <v>9999</v>
      </c>
      <c r="C616" s="123"/>
      <c r="D616" s="146">
        <f t="shared" si="104"/>
        <v>2054700</v>
      </c>
      <c r="E616" s="331"/>
      <c r="F616" s="367"/>
      <c r="G616" s="364">
        <f t="shared" si="105"/>
        <v>822.65999999999951</v>
      </c>
      <c r="H616" s="65" t="s">
        <v>3050</v>
      </c>
      <c r="I616" s="65"/>
      <c r="J616" t="s">
        <v>3044</v>
      </c>
      <c r="K616">
        <f t="shared" si="90"/>
        <v>3550000</v>
      </c>
      <c r="L616">
        <f t="shared" si="91"/>
        <v>9568.36</v>
      </c>
    </row>
    <row r="617" spans="1:12">
      <c r="A617" s="139">
        <v>46100</v>
      </c>
      <c r="B617" s="124">
        <v>129183</v>
      </c>
      <c r="C617" s="123"/>
      <c r="D617" s="146">
        <f t="shared" si="104"/>
        <v>1925517</v>
      </c>
      <c r="E617" s="331"/>
      <c r="F617" s="367"/>
      <c r="G617" s="364">
        <f t="shared" si="105"/>
        <v>822.65999999999951</v>
      </c>
      <c r="H617" t="s">
        <v>3143</v>
      </c>
      <c r="I617" s="65"/>
      <c r="J617" t="s">
        <v>3044</v>
      </c>
      <c r="K617">
        <f t="shared" si="90"/>
        <v>3550000</v>
      </c>
      <c r="L617">
        <f t="shared" si="91"/>
        <v>9568.36</v>
      </c>
    </row>
    <row r="618" spans="1:12">
      <c r="A618" s="139">
        <v>46106</v>
      </c>
      <c r="B618" s="124">
        <v>141701</v>
      </c>
      <c r="C618" s="123"/>
      <c r="D618" s="146">
        <f t="shared" ref="D618" si="106">D617+C618-B618</f>
        <v>1783816</v>
      </c>
      <c r="E618" s="331"/>
      <c r="F618" s="367"/>
      <c r="G618" s="364">
        <f t="shared" ref="G618" si="107">G617+F618-E618</f>
        <v>822.65999999999951</v>
      </c>
      <c r="H618" t="s">
        <v>3143</v>
      </c>
      <c r="I618" s="65"/>
      <c r="J618" t="s">
        <v>3044</v>
      </c>
      <c r="K618">
        <f t="shared" si="90"/>
        <v>3550000</v>
      </c>
      <c r="L618">
        <f t="shared" si="91"/>
        <v>9568.36</v>
      </c>
    </row>
    <row r="619" spans="1:12">
      <c r="A619" s="147">
        <v>46114</v>
      </c>
      <c r="B619" s="149"/>
      <c r="C619" s="148">
        <v>1175</v>
      </c>
      <c r="D619" s="150">
        <f>D618+C619-B619</f>
        <v>1784991</v>
      </c>
      <c r="E619" s="333"/>
      <c r="F619" s="368"/>
      <c r="G619" s="369">
        <f>G618+F619-E619</f>
        <v>822.65999999999951</v>
      </c>
      <c r="H619" s="152" t="s">
        <v>84</v>
      </c>
      <c r="I619" s="152"/>
      <c r="J619" t="s">
        <v>3044</v>
      </c>
      <c r="K619">
        <f t="shared" si="90"/>
        <v>3550000</v>
      </c>
      <c r="L619">
        <f t="shared" si="91"/>
        <v>9568.36</v>
      </c>
    </row>
    <row r="620" spans="1:12">
      <c r="A620" s="195">
        <v>46114</v>
      </c>
      <c r="B620" s="197"/>
      <c r="C620" s="196"/>
      <c r="D620" s="198">
        <f t="shared" ref="D620:D621" si="108">D619+C620-B620</f>
        <v>1784991</v>
      </c>
      <c r="E620" s="334"/>
      <c r="F620" s="370">
        <v>0.56000000000000005</v>
      </c>
      <c r="G620" s="371">
        <f>G619+F620-E620</f>
        <v>823.21999999999946</v>
      </c>
      <c r="H620" s="200" t="s">
        <v>2560</v>
      </c>
      <c r="I620" s="200" t="s">
        <v>101</v>
      </c>
      <c r="J620" t="s">
        <v>3044</v>
      </c>
      <c r="K620">
        <f t="shared" si="90"/>
        <v>3550000</v>
      </c>
      <c r="L620">
        <f t="shared" si="91"/>
        <v>9568.36</v>
      </c>
    </row>
    <row r="621" spans="1:12">
      <c r="A621" s="139">
        <v>46119</v>
      </c>
      <c r="B621" s="124">
        <v>19958</v>
      </c>
      <c r="C621" s="123"/>
      <c r="D621" s="146">
        <f t="shared" si="108"/>
        <v>1765033</v>
      </c>
      <c r="E621" s="331"/>
      <c r="F621" s="367"/>
      <c r="G621" s="364">
        <f t="shared" ref="G621" si="109">G620+F621-E621</f>
        <v>823.21999999999946</v>
      </c>
      <c r="H621" s="65" t="s">
        <v>3050</v>
      </c>
      <c r="I621" s="65"/>
      <c r="J621" t="s">
        <v>3044</v>
      </c>
      <c r="K621">
        <f t="shared" si="90"/>
        <v>3550000</v>
      </c>
      <c r="L621">
        <f t="shared" si="91"/>
        <v>9568.36</v>
      </c>
    </row>
    <row r="622" spans="1:12">
      <c r="A622" s="139">
        <v>46120</v>
      </c>
      <c r="B622" s="124">
        <v>9992</v>
      </c>
      <c r="C622" s="123"/>
      <c r="D622" s="146">
        <f t="shared" ref="D622:D624" si="110">D621+C622-B622</f>
        <v>1755041</v>
      </c>
      <c r="E622" s="331"/>
      <c r="F622" s="367"/>
      <c r="G622" s="364">
        <f t="shared" ref="G622:G623" si="111">G621+F622-E622</f>
        <v>823.21999999999946</v>
      </c>
      <c r="H622" s="65" t="s">
        <v>3050</v>
      </c>
      <c r="I622" s="65"/>
      <c r="J622" t="s">
        <v>3044</v>
      </c>
      <c r="K622">
        <f t="shared" si="90"/>
        <v>3550000</v>
      </c>
      <c r="L622">
        <f t="shared" si="91"/>
        <v>9568.36</v>
      </c>
    </row>
    <row r="623" spans="1:12">
      <c r="A623" s="139">
        <v>46121</v>
      </c>
      <c r="B623" s="124"/>
      <c r="C623" s="123">
        <v>7130</v>
      </c>
      <c r="D623" s="146">
        <f t="shared" si="110"/>
        <v>1762171</v>
      </c>
      <c r="E623" s="331"/>
      <c r="F623" s="367"/>
      <c r="G623" s="364">
        <f t="shared" si="111"/>
        <v>823.21999999999946</v>
      </c>
      <c r="H623" t="s">
        <v>3143</v>
      </c>
      <c r="I623" s="65"/>
      <c r="J623" t="s">
        <v>3044</v>
      </c>
      <c r="K623">
        <f t="shared" si="90"/>
        <v>3550000</v>
      </c>
      <c r="L623">
        <f t="shared" si="91"/>
        <v>9568.36</v>
      </c>
    </row>
    <row r="624" spans="1:12">
      <c r="A624" s="195">
        <v>46122</v>
      </c>
      <c r="B624" s="197"/>
      <c r="C624" s="196">
        <v>1637</v>
      </c>
      <c r="D624" s="198">
        <f t="shared" si="110"/>
        <v>1763808</v>
      </c>
      <c r="E624" s="334"/>
      <c r="F624" s="370"/>
      <c r="G624" s="371">
        <f>G623+F624-E624</f>
        <v>823.21999999999946</v>
      </c>
      <c r="H624" s="200">
        <v>981</v>
      </c>
      <c r="I624" s="200" t="s">
        <v>101</v>
      </c>
      <c r="J624" t="s">
        <v>3044</v>
      </c>
      <c r="K624">
        <f t="shared" si="90"/>
        <v>3550000</v>
      </c>
      <c r="L624">
        <f t="shared" si="91"/>
        <v>9568.36</v>
      </c>
    </row>
    <row r="625" spans="1:12">
      <c r="A625" s="195">
        <v>46126</v>
      </c>
      <c r="B625" s="197"/>
      <c r="C625" s="196">
        <v>330</v>
      </c>
      <c r="D625" s="198">
        <f t="shared" ref="D625:D627" si="112">D624+C625-B625</f>
        <v>1764138</v>
      </c>
      <c r="E625" s="334"/>
      <c r="F625" s="370"/>
      <c r="G625" s="371">
        <f>G624+F625-E625</f>
        <v>823.21999999999946</v>
      </c>
      <c r="H625" s="200">
        <v>919</v>
      </c>
      <c r="I625" s="200" t="s">
        <v>101</v>
      </c>
      <c r="J625" t="s">
        <v>3044</v>
      </c>
      <c r="K625">
        <f t="shared" si="90"/>
        <v>3550000</v>
      </c>
      <c r="L625">
        <f t="shared" si="91"/>
        <v>9568.36</v>
      </c>
    </row>
    <row r="626" spans="1:12">
      <c r="A626" s="139">
        <v>46128</v>
      </c>
      <c r="B626" s="124">
        <v>111665</v>
      </c>
      <c r="C626" s="123"/>
      <c r="D626" s="146">
        <f t="shared" si="112"/>
        <v>1652473</v>
      </c>
      <c r="E626" s="331"/>
      <c r="F626" s="367"/>
      <c r="G626" s="364">
        <f t="shared" ref="G626:G627" si="113">G625+F626-E626</f>
        <v>823.21999999999946</v>
      </c>
      <c r="H626" t="s">
        <v>3143</v>
      </c>
      <c r="I626" s="65"/>
      <c r="J626" t="s">
        <v>3044</v>
      </c>
      <c r="K626">
        <f t="shared" si="90"/>
        <v>3550000</v>
      </c>
      <c r="L626">
        <f t="shared" si="91"/>
        <v>9568.36</v>
      </c>
    </row>
    <row r="627" spans="1:12">
      <c r="A627" s="139">
        <v>46128</v>
      </c>
      <c r="B627" s="124">
        <v>9999</v>
      </c>
      <c r="C627" s="123"/>
      <c r="D627" s="146">
        <f t="shared" si="112"/>
        <v>1642474</v>
      </c>
      <c r="E627" s="331"/>
      <c r="F627" s="367"/>
      <c r="G627" s="364">
        <f t="shared" si="113"/>
        <v>823.21999999999946</v>
      </c>
      <c r="H627" s="65" t="s">
        <v>3050</v>
      </c>
      <c r="I627" s="65"/>
      <c r="J627" t="s">
        <v>3044</v>
      </c>
      <c r="K627">
        <f t="shared" si="90"/>
        <v>3550000</v>
      </c>
      <c r="L627">
        <f t="shared" si="91"/>
        <v>9568.36</v>
      </c>
    </row>
    <row r="628" spans="1:12">
      <c r="A628" s="139">
        <v>46129</v>
      </c>
      <c r="B628" s="124">
        <v>9984</v>
      </c>
      <c r="C628" s="123"/>
      <c r="D628" s="146">
        <f t="shared" ref="D628:D629" si="114">D627+C628-B628</f>
        <v>1632490</v>
      </c>
      <c r="E628" s="331"/>
      <c r="F628" s="367"/>
      <c r="G628" s="364">
        <f t="shared" ref="G628:G629" si="115">G627+F628-E628</f>
        <v>823.21999999999946</v>
      </c>
      <c r="H628" s="65" t="s">
        <v>3050</v>
      </c>
      <c r="I628" s="65"/>
      <c r="J628" t="s">
        <v>3044</v>
      </c>
      <c r="K628">
        <f t="shared" si="90"/>
        <v>3550000</v>
      </c>
      <c r="L628">
        <f t="shared" si="91"/>
        <v>9568.36</v>
      </c>
    </row>
    <row r="629" spans="1:12">
      <c r="A629" s="139">
        <v>46132</v>
      </c>
      <c r="B629" s="124"/>
      <c r="C629" s="123">
        <v>18326</v>
      </c>
      <c r="D629" s="146">
        <f t="shared" si="114"/>
        <v>1650816</v>
      </c>
      <c r="E629" s="331"/>
      <c r="F629" s="367"/>
      <c r="G629" s="364">
        <f t="shared" si="115"/>
        <v>823.21999999999946</v>
      </c>
      <c r="H629" t="s">
        <v>3143</v>
      </c>
      <c r="I629" s="65"/>
      <c r="J629" t="s">
        <v>3044</v>
      </c>
      <c r="K629">
        <f t="shared" si="90"/>
        <v>3550000</v>
      </c>
      <c r="L629">
        <f t="shared" si="91"/>
        <v>9568.36</v>
      </c>
    </row>
    <row r="630" spans="1:12">
      <c r="A630" s="139">
        <v>46132</v>
      </c>
      <c r="B630" s="124">
        <v>9982</v>
      </c>
      <c r="C630" s="123"/>
      <c r="D630" s="146">
        <f t="shared" ref="D630:D632" si="116">D629+C630-B630</f>
        <v>1640834</v>
      </c>
      <c r="E630" s="331"/>
      <c r="F630" s="367"/>
      <c r="G630" s="364">
        <f t="shared" ref="G630:G632" si="117">G629+F630-E630</f>
        <v>823.21999999999946</v>
      </c>
      <c r="H630" s="65" t="s">
        <v>3050</v>
      </c>
      <c r="I630" s="65"/>
      <c r="J630" t="s">
        <v>3044</v>
      </c>
      <c r="K630">
        <f t="shared" si="90"/>
        <v>3550000</v>
      </c>
      <c r="L630">
        <f t="shared" si="91"/>
        <v>9568.36</v>
      </c>
    </row>
    <row r="631" spans="1:12">
      <c r="A631" s="139">
        <v>46133</v>
      </c>
      <c r="B631" s="124"/>
      <c r="C631" s="123">
        <v>78144</v>
      </c>
      <c r="D631" s="146">
        <f t="shared" si="116"/>
        <v>1718978</v>
      </c>
      <c r="E631" s="331"/>
      <c r="F631" s="367"/>
      <c r="G631" s="364">
        <f t="shared" si="117"/>
        <v>823.21999999999946</v>
      </c>
      <c r="H631" t="s">
        <v>3143</v>
      </c>
      <c r="I631" s="65"/>
      <c r="J631" t="s">
        <v>3044</v>
      </c>
      <c r="K631">
        <f t="shared" si="90"/>
        <v>3550000</v>
      </c>
      <c r="L631">
        <f t="shared" si="91"/>
        <v>9568.36</v>
      </c>
    </row>
    <row r="632" spans="1:12">
      <c r="A632" s="195">
        <v>46134</v>
      </c>
      <c r="B632" s="197"/>
      <c r="C632" s="196">
        <v>4414</v>
      </c>
      <c r="D632" s="198">
        <f t="shared" si="116"/>
        <v>1723392</v>
      </c>
      <c r="E632" s="334"/>
      <c r="F632" s="370"/>
      <c r="G632" s="371">
        <f t="shared" si="117"/>
        <v>823.21999999999946</v>
      </c>
      <c r="H632" s="200" t="s">
        <v>2387</v>
      </c>
      <c r="I632" s="200" t="s">
        <v>101</v>
      </c>
      <c r="J632" t="s">
        <v>3044</v>
      </c>
      <c r="K632">
        <f t="shared" si="90"/>
        <v>3550000</v>
      </c>
      <c r="L632">
        <f t="shared" si="91"/>
        <v>9568.36</v>
      </c>
    </row>
    <row r="633" spans="1:12">
      <c r="A633" s="139">
        <v>46135</v>
      </c>
      <c r="B633" s="124">
        <v>127675</v>
      </c>
      <c r="C633" s="123"/>
      <c r="D633" s="146">
        <f t="shared" ref="D633" si="118">D632+C633-B633</f>
        <v>1595717</v>
      </c>
      <c r="E633" s="331"/>
      <c r="F633" s="367"/>
      <c r="G633" s="364">
        <f t="shared" ref="G633" si="119">G632+F633-E633</f>
        <v>823.21999999999946</v>
      </c>
      <c r="H633" t="s">
        <v>3143</v>
      </c>
      <c r="I633" s="65"/>
      <c r="J633" t="s">
        <v>3044</v>
      </c>
      <c r="K633">
        <f t="shared" si="90"/>
        <v>3550000</v>
      </c>
      <c r="L633">
        <f t="shared" si="91"/>
        <v>9568.36</v>
      </c>
    </row>
    <row r="634" spans="1:12">
      <c r="A634" s="139">
        <v>46136</v>
      </c>
      <c r="B634" s="124"/>
      <c r="C634" s="123">
        <f>106015</f>
        <v>106015</v>
      </c>
      <c r="D634" s="146">
        <f t="shared" ref="D634:D635" si="120">D633+C634-B634</f>
        <v>1701732</v>
      </c>
      <c r="E634" s="331"/>
      <c r="F634" s="367"/>
      <c r="G634" s="364">
        <f t="shared" ref="G634:G636" si="121">G633+F634-E634</f>
        <v>823.21999999999946</v>
      </c>
      <c r="H634" t="s">
        <v>3143</v>
      </c>
      <c r="I634" s="65"/>
      <c r="J634" t="s">
        <v>3044</v>
      </c>
      <c r="K634">
        <f t="shared" si="90"/>
        <v>3550000</v>
      </c>
      <c r="L634">
        <f t="shared" si="91"/>
        <v>9568.36</v>
      </c>
    </row>
    <row r="635" spans="1:12">
      <c r="A635" s="195">
        <v>46136</v>
      </c>
      <c r="B635" s="197"/>
      <c r="C635" s="196">
        <v>3290</v>
      </c>
      <c r="D635" s="198">
        <f t="shared" si="120"/>
        <v>1705022</v>
      </c>
      <c r="E635" s="334"/>
      <c r="F635" s="370"/>
      <c r="G635" s="371">
        <f t="shared" si="121"/>
        <v>823.21999999999946</v>
      </c>
      <c r="H635" s="200" t="s">
        <v>2466</v>
      </c>
      <c r="I635" s="200" t="s">
        <v>101</v>
      </c>
      <c r="J635" t="s">
        <v>3044</v>
      </c>
      <c r="K635">
        <f t="shared" si="90"/>
        <v>3550000</v>
      </c>
      <c r="L635">
        <f t="shared" si="91"/>
        <v>9568.36</v>
      </c>
    </row>
    <row r="636" spans="1:12">
      <c r="A636" s="139">
        <v>46139</v>
      </c>
      <c r="B636" s="124">
        <v>580</v>
      </c>
      <c r="C636" s="123"/>
      <c r="D636" s="146">
        <f>D635+C636-B636</f>
        <v>1704442</v>
      </c>
      <c r="E636" s="331"/>
      <c r="F636" s="367"/>
      <c r="G636" s="364">
        <f t="shared" si="121"/>
        <v>823.21999999999946</v>
      </c>
      <c r="H636" s="65" t="s">
        <v>57</v>
      </c>
      <c r="I636" s="65"/>
      <c r="J636" t="s">
        <v>3044</v>
      </c>
      <c r="K636">
        <f t="shared" si="90"/>
        <v>3550000</v>
      </c>
      <c r="L636">
        <f t="shared" si="91"/>
        <v>9568.36</v>
      </c>
    </row>
    <row r="637" spans="1:12">
      <c r="A637" s="139">
        <v>46140</v>
      </c>
      <c r="B637" s="124"/>
      <c r="C637" s="123">
        <v>260246</v>
      </c>
      <c r="D637" s="146">
        <f t="shared" ref="D637:D638" si="122">D636+C637-B637</f>
        <v>1964688</v>
      </c>
      <c r="E637" s="331"/>
      <c r="F637" s="367"/>
      <c r="G637" s="364">
        <f t="shared" ref="G637:G638" si="123">G636+F637-E637</f>
        <v>823.21999999999946</v>
      </c>
      <c r="H637" t="s">
        <v>3143</v>
      </c>
      <c r="I637" s="65"/>
      <c r="J637" t="s">
        <v>3044</v>
      </c>
      <c r="K637">
        <f t="shared" si="90"/>
        <v>3550000</v>
      </c>
      <c r="L637">
        <f t="shared" si="91"/>
        <v>9568.36</v>
      </c>
    </row>
    <row r="638" spans="1:12">
      <c r="A638" s="139">
        <v>46140</v>
      </c>
      <c r="B638" s="124">
        <v>4916</v>
      </c>
      <c r="C638" s="123"/>
      <c r="D638" s="146">
        <f t="shared" si="122"/>
        <v>1959772</v>
      </c>
      <c r="E638" s="331"/>
      <c r="F638" s="367"/>
      <c r="G638" s="364">
        <f t="shared" si="123"/>
        <v>823.21999999999946</v>
      </c>
      <c r="H638" s="65" t="s">
        <v>3050</v>
      </c>
      <c r="I638" s="65"/>
      <c r="J638" t="s">
        <v>3044</v>
      </c>
      <c r="K638">
        <f t="shared" si="90"/>
        <v>3550000</v>
      </c>
      <c r="L638">
        <f t="shared" si="91"/>
        <v>9568.36</v>
      </c>
    </row>
    <row r="639" spans="1:12">
      <c r="A639" s="139">
        <v>46141</v>
      </c>
      <c r="B639" s="124"/>
      <c r="C639" s="123">
        <v>260146</v>
      </c>
      <c r="D639" s="146">
        <f t="shared" ref="D639" si="124">D638+C639-B639</f>
        <v>2219918</v>
      </c>
      <c r="E639" s="331"/>
      <c r="F639" s="367"/>
      <c r="G639" s="364">
        <f t="shared" ref="G639" si="125">G638+F639-E639</f>
        <v>823.21999999999946</v>
      </c>
      <c r="H639" t="s">
        <v>3143</v>
      </c>
      <c r="I639" s="65"/>
      <c r="J639" t="s">
        <v>3044</v>
      </c>
      <c r="K639">
        <f t="shared" si="90"/>
        <v>3550000</v>
      </c>
      <c r="L639">
        <f t="shared" si="91"/>
        <v>9568.36</v>
      </c>
    </row>
    <row r="640" spans="1:12">
      <c r="A640" s="147">
        <v>46147</v>
      </c>
      <c r="B640" s="149"/>
      <c r="C640" s="148">
        <v>1189</v>
      </c>
      <c r="D640" s="150">
        <f>D639+C640-B640</f>
        <v>2221107</v>
      </c>
      <c r="E640" s="333"/>
      <c r="F640" s="368"/>
      <c r="G640" s="369">
        <f>G639+F640-E640</f>
        <v>823.21999999999946</v>
      </c>
      <c r="H640" s="152" t="s">
        <v>84</v>
      </c>
      <c r="I640" s="152"/>
      <c r="J640" t="s">
        <v>3044</v>
      </c>
      <c r="K640">
        <f t="shared" si="90"/>
        <v>3550000</v>
      </c>
      <c r="L640">
        <f t="shared" si="91"/>
        <v>9568.36</v>
      </c>
    </row>
    <row r="641" spans="1:12">
      <c r="A641" s="139">
        <v>46148</v>
      </c>
      <c r="B641" s="124">
        <v>9997</v>
      </c>
      <c r="C641" s="123"/>
      <c r="D641" s="146">
        <f>D640+C641-B641</f>
        <v>2211110</v>
      </c>
      <c r="E641" s="331"/>
      <c r="F641" s="367"/>
      <c r="G641" s="364">
        <f t="shared" ref="G641" si="126">G640+F641-E641</f>
        <v>823.21999999999946</v>
      </c>
      <c r="H641" s="65" t="s">
        <v>3050</v>
      </c>
      <c r="I641" s="65"/>
      <c r="J641" t="s">
        <v>3044</v>
      </c>
      <c r="K641">
        <f t="shared" si="90"/>
        <v>3550000</v>
      </c>
      <c r="L641">
        <f t="shared" si="91"/>
        <v>9568.36</v>
      </c>
    </row>
    <row r="642" spans="1:12">
      <c r="A642" s="139">
        <v>46149</v>
      </c>
      <c r="B642" s="124">
        <v>9934</v>
      </c>
      <c r="C642" s="123"/>
      <c r="D642" s="146">
        <f t="shared" ref="D642:D646" si="127">D641+C642-B642</f>
        <v>2201176</v>
      </c>
      <c r="E642" s="331"/>
      <c r="F642" s="367"/>
      <c r="G642" s="364">
        <f t="shared" ref="G642:G643" si="128">G641+F642-E642</f>
        <v>823.21999999999946</v>
      </c>
      <c r="H642" s="65" t="s">
        <v>3050</v>
      </c>
      <c r="I642" s="65"/>
      <c r="J642" t="s">
        <v>3044</v>
      </c>
      <c r="K642">
        <f t="shared" si="90"/>
        <v>3550000</v>
      </c>
      <c r="L642">
        <f t="shared" si="91"/>
        <v>9568.36</v>
      </c>
    </row>
    <row r="643" spans="1:12">
      <c r="A643" s="139">
        <v>46150</v>
      </c>
      <c r="B643" s="124">
        <v>108433</v>
      </c>
      <c r="C643" s="123"/>
      <c r="D643" s="146">
        <f t="shared" si="127"/>
        <v>2092743</v>
      </c>
      <c r="E643" s="331"/>
      <c r="F643" s="367"/>
      <c r="G643" s="364">
        <f t="shared" si="128"/>
        <v>823.21999999999946</v>
      </c>
      <c r="H643" t="s">
        <v>3143</v>
      </c>
      <c r="I643" s="65"/>
      <c r="J643" t="s">
        <v>3044</v>
      </c>
      <c r="K643">
        <f t="shared" si="90"/>
        <v>3550000</v>
      </c>
      <c r="L643">
        <f t="shared" si="91"/>
        <v>9568.36</v>
      </c>
    </row>
    <row r="644" spans="1:12">
      <c r="A644" s="139">
        <v>46150</v>
      </c>
      <c r="B644" s="124">
        <v>4949</v>
      </c>
      <c r="C644" s="123"/>
      <c r="D644" s="146">
        <f t="shared" si="127"/>
        <v>2087794</v>
      </c>
      <c r="E644" s="331"/>
      <c r="F644" s="367"/>
      <c r="G644" s="364">
        <f t="shared" ref="G644:G645" si="129">G643+F644-E644</f>
        <v>823.21999999999946</v>
      </c>
      <c r="H644" s="65" t="s">
        <v>3050</v>
      </c>
      <c r="I644" s="65"/>
      <c r="J644" t="s">
        <v>3044</v>
      </c>
      <c r="K644">
        <f t="shared" ref="K644:K694" si="130">IF(J644="本金",-B644+C644+K643,K643)</f>
        <v>3550000</v>
      </c>
      <c r="L644">
        <f t="shared" ref="L644:L694" si="131">IF(J644="本金",-E644+F644+L643,L643)</f>
        <v>9568.36</v>
      </c>
    </row>
    <row r="645" spans="1:12">
      <c r="A645" s="139">
        <v>46153</v>
      </c>
      <c r="B645" s="124">
        <v>667432</v>
      </c>
      <c r="C645" s="123"/>
      <c r="D645" s="146">
        <f t="shared" si="127"/>
        <v>1420362</v>
      </c>
      <c r="E645" s="331"/>
      <c r="F645" s="367"/>
      <c r="G645" s="364">
        <f t="shared" si="129"/>
        <v>823.21999999999946</v>
      </c>
      <c r="H645" t="s">
        <v>3143</v>
      </c>
      <c r="I645" s="65"/>
      <c r="J645" t="s">
        <v>3044</v>
      </c>
      <c r="K645">
        <f t="shared" si="130"/>
        <v>3550000</v>
      </c>
      <c r="L645">
        <f t="shared" si="131"/>
        <v>9568.36</v>
      </c>
    </row>
    <row r="646" spans="1:12">
      <c r="A646" s="195">
        <v>46154</v>
      </c>
      <c r="B646" s="197"/>
      <c r="C646" s="196">
        <v>1186</v>
      </c>
      <c r="D646" s="198">
        <f t="shared" si="127"/>
        <v>1421548</v>
      </c>
      <c r="E646" s="334"/>
      <c r="F646" s="370"/>
      <c r="G646" s="371">
        <f>G645+F646-E646</f>
        <v>823.21999999999946</v>
      </c>
      <c r="H646" s="200" t="s">
        <v>3174</v>
      </c>
      <c r="I646" s="200" t="s">
        <v>101</v>
      </c>
      <c r="J646" t="s">
        <v>3044</v>
      </c>
      <c r="K646">
        <f t="shared" si="130"/>
        <v>3550000</v>
      </c>
      <c r="L646">
        <f t="shared" si="131"/>
        <v>9568.36</v>
      </c>
    </row>
    <row r="647" spans="1:12">
      <c r="A647" s="139">
        <v>46154</v>
      </c>
      <c r="B647" s="124">
        <v>243346</v>
      </c>
      <c r="C647" s="123"/>
      <c r="D647" s="146">
        <f t="shared" ref="D647:D653" si="132">D646+C647-B647</f>
        <v>1178202</v>
      </c>
      <c r="E647" s="331"/>
      <c r="F647" s="367"/>
      <c r="G647" s="364">
        <f t="shared" ref="G647" si="133">G646+F647-E647</f>
        <v>823.21999999999946</v>
      </c>
      <c r="H647" t="s">
        <v>3143</v>
      </c>
      <c r="I647" s="65"/>
      <c r="J647" t="s">
        <v>3044</v>
      </c>
      <c r="K647">
        <f t="shared" si="130"/>
        <v>3550000</v>
      </c>
      <c r="L647">
        <f t="shared" si="131"/>
        <v>9568.36</v>
      </c>
    </row>
    <row r="648" spans="1:12">
      <c r="A648" s="139">
        <v>46156</v>
      </c>
      <c r="B648" s="124">
        <v>105149</v>
      </c>
      <c r="C648" s="123"/>
      <c r="D648" s="146">
        <f t="shared" si="132"/>
        <v>1073053</v>
      </c>
      <c r="E648" s="331"/>
      <c r="F648" s="367"/>
      <c r="G648" s="364">
        <f t="shared" ref="G648:G649" si="134">G647+F648-E648</f>
        <v>823.21999999999946</v>
      </c>
      <c r="H648" t="s">
        <v>3143</v>
      </c>
      <c r="I648" s="65"/>
      <c r="J648" t="s">
        <v>3044</v>
      </c>
      <c r="K648">
        <f t="shared" si="130"/>
        <v>3550000</v>
      </c>
      <c r="L648">
        <f t="shared" si="131"/>
        <v>9568.36</v>
      </c>
    </row>
    <row r="649" spans="1:12">
      <c r="A649" s="139">
        <v>46160</v>
      </c>
      <c r="B649" s="124"/>
      <c r="C649" s="123">
        <v>76461</v>
      </c>
      <c r="D649" s="146">
        <f t="shared" si="132"/>
        <v>1149514</v>
      </c>
      <c r="E649" s="331"/>
      <c r="F649" s="367"/>
      <c r="G649" s="364">
        <f t="shared" si="134"/>
        <v>823.21999999999946</v>
      </c>
      <c r="H649" s="65" t="s">
        <v>3050</v>
      </c>
      <c r="I649" s="65"/>
      <c r="J649" t="s">
        <v>3044</v>
      </c>
      <c r="K649">
        <f t="shared" si="130"/>
        <v>3550000</v>
      </c>
      <c r="L649">
        <f t="shared" si="131"/>
        <v>9568.36</v>
      </c>
    </row>
    <row r="650" spans="1:12">
      <c r="A650" s="139">
        <v>46160</v>
      </c>
      <c r="B650" s="124">
        <v>24857</v>
      </c>
      <c r="C650" s="123"/>
      <c r="D650" s="146">
        <f t="shared" si="132"/>
        <v>1124657</v>
      </c>
      <c r="E650" s="331"/>
      <c r="F650" s="367"/>
      <c r="G650" s="364">
        <f t="shared" ref="G650" si="135">G649+F650-E650</f>
        <v>823.21999999999946</v>
      </c>
      <c r="H650" s="65" t="s">
        <v>3050</v>
      </c>
      <c r="I650" s="65"/>
      <c r="J650" t="s">
        <v>3044</v>
      </c>
      <c r="K650">
        <f t="shared" si="130"/>
        <v>3550000</v>
      </c>
      <c r="L650">
        <f t="shared" si="131"/>
        <v>9568.36</v>
      </c>
    </row>
    <row r="651" spans="1:12">
      <c r="A651" s="139">
        <v>46163</v>
      </c>
      <c r="B651" s="124">
        <v>93833</v>
      </c>
      <c r="C651" s="123"/>
      <c r="D651" s="146">
        <f t="shared" si="132"/>
        <v>1030824</v>
      </c>
      <c r="E651" s="331"/>
      <c r="F651" s="367"/>
      <c r="G651" s="364">
        <f t="shared" ref="G651:G653" si="136">G650+F651-E651</f>
        <v>823.21999999999946</v>
      </c>
      <c r="H651" s="65" t="s">
        <v>3050</v>
      </c>
      <c r="I651" s="65"/>
      <c r="J651" t="s">
        <v>3044</v>
      </c>
      <c r="K651">
        <f t="shared" si="130"/>
        <v>3550000</v>
      </c>
      <c r="L651">
        <f t="shared" si="131"/>
        <v>9568.36</v>
      </c>
    </row>
    <row r="652" spans="1:12">
      <c r="A652" s="139">
        <v>46164</v>
      </c>
      <c r="B652" s="124">
        <v>200</v>
      </c>
      <c r="C652" s="123"/>
      <c r="D652" s="146">
        <f t="shared" si="132"/>
        <v>1030624</v>
      </c>
      <c r="E652" s="331"/>
      <c r="F652" s="367"/>
      <c r="G652" s="364">
        <f t="shared" si="136"/>
        <v>823.21999999999946</v>
      </c>
      <c r="H652" s="65" t="s">
        <v>57</v>
      </c>
      <c r="I652" s="65"/>
      <c r="J652" t="s">
        <v>3044</v>
      </c>
      <c r="K652">
        <f t="shared" si="130"/>
        <v>3550000</v>
      </c>
      <c r="L652">
        <f t="shared" si="131"/>
        <v>9568.36</v>
      </c>
    </row>
    <row r="653" spans="1:12">
      <c r="A653" s="139">
        <v>46168</v>
      </c>
      <c r="B653" s="124"/>
      <c r="C653" s="123">
        <v>160288</v>
      </c>
      <c r="D653" s="146">
        <f t="shared" si="132"/>
        <v>1190912</v>
      </c>
      <c r="E653" s="331"/>
      <c r="F653" s="367"/>
      <c r="G653" s="364">
        <f t="shared" si="136"/>
        <v>823.21999999999946</v>
      </c>
      <c r="H653" t="s">
        <v>3143</v>
      </c>
      <c r="I653" s="65"/>
      <c r="J653" t="s">
        <v>3044</v>
      </c>
      <c r="K653">
        <f t="shared" si="130"/>
        <v>3550000</v>
      </c>
      <c r="L653">
        <f t="shared" si="131"/>
        <v>9568.36</v>
      </c>
    </row>
    <row r="654" spans="1:12">
      <c r="A654" s="139">
        <v>46170</v>
      </c>
      <c r="B654" s="124">
        <v>9924</v>
      </c>
      <c r="C654" s="123"/>
      <c r="D654" s="146">
        <f t="shared" ref="D654:D655" si="137">D653+C654-B654</f>
        <v>1180988</v>
      </c>
      <c r="E654" s="331"/>
      <c r="F654" s="367"/>
      <c r="G654" s="364">
        <f t="shared" ref="G654:G655" si="138">G653+F654-E654</f>
        <v>823.21999999999946</v>
      </c>
      <c r="H654" s="65" t="s">
        <v>3050</v>
      </c>
      <c r="I654" s="65"/>
      <c r="J654" t="s">
        <v>3044</v>
      </c>
      <c r="K654">
        <f t="shared" si="130"/>
        <v>3550000</v>
      </c>
      <c r="L654">
        <f t="shared" si="131"/>
        <v>9568.36</v>
      </c>
    </row>
    <row r="655" spans="1:12">
      <c r="A655" s="139">
        <v>46174</v>
      </c>
      <c r="B655" s="124">
        <v>100693</v>
      </c>
      <c r="C655" s="123"/>
      <c r="D655" s="146">
        <f t="shared" si="137"/>
        <v>1080295</v>
      </c>
      <c r="E655" s="331"/>
      <c r="F655" s="367"/>
      <c r="G655" s="364">
        <f t="shared" si="138"/>
        <v>823.21999999999946</v>
      </c>
      <c r="H655" t="s">
        <v>3143</v>
      </c>
      <c r="I655" s="65"/>
      <c r="J655" t="s">
        <v>3044</v>
      </c>
      <c r="K655">
        <f t="shared" si="130"/>
        <v>3550000</v>
      </c>
      <c r="L655">
        <f t="shared" si="131"/>
        <v>9568.36</v>
      </c>
    </row>
    <row r="656" spans="1:12">
      <c r="A656" s="147">
        <v>46178</v>
      </c>
      <c r="B656" s="149"/>
      <c r="C656" s="148">
        <v>1541</v>
      </c>
      <c r="D656" s="150">
        <f>D655+C656-B656</f>
        <v>1081836</v>
      </c>
      <c r="E656" s="333"/>
      <c r="F656" s="368"/>
      <c r="G656" s="369">
        <f>G655+F656-E656</f>
        <v>823.21999999999946</v>
      </c>
      <c r="H656" s="152" t="s">
        <v>84</v>
      </c>
      <c r="I656" s="152"/>
      <c r="J656" t="s">
        <v>3044</v>
      </c>
      <c r="K656">
        <f t="shared" si="130"/>
        <v>3550000</v>
      </c>
      <c r="L656">
        <f t="shared" si="131"/>
        <v>9568.36</v>
      </c>
    </row>
    <row r="657" spans="1:12">
      <c r="A657" s="139">
        <v>46181</v>
      </c>
      <c r="B657" s="124">
        <v>29905</v>
      </c>
      <c r="C657" s="123"/>
      <c r="D657" s="146">
        <f t="shared" ref="D657:D661" si="139">D656+C657-B657</f>
        <v>1051931</v>
      </c>
      <c r="E657" s="331"/>
      <c r="F657" s="367"/>
      <c r="G657" s="364">
        <f t="shared" ref="G657:G660" si="140">G656+F657-E657</f>
        <v>823.21999999999946</v>
      </c>
      <c r="H657" s="65" t="s">
        <v>3050</v>
      </c>
      <c r="I657" s="65"/>
      <c r="J657" t="s">
        <v>3044</v>
      </c>
      <c r="K657">
        <f t="shared" si="130"/>
        <v>3550000</v>
      </c>
      <c r="L657">
        <f t="shared" si="131"/>
        <v>9568.36</v>
      </c>
    </row>
    <row r="658" spans="1:12">
      <c r="A658" s="139">
        <v>46185</v>
      </c>
      <c r="B658" s="124">
        <v>100793</v>
      </c>
      <c r="C658" s="123"/>
      <c r="D658" s="146">
        <f t="shared" si="139"/>
        <v>951138</v>
      </c>
      <c r="E658" s="331"/>
      <c r="F658" s="367"/>
      <c r="G658" s="364">
        <f t="shared" si="140"/>
        <v>823.21999999999946</v>
      </c>
      <c r="H658" t="s">
        <v>3143</v>
      </c>
      <c r="I658" s="65"/>
      <c r="J658" t="s">
        <v>3044</v>
      </c>
      <c r="K658">
        <f t="shared" si="130"/>
        <v>3550000</v>
      </c>
      <c r="L658">
        <f t="shared" si="131"/>
        <v>9568.36</v>
      </c>
    </row>
    <row r="659" spans="1:12">
      <c r="A659" s="139">
        <v>46188</v>
      </c>
      <c r="B659" s="124">
        <v>9935</v>
      </c>
      <c r="C659" s="123"/>
      <c r="D659" s="146">
        <f t="shared" si="139"/>
        <v>941203</v>
      </c>
      <c r="E659" s="331"/>
      <c r="F659" s="367"/>
      <c r="G659" s="364">
        <f t="shared" si="140"/>
        <v>823.21999999999946</v>
      </c>
      <c r="H659" s="65" t="s">
        <v>3050</v>
      </c>
      <c r="I659" s="65"/>
      <c r="J659" t="s">
        <v>3044</v>
      </c>
      <c r="K659">
        <f t="shared" si="130"/>
        <v>3550000</v>
      </c>
      <c r="L659">
        <f t="shared" si="131"/>
        <v>9568.36</v>
      </c>
    </row>
    <row r="660" spans="1:12">
      <c r="A660" s="139">
        <v>46191</v>
      </c>
      <c r="B660" s="124">
        <v>9964</v>
      </c>
      <c r="C660" s="123"/>
      <c r="D660" s="146">
        <f t="shared" si="139"/>
        <v>931239</v>
      </c>
      <c r="E660" s="331"/>
      <c r="F660" s="367"/>
      <c r="G660" s="364">
        <f t="shared" si="140"/>
        <v>823.21999999999946</v>
      </c>
      <c r="H660" s="65" t="s">
        <v>3050</v>
      </c>
      <c r="I660" s="65"/>
      <c r="J660" t="s">
        <v>3044</v>
      </c>
      <c r="K660">
        <f t="shared" si="130"/>
        <v>3550000</v>
      </c>
      <c r="L660">
        <f t="shared" si="131"/>
        <v>9568.36</v>
      </c>
    </row>
    <row r="661" spans="1:12">
      <c r="A661" s="153">
        <v>46194</v>
      </c>
      <c r="B661" s="155"/>
      <c r="C661" s="154">
        <v>5627</v>
      </c>
      <c r="D661" s="156">
        <f t="shared" si="139"/>
        <v>936866</v>
      </c>
      <c r="E661" s="332"/>
      <c r="F661" s="365"/>
      <c r="G661" s="366">
        <f>G660+F661-E661</f>
        <v>823.21999999999946</v>
      </c>
      <c r="H661" s="158" t="s">
        <v>48</v>
      </c>
      <c r="I661" s="159"/>
      <c r="J661" t="s">
        <v>3044</v>
      </c>
      <c r="K661">
        <f t="shared" si="130"/>
        <v>3550000</v>
      </c>
      <c r="L661">
        <f t="shared" si="131"/>
        <v>9568.36</v>
      </c>
    </row>
    <row r="662" spans="1:12">
      <c r="A662" s="153">
        <v>46194</v>
      </c>
      <c r="B662" s="155"/>
      <c r="C662" s="154"/>
      <c r="D662" s="156">
        <f t="shared" ref="D662:D663" si="141">D661+C662-B662</f>
        <v>936866</v>
      </c>
      <c r="E662" s="332"/>
      <c r="F662" s="365">
        <v>1.1200000000000001</v>
      </c>
      <c r="G662" s="366">
        <f>G661+F662-E662</f>
        <v>824.33999999999946</v>
      </c>
      <c r="H662" s="158" t="s">
        <v>48</v>
      </c>
      <c r="I662" s="159"/>
      <c r="J662" t="s">
        <v>3044</v>
      </c>
      <c r="K662">
        <f t="shared" si="130"/>
        <v>3550000</v>
      </c>
      <c r="L662">
        <f t="shared" si="131"/>
        <v>9568.36</v>
      </c>
    </row>
    <row r="663" spans="1:12">
      <c r="A663" s="139">
        <v>46197</v>
      </c>
      <c r="B663" s="124"/>
      <c r="C663" s="123">
        <v>32621</v>
      </c>
      <c r="D663" s="146">
        <f t="shared" si="141"/>
        <v>969487</v>
      </c>
      <c r="E663" s="331"/>
      <c r="F663" s="367"/>
      <c r="G663" s="364">
        <f t="shared" ref="G663" si="142">G662+F663-E663</f>
        <v>824.33999999999946</v>
      </c>
      <c r="H663" t="s">
        <v>3143</v>
      </c>
      <c r="I663" s="65"/>
      <c r="J663" t="s">
        <v>3044</v>
      </c>
      <c r="K663">
        <f t="shared" si="130"/>
        <v>3550000</v>
      </c>
      <c r="L663">
        <f t="shared" si="131"/>
        <v>9568.36</v>
      </c>
    </row>
    <row r="664" spans="1:12">
      <c r="A664" s="139">
        <v>46202</v>
      </c>
      <c r="B664" s="124"/>
      <c r="C664" s="123">
        <v>235952</v>
      </c>
      <c r="D664" s="146">
        <f t="shared" ref="D664:D667" si="143">D663+C664-B664</f>
        <v>1205439</v>
      </c>
      <c r="E664" s="331"/>
      <c r="F664" s="367"/>
      <c r="G664" s="364">
        <f t="shared" ref="G664:G665" si="144">G663+F664-E664</f>
        <v>824.33999999999946</v>
      </c>
      <c r="H664" t="s">
        <v>3143</v>
      </c>
      <c r="I664" s="65"/>
      <c r="J664" t="s">
        <v>3044</v>
      </c>
      <c r="K664">
        <f t="shared" si="130"/>
        <v>3550000</v>
      </c>
      <c r="L664">
        <f t="shared" si="131"/>
        <v>9568.36</v>
      </c>
    </row>
    <row r="665" spans="1:12">
      <c r="A665" s="139">
        <v>46202</v>
      </c>
      <c r="B665" s="124">
        <v>9936</v>
      </c>
      <c r="C665" s="123"/>
      <c r="D665" s="146">
        <f t="shared" si="143"/>
        <v>1195503</v>
      </c>
      <c r="E665" s="331"/>
      <c r="F665" s="367"/>
      <c r="G665" s="364">
        <f t="shared" si="144"/>
        <v>824.33999999999946</v>
      </c>
      <c r="H665" s="65" t="s">
        <v>3050</v>
      </c>
      <c r="I665" s="65"/>
      <c r="J665" t="s">
        <v>3044</v>
      </c>
      <c r="K665">
        <f t="shared" si="130"/>
        <v>3550000</v>
      </c>
      <c r="L665">
        <f t="shared" si="131"/>
        <v>9568.36</v>
      </c>
    </row>
    <row r="666" spans="1:12">
      <c r="A666" s="195">
        <v>46203</v>
      </c>
      <c r="B666" s="197"/>
      <c r="C666" s="196">
        <v>490</v>
      </c>
      <c r="D666" s="198">
        <f t="shared" si="143"/>
        <v>1195993</v>
      </c>
      <c r="E666" s="334"/>
      <c r="F666" s="370"/>
      <c r="G666" s="371">
        <f>G665+F666-E666</f>
        <v>824.33999999999946</v>
      </c>
      <c r="H666" s="200" t="s">
        <v>3258</v>
      </c>
      <c r="I666" s="200" t="s">
        <v>101</v>
      </c>
      <c r="J666" t="s">
        <v>3044</v>
      </c>
      <c r="K666">
        <f t="shared" si="130"/>
        <v>3550000</v>
      </c>
      <c r="L666">
        <f t="shared" si="131"/>
        <v>9568.36</v>
      </c>
    </row>
    <row r="667" spans="1:12">
      <c r="A667" s="195">
        <v>46203</v>
      </c>
      <c r="B667" s="197"/>
      <c r="C667" s="196"/>
      <c r="D667" s="198">
        <f t="shared" si="143"/>
        <v>1195993</v>
      </c>
      <c r="E667" s="334"/>
      <c r="F667" s="370">
        <v>14</v>
      </c>
      <c r="G667" s="371">
        <f>G666+F667-E667</f>
        <v>838.33999999999946</v>
      </c>
      <c r="H667" s="200" t="s">
        <v>2560</v>
      </c>
      <c r="I667" s="200" t="s">
        <v>101</v>
      </c>
      <c r="J667" t="s">
        <v>3044</v>
      </c>
      <c r="K667">
        <f t="shared" si="130"/>
        <v>3550000</v>
      </c>
      <c r="L667">
        <f t="shared" si="131"/>
        <v>9568.36</v>
      </c>
    </row>
    <row r="668" spans="1:12">
      <c r="A668" s="147">
        <v>46206</v>
      </c>
      <c r="B668" s="149"/>
      <c r="C668" s="148">
        <v>429</v>
      </c>
      <c r="D668" s="150">
        <f>D667+C668-B668</f>
        <v>1196422</v>
      </c>
      <c r="E668" s="333"/>
      <c r="F668" s="368"/>
      <c r="G668" s="369">
        <f>G667+F668-E668</f>
        <v>838.33999999999946</v>
      </c>
      <c r="H668" s="152" t="s">
        <v>84</v>
      </c>
      <c r="I668" s="152"/>
      <c r="J668" t="s">
        <v>3044</v>
      </c>
      <c r="K668">
        <f t="shared" si="130"/>
        <v>3550000</v>
      </c>
      <c r="L668">
        <f t="shared" si="131"/>
        <v>9568.36</v>
      </c>
    </row>
    <row r="669" spans="1:12">
      <c r="A669" s="139">
        <v>46209</v>
      </c>
      <c r="B669" s="124">
        <v>9970</v>
      </c>
      <c r="C669" s="123"/>
      <c r="D669" s="146">
        <f t="shared" ref="D669:D670" si="145">D668+C669-B669</f>
        <v>1186452</v>
      </c>
      <c r="E669" s="331"/>
      <c r="F669" s="367"/>
      <c r="G669" s="364">
        <f t="shared" ref="G669:G670" si="146">G668+F669-E669</f>
        <v>838.33999999999946</v>
      </c>
      <c r="H669" s="65" t="s">
        <v>3050</v>
      </c>
      <c r="I669" s="65"/>
      <c r="J669" t="s">
        <v>3044</v>
      </c>
      <c r="K669">
        <f t="shared" si="130"/>
        <v>3550000</v>
      </c>
      <c r="L669">
        <f t="shared" si="131"/>
        <v>9568.36</v>
      </c>
    </row>
    <row r="670" spans="1:12">
      <c r="A670" s="139">
        <v>46210</v>
      </c>
      <c r="B670" s="124">
        <v>9984</v>
      </c>
      <c r="C670" s="123"/>
      <c r="D670" s="146">
        <f t="shared" si="145"/>
        <v>1176468</v>
      </c>
      <c r="E670" s="331"/>
      <c r="F670" s="367"/>
      <c r="G670" s="364">
        <f t="shared" si="146"/>
        <v>838.33999999999946</v>
      </c>
      <c r="H670" s="65" t="s">
        <v>3050</v>
      </c>
      <c r="I670" s="65"/>
      <c r="J670" t="s">
        <v>3044</v>
      </c>
      <c r="K670">
        <f t="shared" si="130"/>
        <v>3550000</v>
      </c>
      <c r="L670">
        <f t="shared" si="131"/>
        <v>9568.36</v>
      </c>
    </row>
    <row r="671" spans="1:12">
      <c r="A671" s="139">
        <v>46211</v>
      </c>
      <c r="B671" s="124">
        <v>9952</v>
      </c>
      <c r="C671" s="123"/>
      <c r="D671" s="146">
        <f t="shared" ref="D671:D673" si="147">D670+C671-B671</f>
        <v>1166516</v>
      </c>
      <c r="E671" s="331"/>
      <c r="F671" s="367"/>
      <c r="G671" s="364">
        <f t="shared" ref="G671:G672" si="148">G670+F671-E671</f>
        <v>838.33999999999946</v>
      </c>
      <c r="H671" s="65" t="s">
        <v>3050</v>
      </c>
      <c r="I671" s="65"/>
      <c r="J671" t="s">
        <v>3044</v>
      </c>
      <c r="K671">
        <f t="shared" si="130"/>
        <v>3550000</v>
      </c>
      <c r="L671">
        <f t="shared" si="131"/>
        <v>9568.36</v>
      </c>
    </row>
    <row r="672" spans="1:12">
      <c r="A672" s="139">
        <v>46212</v>
      </c>
      <c r="B672" s="124">
        <v>106201</v>
      </c>
      <c r="C672" s="123"/>
      <c r="D672" s="146">
        <f t="shared" si="147"/>
        <v>1060315</v>
      </c>
      <c r="E672" s="331"/>
      <c r="F672" s="367"/>
      <c r="G672" s="364">
        <f t="shared" si="148"/>
        <v>838.33999999999946</v>
      </c>
      <c r="H672" t="s">
        <v>3143</v>
      </c>
      <c r="I672" s="65"/>
      <c r="J672" t="s">
        <v>3044</v>
      </c>
      <c r="K672">
        <f t="shared" si="130"/>
        <v>3550000</v>
      </c>
      <c r="L672">
        <f t="shared" si="131"/>
        <v>9568.36</v>
      </c>
    </row>
    <row r="673" spans="1:12">
      <c r="A673" s="195">
        <v>46212</v>
      </c>
      <c r="B673" s="197"/>
      <c r="C673" s="196">
        <v>3770</v>
      </c>
      <c r="D673" s="198">
        <f t="shared" si="147"/>
        <v>1064085</v>
      </c>
      <c r="E673" s="334"/>
      <c r="F673" s="370"/>
      <c r="G673" s="371">
        <f t="shared" ref="G673:G678" si="149">G672+F673-E673</f>
        <v>838.33999999999946</v>
      </c>
      <c r="H673" s="200" t="s">
        <v>3224</v>
      </c>
      <c r="I673" s="200" t="s">
        <v>101</v>
      </c>
      <c r="J673" t="s">
        <v>3044</v>
      </c>
      <c r="K673">
        <f t="shared" si="130"/>
        <v>3550000</v>
      </c>
      <c r="L673">
        <f t="shared" si="131"/>
        <v>9568.36</v>
      </c>
    </row>
    <row r="674" spans="1:12">
      <c r="A674" s="195">
        <v>46213</v>
      </c>
      <c r="B674" s="197"/>
      <c r="C674" s="196">
        <v>3990</v>
      </c>
      <c r="D674" s="198">
        <f t="shared" ref="D674" si="150">D673+C674-B674</f>
        <v>1068075</v>
      </c>
      <c r="E674" s="334"/>
      <c r="F674" s="370"/>
      <c r="G674" s="371">
        <f t="shared" si="149"/>
        <v>838.33999999999946</v>
      </c>
      <c r="H674" s="200" t="s">
        <v>3259</v>
      </c>
      <c r="I674" s="200" t="s">
        <v>101</v>
      </c>
      <c r="J674" t="s">
        <v>3044</v>
      </c>
      <c r="K674">
        <f t="shared" si="130"/>
        <v>3550000</v>
      </c>
      <c r="L674">
        <f t="shared" si="131"/>
        <v>9568.36</v>
      </c>
    </row>
    <row r="675" spans="1:12">
      <c r="A675" s="195">
        <v>46217</v>
      </c>
      <c r="B675" s="197"/>
      <c r="C675" s="196">
        <v>710</v>
      </c>
      <c r="D675" s="198">
        <f t="shared" ref="D675" si="151">D674+C675-B675</f>
        <v>1068785</v>
      </c>
      <c r="E675" s="334"/>
      <c r="F675" s="370"/>
      <c r="G675" s="371">
        <f t="shared" si="149"/>
        <v>838.33999999999946</v>
      </c>
      <c r="H675" s="200" t="s">
        <v>1975</v>
      </c>
      <c r="I675" s="200" t="s">
        <v>101</v>
      </c>
      <c r="J675" t="s">
        <v>3044</v>
      </c>
      <c r="K675">
        <f t="shared" si="130"/>
        <v>3550000</v>
      </c>
      <c r="L675">
        <f t="shared" si="131"/>
        <v>9568.36</v>
      </c>
    </row>
    <row r="676" spans="1:12">
      <c r="A676" s="195">
        <v>46218</v>
      </c>
      <c r="B676" s="197"/>
      <c r="C676" s="196">
        <v>6438</v>
      </c>
      <c r="D676" s="198">
        <f t="shared" ref="D676:D677" si="152">D675+C676-B676</f>
        <v>1075223</v>
      </c>
      <c r="E676" s="334"/>
      <c r="F676" s="370"/>
      <c r="G676" s="371">
        <f t="shared" si="149"/>
        <v>838.33999999999946</v>
      </c>
      <c r="H676" s="200" t="s">
        <v>3260</v>
      </c>
      <c r="I676" s="200" t="s">
        <v>101</v>
      </c>
      <c r="J676" t="s">
        <v>3044</v>
      </c>
      <c r="K676">
        <f t="shared" si="130"/>
        <v>3550000</v>
      </c>
      <c r="L676">
        <f t="shared" si="131"/>
        <v>9568.36</v>
      </c>
    </row>
    <row r="677" spans="1:12">
      <c r="A677" s="195">
        <v>46217</v>
      </c>
      <c r="B677" s="197"/>
      <c r="C677" s="196">
        <v>1190</v>
      </c>
      <c r="D677" s="198">
        <f t="shared" si="152"/>
        <v>1076413</v>
      </c>
      <c r="E677" s="334"/>
      <c r="F677" s="370"/>
      <c r="G677" s="371">
        <f t="shared" si="149"/>
        <v>838.33999999999946</v>
      </c>
      <c r="H677" s="200" t="s">
        <v>3261</v>
      </c>
      <c r="I677" s="200" t="s">
        <v>101</v>
      </c>
      <c r="J677" t="s">
        <v>3044</v>
      </c>
      <c r="K677">
        <f t="shared" si="130"/>
        <v>3550000</v>
      </c>
      <c r="L677">
        <f t="shared" si="131"/>
        <v>9568.36</v>
      </c>
    </row>
    <row r="678" spans="1:12">
      <c r="A678" s="195">
        <v>46218</v>
      </c>
      <c r="B678" s="197"/>
      <c r="C678" s="196">
        <v>4210</v>
      </c>
      <c r="D678" s="198">
        <f t="shared" ref="D678:D681" si="153">D677+C678-B678</f>
        <v>1080623</v>
      </c>
      <c r="E678" s="334"/>
      <c r="F678" s="370"/>
      <c r="G678" s="371">
        <f t="shared" si="149"/>
        <v>838.33999999999946</v>
      </c>
      <c r="H678" s="200" t="s">
        <v>3262</v>
      </c>
      <c r="I678" s="200" t="s">
        <v>101</v>
      </c>
      <c r="J678" t="s">
        <v>3044</v>
      </c>
      <c r="K678">
        <f t="shared" si="130"/>
        <v>3550000</v>
      </c>
      <c r="L678">
        <f t="shared" si="131"/>
        <v>9568.36</v>
      </c>
    </row>
    <row r="679" spans="1:12">
      <c r="A679" s="139">
        <v>46220</v>
      </c>
      <c r="B679" s="124"/>
      <c r="C679" s="123">
        <v>188</v>
      </c>
      <c r="D679" s="146">
        <f t="shared" si="153"/>
        <v>1080811</v>
      </c>
      <c r="E679" s="331"/>
      <c r="F679" s="367"/>
      <c r="G679" s="364">
        <f t="shared" ref="G679:G681" si="154">G678+F679-E679</f>
        <v>838.33999999999946</v>
      </c>
      <c r="H679" t="s">
        <v>3225</v>
      </c>
      <c r="I679" s="65"/>
      <c r="J679" t="s">
        <v>3041</v>
      </c>
      <c r="K679">
        <f t="shared" si="130"/>
        <v>3550188</v>
      </c>
      <c r="L679">
        <f t="shared" si="131"/>
        <v>9568.36</v>
      </c>
    </row>
    <row r="680" spans="1:12">
      <c r="A680" s="139">
        <v>46223</v>
      </c>
      <c r="B680" s="124">
        <v>9967</v>
      </c>
      <c r="C680" s="123"/>
      <c r="D680" s="146">
        <f t="shared" si="153"/>
        <v>1070844</v>
      </c>
      <c r="E680" s="331"/>
      <c r="F680" s="367"/>
      <c r="G680" s="364">
        <f t="shared" si="154"/>
        <v>838.33999999999946</v>
      </c>
      <c r="H680" s="65" t="s">
        <v>3050</v>
      </c>
      <c r="I680" s="65"/>
      <c r="J680" t="s">
        <v>3044</v>
      </c>
      <c r="K680">
        <f t="shared" si="130"/>
        <v>3550188</v>
      </c>
      <c r="L680">
        <f t="shared" si="131"/>
        <v>9568.36</v>
      </c>
    </row>
    <row r="681" spans="1:12">
      <c r="A681" s="139">
        <v>46224</v>
      </c>
      <c r="B681" s="124">
        <v>100492</v>
      </c>
      <c r="C681" s="123"/>
      <c r="D681" s="146">
        <f t="shared" si="153"/>
        <v>970352</v>
      </c>
      <c r="E681" s="331"/>
      <c r="F681" s="367"/>
      <c r="G681" s="364">
        <f t="shared" si="154"/>
        <v>838.33999999999946</v>
      </c>
      <c r="H681" t="s">
        <v>3143</v>
      </c>
      <c r="I681" s="65"/>
      <c r="J681" t="s">
        <v>3044</v>
      </c>
      <c r="K681">
        <f t="shared" si="130"/>
        <v>3550188</v>
      </c>
      <c r="L681">
        <f t="shared" si="131"/>
        <v>9568.36</v>
      </c>
    </row>
    <row r="682" spans="1:12">
      <c r="A682" s="195">
        <v>46225</v>
      </c>
      <c r="B682" s="197"/>
      <c r="C682" s="196">
        <v>41104</v>
      </c>
      <c r="D682" s="198">
        <f t="shared" ref="D682:D684" si="155">D681+C682-B682</f>
        <v>1011456</v>
      </c>
      <c r="E682" s="334"/>
      <c r="F682" s="370"/>
      <c r="G682" s="371">
        <f>G681+F682-E682</f>
        <v>838.33999999999946</v>
      </c>
      <c r="H682" s="200" t="s">
        <v>3263</v>
      </c>
      <c r="I682" s="200" t="s">
        <v>101</v>
      </c>
      <c r="J682" t="s">
        <v>3044</v>
      </c>
      <c r="K682">
        <f t="shared" si="130"/>
        <v>3550188</v>
      </c>
      <c r="L682">
        <f t="shared" si="131"/>
        <v>9568.36</v>
      </c>
    </row>
    <row r="683" spans="1:12">
      <c r="A683" s="139">
        <v>46231</v>
      </c>
      <c r="B683" s="124">
        <v>9960</v>
      </c>
      <c r="C683" s="123"/>
      <c r="D683" s="146">
        <f t="shared" si="155"/>
        <v>1001496</v>
      </c>
      <c r="E683" s="331"/>
      <c r="F683" s="367"/>
      <c r="G683" s="364">
        <f t="shared" ref="G683:G684" si="156">G682+F683-E683</f>
        <v>838.33999999999946</v>
      </c>
      <c r="H683" s="65" t="s">
        <v>3050</v>
      </c>
      <c r="I683" s="65"/>
      <c r="J683" t="s">
        <v>3044</v>
      </c>
      <c r="K683">
        <f t="shared" si="130"/>
        <v>3550188</v>
      </c>
      <c r="L683">
        <f t="shared" si="131"/>
        <v>9568.36</v>
      </c>
    </row>
    <row r="684" spans="1:12">
      <c r="A684" s="139">
        <v>46234</v>
      </c>
      <c r="B684" s="124">
        <v>92331</v>
      </c>
      <c r="C684" s="123"/>
      <c r="D684" s="146">
        <f t="shared" si="155"/>
        <v>909165</v>
      </c>
      <c r="E684" s="331"/>
      <c r="F684" s="367"/>
      <c r="G684" s="364">
        <f t="shared" si="156"/>
        <v>838.33999999999946</v>
      </c>
      <c r="H684" t="s">
        <v>3143</v>
      </c>
      <c r="I684" s="65"/>
      <c r="J684" t="s">
        <v>3044</v>
      </c>
      <c r="K684">
        <f t="shared" si="130"/>
        <v>3550188</v>
      </c>
      <c r="L684">
        <f t="shared" si="131"/>
        <v>9568.36</v>
      </c>
    </row>
    <row r="685" spans="1:12">
      <c r="A685" s="147">
        <v>46239</v>
      </c>
      <c r="B685" s="149"/>
      <c r="C685" s="148">
        <v>346</v>
      </c>
      <c r="D685" s="150">
        <f>D684+C685-B685</f>
        <v>909511</v>
      </c>
      <c r="E685" s="333"/>
      <c r="F685" s="368"/>
      <c r="G685" s="369">
        <f>G684+F685-E685</f>
        <v>838.33999999999946</v>
      </c>
      <c r="H685" s="152" t="s">
        <v>84</v>
      </c>
      <c r="I685" s="152"/>
      <c r="J685" t="s">
        <v>3044</v>
      </c>
      <c r="K685">
        <f t="shared" si="130"/>
        <v>3550188</v>
      </c>
      <c r="L685">
        <f t="shared" si="131"/>
        <v>9568.36</v>
      </c>
    </row>
    <row r="686" spans="1:12">
      <c r="A686" s="139">
        <v>46240</v>
      </c>
      <c r="B686" s="124">
        <v>9974</v>
      </c>
      <c r="C686" s="123"/>
      <c r="D686" s="146">
        <f t="shared" ref="D686:D688" si="157">D685+C686-B686</f>
        <v>899537</v>
      </c>
      <c r="E686" s="331"/>
      <c r="F686" s="367"/>
      <c r="G686" s="364">
        <f t="shared" ref="G686:G687" si="158">G685+F686-E686</f>
        <v>838.33999999999946</v>
      </c>
      <c r="H686" s="65" t="s">
        <v>3050</v>
      </c>
      <c r="I686" s="65"/>
      <c r="J686" t="s">
        <v>3044</v>
      </c>
      <c r="K686">
        <f t="shared" si="130"/>
        <v>3550188</v>
      </c>
      <c r="L686">
        <f t="shared" si="131"/>
        <v>9568.36</v>
      </c>
    </row>
    <row r="687" spans="1:12">
      <c r="A687" s="139">
        <v>46241</v>
      </c>
      <c r="B687" s="124">
        <v>9920</v>
      </c>
      <c r="C687" s="123"/>
      <c r="D687" s="146">
        <f t="shared" si="157"/>
        <v>889617</v>
      </c>
      <c r="E687" s="331"/>
      <c r="F687" s="367"/>
      <c r="G687" s="364">
        <f t="shared" si="158"/>
        <v>838.33999999999946</v>
      </c>
      <c r="H687" t="s">
        <v>3143</v>
      </c>
      <c r="I687" s="65"/>
      <c r="J687" t="s">
        <v>3044</v>
      </c>
      <c r="K687">
        <f t="shared" si="130"/>
        <v>3550188</v>
      </c>
      <c r="L687">
        <f t="shared" si="131"/>
        <v>9568.36</v>
      </c>
    </row>
    <row r="688" spans="1:12">
      <c r="A688" s="195">
        <v>46244</v>
      </c>
      <c r="B688" s="197"/>
      <c r="C688" s="196">
        <v>4629</v>
      </c>
      <c r="D688" s="198">
        <f t="shared" si="157"/>
        <v>894246</v>
      </c>
      <c r="E688" s="334"/>
      <c r="F688" s="370"/>
      <c r="G688" s="371">
        <f>G687+F688-E688</f>
        <v>838.33999999999946</v>
      </c>
      <c r="H688" s="200" t="s">
        <v>1682</v>
      </c>
      <c r="I688" s="200" t="s">
        <v>101</v>
      </c>
      <c r="J688" t="s">
        <v>3044</v>
      </c>
      <c r="K688">
        <f t="shared" si="130"/>
        <v>3550188</v>
      </c>
      <c r="L688">
        <f t="shared" si="131"/>
        <v>9568.36</v>
      </c>
    </row>
    <row r="689" spans="1:12">
      <c r="A689" s="139">
        <v>46244</v>
      </c>
      <c r="B689" s="124">
        <v>9916</v>
      </c>
      <c r="C689" s="123"/>
      <c r="D689" s="146">
        <f t="shared" ref="D689:D690" si="159">D688+C689-B689</f>
        <v>884330</v>
      </c>
      <c r="E689" s="331"/>
      <c r="F689" s="367"/>
      <c r="G689" s="364">
        <f t="shared" ref="G689" si="160">G688+F689-E689</f>
        <v>838.33999999999946</v>
      </c>
      <c r="H689" t="s">
        <v>3143</v>
      </c>
      <c r="I689" s="65"/>
      <c r="J689" t="s">
        <v>3044</v>
      </c>
      <c r="K689">
        <f t="shared" si="130"/>
        <v>3550188</v>
      </c>
      <c r="L689">
        <f t="shared" si="131"/>
        <v>9568.36</v>
      </c>
    </row>
    <row r="690" spans="1:12">
      <c r="A690" s="195">
        <v>46245</v>
      </c>
      <c r="B690" s="197"/>
      <c r="C690" s="196">
        <v>22505</v>
      </c>
      <c r="D690" s="198">
        <f t="shared" si="159"/>
        <v>906835</v>
      </c>
      <c r="E690" s="334"/>
      <c r="F690" s="370"/>
      <c r="G690" s="371">
        <f>G689+F690-E690</f>
        <v>838.33999999999946</v>
      </c>
      <c r="H690" s="200" t="s">
        <v>3264</v>
      </c>
      <c r="I690" s="200" t="s">
        <v>101</v>
      </c>
      <c r="J690" t="s">
        <v>3044</v>
      </c>
      <c r="K690">
        <f t="shared" si="130"/>
        <v>3550188</v>
      </c>
      <c r="L690">
        <f t="shared" si="131"/>
        <v>9568.36</v>
      </c>
    </row>
    <row r="691" spans="1:12">
      <c r="A691" s="195">
        <v>46248</v>
      </c>
      <c r="B691" s="197"/>
      <c r="C691" s="196">
        <v>3676</v>
      </c>
      <c r="D691" s="198">
        <f t="shared" ref="D691:D692" si="161">D690+C691-B691</f>
        <v>910511</v>
      </c>
      <c r="E691" s="334"/>
      <c r="F691" s="370"/>
      <c r="G691" s="371">
        <f>G690+F691-E691</f>
        <v>838.33999999999946</v>
      </c>
      <c r="H691" s="200" t="s">
        <v>2964</v>
      </c>
      <c r="I691" s="200" t="s">
        <v>101</v>
      </c>
      <c r="J691" t="s">
        <v>3044</v>
      </c>
      <c r="K691">
        <f t="shared" si="130"/>
        <v>3550188</v>
      </c>
      <c r="L691">
        <f t="shared" si="131"/>
        <v>9568.36</v>
      </c>
    </row>
    <row r="692" spans="1:12">
      <c r="A692" s="139">
        <v>46252</v>
      </c>
      <c r="B692" s="124">
        <v>9924</v>
      </c>
      <c r="C692" s="123"/>
      <c r="D692" s="146">
        <f t="shared" si="161"/>
        <v>900587</v>
      </c>
      <c r="E692" s="331"/>
      <c r="F692" s="367"/>
      <c r="G692" s="364">
        <f t="shared" ref="G692" si="162">G691+F692-E692</f>
        <v>838.33999999999946</v>
      </c>
      <c r="H692" t="s">
        <v>3143</v>
      </c>
      <c r="I692" s="65"/>
      <c r="J692" t="s">
        <v>3044</v>
      </c>
      <c r="K692">
        <f t="shared" si="130"/>
        <v>3550188</v>
      </c>
      <c r="L692">
        <f t="shared" si="131"/>
        <v>9568.36</v>
      </c>
    </row>
    <row r="693" spans="1:12">
      <c r="A693" s="139">
        <v>46253</v>
      </c>
      <c r="B693" s="124">
        <v>120</v>
      </c>
      <c r="C693" s="123"/>
      <c r="D693" s="146">
        <f>D691+C693-B693</f>
        <v>910391</v>
      </c>
      <c r="E693" s="331"/>
      <c r="F693" s="367"/>
      <c r="G693" s="364">
        <f>G691+F693-E693</f>
        <v>838.33999999999946</v>
      </c>
      <c r="H693" s="65" t="s">
        <v>57</v>
      </c>
      <c r="I693" s="65"/>
      <c r="J693" t="s">
        <v>3044</v>
      </c>
      <c r="K693">
        <f t="shared" si="130"/>
        <v>3550188</v>
      </c>
      <c r="L693">
        <f t="shared" si="131"/>
        <v>9568.36</v>
      </c>
    </row>
    <row r="694" spans="1:12">
      <c r="A694" s="139">
        <v>46254</v>
      </c>
      <c r="B694" s="124">
        <v>18000</v>
      </c>
      <c r="C694" s="123"/>
      <c r="D694" s="146">
        <f>D692+C694-B694</f>
        <v>882587</v>
      </c>
      <c r="E694" s="331"/>
      <c r="F694" s="367"/>
      <c r="G694" s="364">
        <f>G692+F694-E694</f>
        <v>838.33999999999946</v>
      </c>
      <c r="H694" s="65" t="s">
        <v>3265</v>
      </c>
      <c r="I694" s="65"/>
      <c r="J694" t="s">
        <v>3041</v>
      </c>
      <c r="K694">
        <f t="shared" si="130"/>
        <v>3532188</v>
      </c>
      <c r="L694">
        <f t="shared" si="131"/>
        <v>9568.36</v>
      </c>
    </row>
    <row r="695" spans="1:12">
      <c r="A695" t="s">
        <v>2449</v>
      </c>
    </row>
    <row r="697" spans="1:12">
      <c r="A697" s="290"/>
      <c r="B697" s="290"/>
      <c r="C697" s="290"/>
      <c r="D697" s="291">
        <f>D694</f>
        <v>882587</v>
      </c>
      <c r="E697" s="336"/>
      <c r="F697" s="290"/>
      <c r="G697" s="377">
        <f>G694</f>
        <v>838.33999999999946</v>
      </c>
      <c r="H697" s="290"/>
      <c r="I697" s="290"/>
    </row>
  </sheetData>
  <phoneticPr fontId="7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B6A0-34E2-4A02-8DDB-77376B6B2AB0}">
  <sheetPr codeName="Sheet3">
    <outlinePr summaryBelow="0" summaryRight="0"/>
  </sheetPr>
  <dimension ref="A1:L323"/>
  <sheetViews>
    <sheetView zoomScale="85" zoomScaleNormal="85" workbookViewId="0">
      <pane ySplit="1" topLeftCell="A295" activePane="bottomLeft" state="frozen"/>
      <selection pane="bottomLeft" activeCell="G324" sqref="G324"/>
    </sheetView>
  </sheetViews>
  <sheetFormatPr defaultRowHeight="16.5" outlineLevelRow="1"/>
  <cols>
    <col min="1" max="1" width="15" bestFit="1" customWidth="1"/>
    <col min="2" max="2" width="10.75" bestFit="1" customWidth="1"/>
    <col min="3" max="3" width="11.125" bestFit="1" customWidth="1"/>
    <col min="4" max="4" width="11.125" style="81" bestFit="1" customWidth="1"/>
    <col min="5" max="5" width="10.75" style="337" bestFit="1" customWidth="1"/>
    <col min="6" max="6" width="11.125" bestFit="1" customWidth="1"/>
    <col min="7" max="7" width="11.125" style="81" bestFit="1" customWidth="1"/>
    <col min="8" max="8" width="26.125" bestFit="1" customWidth="1"/>
    <col min="9" max="9" width="24.625" bestFit="1" customWidth="1"/>
    <col min="10" max="10" width="5.875" bestFit="1" customWidth="1"/>
    <col min="11" max="11" width="10" bestFit="1" customWidth="1"/>
  </cols>
  <sheetData>
    <row r="1" spans="1:12" ht="17.25">
      <c r="A1" s="298" t="s">
        <v>2782</v>
      </c>
      <c r="B1" s="145" t="s">
        <v>31</v>
      </c>
      <c r="C1" s="299" t="s">
        <v>30</v>
      </c>
      <c r="D1" s="145" t="s">
        <v>2267</v>
      </c>
      <c r="E1" s="330" t="s">
        <v>31</v>
      </c>
      <c r="F1" s="299" t="s">
        <v>30</v>
      </c>
      <c r="G1" s="145" t="s">
        <v>2267</v>
      </c>
      <c r="H1" s="82"/>
      <c r="J1" t="s">
        <v>3138</v>
      </c>
      <c r="K1" t="s">
        <v>3042</v>
      </c>
      <c r="L1" t="s">
        <v>3043</v>
      </c>
    </row>
    <row r="2" spans="1:12">
      <c r="A2" s="139">
        <v>42722</v>
      </c>
      <c r="B2" s="124"/>
      <c r="C2" s="122">
        <v>8888</v>
      </c>
      <c r="D2" s="146">
        <f>C2-B2</f>
        <v>8888</v>
      </c>
      <c r="E2" s="331"/>
      <c r="F2" s="122"/>
      <c r="G2" s="146">
        <f>F2-E2</f>
        <v>0</v>
      </c>
      <c r="I2" s="65" t="s">
        <v>2737</v>
      </c>
      <c r="J2" t="s">
        <v>3041</v>
      </c>
      <c r="K2">
        <f>C2</f>
        <v>8888</v>
      </c>
      <c r="L2" s="80">
        <f>G2</f>
        <v>0</v>
      </c>
    </row>
    <row r="3" spans="1:12" outlineLevel="1">
      <c r="A3" s="139">
        <v>42735</v>
      </c>
      <c r="B3" s="124"/>
      <c r="C3" s="123">
        <v>58200</v>
      </c>
      <c r="D3" s="146">
        <f t="shared" ref="D3:D34" si="0">D2+C3-B3</f>
        <v>67088</v>
      </c>
      <c r="E3" s="331"/>
      <c r="F3" s="123"/>
      <c r="G3" s="146">
        <f t="shared" ref="G3:G34" si="1">G2+F3-E3</f>
        <v>0</v>
      </c>
      <c r="I3" s="65" t="s">
        <v>2736</v>
      </c>
      <c r="J3" t="s">
        <v>3041</v>
      </c>
      <c r="K3">
        <f t="shared" ref="K3:K66" si="2">IF(J3="本金",C3+K2,K2)</f>
        <v>67088</v>
      </c>
      <c r="L3">
        <f t="shared" ref="L3:L66" si="3">IF(J3="本金",F3+L2,L2)</f>
        <v>0</v>
      </c>
    </row>
    <row r="4" spans="1:12">
      <c r="A4" s="139">
        <v>42762</v>
      </c>
      <c r="B4" s="124"/>
      <c r="C4" s="123">
        <v>7200</v>
      </c>
      <c r="D4" s="146">
        <f t="shared" si="0"/>
        <v>74288</v>
      </c>
      <c r="E4" s="331"/>
      <c r="F4" s="123"/>
      <c r="G4" s="146">
        <f t="shared" si="1"/>
        <v>0</v>
      </c>
      <c r="I4" s="65" t="s">
        <v>2738</v>
      </c>
      <c r="J4" t="s">
        <v>3041</v>
      </c>
      <c r="K4">
        <f t="shared" si="2"/>
        <v>74288</v>
      </c>
      <c r="L4">
        <f t="shared" si="3"/>
        <v>0</v>
      </c>
    </row>
    <row r="5" spans="1:12" outlineLevel="1">
      <c r="A5" s="153">
        <v>43090</v>
      </c>
      <c r="B5" s="155"/>
      <c r="C5" s="154">
        <v>36</v>
      </c>
      <c r="D5" s="156">
        <f t="shared" si="0"/>
        <v>74324</v>
      </c>
      <c r="E5" s="332"/>
      <c r="F5" s="154"/>
      <c r="G5" s="156">
        <f t="shared" si="1"/>
        <v>0</v>
      </c>
      <c r="H5" s="158" t="s">
        <v>48</v>
      </c>
      <c r="I5" s="159"/>
      <c r="J5" t="s">
        <v>3044</v>
      </c>
      <c r="K5">
        <f t="shared" si="2"/>
        <v>74288</v>
      </c>
      <c r="L5">
        <f t="shared" si="3"/>
        <v>0</v>
      </c>
    </row>
    <row r="6" spans="1:12">
      <c r="A6" s="139">
        <v>43146</v>
      </c>
      <c r="B6" s="124"/>
      <c r="C6" s="123">
        <v>11500</v>
      </c>
      <c r="D6" s="146">
        <f t="shared" si="0"/>
        <v>85824</v>
      </c>
      <c r="E6" s="331"/>
      <c r="F6" s="123"/>
      <c r="G6" s="146">
        <f t="shared" si="1"/>
        <v>0</v>
      </c>
      <c r="I6" s="65" t="s">
        <v>2738</v>
      </c>
      <c r="J6" t="s">
        <v>3041</v>
      </c>
      <c r="K6">
        <f t="shared" si="2"/>
        <v>85788</v>
      </c>
      <c r="L6">
        <f t="shared" si="3"/>
        <v>0</v>
      </c>
    </row>
    <row r="7" spans="1:12" outlineLevel="1">
      <c r="A7" s="153">
        <v>43272</v>
      </c>
      <c r="B7" s="155"/>
      <c r="C7" s="154">
        <v>40</v>
      </c>
      <c r="D7" s="156">
        <f t="shared" si="0"/>
        <v>85864</v>
      </c>
      <c r="E7" s="332"/>
      <c r="F7" s="154"/>
      <c r="G7" s="156">
        <f t="shared" si="1"/>
        <v>0</v>
      </c>
      <c r="H7" s="158" t="s">
        <v>48</v>
      </c>
      <c r="I7" s="159"/>
      <c r="J7" t="s">
        <v>3044</v>
      </c>
      <c r="K7">
        <f t="shared" si="2"/>
        <v>85788</v>
      </c>
      <c r="L7">
        <f t="shared" si="3"/>
        <v>0</v>
      </c>
    </row>
    <row r="8" spans="1:12" outlineLevel="1">
      <c r="A8" s="139">
        <v>43452</v>
      </c>
      <c r="B8" s="124"/>
      <c r="C8" s="123">
        <v>10000</v>
      </c>
      <c r="D8" s="146">
        <f t="shared" si="0"/>
        <v>95864</v>
      </c>
      <c r="E8" s="331"/>
      <c r="F8" s="123"/>
      <c r="G8" s="146">
        <f t="shared" si="1"/>
        <v>0</v>
      </c>
      <c r="I8" s="65" t="s">
        <v>2739</v>
      </c>
      <c r="J8" t="s">
        <v>3041</v>
      </c>
      <c r="K8">
        <f t="shared" si="2"/>
        <v>95788</v>
      </c>
      <c r="L8">
        <f t="shared" si="3"/>
        <v>0</v>
      </c>
    </row>
    <row r="9" spans="1:12" outlineLevel="1">
      <c r="A9" s="153">
        <v>43455</v>
      </c>
      <c r="B9" s="155"/>
      <c r="C9" s="154">
        <v>42</v>
      </c>
      <c r="D9" s="156">
        <f t="shared" si="0"/>
        <v>95906</v>
      </c>
      <c r="E9" s="332"/>
      <c r="F9" s="154"/>
      <c r="G9" s="156">
        <f t="shared" si="1"/>
        <v>0</v>
      </c>
      <c r="H9" s="158" t="s">
        <v>48</v>
      </c>
      <c r="I9" s="159"/>
      <c r="J9" t="s">
        <v>3044</v>
      </c>
      <c r="K9">
        <f t="shared" si="2"/>
        <v>95788</v>
      </c>
      <c r="L9">
        <f t="shared" si="3"/>
        <v>0</v>
      </c>
    </row>
    <row r="10" spans="1:12">
      <c r="A10" s="139">
        <v>43510</v>
      </c>
      <c r="B10" s="124"/>
      <c r="C10" s="123">
        <v>16000</v>
      </c>
      <c r="D10" s="146">
        <f t="shared" si="0"/>
        <v>111906</v>
      </c>
      <c r="E10" s="331"/>
      <c r="F10" s="123"/>
      <c r="G10" s="146">
        <f t="shared" si="1"/>
        <v>0</v>
      </c>
      <c r="I10" s="65" t="s">
        <v>2738</v>
      </c>
      <c r="J10" t="s">
        <v>3041</v>
      </c>
      <c r="K10">
        <f t="shared" si="2"/>
        <v>111788</v>
      </c>
      <c r="L10">
        <f t="shared" si="3"/>
        <v>0</v>
      </c>
    </row>
    <row r="11" spans="1:12" outlineLevel="1">
      <c r="A11" s="153">
        <v>43637</v>
      </c>
      <c r="B11" s="155"/>
      <c r="C11" s="154">
        <v>53</v>
      </c>
      <c r="D11" s="156">
        <f t="shared" si="0"/>
        <v>111959</v>
      </c>
      <c r="E11" s="332"/>
      <c r="F11" s="154"/>
      <c r="G11" s="156">
        <f t="shared" si="1"/>
        <v>0</v>
      </c>
      <c r="H11" s="158" t="s">
        <v>48</v>
      </c>
      <c r="I11" s="159"/>
      <c r="J11" t="s">
        <v>3044</v>
      </c>
      <c r="K11">
        <f t="shared" si="2"/>
        <v>111788</v>
      </c>
      <c r="L11">
        <f t="shared" si="3"/>
        <v>0</v>
      </c>
    </row>
    <row r="12" spans="1:12" outlineLevel="1">
      <c r="A12" s="139">
        <v>43817</v>
      </c>
      <c r="B12" s="124"/>
      <c r="C12" s="123">
        <v>12000</v>
      </c>
      <c r="D12" s="146">
        <f t="shared" si="0"/>
        <v>123959</v>
      </c>
      <c r="E12" s="331"/>
      <c r="F12" s="123"/>
      <c r="G12" s="146">
        <f t="shared" si="1"/>
        <v>0</v>
      </c>
      <c r="I12" s="65" t="s">
        <v>2739</v>
      </c>
      <c r="J12" t="s">
        <v>3041</v>
      </c>
      <c r="K12">
        <f t="shared" si="2"/>
        <v>123788</v>
      </c>
      <c r="L12">
        <f t="shared" si="3"/>
        <v>0</v>
      </c>
    </row>
    <row r="13" spans="1:12" outlineLevel="1">
      <c r="A13" s="153">
        <v>43820</v>
      </c>
      <c r="B13" s="155"/>
      <c r="C13" s="154">
        <v>56</v>
      </c>
      <c r="D13" s="156">
        <f t="shared" si="0"/>
        <v>124015</v>
      </c>
      <c r="E13" s="332"/>
      <c r="F13" s="154"/>
      <c r="G13" s="156">
        <f t="shared" si="1"/>
        <v>0</v>
      </c>
      <c r="H13" s="158" t="s">
        <v>48</v>
      </c>
      <c r="I13" s="159"/>
      <c r="J13" t="s">
        <v>3044</v>
      </c>
      <c r="K13">
        <f t="shared" si="2"/>
        <v>123788</v>
      </c>
      <c r="L13">
        <f t="shared" si="3"/>
        <v>0</v>
      </c>
    </row>
    <row r="14" spans="1:12">
      <c r="A14" s="139">
        <v>43882</v>
      </c>
      <c r="B14" s="124"/>
      <c r="C14" s="123">
        <v>11800</v>
      </c>
      <c r="D14" s="146">
        <f t="shared" si="0"/>
        <v>135815</v>
      </c>
      <c r="E14" s="331"/>
      <c r="F14" s="123"/>
      <c r="G14" s="146">
        <f t="shared" si="1"/>
        <v>0</v>
      </c>
      <c r="I14" s="65" t="s">
        <v>2738</v>
      </c>
      <c r="J14" t="s">
        <v>3041</v>
      </c>
      <c r="K14">
        <f t="shared" si="2"/>
        <v>135588</v>
      </c>
      <c r="L14">
        <f t="shared" si="3"/>
        <v>0</v>
      </c>
    </row>
    <row r="15" spans="1:12" outlineLevel="1">
      <c r="A15" s="153">
        <v>44003</v>
      </c>
      <c r="B15" s="155"/>
      <c r="C15" s="154">
        <v>49</v>
      </c>
      <c r="D15" s="156">
        <f t="shared" si="0"/>
        <v>135864</v>
      </c>
      <c r="E15" s="332"/>
      <c r="F15" s="154"/>
      <c r="G15" s="156">
        <f t="shared" si="1"/>
        <v>0</v>
      </c>
      <c r="H15" s="158" t="s">
        <v>48</v>
      </c>
      <c r="I15" s="159"/>
      <c r="J15" t="s">
        <v>3044</v>
      </c>
      <c r="K15">
        <f t="shared" si="2"/>
        <v>135588</v>
      </c>
      <c r="L15">
        <f t="shared" si="3"/>
        <v>0</v>
      </c>
    </row>
    <row r="16" spans="1:12" outlineLevel="1">
      <c r="A16" s="153">
        <v>44186</v>
      </c>
      <c r="B16" s="155"/>
      <c r="C16" s="154">
        <v>34</v>
      </c>
      <c r="D16" s="156">
        <f t="shared" si="0"/>
        <v>135898</v>
      </c>
      <c r="E16" s="332"/>
      <c r="F16" s="154"/>
      <c r="G16" s="156">
        <f t="shared" si="1"/>
        <v>0</v>
      </c>
      <c r="H16" s="158" t="s">
        <v>48</v>
      </c>
      <c r="I16" s="159"/>
      <c r="J16" t="s">
        <v>3044</v>
      </c>
      <c r="K16">
        <f t="shared" si="2"/>
        <v>135588</v>
      </c>
      <c r="L16">
        <f t="shared" si="3"/>
        <v>0</v>
      </c>
    </row>
    <row r="17" spans="1:12">
      <c r="A17" s="139">
        <v>44247</v>
      </c>
      <c r="B17" s="124"/>
      <c r="C17" s="123">
        <v>10200</v>
      </c>
      <c r="D17" s="146">
        <f t="shared" si="0"/>
        <v>146098</v>
      </c>
      <c r="E17" s="331"/>
      <c r="F17" s="123"/>
      <c r="G17" s="146">
        <f t="shared" si="1"/>
        <v>0</v>
      </c>
      <c r="I17" s="65" t="s">
        <v>2738</v>
      </c>
      <c r="J17" t="s">
        <v>3041</v>
      </c>
      <c r="K17">
        <f t="shared" si="2"/>
        <v>145788</v>
      </c>
      <c r="L17">
        <f t="shared" si="3"/>
        <v>0</v>
      </c>
    </row>
    <row r="18" spans="1:12" outlineLevel="1">
      <c r="A18" s="153">
        <v>44368</v>
      </c>
      <c r="B18" s="155"/>
      <c r="C18" s="154">
        <v>36</v>
      </c>
      <c r="D18" s="156">
        <f t="shared" si="0"/>
        <v>146134</v>
      </c>
      <c r="E18" s="332"/>
      <c r="F18" s="154"/>
      <c r="G18" s="156">
        <f t="shared" si="1"/>
        <v>0</v>
      </c>
      <c r="H18" s="158" t="s">
        <v>48</v>
      </c>
      <c r="I18" s="159"/>
      <c r="J18" t="s">
        <v>3044</v>
      </c>
      <c r="K18">
        <f t="shared" si="2"/>
        <v>145788</v>
      </c>
      <c r="L18">
        <f t="shared" si="3"/>
        <v>0</v>
      </c>
    </row>
    <row r="19" spans="1:12" outlineLevel="1">
      <c r="A19" s="139">
        <v>44387</v>
      </c>
      <c r="B19" s="124"/>
      <c r="C19" s="123">
        <v>15660</v>
      </c>
      <c r="D19" s="146">
        <f t="shared" si="0"/>
        <v>161794</v>
      </c>
      <c r="E19" s="331"/>
      <c r="F19" s="123"/>
      <c r="G19" s="146">
        <f t="shared" si="1"/>
        <v>0</v>
      </c>
      <c r="I19" s="65" t="s">
        <v>2740</v>
      </c>
      <c r="J19" t="s">
        <v>3041</v>
      </c>
      <c r="K19">
        <f t="shared" si="2"/>
        <v>161448</v>
      </c>
      <c r="L19">
        <f t="shared" si="3"/>
        <v>0</v>
      </c>
    </row>
    <row r="20" spans="1:12" outlineLevel="1">
      <c r="A20" s="139">
        <v>44477</v>
      </c>
      <c r="B20" s="124"/>
      <c r="C20" s="123">
        <v>10000</v>
      </c>
      <c r="D20" s="146">
        <f t="shared" si="0"/>
        <v>171794</v>
      </c>
      <c r="E20" s="331"/>
      <c r="F20" s="123"/>
      <c r="G20" s="146">
        <f t="shared" si="1"/>
        <v>0</v>
      </c>
      <c r="I20" s="65" t="s">
        <v>2741</v>
      </c>
      <c r="J20" t="s">
        <v>3041</v>
      </c>
      <c r="K20">
        <f t="shared" si="2"/>
        <v>171448</v>
      </c>
      <c r="L20">
        <f t="shared" si="3"/>
        <v>0</v>
      </c>
    </row>
    <row r="21" spans="1:12" outlineLevel="1">
      <c r="A21" s="153">
        <v>44551</v>
      </c>
      <c r="B21" s="155"/>
      <c r="C21" s="154">
        <v>41</v>
      </c>
      <c r="D21" s="156">
        <f t="shared" si="0"/>
        <v>171835</v>
      </c>
      <c r="E21" s="332"/>
      <c r="F21" s="154"/>
      <c r="G21" s="156">
        <f t="shared" si="1"/>
        <v>0</v>
      </c>
      <c r="H21" s="158" t="s">
        <v>48</v>
      </c>
      <c r="I21" s="159"/>
      <c r="J21" t="s">
        <v>3044</v>
      </c>
      <c r="K21">
        <f t="shared" si="2"/>
        <v>171448</v>
      </c>
      <c r="L21">
        <f t="shared" si="3"/>
        <v>0</v>
      </c>
    </row>
    <row r="22" spans="1:12" outlineLevel="1">
      <c r="A22" s="139">
        <v>44552</v>
      </c>
      <c r="B22" s="124"/>
      <c r="C22" s="123">
        <v>95275</v>
      </c>
      <c r="D22" s="146">
        <f t="shared" si="0"/>
        <v>267110</v>
      </c>
      <c r="E22" s="331"/>
      <c r="F22" s="123"/>
      <c r="G22" s="146">
        <f t="shared" si="1"/>
        <v>0</v>
      </c>
      <c r="I22" s="65" t="s">
        <v>2742</v>
      </c>
      <c r="J22" t="s">
        <v>3041</v>
      </c>
      <c r="K22">
        <f t="shared" si="2"/>
        <v>266723</v>
      </c>
      <c r="L22">
        <f t="shared" si="3"/>
        <v>0</v>
      </c>
    </row>
    <row r="23" spans="1:12" outlineLevel="1">
      <c r="A23" s="139">
        <v>44553</v>
      </c>
      <c r="B23" s="124">
        <v>95275</v>
      </c>
      <c r="C23" s="123"/>
      <c r="D23" s="146">
        <f t="shared" si="0"/>
        <v>171835</v>
      </c>
      <c r="E23" s="331"/>
      <c r="F23" s="123"/>
      <c r="G23" s="146">
        <f t="shared" si="1"/>
        <v>0</v>
      </c>
      <c r="I23" s="65"/>
      <c r="J23" t="s">
        <v>3045</v>
      </c>
      <c r="K23">
        <f t="shared" si="2"/>
        <v>266723</v>
      </c>
      <c r="L23">
        <f t="shared" si="3"/>
        <v>0</v>
      </c>
    </row>
    <row r="24" spans="1:12">
      <c r="A24" s="147">
        <v>44571</v>
      </c>
      <c r="B24" s="149"/>
      <c r="C24" s="148">
        <v>54</v>
      </c>
      <c r="D24" s="150">
        <f t="shared" si="0"/>
        <v>171889</v>
      </c>
      <c r="E24" s="333"/>
      <c r="F24" s="148"/>
      <c r="G24" s="150">
        <f t="shared" si="1"/>
        <v>0</v>
      </c>
      <c r="H24" s="152" t="s">
        <v>84</v>
      </c>
      <c r="I24" s="152"/>
      <c r="J24" t="s">
        <v>3044</v>
      </c>
      <c r="K24">
        <f t="shared" si="2"/>
        <v>266723</v>
      </c>
      <c r="L24">
        <f t="shared" si="3"/>
        <v>0</v>
      </c>
    </row>
    <row r="25" spans="1:12" outlineLevel="1">
      <c r="A25" s="139">
        <v>44599</v>
      </c>
      <c r="B25" s="124"/>
      <c r="C25" s="123">
        <v>13000</v>
      </c>
      <c r="D25" s="146">
        <f t="shared" si="0"/>
        <v>184889</v>
      </c>
      <c r="E25" s="331"/>
      <c r="F25" s="123"/>
      <c r="G25" s="146">
        <f t="shared" si="1"/>
        <v>0</v>
      </c>
      <c r="I25" s="65" t="s">
        <v>2738</v>
      </c>
      <c r="J25" t="s">
        <v>3041</v>
      </c>
      <c r="K25">
        <f t="shared" si="2"/>
        <v>279723</v>
      </c>
      <c r="L25">
        <f t="shared" si="3"/>
        <v>0</v>
      </c>
    </row>
    <row r="26" spans="1:12" outlineLevel="1">
      <c r="A26" s="195">
        <v>44665</v>
      </c>
      <c r="B26" s="197"/>
      <c r="C26" s="196">
        <v>270</v>
      </c>
      <c r="D26" s="198">
        <f t="shared" si="0"/>
        <v>185159</v>
      </c>
      <c r="E26" s="334"/>
      <c r="F26" s="196"/>
      <c r="G26" s="198">
        <f t="shared" si="1"/>
        <v>0</v>
      </c>
      <c r="H26" s="200" t="s">
        <v>2743</v>
      </c>
      <c r="I26" s="200" t="s">
        <v>101</v>
      </c>
      <c r="J26" t="s">
        <v>3044</v>
      </c>
      <c r="K26">
        <f t="shared" si="2"/>
        <v>279723</v>
      </c>
      <c r="L26">
        <f t="shared" si="3"/>
        <v>0</v>
      </c>
    </row>
    <row r="27" spans="1:12" outlineLevel="1">
      <c r="A27" s="153">
        <v>44733</v>
      </c>
      <c r="B27" s="155"/>
      <c r="C27" s="154">
        <v>55</v>
      </c>
      <c r="D27" s="156">
        <f t="shared" si="0"/>
        <v>185214</v>
      </c>
      <c r="E27" s="332"/>
      <c r="F27" s="154"/>
      <c r="G27" s="156">
        <f t="shared" si="1"/>
        <v>0</v>
      </c>
      <c r="H27" s="158" t="s">
        <v>48</v>
      </c>
      <c r="I27" s="159"/>
      <c r="J27" t="s">
        <v>3044</v>
      </c>
      <c r="K27">
        <f t="shared" si="2"/>
        <v>279723</v>
      </c>
      <c r="L27">
        <f t="shared" si="3"/>
        <v>0</v>
      </c>
    </row>
    <row r="28" spans="1:12" outlineLevel="1">
      <c r="A28" s="195">
        <v>44756</v>
      </c>
      <c r="B28" s="197"/>
      <c r="C28" s="196">
        <v>270</v>
      </c>
      <c r="D28" s="198">
        <f t="shared" si="0"/>
        <v>185484</v>
      </c>
      <c r="E28" s="334"/>
      <c r="F28" s="196"/>
      <c r="G28" s="198">
        <f t="shared" si="1"/>
        <v>0</v>
      </c>
      <c r="H28" s="200" t="s">
        <v>2743</v>
      </c>
      <c r="I28" s="200" t="s">
        <v>101</v>
      </c>
      <c r="J28" t="s">
        <v>3044</v>
      </c>
      <c r="K28">
        <f t="shared" si="2"/>
        <v>279723</v>
      </c>
      <c r="L28">
        <f t="shared" si="3"/>
        <v>0</v>
      </c>
    </row>
    <row r="29" spans="1:12" outlineLevel="1">
      <c r="A29" s="195">
        <v>44791</v>
      </c>
      <c r="B29" s="197"/>
      <c r="C29" s="196">
        <v>1473</v>
      </c>
      <c r="D29" s="198">
        <f t="shared" si="0"/>
        <v>186957</v>
      </c>
      <c r="E29" s="334"/>
      <c r="F29" s="196"/>
      <c r="G29" s="278">
        <f t="shared" si="1"/>
        <v>0</v>
      </c>
      <c r="H29" s="200" t="s">
        <v>2744</v>
      </c>
      <c r="I29" s="200" t="s">
        <v>101</v>
      </c>
      <c r="J29" t="s">
        <v>3044</v>
      </c>
      <c r="K29">
        <f t="shared" si="2"/>
        <v>279723</v>
      </c>
      <c r="L29">
        <f t="shared" si="3"/>
        <v>0</v>
      </c>
    </row>
    <row r="30" spans="1:12" outlineLevel="1">
      <c r="A30" s="139">
        <v>44811</v>
      </c>
      <c r="B30" s="124"/>
      <c r="C30" s="123">
        <v>50247</v>
      </c>
      <c r="D30" s="146">
        <f t="shared" si="0"/>
        <v>237204</v>
      </c>
      <c r="E30" s="331"/>
      <c r="F30" s="123"/>
      <c r="G30" s="279">
        <f t="shared" si="1"/>
        <v>0</v>
      </c>
      <c r="I30" s="65" t="s">
        <v>2745</v>
      </c>
      <c r="J30" t="s">
        <v>3041</v>
      </c>
      <c r="K30">
        <f t="shared" si="2"/>
        <v>329970</v>
      </c>
      <c r="L30">
        <f t="shared" si="3"/>
        <v>0</v>
      </c>
    </row>
    <row r="31" spans="1:12" outlineLevel="1">
      <c r="A31" s="195">
        <v>44847</v>
      </c>
      <c r="B31" s="197"/>
      <c r="C31" s="196">
        <v>270</v>
      </c>
      <c r="D31" s="198">
        <f t="shared" si="0"/>
        <v>237474</v>
      </c>
      <c r="E31" s="334"/>
      <c r="F31" s="196"/>
      <c r="G31" s="278">
        <f t="shared" si="1"/>
        <v>0</v>
      </c>
      <c r="H31" s="200" t="s">
        <v>2743</v>
      </c>
      <c r="I31" s="200" t="s">
        <v>101</v>
      </c>
      <c r="J31" t="s">
        <v>3044</v>
      </c>
      <c r="K31">
        <f t="shared" si="2"/>
        <v>329970</v>
      </c>
      <c r="L31">
        <f t="shared" si="3"/>
        <v>0</v>
      </c>
    </row>
    <row r="32" spans="1:12" outlineLevel="1">
      <c r="A32" s="139">
        <v>44873</v>
      </c>
      <c r="B32" s="124"/>
      <c r="C32" s="123">
        <v>22160</v>
      </c>
      <c r="D32" s="146">
        <f t="shared" si="0"/>
        <v>259634</v>
      </c>
      <c r="E32" s="331"/>
      <c r="F32" s="123"/>
      <c r="G32" s="279">
        <f t="shared" si="1"/>
        <v>0</v>
      </c>
      <c r="I32" s="65" t="s">
        <v>2748</v>
      </c>
      <c r="J32" t="s">
        <v>3041</v>
      </c>
      <c r="K32">
        <f t="shared" si="2"/>
        <v>352130</v>
      </c>
      <c r="L32">
        <f t="shared" si="3"/>
        <v>0</v>
      </c>
    </row>
    <row r="33" spans="1:12" outlineLevel="1">
      <c r="A33" s="139">
        <v>44886</v>
      </c>
      <c r="B33" s="124"/>
      <c r="C33" s="123">
        <v>26560</v>
      </c>
      <c r="D33" s="146">
        <f t="shared" si="0"/>
        <v>286194</v>
      </c>
      <c r="E33" s="331"/>
      <c r="F33" s="123"/>
      <c r="G33" s="279">
        <f t="shared" si="1"/>
        <v>0</v>
      </c>
      <c r="I33" s="65" t="s">
        <v>2746</v>
      </c>
      <c r="J33" t="s">
        <v>3041</v>
      </c>
      <c r="K33">
        <f t="shared" si="2"/>
        <v>378690</v>
      </c>
      <c r="L33">
        <f t="shared" si="3"/>
        <v>0</v>
      </c>
    </row>
    <row r="34" spans="1:12" outlineLevel="1">
      <c r="A34" s="139">
        <v>44886</v>
      </c>
      <c r="B34" s="124"/>
      <c r="C34" s="123">
        <v>27060</v>
      </c>
      <c r="D34" s="146">
        <f t="shared" si="0"/>
        <v>313254</v>
      </c>
      <c r="E34" s="331"/>
      <c r="F34" s="123"/>
      <c r="G34" s="279">
        <f t="shared" si="1"/>
        <v>0</v>
      </c>
      <c r="I34" s="65" t="s">
        <v>2747</v>
      </c>
      <c r="J34" t="s">
        <v>3041</v>
      </c>
      <c r="K34">
        <f t="shared" si="2"/>
        <v>405750</v>
      </c>
      <c r="L34">
        <f t="shared" si="3"/>
        <v>0</v>
      </c>
    </row>
    <row r="35" spans="1:12" outlineLevel="1">
      <c r="A35" s="195">
        <v>44914</v>
      </c>
      <c r="B35" s="197"/>
      <c r="C35" s="196">
        <v>540</v>
      </c>
      <c r="D35" s="198">
        <f t="shared" ref="D35:D48" si="4">D34+C35-B35</f>
        <v>313794</v>
      </c>
      <c r="E35" s="334"/>
      <c r="F35" s="196"/>
      <c r="G35" s="278">
        <f t="shared" ref="G35:G48" si="5">G34+F35-E35</f>
        <v>0</v>
      </c>
      <c r="H35" s="200" t="s">
        <v>2744</v>
      </c>
      <c r="I35" s="200" t="s">
        <v>101</v>
      </c>
      <c r="J35" t="s">
        <v>3044</v>
      </c>
      <c r="K35">
        <f t="shared" si="2"/>
        <v>405750</v>
      </c>
      <c r="L35">
        <f t="shared" si="3"/>
        <v>0</v>
      </c>
    </row>
    <row r="36" spans="1:12" outlineLevel="1">
      <c r="A36" s="153">
        <v>44916</v>
      </c>
      <c r="B36" s="155"/>
      <c r="C36" s="154">
        <v>303</v>
      </c>
      <c r="D36" s="156">
        <f t="shared" si="4"/>
        <v>314097</v>
      </c>
      <c r="E36" s="332"/>
      <c r="F36" s="154"/>
      <c r="G36" s="280">
        <f t="shared" si="5"/>
        <v>0</v>
      </c>
      <c r="H36" s="158" t="s">
        <v>48</v>
      </c>
      <c r="I36" s="159"/>
      <c r="J36" t="s">
        <v>3044</v>
      </c>
      <c r="K36">
        <f t="shared" si="2"/>
        <v>405750</v>
      </c>
      <c r="L36">
        <f t="shared" si="3"/>
        <v>0</v>
      </c>
    </row>
    <row r="37" spans="1:12" outlineLevel="1">
      <c r="A37" s="282">
        <v>44922</v>
      </c>
      <c r="B37" s="283"/>
      <c r="C37" s="284"/>
      <c r="D37" s="285">
        <f t="shared" si="4"/>
        <v>314097</v>
      </c>
      <c r="E37" s="335"/>
      <c r="F37" s="284">
        <v>420</v>
      </c>
      <c r="G37" s="286">
        <f t="shared" si="5"/>
        <v>420</v>
      </c>
      <c r="H37" s="287"/>
      <c r="I37" s="288" t="s">
        <v>2749</v>
      </c>
      <c r="J37" t="s">
        <v>3044</v>
      </c>
      <c r="K37">
        <f t="shared" si="2"/>
        <v>405750</v>
      </c>
      <c r="L37">
        <f t="shared" si="3"/>
        <v>0</v>
      </c>
    </row>
    <row r="38" spans="1:12">
      <c r="A38" s="139">
        <v>44931</v>
      </c>
      <c r="B38" s="124"/>
      <c r="C38" s="123">
        <v>72322</v>
      </c>
      <c r="D38" s="146">
        <f t="shared" si="4"/>
        <v>386419</v>
      </c>
      <c r="E38" s="331"/>
      <c r="F38" s="123"/>
      <c r="G38" s="279">
        <f t="shared" si="5"/>
        <v>420</v>
      </c>
      <c r="I38" s="65" t="s">
        <v>2742</v>
      </c>
      <c r="J38" t="s">
        <v>3041</v>
      </c>
      <c r="K38">
        <f t="shared" si="2"/>
        <v>478072</v>
      </c>
      <c r="L38">
        <f t="shared" si="3"/>
        <v>0</v>
      </c>
    </row>
    <row r="39" spans="1:12" outlineLevel="1">
      <c r="A39" s="139">
        <v>44932</v>
      </c>
      <c r="B39" s="124">
        <v>45214</v>
      </c>
      <c r="C39" s="123"/>
      <c r="D39" s="146">
        <f t="shared" si="4"/>
        <v>341205</v>
      </c>
      <c r="E39" s="331"/>
      <c r="F39" s="123"/>
      <c r="G39" s="279">
        <f t="shared" si="5"/>
        <v>420</v>
      </c>
      <c r="I39" s="65"/>
      <c r="J39" t="s">
        <v>3044</v>
      </c>
      <c r="K39">
        <f t="shared" si="2"/>
        <v>478072</v>
      </c>
      <c r="L39">
        <f t="shared" si="3"/>
        <v>0</v>
      </c>
    </row>
    <row r="40" spans="1:12" outlineLevel="1">
      <c r="A40" s="139">
        <v>44935</v>
      </c>
      <c r="B40" s="124">
        <v>27108</v>
      </c>
      <c r="C40" s="123"/>
      <c r="D40" s="146">
        <f t="shared" si="4"/>
        <v>314097</v>
      </c>
      <c r="E40" s="331"/>
      <c r="F40" s="123"/>
      <c r="G40" s="279">
        <f t="shared" si="5"/>
        <v>420</v>
      </c>
      <c r="I40" s="65"/>
      <c r="J40" t="s">
        <v>3044</v>
      </c>
      <c r="K40">
        <f t="shared" si="2"/>
        <v>478072</v>
      </c>
      <c r="L40">
        <f t="shared" si="3"/>
        <v>0</v>
      </c>
    </row>
    <row r="41" spans="1:12" outlineLevel="1">
      <c r="A41" s="195">
        <v>44938</v>
      </c>
      <c r="B41" s="197"/>
      <c r="C41" s="196">
        <v>270</v>
      </c>
      <c r="D41" s="198">
        <f t="shared" si="4"/>
        <v>314367</v>
      </c>
      <c r="E41" s="334"/>
      <c r="F41" s="196"/>
      <c r="G41" s="278">
        <f t="shared" si="5"/>
        <v>420</v>
      </c>
      <c r="H41" s="200" t="s">
        <v>2743</v>
      </c>
      <c r="I41" s="200" t="s">
        <v>101</v>
      </c>
      <c r="J41" t="s">
        <v>3044</v>
      </c>
      <c r="K41">
        <f t="shared" si="2"/>
        <v>478072</v>
      </c>
      <c r="L41">
        <f t="shared" si="3"/>
        <v>0</v>
      </c>
    </row>
    <row r="42" spans="1:12" outlineLevel="1">
      <c r="A42" s="139">
        <v>44956</v>
      </c>
      <c r="B42" s="124"/>
      <c r="C42" s="123">
        <v>14410</v>
      </c>
      <c r="D42" s="146">
        <f t="shared" si="4"/>
        <v>328777</v>
      </c>
      <c r="E42" s="331"/>
      <c r="F42" s="123"/>
      <c r="G42" s="279">
        <f t="shared" si="5"/>
        <v>420</v>
      </c>
      <c r="I42" s="65" t="s">
        <v>2738</v>
      </c>
      <c r="J42" t="s">
        <v>3041</v>
      </c>
      <c r="K42">
        <f t="shared" si="2"/>
        <v>492482</v>
      </c>
      <c r="L42">
        <f t="shared" si="3"/>
        <v>0</v>
      </c>
    </row>
    <row r="43" spans="1:12" outlineLevel="1">
      <c r="A43" s="147">
        <v>44967</v>
      </c>
      <c r="B43" s="149"/>
      <c r="C43" s="148">
        <v>40</v>
      </c>
      <c r="D43" s="150">
        <f t="shared" si="4"/>
        <v>328817</v>
      </c>
      <c r="E43" s="333"/>
      <c r="F43" s="148"/>
      <c r="G43" s="281">
        <f t="shared" si="5"/>
        <v>420</v>
      </c>
      <c r="H43" s="152" t="s">
        <v>84</v>
      </c>
      <c r="I43" s="152"/>
      <c r="J43" t="s">
        <v>3044</v>
      </c>
      <c r="K43">
        <f t="shared" si="2"/>
        <v>492482</v>
      </c>
      <c r="L43">
        <f t="shared" si="3"/>
        <v>0</v>
      </c>
    </row>
    <row r="44" spans="1:12" outlineLevel="1">
      <c r="A44" s="139">
        <v>44989</v>
      </c>
      <c r="B44" s="124"/>
      <c r="C44" s="123">
        <v>888</v>
      </c>
      <c r="D44" s="146">
        <f t="shared" si="4"/>
        <v>329705</v>
      </c>
      <c r="E44" s="331"/>
      <c r="F44" s="123"/>
      <c r="G44" s="279">
        <f t="shared" si="5"/>
        <v>420</v>
      </c>
      <c r="I44" s="65" t="s">
        <v>2750</v>
      </c>
      <c r="J44" t="s">
        <v>3041</v>
      </c>
      <c r="K44">
        <f t="shared" si="2"/>
        <v>493370</v>
      </c>
      <c r="L44">
        <f t="shared" si="3"/>
        <v>0</v>
      </c>
    </row>
    <row r="45" spans="1:12" outlineLevel="1">
      <c r="A45" s="139">
        <v>45003</v>
      </c>
      <c r="B45" s="124"/>
      <c r="C45" s="123">
        <v>888</v>
      </c>
      <c r="D45" s="146">
        <f t="shared" si="4"/>
        <v>330593</v>
      </c>
      <c r="E45" s="331"/>
      <c r="F45" s="123"/>
      <c r="G45" s="279">
        <f t="shared" si="5"/>
        <v>420</v>
      </c>
      <c r="I45" s="65" t="s">
        <v>2751</v>
      </c>
      <c r="J45" t="s">
        <v>3041</v>
      </c>
      <c r="K45">
        <f t="shared" si="2"/>
        <v>494258</v>
      </c>
      <c r="L45">
        <f t="shared" si="3"/>
        <v>0</v>
      </c>
    </row>
    <row r="46" spans="1:12" outlineLevel="1">
      <c r="A46" s="139">
        <v>45003</v>
      </c>
      <c r="B46" s="124"/>
      <c r="C46" s="123">
        <v>888</v>
      </c>
      <c r="D46" s="146">
        <f t="shared" si="4"/>
        <v>331481</v>
      </c>
      <c r="E46" s="331"/>
      <c r="F46" s="123"/>
      <c r="G46" s="279">
        <f t="shared" si="5"/>
        <v>420</v>
      </c>
      <c r="I46" s="65" t="s">
        <v>2752</v>
      </c>
      <c r="J46" t="s">
        <v>3041</v>
      </c>
      <c r="K46">
        <f t="shared" si="2"/>
        <v>495146</v>
      </c>
      <c r="L46">
        <f t="shared" si="3"/>
        <v>0</v>
      </c>
    </row>
    <row r="47" spans="1:12" outlineLevel="1">
      <c r="A47" s="139">
        <v>45003</v>
      </c>
      <c r="B47" s="124"/>
      <c r="C47" s="123">
        <v>888</v>
      </c>
      <c r="D47" s="146">
        <f t="shared" si="4"/>
        <v>332369</v>
      </c>
      <c r="E47" s="331"/>
      <c r="F47" s="123"/>
      <c r="G47" s="279">
        <f t="shared" si="5"/>
        <v>420</v>
      </c>
      <c r="I47" s="65" t="s">
        <v>2753</v>
      </c>
      <c r="J47" t="s">
        <v>3041</v>
      </c>
      <c r="K47">
        <f t="shared" si="2"/>
        <v>496034</v>
      </c>
      <c r="L47">
        <f t="shared" si="3"/>
        <v>0</v>
      </c>
    </row>
    <row r="48" spans="1:12" outlineLevel="1">
      <c r="A48" s="195">
        <v>45029</v>
      </c>
      <c r="B48" s="197"/>
      <c r="C48" s="196">
        <v>544</v>
      </c>
      <c r="D48" s="198">
        <f t="shared" si="4"/>
        <v>332913</v>
      </c>
      <c r="E48" s="334"/>
      <c r="F48" s="196"/>
      <c r="G48" s="278">
        <f t="shared" si="5"/>
        <v>420</v>
      </c>
      <c r="H48" s="200" t="s">
        <v>2743</v>
      </c>
      <c r="I48" s="200" t="s">
        <v>101</v>
      </c>
      <c r="J48" t="s">
        <v>3044</v>
      </c>
      <c r="K48">
        <f t="shared" si="2"/>
        <v>496034</v>
      </c>
      <c r="L48">
        <f t="shared" si="3"/>
        <v>0</v>
      </c>
    </row>
    <row r="49" spans="1:12" outlineLevel="1">
      <c r="A49" s="139">
        <v>45058</v>
      </c>
      <c r="B49" s="124"/>
      <c r="C49" s="123">
        <v>6000</v>
      </c>
      <c r="D49" s="146">
        <f t="shared" ref="D49:D81" si="6">D48+C49-B49</f>
        <v>338913</v>
      </c>
      <c r="E49" s="331"/>
      <c r="F49" s="123"/>
      <c r="G49" s="279">
        <f t="shared" ref="G49:G81" si="7">G48+F49-E49</f>
        <v>420</v>
      </c>
      <c r="I49" s="65" t="s">
        <v>2754</v>
      </c>
      <c r="J49" t="s">
        <v>3041</v>
      </c>
      <c r="K49">
        <f t="shared" si="2"/>
        <v>502034</v>
      </c>
      <c r="L49">
        <f t="shared" si="3"/>
        <v>0</v>
      </c>
    </row>
    <row r="50" spans="1:12" outlineLevel="1">
      <c r="A50" s="139">
        <v>45075</v>
      </c>
      <c r="B50" s="124"/>
      <c r="C50" s="123">
        <v>500</v>
      </c>
      <c r="D50" s="146">
        <f t="shared" si="6"/>
        <v>339413</v>
      </c>
      <c r="E50" s="331"/>
      <c r="F50" s="123"/>
      <c r="G50" s="279">
        <f t="shared" si="7"/>
        <v>420</v>
      </c>
      <c r="I50" s="65" t="s">
        <v>2755</v>
      </c>
      <c r="J50" t="s">
        <v>3041</v>
      </c>
      <c r="K50">
        <f t="shared" si="2"/>
        <v>502534</v>
      </c>
      <c r="L50">
        <f t="shared" si="3"/>
        <v>0</v>
      </c>
    </row>
    <row r="51" spans="1:12" outlineLevel="1">
      <c r="A51" s="139">
        <v>45081</v>
      </c>
      <c r="B51" s="124"/>
      <c r="C51" s="123">
        <v>888</v>
      </c>
      <c r="D51" s="146">
        <f t="shared" si="6"/>
        <v>340301</v>
      </c>
      <c r="E51" s="331"/>
      <c r="F51" s="123"/>
      <c r="G51" s="279">
        <f t="shared" si="7"/>
        <v>420</v>
      </c>
      <c r="I51" s="65" t="s">
        <v>2756</v>
      </c>
      <c r="J51" t="s">
        <v>3041</v>
      </c>
      <c r="K51">
        <f t="shared" si="2"/>
        <v>503422</v>
      </c>
      <c r="L51">
        <f t="shared" si="3"/>
        <v>0</v>
      </c>
    </row>
    <row r="52" spans="1:12" outlineLevel="1">
      <c r="A52" s="139">
        <v>45081</v>
      </c>
      <c r="B52" s="124"/>
      <c r="C52" s="123">
        <v>888</v>
      </c>
      <c r="D52" s="146">
        <f t="shared" si="6"/>
        <v>341189</v>
      </c>
      <c r="E52" s="331"/>
      <c r="F52" s="123"/>
      <c r="G52" s="279">
        <f t="shared" si="7"/>
        <v>420</v>
      </c>
      <c r="I52" s="65" t="s">
        <v>2757</v>
      </c>
      <c r="J52" t="s">
        <v>3041</v>
      </c>
      <c r="K52">
        <f t="shared" si="2"/>
        <v>504310</v>
      </c>
      <c r="L52">
        <f t="shared" si="3"/>
        <v>0</v>
      </c>
    </row>
    <row r="53" spans="1:12" outlineLevel="1">
      <c r="A53" s="153">
        <v>45098</v>
      </c>
      <c r="B53" s="155"/>
      <c r="C53" s="154">
        <v>807</v>
      </c>
      <c r="D53" s="156">
        <f t="shared" si="6"/>
        <v>341996</v>
      </c>
      <c r="E53" s="332"/>
      <c r="F53" s="154"/>
      <c r="G53" s="280">
        <f t="shared" si="7"/>
        <v>420</v>
      </c>
      <c r="H53" s="158" t="s">
        <v>48</v>
      </c>
      <c r="I53" s="159"/>
      <c r="J53" t="s">
        <v>3044</v>
      </c>
      <c r="K53">
        <f t="shared" si="2"/>
        <v>504310</v>
      </c>
      <c r="L53">
        <f t="shared" si="3"/>
        <v>0</v>
      </c>
    </row>
    <row r="54" spans="1:12" outlineLevel="1">
      <c r="A54" s="282">
        <v>45098</v>
      </c>
      <c r="B54" s="283"/>
      <c r="C54" s="284"/>
      <c r="D54" s="285">
        <f t="shared" si="6"/>
        <v>341996</v>
      </c>
      <c r="E54" s="335"/>
      <c r="F54" s="284">
        <v>1.98</v>
      </c>
      <c r="G54" s="286">
        <f t="shared" si="7"/>
        <v>421.98</v>
      </c>
      <c r="H54" s="287" t="s">
        <v>48</v>
      </c>
      <c r="I54" s="288"/>
      <c r="J54" t="s">
        <v>3044</v>
      </c>
      <c r="K54">
        <f t="shared" si="2"/>
        <v>504310</v>
      </c>
      <c r="L54">
        <f t="shared" si="3"/>
        <v>0</v>
      </c>
    </row>
    <row r="55" spans="1:12" outlineLevel="1">
      <c r="A55" s="195">
        <v>45120</v>
      </c>
      <c r="B55" s="197"/>
      <c r="C55" s="196">
        <v>544</v>
      </c>
      <c r="D55" s="198">
        <f t="shared" si="6"/>
        <v>342540</v>
      </c>
      <c r="E55" s="334"/>
      <c r="F55" s="196"/>
      <c r="G55" s="278">
        <f t="shared" si="7"/>
        <v>421.98</v>
      </c>
      <c r="H55" s="200" t="s">
        <v>2743</v>
      </c>
      <c r="I55" s="200" t="s">
        <v>101</v>
      </c>
      <c r="J55" t="s">
        <v>3044</v>
      </c>
      <c r="K55">
        <f t="shared" si="2"/>
        <v>504310</v>
      </c>
      <c r="L55">
        <f t="shared" si="3"/>
        <v>0</v>
      </c>
    </row>
    <row r="56" spans="1:12" outlineLevel="1">
      <c r="A56" s="139">
        <v>45129</v>
      </c>
      <c r="B56" s="124"/>
      <c r="C56" s="123">
        <v>888</v>
      </c>
      <c r="D56" s="146">
        <f t="shared" si="6"/>
        <v>343428</v>
      </c>
      <c r="E56" s="331"/>
      <c r="F56" s="123"/>
      <c r="G56" s="279">
        <f t="shared" si="7"/>
        <v>421.98</v>
      </c>
      <c r="I56" s="65" t="s">
        <v>2758</v>
      </c>
      <c r="J56" t="s">
        <v>3041</v>
      </c>
      <c r="K56">
        <f t="shared" si="2"/>
        <v>505198</v>
      </c>
      <c r="L56">
        <f t="shared" si="3"/>
        <v>0</v>
      </c>
    </row>
    <row r="57" spans="1:12" outlineLevel="1">
      <c r="A57" s="139">
        <v>45129</v>
      </c>
      <c r="B57" s="124"/>
      <c r="C57" s="123">
        <v>888</v>
      </c>
      <c r="D57" s="146">
        <f t="shared" si="6"/>
        <v>344316</v>
      </c>
      <c r="E57" s="331"/>
      <c r="F57" s="123"/>
      <c r="G57" s="279">
        <f t="shared" si="7"/>
        <v>421.98</v>
      </c>
      <c r="I57" s="65" t="s">
        <v>2759</v>
      </c>
      <c r="J57" t="s">
        <v>3041</v>
      </c>
      <c r="K57">
        <f t="shared" si="2"/>
        <v>506086</v>
      </c>
      <c r="L57">
        <f t="shared" si="3"/>
        <v>0</v>
      </c>
    </row>
    <row r="58" spans="1:12" outlineLevel="1">
      <c r="A58" s="139">
        <v>45134</v>
      </c>
      <c r="B58" s="124">
        <v>27170</v>
      </c>
      <c r="C58" s="123"/>
      <c r="D58" s="146">
        <f t="shared" si="6"/>
        <v>317146</v>
      </c>
      <c r="E58" s="331"/>
      <c r="F58" s="123"/>
      <c r="G58" s="279">
        <f t="shared" si="7"/>
        <v>421.98</v>
      </c>
      <c r="H58" t="s">
        <v>2760</v>
      </c>
      <c r="I58" s="65" t="s">
        <v>2761</v>
      </c>
      <c r="J58" t="s">
        <v>3044</v>
      </c>
      <c r="K58">
        <f t="shared" si="2"/>
        <v>506086</v>
      </c>
      <c r="L58">
        <f t="shared" si="3"/>
        <v>0</v>
      </c>
    </row>
    <row r="59" spans="1:12" outlineLevel="1">
      <c r="A59" s="139">
        <v>45145</v>
      </c>
      <c r="B59" s="124">
        <v>16523</v>
      </c>
      <c r="C59" s="123"/>
      <c r="D59" s="146">
        <f t="shared" si="6"/>
        <v>300623</v>
      </c>
      <c r="E59" s="331"/>
      <c r="F59" s="123"/>
      <c r="G59" s="279">
        <f t="shared" si="7"/>
        <v>421.98</v>
      </c>
      <c r="H59" t="s">
        <v>2019</v>
      </c>
      <c r="I59" s="65" t="s">
        <v>2762</v>
      </c>
      <c r="J59" t="s">
        <v>3044</v>
      </c>
      <c r="K59">
        <f t="shared" si="2"/>
        <v>506086</v>
      </c>
      <c r="L59">
        <f t="shared" si="3"/>
        <v>0</v>
      </c>
    </row>
    <row r="60" spans="1:12" outlineLevel="1">
      <c r="A60" s="139">
        <v>45147</v>
      </c>
      <c r="B60" s="124"/>
      <c r="C60" s="123">
        <v>30466</v>
      </c>
      <c r="D60" s="146">
        <f t="shared" si="6"/>
        <v>331089</v>
      </c>
      <c r="E60" s="331"/>
      <c r="F60" s="123"/>
      <c r="G60" s="279">
        <f t="shared" si="7"/>
        <v>421.98</v>
      </c>
      <c r="H60" t="s">
        <v>2760</v>
      </c>
      <c r="I60" s="65" t="s">
        <v>2763</v>
      </c>
      <c r="J60" t="s">
        <v>3044</v>
      </c>
      <c r="K60">
        <f t="shared" si="2"/>
        <v>506086</v>
      </c>
      <c r="L60">
        <f t="shared" si="3"/>
        <v>0</v>
      </c>
    </row>
    <row r="61" spans="1:12" outlineLevel="1">
      <c r="A61" s="195">
        <v>45149</v>
      </c>
      <c r="B61" s="197"/>
      <c r="C61" s="196">
        <v>1454</v>
      </c>
      <c r="D61" s="198">
        <f t="shared" si="6"/>
        <v>332543</v>
      </c>
      <c r="E61" s="334"/>
      <c r="F61" s="196"/>
      <c r="G61" s="278">
        <f t="shared" si="7"/>
        <v>421.98</v>
      </c>
      <c r="H61" s="200" t="s">
        <v>2744</v>
      </c>
      <c r="I61" s="200" t="s">
        <v>101</v>
      </c>
      <c r="J61" t="s">
        <v>3044</v>
      </c>
      <c r="K61">
        <f t="shared" si="2"/>
        <v>506086</v>
      </c>
      <c r="L61">
        <f t="shared" si="3"/>
        <v>0</v>
      </c>
    </row>
    <row r="62" spans="1:12" outlineLevel="1">
      <c r="A62" s="139">
        <v>45168</v>
      </c>
      <c r="B62" s="124"/>
      <c r="C62" s="123">
        <v>888</v>
      </c>
      <c r="D62" s="146">
        <f t="shared" si="6"/>
        <v>333431</v>
      </c>
      <c r="E62" s="331"/>
      <c r="F62" s="123"/>
      <c r="G62" s="279">
        <f t="shared" si="7"/>
        <v>421.98</v>
      </c>
      <c r="I62" s="65" t="s">
        <v>2764</v>
      </c>
      <c r="J62" t="s">
        <v>3041</v>
      </c>
      <c r="K62">
        <f t="shared" si="2"/>
        <v>506974</v>
      </c>
      <c r="L62">
        <f t="shared" si="3"/>
        <v>0</v>
      </c>
    </row>
    <row r="63" spans="1:12" outlineLevel="1">
      <c r="A63" s="139">
        <v>45168</v>
      </c>
      <c r="B63" s="124"/>
      <c r="C63" s="123">
        <v>888</v>
      </c>
      <c r="D63" s="146">
        <f t="shared" si="6"/>
        <v>334319</v>
      </c>
      <c r="E63" s="331"/>
      <c r="F63" s="123"/>
      <c r="G63" s="279">
        <f t="shared" si="7"/>
        <v>421.98</v>
      </c>
      <c r="I63" s="65" t="s">
        <v>2765</v>
      </c>
      <c r="J63" t="s">
        <v>3041</v>
      </c>
      <c r="K63">
        <f t="shared" si="2"/>
        <v>507862</v>
      </c>
      <c r="L63">
        <f t="shared" si="3"/>
        <v>0</v>
      </c>
    </row>
    <row r="64" spans="1:12" outlineLevel="1">
      <c r="A64" s="139">
        <v>45168</v>
      </c>
      <c r="B64" s="124"/>
      <c r="C64" s="123">
        <v>888</v>
      </c>
      <c r="D64" s="146">
        <f t="shared" si="6"/>
        <v>335207</v>
      </c>
      <c r="E64" s="331"/>
      <c r="F64" s="123"/>
      <c r="G64" s="279">
        <f t="shared" si="7"/>
        <v>421.98</v>
      </c>
      <c r="I64" s="65" t="s">
        <v>2766</v>
      </c>
      <c r="J64" t="s">
        <v>3041</v>
      </c>
      <c r="K64">
        <f t="shared" si="2"/>
        <v>508750</v>
      </c>
      <c r="L64">
        <f t="shared" si="3"/>
        <v>0</v>
      </c>
    </row>
    <row r="65" spans="1:12" outlineLevel="1">
      <c r="A65" s="147">
        <v>45174</v>
      </c>
      <c r="B65" s="149"/>
      <c r="C65" s="148">
        <v>26</v>
      </c>
      <c r="D65" s="150">
        <f t="shared" si="6"/>
        <v>335233</v>
      </c>
      <c r="E65" s="333"/>
      <c r="F65" s="148"/>
      <c r="G65" s="281">
        <f t="shared" si="7"/>
        <v>421.98</v>
      </c>
      <c r="H65" s="152" t="s">
        <v>84</v>
      </c>
      <c r="I65" s="152"/>
      <c r="J65" t="s">
        <v>3044</v>
      </c>
      <c r="K65">
        <f t="shared" si="2"/>
        <v>508750</v>
      </c>
      <c r="L65">
        <f t="shared" si="3"/>
        <v>0</v>
      </c>
    </row>
    <row r="66" spans="1:12" outlineLevel="1">
      <c r="A66" s="195">
        <v>45181</v>
      </c>
      <c r="B66" s="197"/>
      <c r="C66" s="196">
        <v>110</v>
      </c>
      <c r="D66" s="198">
        <f t="shared" si="6"/>
        <v>335343</v>
      </c>
      <c r="E66" s="334"/>
      <c r="F66" s="196"/>
      <c r="G66" s="278">
        <f t="shared" si="7"/>
        <v>421.98</v>
      </c>
      <c r="H66" s="200" t="s">
        <v>2019</v>
      </c>
      <c r="I66" s="200" t="s">
        <v>101</v>
      </c>
      <c r="J66" t="s">
        <v>3044</v>
      </c>
      <c r="K66">
        <f t="shared" si="2"/>
        <v>508750</v>
      </c>
      <c r="L66">
        <f t="shared" si="3"/>
        <v>0</v>
      </c>
    </row>
    <row r="67" spans="1:12" outlineLevel="1">
      <c r="A67" s="139">
        <v>45202</v>
      </c>
      <c r="B67" s="124"/>
      <c r="C67" s="123">
        <v>21250</v>
      </c>
      <c r="D67" s="146">
        <f t="shared" si="6"/>
        <v>356593</v>
      </c>
      <c r="E67" s="331"/>
      <c r="F67" s="123"/>
      <c r="G67" s="279">
        <f t="shared" si="7"/>
        <v>421.98</v>
      </c>
      <c r="I67" s="65" t="s">
        <v>2746</v>
      </c>
      <c r="J67" t="s">
        <v>3041</v>
      </c>
      <c r="K67">
        <f t="shared" ref="K67:K130" si="8">IF(J67="本金",C67+K66,K66)</f>
        <v>530000</v>
      </c>
      <c r="L67">
        <f t="shared" ref="L67:L130" si="9">IF(J67="本金",F67+L66,L66)</f>
        <v>0</v>
      </c>
    </row>
    <row r="68" spans="1:12" outlineLevel="1">
      <c r="A68" s="139">
        <v>45203</v>
      </c>
      <c r="B68" s="124"/>
      <c r="C68" s="123">
        <v>2903</v>
      </c>
      <c r="D68" s="146">
        <f t="shared" si="6"/>
        <v>359496</v>
      </c>
      <c r="E68" s="331"/>
      <c r="F68" s="123"/>
      <c r="G68" s="279">
        <f t="shared" si="7"/>
        <v>421.98</v>
      </c>
      <c r="I68" s="65" t="s">
        <v>2748</v>
      </c>
      <c r="J68" t="s">
        <v>3041</v>
      </c>
      <c r="K68">
        <f t="shared" si="8"/>
        <v>532903</v>
      </c>
      <c r="L68">
        <f t="shared" si="9"/>
        <v>0</v>
      </c>
    </row>
    <row r="69" spans="1:12" outlineLevel="1">
      <c r="A69" s="139">
        <v>45205</v>
      </c>
      <c r="B69" s="124"/>
      <c r="C69" s="123">
        <v>25760</v>
      </c>
      <c r="D69" s="146">
        <f t="shared" si="6"/>
        <v>385256</v>
      </c>
      <c r="E69" s="331"/>
      <c r="F69" s="123"/>
      <c r="G69" s="279">
        <f t="shared" si="7"/>
        <v>421.98</v>
      </c>
      <c r="I69" s="65" t="s">
        <v>2747</v>
      </c>
      <c r="J69" t="s">
        <v>3041</v>
      </c>
      <c r="K69">
        <f t="shared" si="8"/>
        <v>558663</v>
      </c>
      <c r="L69">
        <f t="shared" si="9"/>
        <v>0</v>
      </c>
    </row>
    <row r="70" spans="1:12" outlineLevel="1">
      <c r="A70" s="195">
        <v>45211</v>
      </c>
      <c r="B70" s="197"/>
      <c r="C70" s="196">
        <v>595</v>
      </c>
      <c r="D70" s="198">
        <f t="shared" si="6"/>
        <v>385851</v>
      </c>
      <c r="E70" s="334"/>
      <c r="F70" s="196"/>
      <c r="G70" s="278">
        <f t="shared" si="7"/>
        <v>421.98</v>
      </c>
      <c r="H70" s="200" t="s">
        <v>2743</v>
      </c>
      <c r="I70" s="200" t="s">
        <v>101</v>
      </c>
      <c r="J70" t="s">
        <v>3044</v>
      </c>
      <c r="K70">
        <f t="shared" si="8"/>
        <v>558663</v>
      </c>
      <c r="L70">
        <f t="shared" si="9"/>
        <v>0</v>
      </c>
    </row>
    <row r="71" spans="1:12" outlineLevel="1">
      <c r="A71" s="195">
        <v>45217</v>
      </c>
      <c r="B71" s="197"/>
      <c r="C71" s="196">
        <v>110</v>
      </c>
      <c r="D71" s="198">
        <f t="shared" si="6"/>
        <v>385961</v>
      </c>
      <c r="E71" s="334"/>
      <c r="F71" s="196"/>
      <c r="G71" s="278">
        <f t="shared" si="7"/>
        <v>421.98</v>
      </c>
      <c r="H71" s="200" t="s">
        <v>2019</v>
      </c>
      <c r="I71" s="200" t="s">
        <v>101</v>
      </c>
      <c r="J71" t="s">
        <v>3044</v>
      </c>
      <c r="K71">
        <f t="shared" si="8"/>
        <v>558663</v>
      </c>
      <c r="L71">
        <f t="shared" si="9"/>
        <v>0</v>
      </c>
    </row>
    <row r="72" spans="1:12" outlineLevel="1">
      <c r="A72" s="195">
        <v>45247</v>
      </c>
      <c r="B72" s="197"/>
      <c r="C72" s="196">
        <v>110</v>
      </c>
      <c r="D72" s="198">
        <f t="shared" si="6"/>
        <v>386071</v>
      </c>
      <c r="E72" s="334"/>
      <c r="F72" s="196"/>
      <c r="G72" s="278">
        <f t="shared" si="7"/>
        <v>421.98</v>
      </c>
      <c r="H72" s="200" t="s">
        <v>2019</v>
      </c>
      <c r="I72" s="200" t="s">
        <v>101</v>
      </c>
      <c r="J72" t="s">
        <v>3044</v>
      </c>
      <c r="K72">
        <f t="shared" si="8"/>
        <v>558663</v>
      </c>
      <c r="L72">
        <f t="shared" si="9"/>
        <v>0</v>
      </c>
    </row>
    <row r="73" spans="1:12" outlineLevel="1">
      <c r="A73" s="195">
        <v>45272</v>
      </c>
      <c r="B73" s="197"/>
      <c r="C73" s="196">
        <v>2114</v>
      </c>
      <c r="D73" s="198">
        <f t="shared" si="6"/>
        <v>388185</v>
      </c>
      <c r="E73" s="334"/>
      <c r="F73" s="196"/>
      <c r="G73" s="278">
        <f t="shared" si="7"/>
        <v>421.98</v>
      </c>
      <c r="H73" s="200" t="s">
        <v>2744</v>
      </c>
      <c r="I73" s="200" t="s">
        <v>101</v>
      </c>
      <c r="J73" t="s">
        <v>3044</v>
      </c>
      <c r="K73">
        <f t="shared" si="8"/>
        <v>558663</v>
      </c>
      <c r="L73">
        <f t="shared" si="9"/>
        <v>0</v>
      </c>
    </row>
    <row r="74" spans="1:12" outlineLevel="1">
      <c r="A74" s="195">
        <v>45275</v>
      </c>
      <c r="B74" s="197"/>
      <c r="C74" s="196">
        <v>110</v>
      </c>
      <c r="D74" s="198">
        <f t="shared" si="6"/>
        <v>388295</v>
      </c>
      <c r="E74" s="334"/>
      <c r="F74" s="196"/>
      <c r="G74" s="278">
        <f t="shared" si="7"/>
        <v>421.98</v>
      </c>
      <c r="H74" s="200" t="s">
        <v>2019</v>
      </c>
      <c r="I74" s="200" t="s">
        <v>101</v>
      </c>
      <c r="J74" t="s">
        <v>3044</v>
      </c>
      <c r="K74">
        <f t="shared" si="8"/>
        <v>558663</v>
      </c>
      <c r="L74">
        <f t="shared" si="9"/>
        <v>0</v>
      </c>
    </row>
    <row r="75" spans="1:12" outlineLevel="1">
      <c r="A75" s="139">
        <v>45279</v>
      </c>
      <c r="B75" s="124"/>
      <c r="C75" s="123">
        <v>90468</v>
      </c>
      <c r="D75" s="146">
        <f t="shared" si="6"/>
        <v>478763</v>
      </c>
      <c r="E75" s="331"/>
      <c r="F75" s="123"/>
      <c r="G75" s="279">
        <f t="shared" si="7"/>
        <v>421.98</v>
      </c>
      <c r="I75" s="65" t="s">
        <v>2742</v>
      </c>
      <c r="J75" t="s">
        <v>3041</v>
      </c>
      <c r="K75">
        <f t="shared" si="8"/>
        <v>649131</v>
      </c>
      <c r="L75">
        <f t="shared" si="9"/>
        <v>0</v>
      </c>
    </row>
    <row r="76" spans="1:12" outlineLevel="1">
      <c r="A76" s="139">
        <v>45280</v>
      </c>
      <c r="B76" s="124">
        <v>32085</v>
      </c>
      <c r="C76" s="123"/>
      <c r="D76" s="146">
        <f t="shared" si="6"/>
        <v>446678</v>
      </c>
      <c r="E76" s="331"/>
      <c r="F76" s="123"/>
      <c r="G76" s="279">
        <f t="shared" si="7"/>
        <v>421.98</v>
      </c>
      <c r="I76" s="65"/>
      <c r="J76" t="s">
        <v>3044</v>
      </c>
      <c r="K76">
        <f t="shared" si="8"/>
        <v>649131</v>
      </c>
      <c r="L76">
        <f t="shared" si="9"/>
        <v>0</v>
      </c>
    </row>
    <row r="77" spans="1:12" outlineLevel="1">
      <c r="A77" s="139">
        <v>45281</v>
      </c>
      <c r="B77" s="124">
        <v>58383</v>
      </c>
      <c r="C77" s="123"/>
      <c r="D77" s="146">
        <f t="shared" si="6"/>
        <v>388295</v>
      </c>
      <c r="E77" s="331"/>
      <c r="F77" s="123"/>
      <c r="G77" s="279">
        <f t="shared" si="7"/>
        <v>421.98</v>
      </c>
      <c r="I77" s="65"/>
      <c r="J77" t="s">
        <v>3044</v>
      </c>
      <c r="K77">
        <f t="shared" si="8"/>
        <v>649131</v>
      </c>
      <c r="L77">
        <f t="shared" si="9"/>
        <v>0</v>
      </c>
    </row>
    <row r="78" spans="1:12" outlineLevel="1">
      <c r="A78" s="153">
        <v>45281</v>
      </c>
      <c r="B78" s="155"/>
      <c r="C78" s="154">
        <v>902</v>
      </c>
      <c r="D78" s="156">
        <f t="shared" si="6"/>
        <v>389197</v>
      </c>
      <c r="E78" s="332"/>
      <c r="F78" s="154"/>
      <c r="G78" s="280">
        <f t="shared" si="7"/>
        <v>421.98</v>
      </c>
      <c r="H78" s="158" t="s">
        <v>48</v>
      </c>
      <c r="I78" s="159"/>
      <c r="J78" t="s">
        <v>3044</v>
      </c>
      <c r="K78">
        <f t="shared" si="8"/>
        <v>649131</v>
      </c>
      <c r="L78">
        <f t="shared" si="9"/>
        <v>0</v>
      </c>
    </row>
    <row r="79" spans="1:12" outlineLevel="1">
      <c r="A79" s="282">
        <v>45281</v>
      </c>
      <c r="B79" s="283"/>
      <c r="C79" s="284"/>
      <c r="D79" s="285">
        <f t="shared" si="6"/>
        <v>389197</v>
      </c>
      <c r="E79" s="335"/>
      <c r="F79" s="284">
        <v>2.44</v>
      </c>
      <c r="G79" s="286">
        <f t="shared" si="7"/>
        <v>424.42</v>
      </c>
      <c r="H79" s="287" t="s">
        <v>48</v>
      </c>
      <c r="I79" s="288"/>
      <c r="J79" t="s">
        <v>3044</v>
      </c>
      <c r="K79">
        <f t="shared" si="8"/>
        <v>649131</v>
      </c>
      <c r="L79">
        <f t="shared" si="9"/>
        <v>0</v>
      </c>
    </row>
    <row r="80" spans="1:12" outlineLevel="1">
      <c r="A80" s="282">
        <v>45287</v>
      </c>
      <c r="B80" s="283"/>
      <c r="C80" s="284"/>
      <c r="D80" s="285">
        <f t="shared" si="6"/>
        <v>389197</v>
      </c>
      <c r="E80" s="335"/>
      <c r="F80" s="284">
        <v>1155</v>
      </c>
      <c r="G80" s="286">
        <f t="shared" si="7"/>
        <v>1579.42</v>
      </c>
      <c r="H80" s="287"/>
      <c r="I80" s="288" t="s">
        <v>2749</v>
      </c>
      <c r="J80" t="s">
        <v>3041</v>
      </c>
      <c r="K80">
        <f t="shared" si="8"/>
        <v>649131</v>
      </c>
      <c r="L80">
        <f t="shared" si="9"/>
        <v>1155</v>
      </c>
    </row>
    <row r="81" spans="1:12" outlineLevel="1">
      <c r="A81" s="139">
        <v>45291</v>
      </c>
      <c r="B81" s="124">
        <v>920</v>
      </c>
      <c r="C81" s="123"/>
      <c r="D81" s="146">
        <f t="shared" si="6"/>
        <v>388277</v>
      </c>
      <c r="E81" s="331"/>
      <c r="F81" s="123"/>
      <c r="G81" s="279">
        <f t="shared" si="7"/>
        <v>1579.42</v>
      </c>
      <c r="I81" s="65" t="s">
        <v>3001</v>
      </c>
      <c r="J81" t="s">
        <v>3044</v>
      </c>
      <c r="K81">
        <f t="shared" si="8"/>
        <v>649131</v>
      </c>
      <c r="L81">
        <f t="shared" si="9"/>
        <v>1155</v>
      </c>
    </row>
    <row r="82" spans="1:12">
      <c r="A82" s="147">
        <v>45296</v>
      </c>
      <c r="B82" s="149"/>
      <c r="C82" s="148">
        <v>51</v>
      </c>
      <c r="D82" s="150">
        <f t="shared" ref="D82:D86" si="10">D81+C82-B82</f>
        <v>388328</v>
      </c>
      <c r="E82" s="333"/>
      <c r="F82" s="148"/>
      <c r="G82" s="281">
        <f t="shared" ref="G82:G86" si="11">G81+F82-E82</f>
        <v>1579.42</v>
      </c>
      <c r="H82" s="152" t="s">
        <v>84</v>
      </c>
      <c r="I82" s="152"/>
      <c r="J82" t="s">
        <v>3044</v>
      </c>
      <c r="K82">
        <f t="shared" si="8"/>
        <v>649131</v>
      </c>
      <c r="L82">
        <f t="shared" si="9"/>
        <v>1155</v>
      </c>
    </row>
    <row r="83" spans="1:12" outlineLevel="1">
      <c r="A83" s="195">
        <v>45302</v>
      </c>
      <c r="B83" s="197"/>
      <c r="C83" s="196">
        <v>595</v>
      </c>
      <c r="D83" s="198">
        <f t="shared" si="10"/>
        <v>388923</v>
      </c>
      <c r="E83" s="334"/>
      <c r="F83" s="196"/>
      <c r="G83" s="278">
        <f t="shared" si="11"/>
        <v>1579.42</v>
      </c>
      <c r="H83" s="200" t="s">
        <v>2743</v>
      </c>
      <c r="I83" s="200" t="s">
        <v>101</v>
      </c>
      <c r="J83" t="s">
        <v>3044</v>
      </c>
      <c r="K83">
        <f t="shared" si="8"/>
        <v>649131</v>
      </c>
      <c r="L83">
        <f t="shared" si="9"/>
        <v>1155</v>
      </c>
    </row>
    <row r="84" spans="1:12" outlineLevel="1">
      <c r="A84" s="195">
        <v>45306</v>
      </c>
      <c r="B84" s="197"/>
      <c r="C84" s="196">
        <v>110</v>
      </c>
      <c r="D84" s="198">
        <f t="shared" si="10"/>
        <v>389033</v>
      </c>
      <c r="E84" s="334"/>
      <c r="F84" s="196"/>
      <c r="G84" s="278">
        <f t="shared" si="11"/>
        <v>1579.42</v>
      </c>
      <c r="H84" s="200" t="s">
        <v>2519</v>
      </c>
      <c r="I84" s="200" t="s">
        <v>101</v>
      </c>
      <c r="J84" t="s">
        <v>3044</v>
      </c>
      <c r="K84">
        <f t="shared" si="8"/>
        <v>649131</v>
      </c>
      <c r="L84">
        <f t="shared" si="9"/>
        <v>1155</v>
      </c>
    </row>
    <row r="85" spans="1:12" outlineLevel="1">
      <c r="A85" s="139">
        <v>45310</v>
      </c>
      <c r="B85" s="124"/>
      <c r="C85" s="123">
        <v>888</v>
      </c>
      <c r="D85" s="146">
        <f t="shared" si="10"/>
        <v>389921</v>
      </c>
      <c r="E85" s="331"/>
      <c r="F85" s="123"/>
      <c r="G85" s="279">
        <f t="shared" si="11"/>
        <v>1579.42</v>
      </c>
      <c r="I85" s="65" t="s">
        <v>2767</v>
      </c>
      <c r="J85" t="s">
        <v>3041</v>
      </c>
      <c r="K85">
        <f t="shared" si="8"/>
        <v>650019</v>
      </c>
      <c r="L85">
        <f t="shared" si="9"/>
        <v>1155</v>
      </c>
    </row>
    <row r="86" spans="1:12" outlineLevel="1">
      <c r="A86" s="139">
        <v>45343</v>
      </c>
      <c r="B86" s="124">
        <v>19087</v>
      </c>
      <c r="C86" s="123"/>
      <c r="D86" s="146">
        <f t="shared" si="10"/>
        <v>370834</v>
      </c>
      <c r="E86" s="331"/>
      <c r="F86" s="123"/>
      <c r="G86" s="279">
        <f t="shared" si="11"/>
        <v>1579.42</v>
      </c>
      <c r="H86" t="s">
        <v>2519</v>
      </c>
      <c r="I86" s="65" t="s">
        <v>2762</v>
      </c>
      <c r="J86" t="s">
        <v>3044</v>
      </c>
      <c r="K86">
        <f t="shared" si="8"/>
        <v>650019</v>
      </c>
      <c r="L86">
        <f t="shared" si="9"/>
        <v>1155</v>
      </c>
    </row>
    <row r="87" spans="1:12" outlineLevel="1">
      <c r="A87" s="195">
        <v>45345</v>
      </c>
      <c r="B87" s="197"/>
      <c r="C87" s="196">
        <v>130</v>
      </c>
      <c r="D87" s="198">
        <f t="shared" ref="D87:D88" si="12">D86+C87-B87</f>
        <v>370964</v>
      </c>
      <c r="E87" s="334"/>
      <c r="F87" s="196"/>
      <c r="G87" s="278">
        <f t="shared" ref="G87:G88" si="13">G86+F87-E87</f>
        <v>1579.42</v>
      </c>
      <c r="H87" s="200" t="s">
        <v>2519</v>
      </c>
      <c r="I87" s="200" t="s">
        <v>101</v>
      </c>
      <c r="J87" t="s">
        <v>3044</v>
      </c>
      <c r="K87">
        <f t="shared" si="8"/>
        <v>650019</v>
      </c>
      <c r="L87">
        <f t="shared" si="9"/>
        <v>1155</v>
      </c>
    </row>
    <row r="88" spans="1:12" outlineLevel="1">
      <c r="A88" s="139">
        <v>45349</v>
      </c>
      <c r="B88" s="124"/>
      <c r="C88" s="123">
        <v>11200</v>
      </c>
      <c r="D88" s="146">
        <f t="shared" si="12"/>
        <v>382164</v>
      </c>
      <c r="E88" s="331"/>
      <c r="F88" s="123"/>
      <c r="G88" s="279">
        <f t="shared" si="13"/>
        <v>1579.42</v>
      </c>
      <c r="I88" s="65" t="s">
        <v>2738</v>
      </c>
      <c r="J88" t="s">
        <v>3041</v>
      </c>
      <c r="K88">
        <f t="shared" si="8"/>
        <v>661219</v>
      </c>
      <c r="L88">
        <f t="shared" si="9"/>
        <v>1155</v>
      </c>
    </row>
    <row r="89" spans="1:12" outlineLevel="1">
      <c r="A89" s="147">
        <v>45356</v>
      </c>
      <c r="B89" s="149"/>
      <c r="C89" s="148">
        <v>10</v>
      </c>
      <c r="D89" s="150">
        <f t="shared" ref="D89:D137" si="14">D88+C89-B89</f>
        <v>382174</v>
      </c>
      <c r="E89" s="333"/>
      <c r="F89" s="148"/>
      <c r="G89" s="281">
        <f t="shared" ref="G89:G137" si="15">G88+F89-E89</f>
        <v>1579.42</v>
      </c>
      <c r="H89" s="152" t="s">
        <v>84</v>
      </c>
      <c r="I89" s="152"/>
      <c r="J89" t="s">
        <v>3044</v>
      </c>
      <c r="K89">
        <f t="shared" si="8"/>
        <v>661219</v>
      </c>
      <c r="L89">
        <f t="shared" si="9"/>
        <v>1155</v>
      </c>
    </row>
    <row r="90" spans="1:12" outlineLevel="1">
      <c r="A90" s="139">
        <v>45365</v>
      </c>
      <c r="B90" s="124"/>
      <c r="C90" s="123">
        <v>888</v>
      </c>
      <c r="D90" s="146">
        <f t="shared" si="14"/>
        <v>383062</v>
      </c>
      <c r="E90" s="331"/>
      <c r="F90" s="123"/>
      <c r="G90" s="279">
        <f t="shared" si="15"/>
        <v>1579.42</v>
      </c>
      <c r="I90" s="65" t="s">
        <v>2768</v>
      </c>
      <c r="J90" t="s">
        <v>3041</v>
      </c>
      <c r="K90">
        <f t="shared" si="8"/>
        <v>662107</v>
      </c>
      <c r="L90">
        <f t="shared" si="9"/>
        <v>1155</v>
      </c>
    </row>
    <row r="91" spans="1:12" outlineLevel="1">
      <c r="A91" s="195">
        <v>45377</v>
      </c>
      <c r="B91" s="197"/>
      <c r="C91" s="196">
        <v>260</v>
      </c>
      <c r="D91" s="198">
        <f t="shared" si="14"/>
        <v>383322</v>
      </c>
      <c r="E91" s="334"/>
      <c r="F91" s="196"/>
      <c r="G91" s="278">
        <f t="shared" si="15"/>
        <v>1579.42</v>
      </c>
      <c r="H91" s="200" t="s">
        <v>2519</v>
      </c>
      <c r="I91" s="200" t="s">
        <v>101</v>
      </c>
      <c r="J91" t="s">
        <v>3044</v>
      </c>
      <c r="K91">
        <f t="shared" si="8"/>
        <v>662107</v>
      </c>
      <c r="L91">
        <f t="shared" si="9"/>
        <v>1155</v>
      </c>
    </row>
    <row r="92" spans="1:12" outlineLevel="1">
      <c r="A92" s="195">
        <v>45393</v>
      </c>
      <c r="B92" s="197"/>
      <c r="C92" s="196">
        <v>1044</v>
      </c>
      <c r="D92" s="198">
        <f t="shared" si="14"/>
        <v>384366</v>
      </c>
      <c r="E92" s="334"/>
      <c r="F92" s="196"/>
      <c r="G92" s="278">
        <f t="shared" si="15"/>
        <v>1579.42</v>
      </c>
      <c r="H92" s="200" t="s">
        <v>2743</v>
      </c>
      <c r="I92" s="200" t="s">
        <v>101</v>
      </c>
      <c r="J92" t="s">
        <v>3044</v>
      </c>
      <c r="K92">
        <f t="shared" si="8"/>
        <v>662107</v>
      </c>
      <c r="L92">
        <f t="shared" si="9"/>
        <v>1155</v>
      </c>
    </row>
    <row r="93" spans="1:12" outlineLevel="1">
      <c r="A93" s="139">
        <v>45397</v>
      </c>
      <c r="B93" s="124"/>
      <c r="C93" s="123">
        <v>162279</v>
      </c>
      <c r="D93" s="146">
        <f t="shared" si="14"/>
        <v>546645</v>
      </c>
      <c r="E93" s="331"/>
      <c r="F93" s="123"/>
      <c r="G93" s="279">
        <f t="shared" si="15"/>
        <v>1579.42</v>
      </c>
      <c r="H93" t="s">
        <v>2743</v>
      </c>
      <c r="I93" s="65" t="s">
        <v>2763</v>
      </c>
      <c r="J93" t="s">
        <v>3044</v>
      </c>
      <c r="K93">
        <f t="shared" si="8"/>
        <v>662107</v>
      </c>
      <c r="L93">
        <f t="shared" si="9"/>
        <v>1155</v>
      </c>
    </row>
    <row r="94" spans="1:12" outlineLevel="1">
      <c r="A94" s="195">
        <v>45398</v>
      </c>
      <c r="B94" s="197"/>
      <c r="C94" s="196">
        <v>260</v>
      </c>
      <c r="D94" s="198">
        <f t="shared" si="14"/>
        <v>546905</v>
      </c>
      <c r="E94" s="334"/>
      <c r="F94" s="196"/>
      <c r="G94" s="278">
        <f t="shared" si="15"/>
        <v>1579.42</v>
      </c>
      <c r="H94" s="200" t="s">
        <v>2519</v>
      </c>
      <c r="I94" s="200" t="s">
        <v>101</v>
      </c>
      <c r="J94" t="s">
        <v>3044</v>
      </c>
      <c r="K94">
        <f t="shared" si="8"/>
        <v>662107</v>
      </c>
      <c r="L94">
        <f t="shared" si="9"/>
        <v>1155</v>
      </c>
    </row>
    <row r="95" spans="1:12" outlineLevel="1">
      <c r="A95" s="147">
        <v>45417</v>
      </c>
      <c r="B95" s="149"/>
      <c r="C95" s="148">
        <v>92</v>
      </c>
      <c r="D95" s="150">
        <f t="shared" si="14"/>
        <v>546997</v>
      </c>
      <c r="E95" s="333"/>
      <c r="F95" s="148"/>
      <c r="G95" s="281">
        <f t="shared" si="15"/>
        <v>1579.42</v>
      </c>
      <c r="H95" s="152" t="s">
        <v>84</v>
      </c>
      <c r="I95" s="152"/>
      <c r="J95" t="s">
        <v>3044</v>
      </c>
      <c r="K95">
        <f t="shared" si="8"/>
        <v>662107</v>
      </c>
      <c r="L95">
        <f t="shared" si="9"/>
        <v>1155</v>
      </c>
    </row>
    <row r="96" spans="1:12" outlineLevel="1">
      <c r="A96" s="195">
        <v>45432</v>
      </c>
      <c r="B96" s="197"/>
      <c r="C96" s="196">
        <v>400</v>
      </c>
      <c r="D96" s="198">
        <f t="shared" si="14"/>
        <v>547397</v>
      </c>
      <c r="E96" s="334"/>
      <c r="F96" s="196"/>
      <c r="G96" s="278">
        <f t="shared" si="15"/>
        <v>1579.42</v>
      </c>
      <c r="H96" s="200" t="s">
        <v>2519</v>
      </c>
      <c r="I96" s="200" t="s">
        <v>101</v>
      </c>
      <c r="J96" t="s">
        <v>3044</v>
      </c>
      <c r="K96">
        <f t="shared" si="8"/>
        <v>662107</v>
      </c>
      <c r="L96">
        <f t="shared" si="9"/>
        <v>1155</v>
      </c>
    </row>
    <row r="97" spans="1:12" outlineLevel="1">
      <c r="A97" s="139">
        <v>45439</v>
      </c>
      <c r="B97" s="124"/>
      <c r="C97" s="123"/>
      <c r="D97" s="146">
        <f t="shared" si="14"/>
        <v>547397</v>
      </c>
      <c r="E97" s="331">
        <v>1041.1300000000001</v>
      </c>
      <c r="F97" s="123"/>
      <c r="G97" s="279">
        <f t="shared" si="15"/>
        <v>538.29</v>
      </c>
      <c r="H97" t="s">
        <v>2560</v>
      </c>
      <c r="I97" s="65" t="s">
        <v>2762</v>
      </c>
      <c r="J97" t="s">
        <v>3044</v>
      </c>
      <c r="K97">
        <f t="shared" si="8"/>
        <v>662107</v>
      </c>
      <c r="L97">
        <f t="shared" si="9"/>
        <v>1155</v>
      </c>
    </row>
    <row r="98" spans="1:12" outlineLevel="1">
      <c r="A98" s="139">
        <v>45441</v>
      </c>
      <c r="B98" s="124">
        <v>145584</v>
      </c>
      <c r="C98" s="123"/>
      <c r="D98" s="146">
        <f t="shared" si="14"/>
        <v>401813</v>
      </c>
      <c r="E98" s="331"/>
      <c r="F98" s="123">
        <v>4500</v>
      </c>
      <c r="G98" s="279">
        <f t="shared" si="15"/>
        <v>5038.29</v>
      </c>
      <c r="I98" s="65" t="s">
        <v>2769</v>
      </c>
      <c r="J98" t="s">
        <v>3041</v>
      </c>
      <c r="K98">
        <f t="shared" si="8"/>
        <v>662107</v>
      </c>
      <c r="L98">
        <f t="shared" si="9"/>
        <v>5655</v>
      </c>
    </row>
    <row r="99" spans="1:12" outlineLevel="1">
      <c r="A99" s="139">
        <v>45439</v>
      </c>
      <c r="B99" s="124"/>
      <c r="C99" s="123"/>
      <c r="D99" s="146">
        <f t="shared" si="14"/>
        <v>401813</v>
      </c>
      <c r="E99" s="331">
        <v>4583.43</v>
      </c>
      <c r="F99" s="123"/>
      <c r="G99" s="279">
        <f t="shared" si="15"/>
        <v>454.85999999999967</v>
      </c>
      <c r="H99" t="s">
        <v>2560</v>
      </c>
      <c r="I99" s="65" t="s">
        <v>2762</v>
      </c>
      <c r="J99" t="s">
        <v>3044</v>
      </c>
      <c r="K99">
        <f t="shared" si="8"/>
        <v>662107</v>
      </c>
      <c r="L99">
        <f t="shared" si="9"/>
        <v>5655</v>
      </c>
    </row>
    <row r="100" spans="1:12" outlineLevel="1">
      <c r="A100" s="195">
        <v>45460</v>
      </c>
      <c r="B100" s="197"/>
      <c r="C100" s="196">
        <v>400</v>
      </c>
      <c r="D100" s="198">
        <f t="shared" si="14"/>
        <v>402213</v>
      </c>
      <c r="E100" s="334"/>
      <c r="F100" s="196"/>
      <c r="G100" s="278">
        <f t="shared" si="15"/>
        <v>454.85999999999967</v>
      </c>
      <c r="H100" s="200" t="s">
        <v>2519</v>
      </c>
      <c r="I100" s="200" t="s">
        <v>101</v>
      </c>
      <c r="J100" t="s">
        <v>3044</v>
      </c>
      <c r="K100">
        <f t="shared" si="8"/>
        <v>662107</v>
      </c>
      <c r="L100">
        <f t="shared" si="9"/>
        <v>5655</v>
      </c>
    </row>
    <row r="101" spans="1:12" outlineLevel="1">
      <c r="A101" s="153">
        <v>45464</v>
      </c>
      <c r="B101" s="155"/>
      <c r="C101" s="154">
        <v>1291</v>
      </c>
      <c r="D101" s="156">
        <f t="shared" si="14"/>
        <v>403504</v>
      </c>
      <c r="E101" s="332"/>
      <c r="F101" s="154"/>
      <c r="G101" s="280">
        <f t="shared" si="15"/>
        <v>454.85999999999967</v>
      </c>
      <c r="H101" s="158" t="s">
        <v>48</v>
      </c>
      <c r="I101" s="159"/>
      <c r="J101" t="s">
        <v>3044</v>
      </c>
      <c r="K101">
        <f t="shared" si="8"/>
        <v>662107</v>
      </c>
      <c r="L101">
        <f t="shared" si="9"/>
        <v>5655</v>
      </c>
    </row>
    <row r="102" spans="1:12" outlineLevel="1">
      <c r="A102" s="282">
        <v>45464</v>
      </c>
      <c r="B102" s="283"/>
      <c r="C102" s="284"/>
      <c r="D102" s="285">
        <f t="shared" si="14"/>
        <v>403504</v>
      </c>
      <c r="E102" s="335"/>
      <c r="F102" s="284">
        <v>8.26</v>
      </c>
      <c r="G102" s="286">
        <f t="shared" si="15"/>
        <v>463.11999999999966</v>
      </c>
      <c r="H102" s="287" t="s">
        <v>48</v>
      </c>
      <c r="I102" s="288"/>
      <c r="J102" t="s">
        <v>3044</v>
      </c>
      <c r="K102">
        <f t="shared" si="8"/>
        <v>662107</v>
      </c>
      <c r="L102">
        <f t="shared" si="9"/>
        <v>5655</v>
      </c>
    </row>
    <row r="103" spans="1:12" outlineLevel="1">
      <c r="A103" s="195">
        <v>45477</v>
      </c>
      <c r="B103" s="197"/>
      <c r="C103" s="196"/>
      <c r="D103" s="198">
        <f t="shared" si="14"/>
        <v>403504</v>
      </c>
      <c r="E103" s="334"/>
      <c r="F103" s="196">
        <v>0.35</v>
      </c>
      <c r="G103" s="278">
        <f t="shared" si="15"/>
        <v>463.46999999999969</v>
      </c>
      <c r="H103" s="200" t="s">
        <v>2560</v>
      </c>
      <c r="I103" s="200" t="s">
        <v>101</v>
      </c>
      <c r="J103" t="s">
        <v>3044</v>
      </c>
      <c r="K103">
        <f t="shared" si="8"/>
        <v>662107</v>
      </c>
      <c r="L103">
        <f t="shared" si="9"/>
        <v>5655</v>
      </c>
    </row>
    <row r="104" spans="1:12" outlineLevel="1">
      <c r="A104" s="139">
        <v>45481</v>
      </c>
      <c r="B104" s="124"/>
      <c r="C104" s="123">
        <v>888</v>
      </c>
      <c r="D104" s="146">
        <f t="shared" si="14"/>
        <v>404392</v>
      </c>
      <c r="E104" s="331"/>
      <c r="F104" s="123"/>
      <c r="G104" s="279">
        <f t="shared" si="15"/>
        <v>463.46999999999969</v>
      </c>
      <c r="I104" s="65" t="s">
        <v>2770</v>
      </c>
      <c r="J104" t="s">
        <v>3041</v>
      </c>
      <c r="K104">
        <f t="shared" si="8"/>
        <v>662995</v>
      </c>
      <c r="L104">
        <f t="shared" si="9"/>
        <v>5655</v>
      </c>
    </row>
    <row r="105" spans="1:12" outlineLevel="1">
      <c r="A105" s="195">
        <v>45484</v>
      </c>
      <c r="B105" s="197"/>
      <c r="C105" s="196">
        <v>344</v>
      </c>
      <c r="D105" s="198">
        <f t="shared" si="14"/>
        <v>404736</v>
      </c>
      <c r="E105" s="334"/>
      <c r="F105" s="196"/>
      <c r="G105" s="278">
        <f t="shared" si="15"/>
        <v>463.46999999999969</v>
      </c>
      <c r="H105" s="200" t="s">
        <v>2743</v>
      </c>
      <c r="I105" s="200" t="s">
        <v>101</v>
      </c>
      <c r="J105" t="s">
        <v>3044</v>
      </c>
      <c r="K105">
        <f t="shared" si="8"/>
        <v>662995</v>
      </c>
      <c r="L105">
        <f t="shared" si="9"/>
        <v>5655</v>
      </c>
    </row>
    <row r="106" spans="1:12" outlineLevel="1">
      <c r="A106" s="195">
        <v>45489</v>
      </c>
      <c r="B106" s="197"/>
      <c r="C106" s="196">
        <v>400</v>
      </c>
      <c r="D106" s="198">
        <f t="shared" si="14"/>
        <v>405136</v>
      </c>
      <c r="E106" s="334"/>
      <c r="F106" s="196"/>
      <c r="G106" s="278">
        <f t="shared" si="15"/>
        <v>463.46999999999969</v>
      </c>
      <c r="H106" s="200" t="s">
        <v>2519</v>
      </c>
      <c r="I106" s="200" t="s">
        <v>101</v>
      </c>
      <c r="J106" t="s">
        <v>3044</v>
      </c>
      <c r="K106">
        <f t="shared" si="8"/>
        <v>662995</v>
      </c>
      <c r="L106">
        <f t="shared" si="9"/>
        <v>5655</v>
      </c>
    </row>
    <row r="107" spans="1:12" outlineLevel="1">
      <c r="A107" s="195">
        <v>45513</v>
      </c>
      <c r="B107" s="197"/>
      <c r="C107" s="196">
        <v>1235</v>
      </c>
      <c r="D107" s="198">
        <f t="shared" si="14"/>
        <v>406371</v>
      </c>
      <c r="E107" s="334"/>
      <c r="F107" s="196"/>
      <c r="G107" s="278">
        <f t="shared" si="15"/>
        <v>463.46999999999969</v>
      </c>
      <c r="H107" s="200" t="s">
        <v>2744</v>
      </c>
      <c r="I107" s="200" t="s">
        <v>101</v>
      </c>
      <c r="J107" t="s">
        <v>3044</v>
      </c>
      <c r="K107">
        <f t="shared" si="8"/>
        <v>662995</v>
      </c>
      <c r="L107">
        <f t="shared" si="9"/>
        <v>5655</v>
      </c>
    </row>
    <row r="108" spans="1:12" outlineLevel="1">
      <c r="A108" s="195">
        <v>45516</v>
      </c>
      <c r="B108" s="197"/>
      <c r="C108" s="196">
        <v>360</v>
      </c>
      <c r="D108" s="198">
        <f t="shared" si="14"/>
        <v>406731</v>
      </c>
      <c r="E108" s="334"/>
      <c r="F108" s="196"/>
      <c r="G108" s="278">
        <f t="shared" si="15"/>
        <v>463.46999999999969</v>
      </c>
      <c r="H108" s="200" t="s">
        <v>2019</v>
      </c>
      <c r="I108" s="200" t="s">
        <v>101</v>
      </c>
      <c r="J108" t="s">
        <v>3044</v>
      </c>
      <c r="K108">
        <f t="shared" si="8"/>
        <v>662995</v>
      </c>
      <c r="L108">
        <f t="shared" si="9"/>
        <v>5655</v>
      </c>
    </row>
    <row r="109" spans="1:12" outlineLevel="1">
      <c r="A109" s="195">
        <v>45548</v>
      </c>
      <c r="B109" s="197"/>
      <c r="C109" s="196">
        <v>360</v>
      </c>
      <c r="D109" s="198">
        <f t="shared" si="14"/>
        <v>407091</v>
      </c>
      <c r="E109" s="334"/>
      <c r="F109" s="196"/>
      <c r="G109" s="278">
        <f t="shared" si="15"/>
        <v>463.46999999999969</v>
      </c>
      <c r="H109" s="200" t="s">
        <v>2019</v>
      </c>
      <c r="I109" s="200" t="s">
        <v>101</v>
      </c>
      <c r="J109" t="s">
        <v>3044</v>
      </c>
      <c r="K109">
        <f t="shared" si="8"/>
        <v>662995</v>
      </c>
      <c r="L109">
        <f t="shared" si="9"/>
        <v>5655</v>
      </c>
    </row>
    <row r="110" spans="1:12" outlineLevel="1">
      <c r="A110" s="195">
        <v>45569</v>
      </c>
      <c r="B110" s="197"/>
      <c r="C110" s="196"/>
      <c r="D110" s="198">
        <f t="shared" si="14"/>
        <v>407091</v>
      </c>
      <c r="E110" s="334"/>
      <c r="F110" s="196">
        <v>0.35</v>
      </c>
      <c r="G110" s="278">
        <f t="shared" si="15"/>
        <v>463.81999999999971</v>
      </c>
      <c r="H110" s="200" t="s">
        <v>2560</v>
      </c>
      <c r="I110" s="200" t="s">
        <v>101</v>
      </c>
      <c r="J110" t="s">
        <v>3044</v>
      </c>
      <c r="K110">
        <f t="shared" si="8"/>
        <v>662995</v>
      </c>
      <c r="L110">
        <f t="shared" si="9"/>
        <v>5655</v>
      </c>
    </row>
    <row r="111" spans="1:12" outlineLevel="1">
      <c r="A111" s="195">
        <v>45574</v>
      </c>
      <c r="B111" s="197"/>
      <c r="C111" s="196">
        <v>395</v>
      </c>
      <c r="D111" s="198">
        <f t="shared" si="14"/>
        <v>407486</v>
      </c>
      <c r="E111" s="334"/>
      <c r="F111" s="196"/>
      <c r="G111" s="278">
        <f t="shared" si="15"/>
        <v>463.81999999999971</v>
      </c>
      <c r="H111" s="200" t="s">
        <v>2743</v>
      </c>
      <c r="I111" s="200" t="s">
        <v>101</v>
      </c>
      <c r="J111" t="s">
        <v>3044</v>
      </c>
      <c r="K111">
        <f t="shared" si="8"/>
        <v>662995</v>
      </c>
      <c r="L111">
        <f t="shared" si="9"/>
        <v>5655</v>
      </c>
    </row>
    <row r="112" spans="1:12" outlineLevel="1">
      <c r="A112" s="195">
        <v>45581</v>
      </c>
      <c r="B112" s="197"/>
      <c r="C112" s="196">
        <v>320</v>
      </c>
      <c r="D112" s="198">
        <f t="shared" si="14"/>
        <v>407806</v>
      </c>
      <c r="E112" s="334"/>
      <c r="F112" s="196"/>
      <c r="G112" s="278">
        <f t="shared" si="15"/>
        <v>463.81999999999971</v>
      </c>
      <c r="H112" s="200" t="s">
        <v>2019</v>
      </c>
      <c r="I112" s="200" t="s">
        <v>101</v>
      </c>
      <c r="J112" t="s">
        <v>3044</v>
      </c>
      <c r="K112">
        <f t="shared" si="8"/>
        <v>662995</v>
      </c>
      <c r="L112">
        <f t="shared" si="9"/>
        <v>5655</v>
      </c>
    </row>
    <row r="113" spans="1:12" outlineLevel="1">
      <c r="A113" s="139">
        <v>45603</v>
      </c>
      <c r="B113" s="124"/>
      <c r="C113" s="123">
        <v>104536</v>
      </c>
      <c r="D113" s="146">
        <f t="shared" si="14"/>
        <v>512342</v>
      </c>
      <c r="E113" s="331"/>
      <c r="F113" s="123"/>
      <c r="G113" s="279">
        <f t="shared" si="15"/>
        <v>463.81999999999971</v>
      </c>
      <c r="H113" t="s">
        <v>2743</v>
      </c>
      <c r="I113" s="65" t="s">
        <v>2763</v>
      </c>
      <c r="J113" t="s">
        <v>3044</v>
      </c>
      <c r="K113">
        <f t="shared" si="8"/>
        <v>662995</v>
      </c>
      <c r="L113">
        <f t="shared" si="9"/>
        <v>5655</v>
      </c>
    </row>
    <row r="114" spans="1:12" outlineLevel="1">
      <c r="A114" s="139">
        <v>45606</v>
      </c>
      <c r="B114" s="124"/>
      <c r="C114" s="123">
        <v>5000</v>
      </c>
      <c r="D114" s="146">
        <f t="shared" si="14"/>
        <v>517342</v>
      </c>
      <c r="E114" s="331"/>
      <c r="F114" s="123"/>
      <c r="G114" s="279">
        <f t="shared" si="15"/>
        <v>463.81999999999971</v>
      </c>
      <c r="H114" t="s">
        <v>2743</v>
      </c>
      <c r="I114" s="65" t="s">
        <v>2771</v>
      </c>
      <c r="J114" t="s">
        <v>3041</v>
      </c>
      <c r="K114">
        <f t="shared" si="8"/>
        <v>667995</v>
      </c>
      <c r="L114">
        <f t="shared" si="9"/>
        <v>5655</v>
      </c>
    </row>
    <row r="115" spans="1:12" outlineLevel="1">
      <c r="A115" s="195">
        <v>45611</v>
      </c>
      <c r="B115" s="197"/>
      <c r="C115" s="196">
        <v>280</v>
      </c>
      <c r="D115" s="198">
        <f t="shared" si="14"/>
        <v>517622</v>
      </c>
      <c r="E115" s="334"/>
      <c r="F115" s="196"/>
      <c r="G115" s="278">
        <f t="shared" si="15"/>
        <v>463.81999999999971</v>
      </c>
      <c r="H115" s="200" t="s">
        <v>2019</v>
      </c>
      <c r="I115" s="200" t="s">
        <v>101</v>
      </c>
      <c r="J115" t="s">
        <v>3044</v>
      </c>
      <c r="K115">
        <f t="shared" si="8"/>
        <v>667995</v>
      </c>
      <c r="L115">
        <f t="shared" si="9"/>
        <v>5655</v>
      </c>
    </row>
    <row r="116" spans="1:12" outlineLevel="1">
      <c r="A116" s="139">
        <v>45606</v>
      </c>
      <c r="B116" s="124">
        <v>4980</v>
      </c>
      <c r="C116" s="123"/>
      <c r="D116" s="146">
        <f t="shared" si="14"/>
        <v>512642</v>
      </c>
      <c r="E116" s="331"/>
      <c r="F116" s="123"/>
      <c r="G116" s="279">
        <f t="shared" si="15"/>
        <v>463.81999999999971</v>
      </c>
      <c r="H116" t="s">
        <v>2773</v>
      </c>
      <c r="I116" s="65" t="s">
        <v>2772</v>
      </c>
      <c r="J116" t="s">
        <v>3044</v>
      </c>
      <c r="K116">
        <f t="shared" si="8"/>
        <v>667995</v>
      </c>
      <c r="L116">
        <f t="shared" si="9"/>
        <v>5655</v>
      </c>
    </row>
    <row r="117" spans="1:12" outlineLevel="1">
      <c r="A117" s="139">
        <v>45622</v>
      </c>
      <c r="B117" s="124">
        <v>5929</v>
      </c>
      <c r="C117" s="123"/>
      <c r="D117" s="146">
        <f t="shared" si="14"/>
        <v>506713</v>
      </c>
      <c r="E117" s="331"/>
      <c r="F117" s="123"/>
      <c r="G117" s="279">
        <f t="shared" si="15"/>
        <v>463.81999999999971</v>
      </c>
      <c r="H117" t="s">
        <v>2774</v>
      </c>
      <c r="I117" s="65" t="s">
        <v>2772</v>
      </c>
      <c r="J117" t="s">
        <v>3044</v>
      </c>
      <c r="K117">
        <f t="shared" si="8"/>
        <v>667995</v>
      </c>
      <c r="L117">
        <f t="shared" si="9"/>
        <v>5655</v>
      </c>
    </row>
    <row r="118" spans="1:12" outlineLevel="1">
      <c r="A118" s="139">
        <v>45626</v>
      </c>
      <c r="B118" s="124"/>
      <c r="C118" s="123">
        <v>2000</v>
      </c>
      <c r="D118" s="146">
        <f t="shared" si="14"/>
        <v>508713</v>
      </c>
      <c r="E118" s="331"/>
      <c r="F118" s="123"/>
      <c r="G118" s="279">
        <f t="shared" si="15"/>
        <v>463.81999999999971</v>
      </c>
      <c r="I118" s="65" t="s">
        <v>2775</v>
      </c>
      <c r="J118" t="s">
        <v>3041</v>
      </c>
      <c r="K118">
        <f t="shared" si="8"/>
        <v>669995</v>
      </c>
      <c r="L118">
        <f t="shared" si="9"/>
        <v>5655</v>
      </c>
    </row>
    <row r="119" spans="1:12" outlineLevel="1">
      <c r="A119" s="147">
        <v>45631</v>
      </c>
      <c r="B119" s="149"/>
      <c r="C119" s="148">
        <v>59</v>
      </c>
      <c r="D119" s="150">
        <f t="shared" si="14"/>
        <v>508772</v>
      </c>
      <c r="E119" s="333"/>
      <c r="F119" s="148"/>
      <c r="G119" s="281">
        <f t="shared" si="15"/>
        <v>463.81999999999971</v>
      </c>
      <c r="H119" s="152" t="s">
        <v>84</v>
      </c>
      <c r="I119" s="152"/>
      <c r="J119" t="s">
        <v>3044</v>
      </c>
      <c r="K119">
        <f t="shared" si="8"/>
        <v>669995</v>
      </c>
      <c r="L119">
        <f t="shared" si="9"/>
        <v>5655</v>
      </c>
    </row>
    <row r="120" spans="1:12" outlineLevel="1">
      <c r="A120" s="139">
        <v>45636</v>
      </c>
      <c r="B120" s="124"/>
      <c r="C120" s="123">
        <v>5000</v>
      </c>
      <c r="D120" s="146">
        <f t="shared" si="14"/>
        <v>513772</v>
      </c>
      <c r="E120" s="331"/>
      <c r="F120" s="123"/>
      <c r="G120" s="279">
        <f t="shared" si="15"/>
        <v>463.81999999999971</v>
      </c>
      <c r="H120" t="s">
        <v>2743</v>
      </c>
      <c r="I120" s="65" t="s">
        <v>2771</v>
      </c>
      <c r="J120" t="s">
        <v>3041</v>
      </c>
      <c r="K120">
        <f t="shared" si="8"/>
        <v>674995</v>
      </c>
      <c r="L120">
        <f t="shared" si="9"/>
        <v>5655</v>
      </c>
    </row>
    <row r="121" spans="1:12" outlineLevel="1">
      <c r="A121" s="195">
        <v>45638</v>
      </c>
      <c r="B121" s="197"/>
      <c r="C121" s="196">
        <v>1790</v>
      </c>
      <c r="D121" s="198">
        <f t="shared" si="14"/>
        <v>515562</v>
      </c>
      <c r="E121" s="334"/>
      <c r="F121" s="196"/>
      <c r="G121" s="278">
        <f t="shared" si="15"/>
        <v>463.81999999999971</v>
      </c>
      <c r="H121" s="200" t="s">
        <v>2744</v>
      </c>
      <c r="I121" s="200" t="s">
        <v>101</v>
      </c>
      <c r="J121" t="s">
        <v>3044</v>
      </c>
      <c r="K121">
        <f t="shared" si="8"/>
        <v>674995</v>
      </c>
      <c r="L121">
        <f t="shared" si="9"/>
        <v>5655</v>
      </c>
    </row>
    <row r="122" spans="1:12" outlineLevel="1">
      <c r="A122" s="195">
        <v>45639</v>
      </c>
      <c r="B122" s="197"/>
      <c r="C122" s="196">
        <v>220</v>
      </c>
      <c r="D122" s="198">
        <f t="shared" si="14"/>
        <v>515782</v>
      </c>
      <c r="E122" s="334"/>
      <c r="F122" s="196"/>
      <c r="G122" s="278">
        <f t="shared" si="15"/>
        <v>463.81999999999971</v>
      </c>
      <c r="H122" s="200" t="s">
        <v>2019</v>
      </c>
      <c r="I122" s="200" t="s">
        <v>101</v>
      </c>
      <c r="J122" t="s">
        <v>3044</v>
      </c>
      <c r="K122">
        <f t="shared" si="8"/>
        <v>674995</v>
      </c>
      <c r="L122">
        <f t="shared" si="9"/>
        <v>5655</v>
      </c>
    </row>
    <row r="123" spans="1:12" outlineLevel="1">
      <c r="A123" s="139">
        <v>45642</v>
      </c>
      <c r="B123" s="124">
        <v>4985</v>
      </c>
      <c r="C123" s="123"/>
      <c r="D123" s="146">
        <f t="shared" si="14"/>
        <v>510797</v>
      </c>
      <c r="E123" s="331"/>
      <c r="F123" s="123"/>
      <c r="G123" s="279">
        <f t="shared" si="15"/>
        <v>463.81999999999971</v>
      </c>
      <c r="H123" t="s">
        <v>2773</v>
      </c>
      <c r="I123" s="65" t="s">
        <v>2772</v>
      </c>
      <c r="J123" t="s">
        <v>3044</v>
      </c>
      <c r="K123">
        <f t="shared" si="8"/>
        <v>674995</v>
      </c>
      <c r="L123">
        <f t="shared" si="9"/>
        <v>5655</v>
      </c>
    </row>
    <row r="124" spans="1:12" outlineLevel="1">
      <c r="A124" s="139">
        <v>45646</v>
      </c>
      <c r="B124" s="124"/>
      <c r="C124" s="123">
        <v>80363</v>
      </c>
      <c r="D124" s="146">
        <f t="shared" si="14"/>
        <v>591160</v>
      </c>
      <c r="E124" s="331"/>
      <c r="F124" s="123"/>
      <c r="G124" s="279">
        <f t="shared" si="15"/>
        <v>463.81999999999971</v>
      </c>
      <c r="H124" t="s">
        <v>2996</v>
      </c>
      <c r="I124" s="65" t="s">
        <v>2742</v>
      </c>
      <c r="J124" t="s">
        <v>3041</v>
      </c>
      <c r="K124">
        <f t="shared" si="8"/>
        <v>755358</v>
      </c>
      <c r="L124">
        <f t="shared" si="9"/>
        <v>5655</v>
      </c>
    </row>
    <row r="125" spans="1:12" outlineLevel="1">
      <c r="A125" s="153">
        <v>45647</v>
      </c>
      <c r="B125" s="155"/>
      <c r="C125" s="154">
        <v>1297</v>
      </c>
      <c r="D125" s="156">
        <f t="shared" si="14"/>
        <v>592457</v>
      </c>
      <c r="E125" s="332"/>
      <c r="F125" s="154"/>
      <c r="G125" s="280">
        <f t="shared" si="15"/>
        <v>463.81999999999971</v>
      </c>
      <c r="H125" s="158" t="s">
        <v>48</v>
      </c>
      <c r="I125" s="159"/>
      <c r="J125" t="s">
        <v>3044</v>
      </c>
      <c r="K125">
        <f t="shared" si="8"/>
        <v>755358</v>
      </c>
      <c r="L125">
        <f t="shared" si="9"/>
        <v>5655</v>
      </c>
    </row>
    <row r="126" spans="1:12" outlineLevel="1">
      <c r="A126" s="282">
        <v>45647</v>
      </c>
      <c r="B126" s="283"/>
      <c r="C126" s="284"/>
      <c r="D126" s="285">
        <f t="shared" si="14"/>
        <v>592457</v>
      </c>
      <c r="E126" s="335"/>
      <c r="F126" s="284">
        <v>2.4700000000000002</v>
      </c>
      <c r="G126" s="286">
        <f t="shared" si="15"/>
        <v>466.28999999999974</v>
      </c>
      <c r="H126" s="287" t="s">
        <v>48</v>
      </c>
      <c r="I126" s="288"/>
      <c r="J126" t="s">
        <v>3044</v>
      </c>
      <c r="K126">
        <f t="shared" si="8"/>
        <v>755358</v>
      </c>
      <c r="L126">
        <f t="shared" si="9"/>
        <v>5655</v>
      </c>
    </row>
    <row r="127" spans="1:12" outlineLevel="1">
      <c r="A127" s="139">
        <v>45649</v>
      </c>
      <c r="B127" s="124">
        <v>35770</v>
      </c>
      <c r="C127" s="123"/>
      <c r="D127" s="146">
        <f t="shared" si="14"/>
        <v>556687</v>
      </c>
      <c r="E127" s="331"/>
      <c r="F127" s="123"/>
      <c r="G127" s="279">
        <f t="shared" si="15"/>
        <v>466.28999999999974</v>
      </c>
      <c r="H127" t="s">
        <v>2519</v>
      </c>
      <c r="I127" s="65"/>
      <c r="J127" t="s">
        <v>3044</v>
      </c>
      <c r="K127">
        <f t="shared" si="8"/>
        <v>755358</v>
      </c>
      <c r="L127">
        <f t="shared" si="9"/>
        <v>5655</v>
      </c>
    </row>
    <row r="128" spans="1:12" outlineLevel="1">
      <c r="A128" s="139">
        <v>45649</v>
      </c>
      <c r="B128" s="124">
        <v>44593</v>
      </c>
      <c r="C128" s="123"/>
      <c r="D128" s="146">
        <f t="shared" si="14"/>
        <v>512094</v>
      </c>
      <c r="E128" s="331"/>
      <c r="F128" s="123"/>
      <c r="G128" s="279">
        <f t="shared" si="15"/>
        <v>466.28999999999974</v>
      </c>
      <c r="H128" t="s">
        <v>2996</v>
      </c>
      <c r="I128" s="65"/>
      <c r="J128" t="s">
        <v>3044</v>
      </c>
      <c r="K128">
        <f t="shared" si="8"/>
        <v>755358</v>
      </c>
      <c r="L128">
        <f t="shared" si="9"/>
        <v>5655</v>
      </c>
    </row>
    <row r="129" spans="1:12" outlineLevel="1">
      <c r="A129" s="282">
        <v>45653</v>
      </c>
      <c r="B129" s="283"/>
      <c r="C129" s="284"/>
      <c r="D129" s="285">
        <f t="shared" si="14"/>
        <v>512094</v>
      </c>
      <c r="E129" s="335"/>
      <c r="F129" s="284">
        <v>1155</v>
      </c>
      <c r="G129" s="286">
        <f t="shared" si="15"/>
        <v>1621.2899999999997</v>
      </c>
      <c r="H129" s="287"/>
      <c r="I129" s="288" t="s">
        <v>2749</v>
      </c>
      <c r="J129" t="s">
        <v>3041</v>
      </c>
      <c r="K129">
        <f t="shared" si="8"/>
        <v>755358</v>
      </c>
      <c r="L129">
        <f t="shared" si="9"/>
        <v>6810</v>
      </c>
    </row>
    <row r="130" spans="1:12" outlineLevel="1">
      <c r="A130" s="139">
        <v>45652</v>
      </c>
      <c r="B130" s="124">
        <v>1966</v>
      </c>
      <c r="C130" s="123"/>
      <c r="D130" s="146">
        <f t="shared" si="14"/>
        <v>510128</v>
      </c>
      <c r="E130" s="331"/>
      <c r="F130" s="123"/>
      <c r="G130" s="279">
        <f t="shared" si="15"/>
        <v>1621.2899999999997</v>
      </c>
      <c r="H130" t="s">
        <v>1685</v>
      </c>
      <c r="I130" s="65" t="s">
        <v>2772</v>
      </c>
      <c r="J130" t="s">
        <v>3044</v>
      </c>
      <c r="K130">
        <f t="shared" si="8"/>
        <v>755358</v>
      </c>
      <c r="L130">
        <f t="shared" si="9"/>
        <v>6810</v>
      </c>
    </row>
    <row r="131" spans="1:12" outlineLevel="1">
      <c r="A131" s="139">
        <v>45652</v>
      </c>
      <c r="B131" s="124">
        <v>1996</v>
      </c>
      <c r="C131" s="123"/>
      <c r="D131" s="146">
        <f t="shared" si="14"/>
        <v>508132</v>
      </c>
      <c r="E131" s="331"/>
      <c r="F131" s="123"/>
      <c r="G131" s="279">
        <f t="shared" si="15"/>
        <v>1621.2899999999997</v>
      </c>
      <c r="H131" t="s">
        <v>1801</v>
      </c>
      <c r="I131" s="65" t="s">
        <v>2772</v>
      </c>
      <c r="J131" t="s">
        <v>3044</v>
      </c>
      <c r="K131">
        <f t="shared" ref="K131:K194" si="16">IF(J131="本金",C131+K130,K130)</f>
        <v>755358</v>
      </c>
      <c r="L131">
        <f t="shared" ref="L131:L194" si="17">IF(J131="本金",F131+L130,L130)</f>
        <v>6810</v>
      </c>
    </row>
    <row r="132" spans="1:12" outlineLevel="1">
      <c r="A132" s="139">
        <v>45652</v>
      </c>
      <c r="B132" s="124">
        <v>1993</v>
      </c>
      <c r="C132" s="123"/>
      <c r="D132" s="146">
        <f t="shared" si="14"/>
        <v>506139</v>
      </c>
      <c r="E132" s="331"/>
      <c r="F132" s="123"/>
      <c r="G132" s="279">
        <f t="shared" si="15"/>
        <v>1621.2899999999997</v>
      </c>
      <c r="H132" t="s">
        <v>2991</v>
      </c>
      <c r="I132" s="65" t="s">
        <v>2772</v>
      </c>
      <c r="J132" t="s">
        <v>3044</v>
      </c>
      <c r="K132">
        <f t="shared" si="16"/>
        <v>755358</v>
      </c>
      <c r="L132">
        <f t="shared" si="17"/>
        <v>6810</v>
      </c>
    </row>
    <row r="133" spans="1:12" outlineLevel="1">
      <c r="A133" s="139">
        <v>45656</v>
      </c>
      <c r="B133" s="124"/>
      <c r="C133" s="123">
        <v>888</v>
      </c>
      <c r="D133" s="146">
        <f t="shared" si="14"/>
        <v>507027</v>
      </c>
      <c r="E133" s="331"/>
      <c r="F133" s="123"/>
      <c r="G133" s="279">
        <f t="shared" si="15"/>
        <v>1621.2899999999997</v>
      </c>
      <c r="I133" s="65" t="s">
        <v>2776</v>
      </c>
      <c r="J133" t="s">
        <v>3041</v>
      </c>
      <c r="K133">
        <f t="shared" si="16"/>
        <v>756246</v>
      </c>
      <c r="L133">
        <f t="shared" si="17"/>
        <v>6810</v>
      </c>
    </row>
    <row r="134" spans="1:12" outlineLevel="1">
      <c r="A134" s="195">
        <v>45657</v>
      </c>
      <c r="B134" s="197"/>
      <c r="C134" s="196"/>
      <c r="D134" s="198">
        <f t="shared" si="14"/>
        <v>507027</v>
      </c>
      <c r="E134" s="334"/>
      <c r="F134" s="196">
        <v>0.35</v>
      </c>
      <c r="G134" s="278">
        <f t="shared" si="15"/>
        <v>1621.6399999999996</v>
      </c>
      <c r="H134" s="200" t="s">
        <v>2560</v>
      </c>
      <c r="I134" s="200" t="s">
        <v>101</v>
      </c>
      <c r="J134" t="s">
        <v>3044</v>
      </c>
      <c r="K134">
        <f t="shared" si="16"/>
        <v>756246</v>
      </c>
      <c r="L134">
        <f t="shared" si="17"/>
        <v>6810</v>
      </c>
    </row>
    <row r="135" spans="1:12" outlineLevel="1">
      <c r="A135" s="139">
        <v>45657</v>
      </c>
      <c r="B135" s="124"/>
      <c r="C135" s="123">
        <v>888</v>
      </c>
      <c r="D135" s="146">
        <f t="shared" si="14"/>
        <v>507915</v>
      </c>
      <c r="E135" s="331"/>
      <c r="F135" s="123"/>
      <c r="G135" s="279">
        <f t="shared" si="15"/>
        <v>1621.6399999999996</v>
      </c>
      <c r="I135" s="65" t="s">
        <v>2777</v>
      </c>
      <c r="J135" t="s">
        <v>3041</v>
      </c>
      <c r="K135">
        <f t="shared" si="16"/>
        <v>757134</v>
      </c>
      <c r="L135">
        <f t="shared" si="17"/>
        <v>6810</v>
      </c>
    </row>
    <row r="136" spans="1:12" outlineLevel="1">
      <c r="A136" s="139">
        <v>45657</v>
      </c>
      <c r="B136" s="124">
        <v>1440</v>
      </c>
      <c r="C136" s="123"/>
      <c r="D136" s="146">
        <f t="shared" si="14"/>
        <v>506475</v>
      </c>
      <c r="E136" s="331"/>
      <c r="F136" s="123"/>
      <c r="G136" s="279">
        <f t="shared" si="15"/>
        <v>1621.6399999999996</v>
      </c>
      <c r="I136" s="65" t="s">
        <v>2987</v>
      </c>
      <c r="J136" t="s">
        <v>3044</v>
      </c>
      <c r="K136">
        <f t="shared" si="16"/>
        <v>757134</v>
      </c>
      <c r="L136">
        <f t="shared" si="17"/>
        <v>6810</v>
      </c>
    </row>
    <row r="137" spans="1:12">
      <c r="A137" s="147">
        <v>45660</v>
      </c>
      <c r="B137" s="149"/>
      <c r="C137" s="148">
        <v>45</v>
      </c>
      <c r="D137" s="150">
        <f t="shared" si="14"/>
        <v>506520</v>
      </c>
      <c r="E137" s="333"/>
      <c r="F137" s="148"/>
      <c r="G137" s="281">
        <f t="shared" si="15"/>
        <v>1621.6399999999996</v>
      </c>
      <c r="H137" s="152" t="s">
        <v>84</v>
      </c>
      <c r="I137" s="152"/>
      <c r="J137" t="s">
        <v>3044</v>
      </c>
      <c r="K137">
        <f t="shared" si="16"/>
        <v>757134</v>
      </c>
      <c r="L137">
        <f t="shared" si="17"/>
        <v>6810</v>
      </c>
    </row>
    <row r="138" spans="1:12" outlineLevel="1">
      <c r="A138" s="139">
        <v>45666</v>
      </c>
      <c r="B138" s="124"/>
      <c r="C138" s="123">
        <v>73103</v>
      </c>
      <c r="D138" s="146">
        <f t="shared" ref="D138:D179" si="18">D137+C138-B138</f>
        <v>579623</v>
      </c>
      <c r="E138" s="331"/>
      <c r="F138" s="123"/>
      <c r="G138" s="279">
        <f t="shared" ref="G138:G179" si="19">G137+F138-E138</f>
        <v>1621.6399999999996</v>
      </c>
      <c r="H138" t="s">
        <v>2519</v>
      </c>
      <c r="I138" s="65" t="s">
        <v>2763</v>
      </c>
      <c r="J138" t="s">
        <v>3044</v>
      </c>
      <c r="K138">
        <f t="shared" si="16"/>
        <v>757134</v>
      </c>
      <c r="L138">
        <f t="shared" si="17"/>
        <v>6810</v>
      </c>
    </row>
    <row r="139" spans="1:12" outlineLevel="1">
      <c r="A139" s="139">
        <v>45667</v>
      </c>
      <c r="B139" s="124"/>
      <c r="C139" s="123">
        <v>5000</v>
      </c>
      <c r="D139" s="146">
        <f t="shared" si="18"/>
        <v>584623</v>
      </c>
      <c r="E139" s="331"/>
      <c r="F139" s="123"/>
      <c r="G139" s="279">
        <f t="shared" si="19"/>
        <v>1621.6399999999996</v>
      </c>
      <c r="I139" s="65" t="s">
        <v>2771</v>
      </c>
      <c r="J139" t="s">
        <v>3041</v>
      </c>
      <c r="K139">
        <f t="shared" si="16"/>
        <v>762134</v>
      </c>
      <c r="L139">
        <f t="shared" si="17"/>
        <v>6810</v>
      </c>
    </row>
    <row r="140" spans="1:12" outlineLevel="1">
      <c r="A140" s="195">
        <v>45670</v>
      </c>
      <c r="B140" s="197"/>
      <c r="C140" s="196">
        <v>38</v>
      </c>
      <c r="D140" s="198">
        <f t="shared" si="18"/>
        <v>584661</v>
      </c>
      <c r="E140" s="334"/>
      <c r="F140" s="196"/>
      <c r="G140" s="278">
        <f t="shared" si="19"/>
        <v>1621.6399999999996</v>
      </c>
      <c r="H140" s="200" t="s">
        <v>1801</v>
      </c>
      <c r="I140" s="200" t="s">
        <v>101</v>
      </c>
      <c r="J140" t="s">
        <v>3044</v>
      </c>
      <c r="K140">
        <f t="shared" si="16"/>
        <v>762134</v>
      </c>
      <c r="L140">
        <f t="shared" si="17"/>
        <v>6810</v>
      </c>
    </row>
    <row r="141" spans="1:12" outlineLevel="1">
      <c r="A141" s="195">
        <v>45671</v>
      </c>
      <c r="B141" s="197"/>
      <c r="C141" s="196">
        <v>100</v>
      </c>
      <c r="D141" s="198">
        <f t="shared" si="18"/>
        <v>584761</v>
      </c>
      <c r="E141" s="334"/>
      <c r="F141" s="196"/>
      <c r="G141" s="278">
        <f t="shared" si="19"/>
        <v>1621.6399999999996</v>
      </c>
      <c r="H141" s="200" t="s">
        <v>2019</v>
      </c>
      <c r="I141" s="200" t="s">
        <v>101</v>
      </c>
      <c r="J141" t="s">
        <v>3044</v>
      </c>
      <c r="K141">
        <f t="shared" si="16"/>
        <v>762134</v>
      </c>
      <c r="L141">
        <f t="shared" si="17"/>
        <v>6810</v>
      </c>
    </row>
    <row r="142" spans="1:12" outlineLevel="1">
      <c r="A142" s="139">
        <v>45673</v>
      </c>
      <c r="B142" s="124">
        <v>4962</v>
      </c>
      <c r="C142" s="123"/>
      <c r="D142" s="146">
        <f t="shared" si="18"/>
        <v>579799</v>
      </c>
      <c r="E142" s="331"/>
      <c r="F142" s="123"/>
      <c r="G142" s="279">
        <f t="shared" si="19"/>
        <v>1621.6399999999996</v>
      </c>
      <c r="H142" t="s">
        <v>1682</v>
      </c>
      <c r="I142" s="65" t="s">
        <v>2772</v>
      </c>
      <c r="J142" t="s">
        <v>3044</v>
      </c>
      <c r="K142">
        <f t="shared" si="16"/>
        <v>762134</v>
      </c>
      <c r="L142">
        <f t="shared" si="17"/>
        <v>6810</v>
      </c>
    </row>
    <row r="143" spans="1:12" outlineLevel="1">
      <c r="A143" s="139">
        <v>45673</v>
      </c>
      <c r="B143" s="124">
        <v>4992</v>
      </c>
      <c r="C143" s="123"/>
      <c r="D143" s="146">
        <f t="shared" si="18"/>
        <v>574807</v>
      </c>
      <c r="E143" s="331"/>
      <c r="F143" s="123"/>
      <c r="G143" s="279">
        <f t="shared" si="19"/>
        <v>1621.6399999999996</v>
      </c>
      <c r="H143" t="s">
        <v>1954</v>
      </c>
      <c r="I143" s="65" t="s">
        <v>2772</v>
      </c>
      <c r="J143" t="s">
        <v>3044</v>
      </c>
      <c r="K143">
        <f t="shared" si="16"/>
        <v>762134</v>
      </c>
      <c r="L143">
        <f t="shared" si="17"/>
        <v>6810</v>
      </c>
    </row>
    <row r="144" spans="1:12" outlineLevel="1">
      <c r="A144" s="139">
        <v>45690</v>
      </c>
      <c r="B144" s="124"/>
      <c r="C144" s="123">
        <v>600</v>
      </c>
      <c r="D144" s="146">
        <f t="shared" si="18"/>
        <v>575407</v>
      </c>
      <c r="E144" s="331"/>
      <c r="F144" s="123"/>
      <c r="G144" s="279">
        <f t="shared" si="19"/>
        <v>1621.6399999999996</v>
      </c>
      <c r="I144" s="65" t="s">
        <v>2778</v>
      </c>
      <c r="J144" t="s">
        <v>3041</v>
      </c>
      <c r="K144">
        <f t="shared" si="16"/>
        <v>762734</v>
      </c>
      <c r="L144">
        <f t="shared" si="17"/>
        <v>6810</v>
      </c>
    </row>
    <row r="145" spans="1:12" outlineLevel="1">
      <c r="A145" s="139">
        <v>45690</v>
      </c>
      <c r="B145" s="124"/>
      <c r="C145" s="123">
        <v>7800</v>
      </c>
      <c r="D145" s="146">
        <f t="shared" si="18"/>
        <v>583207</v>
      </c>
      <c r="E145" s="331"/>
      <c r="F145" s="123"/>
      <c r="G145" s="279">
        <f t="shared" si="19"/>
        <v>1621.6399999999996</v>
      </c>
      <c r="I145" s="65" t="s">
        <v>2738</v>
      </c>
      <c r="J145" t="s">
        <v>3041</v>
      </c>
      <c r="K145">
        <f t="shared" si="16"/>
        <v>770534</v>
      </c>
      <c r="L145">
        <f t="shared" si="17"/>
        <v>6810</v>
      </c>
    </row>
    <row r="146" spans="1:12" outlineLevel="1">
      <c r="A146" s="139">
        <v>45691</v>
      </c>
      <c r="B146" s="124">
        <v>4975</v>
      </c>
      <c r="C146" s="123"/>
      <c r="D146" s="146">
        <f t="shared" si="18"/>
        <v>578232</v>
      </c>
      <c r="E146" s="331"/>
      <c r="F146" s="123"/>
      <c r="G146" s="279">
        <f t="shared" si="19"/>
        <v>1621.6399999999996</v>
      </c>
      <c r="H146" t="s">
        <v>1801</v>
      </c>
      <c r="I146" s="65" t="s">
        <v>2772</v>
      </c>
      <c r="J146" t="s">
        <v>3044</v>
      </c>
      <c r="K146">
        <f t="shared" si="16"/>
        <v>770534</v>
      </c>
      <c r="L146">
        <f t="shared" si="17"/>
        <v>6810</v>
      </c>
    </row>
    <row r="147" spans="1:12" outlineLevel="1">
      <c r="A147" s="147">
        <v>45693</v>
      </c>
      <c r="B147" s="149"/>
      <c r="C147" s="148">
        <v>41</v>
      </c>
      <c r="D147" s="150">
        <f t="shared" si="18"/>
        <v>578273</v>
      </c>
      <c r="E147" s="333"/>
      <c r="F147" s="148"/>
      <c r="G147" s="281">
        <f t="shared" si="19"/>
        <v>1621.6399999999996</v>
      </c>
      <c r="H147" s="152" t="s">
        <v>84</v>
      </c>
      <c r="I147" s="152"/>
      <c r="J147" t="s">
        <v>3044</v>
      </c>
      <c r="K147">
        <f t="shared" si="16"/>
        <v>770534</v>
      </c>
      <c r="L147">
        <f t="shared" si="17"/>
        <v>6810</v>
      </c>
    </row>
    <row r="148" spans="1:12" outlineLevel="1">
      <c r="A148" s="139">
        <v>45698</v>
      </c>
      <c r="B148" s="124"/>
      <c r="C148" s="123">
        <v>5000</v>
      </c>
      <c r="D148" s="146">
        <f t="shared" si="18"/>
        <v>583273</v>
      </c>
      <c r="E148" s="331"/>
      <c r="F148" s="123"/>
      <c r="G148" s="279">
        <f t="shared" si="19"/>
        <v>1621.6399999999996</v>
      </c>
      <c r="I148" s="65" t="s">
        <v>2771</v>
      </c>
      <c r="J148" t="s">
        <v>3041</v>
      </c>
      <c r="K148">
        <f t="shared" si="16"/>
        <v>775534</v>
      </c>
      <c r="L148">
        <f t="shared" si="17"/>
        <v>6810</v>
      </c>
    </row>
    <row r="149" spans="1:12" outlineLevel="1">
      <c r="A149" s="139">
        <v>45705</v>
      </c>
      <c r="B149" s="124">
        <v>4909</v>
      </c>
      <c r="C149" s="123"/>
      <c r="D149" s="146">
        <f t="shared" si="18"/>
        <v>578364</v>
      </c>
      <c r="E149" s="331"/>
      <c r="F149" s="123"/>
      <c r="G149" s="279">
        <f t="shared" si="19"/>
        <v>1621.6399999999996</v>
      </c>
      <c r="H149" t="s">
        <v>2989</v>
      </c>
      <c r="I149" s="65" t="s">
        <v>2772</v>
      </c>
      <c r="J149" t="s">
        <v>3044</v>
      </c>
      <c r="K149">
        <f t="shared" si="16"/>
        <v>775534</v>
      </c>
      <c r="L149">
        <f t="shared" si="17"/>
        <v>6810</v>
      </c>
    </row>
    <row r="150" spans="1:12" outlineLevel="1">
      <c r="A150" s="139">
        <v>45705</v>
      </c>
      <c r="B150" s="124">
        <v>4974</v>
      </c>
      <c r="C150" s="123"/>
      <c r="D150" s="146">
        <f t="shared" si="18"/>
        <v>573390</v>
      </c>
      <c r="E150" s="331"/>
      <c r="F150" s="123"/>
      <c r="G150" s="279">
        <f t="shared" si="19"/>
        <v>1621.6399999999996</v>
      </c>
      <c r="H150" t="s">
        <v>1954</v>
      </c>
      <c r="I150" s="65" t="s">
        <v>2772</v>
      </c>
      <c r="J150" t="s">
        <v>3044</v>
      </c>
      <c r="K150">
        <f t="shared" si="16"/>
        <v>775534</v>
      </c>
      <c r="L150">
        <f t="shared" si="17"/>
        <v>6810</v>
      </c>
    </row>
    <row r="151" spans="1:12" outlineLevel="1">
      <c r="A151" s="195">
        <v>45708</v>
      </c>
      <c r="B151" s="197"/>
      <c r="C151" s="196">
        <v>104</v>
      </c>
      <c r="D151" s="198">
        <f t="shared" si="18"/>
        <v>573494</v>
      </c>
      <c r="E151" s="334"/>
      <c r="F151" s="196"/>
      <c r="G151" s="278">
        <f t="shared" si="19"/>
        <v>1621.6399999999996</v>
      </c>
      <c r="H151" s="200" t="s">
        <v>2988</v>
      </c>
      <c r="I151" s="200" t="s">
        <v>101</v>
      </c>
      <c r="J151" t="s">
        <v>3044</v>
      </c>
      <c r="K151">
        <f t="shared" si="16"/>
        <v>775534</v>
      </c>
      <c r="L151">
        <f t="shared" si="17"/>
        <v>6810</v>
      </c>
    </row>
    <row r="152" spans="1:12" outlineLevel="1">
      <c r="A152" s="195">
        <v>45708</v>
      </c>
      <c r="B152" s="197"/>
      <c r="C152" s="196">
        <v>57</v>
      </c>
      <c r="D152" s="198">
        <f t="shared" si="18"/>
        <v>573551</v>
      </c>
      <c r="E152" s="334"/>
      <c r="F152" s="196"/>
      <c r="G152" s="278">
        <f t="shared" si="19"/>
        <v>1621.6399999999996</v>
      </c>
      <c r="H152" s="200" t="s">
        <v>2989</v>
      </c>
      <c r="I152" s="200" t="s">
        <v>101</v>
      </c>
      <c r="J152" t="s">
        <v>3044</v>
      </c>
      <c r="K152">
        <f t="shared" si="16"/>
        <v>775534</v>
      </c>
      <c r="L152">
        <f t="shared" si="17"/>
        <v>6810</v>
      </c>
    </row>
    <row r="153" spans="1:12" outlineLevel="1">
      <c r="A153" s="139">
        <v>45714</v>
      </c>
      <c r="B153" s="124">
        <v>4956</v>
      </c>
      <c r="C153" s="123"/>
      <c r="D153" s="146">
        <f t="shared" si="18"/>
        <v>568595</v>
      </c>
      <c r="E153" s="331"/>
      <c r="F153" s="123"/>
      <c r="G153" s="279">
        <f t="shared" si="19"/>
        <v>1621.6399999999996</v>
      </c>
      <c r="H153" t="s">
        <v>1801</v>
      </c>
      <c r="I153" s="65" t="s">
        <v>2772</v>
      </c>
      <c r="J153" t="s">
        <v>3044</v>
      </c>
      <c r="K153">
        <f t="shared" si="16"/>
        <v>775534</v>
      </c>
      <c r="L153">
        <f t="shared" si="17"/>
        <v>6810</v>
      </c>
    </row>
    <row r="154" spans="1:12" outlineLevel="1">
      <c r="A154" s="139">
        <v>45725</v>
      </c>
      <c r="B154" s="124"/>
      <c r="C154" s="123">
        <v>2020</v>
      </c>
      <c r="D154" s="146">
        <f t="shared" si="18"/>
        <v>570615</v>
      </c>
      <c r="E154" s="331"/>
      <c r="F154" s="123"/>
      <c r="G154" s="279">
        <f t="shared" si="19"/>
        <v>1621.6399999999996</v>
      </c>
      <c r="I154" s="65" t="s">
        <v>2738</v>
      </c>
      <c r="J154" t="s">
        <v>3041</v>
      </c>
      <c r="K154">
        <f t="shared" si="16"/>
        <v>777554</v>
      </c>
      <c r="L154">
        <f t="shared" si="17"/>
        <v>6810</v>
      </c>
    </row>
    <row r="155" spans="1:12" outlineLevel="1">
      <c r="A155" s="139">
        <v>45726</v>
      </c>
      <c r="B155" s="124"/>
      <c r="C155" s="123">
        <v>5000</v>
      </c>
      <c r="D155" s="146">
        <f t="shared" si="18"/>
        <v>575615</v>
      </c>
      <c r="E155" s="331"/>
      <c r="F155" s="123"/>
      <c r="G155" s="279">
        <f t="shared" si="19"/>
        <v>1621.6399999999996</v>
      </c>
      <c r="I155" s="65" t="s">
        <v>2771</v>
      </c>
      <c r="J155" t="s">
        <v>3041</v>
      </c>
      <c r="K155">
        <f t="shared" si="16"/>
        <v>782554</v>
      </c>
      <c r="L155">
        <f t="shared" si="17"/>
        <v>6810</v>
      </c>
    </row>
    <row r="156" spans="1:12" outlineLevel="1">
      <c r="A156" s="139">
        <v>45733</v>
      </c>
      <c r="B156" s="124">
        <v>4932</v>
      </c>
      <c r="C156" s="123"/>
      <c r="D156" s="146">
        <f t="shared" si="18"/>
        <v>570683</v>
      </c>
      <c r="E156" s="331"/>
      <c r="F156" s="123"/>
      <c r="G156" s="279">
        <f t="shared" si="19"/>
        <v>1621.6399999999996</v>
      </c>
      <c r="H156" t="s">
        <v>2989</v>
      </c>
      <c r="I156" s="65" t="s">
        <v>2772</v>
      </c>
      <c r="J156" t="s">
        <v>3044</v>
      </c>
      <c r="K156">
        <f t="shared" si="16"/>
        <v>782554</v>
      </c>
      <c r="L156">
        <f t="shared" si="17"/>
        <v>6810</v>
      </c>
    </row>
    <row r="157" spans="1:12" outlineLevel="1">
      <c r="A157" s="139">
        <v>45733</v>
      </c>
      <c r="B157" s="124">
        <v>4981</v>
      </c>
      <c r="C157" s="123"/>
      <c r="D157" s="146">
        <f t="shared" si="18"/>
        <v>565702</v>
      </c>
      <c r="E157" s="331"/>
      <c r="F157" s="123"/>
      <c r="G157" s="279">
        <f t="shared" si="19"/>
        <v>1621.6399999999996</v>
      </c>
      <c r="H157" t="s">
        <v>1954</v>
      </c>
      <c r="I157" s="65" t="s">
        <v>2772</v>
      </c>
      <c r="J157" t="s">
        <v>3044</v>
      </c>
      <c r="K157">
        <f t="shared" si="16"/>
        <v>782554</v>
      </c>
      <c r="L157">
        <f t="shared" si="17"/>
        <v>6810</v>
      </c>
    </row>
    <row r="158" spans="1:12" outlineLevel="1">
      <c r="A158" s="195">
        <v>45734</v>
      </c>
      <c r="B158" s="197"/>
      <c r="C158" s="196">
        <v>80</v>
      </c>
      <c r="D158" s="198">
        <f t="shared" si="18"/>
        <v>565782</v>
      </c>
      <c r="E158" s="334"/>
      <c r="F158" s="196"/>
      <c r="G158" s="278">
        <f t="shared" si="19"/>
        <v>1621.6399999999996</v>
      </c>
      <c r="H158" s="200" t="s">
        <v>2991</v>
      </c>
      <c r="I158" s="200" t="s">
        <v>101</v>
      </c>
      <c r="J158" t="s">
        <v>3044</v>
      </c>
      <c r="K158">
        <f t="shared" si="16"/>
        <v>782554</v>
      </c>
      <c r="L158">
        <f t="shared" si="17"/>
        <v>6810</v>
      </c>
    </row>
    <row r="159" spans="1:12" outlineLevel="1">
      <c r="A159" s="139">
        <v>45742</v>
      </c>
      <c r="B159" s="124">
        <v>4998</v>
      </c>
      <c r="C159" s="123"/>
      <c r="D159" s="146">
        <f t="shared" si="18"/>
        <v>560784</v>
      </c>
      <c r="E159" s="331"/>
      <c r="F159" s="123"/>
      <c r="G159" s="279">
        <f t="shared" si="19"/>
        <v>1621.6399999999996</v>
      </c>
      <c r="H159" t="s">
        <v>1801</v>
      </c>
      <c r="I159" s="65" t="s">
        <v>2772</v>
      </c>
      <c r="J159" t="s">
        <v>3044</v>
      </c>
      <c r="K159">
        <f t="shared" si="16"/>
        <v>782554</v>
      </c>
      <c r="L159">
        <f t="shared" si="17"/>
        <v>6810</v>
      </c>
    </row>
    <row r="160" spans="1:12" outlineLevel="1">
      <c r="A160" s="139">
        <v>45743</v>
      </c>
      <c r="B160" s="124"/>
      <c r="C160" s="123"/>
      <c r="D160" s="146">
        <f t="shared" si="18"/>
        <v>560784</v>
      </c>
      <c r="E160" s="331">
        <v>1363.4</v>
      </c>
      <c r="F160" s="123"/>
      <c r="G160" s="279">
        <f t="shared" si="19"/>
        <v>258.23999999999955</v>
      </c>
      <c r="H160" t="s">
        <v>2802</v>
      </c>
      <c r="I160" s="65" t="s">
        <v>3119</v>
      </c>
      <c r="J160" t="s">
        <v>3044</v>
      </c>
      <c r="K160">
        <f t="shared" si="16"/>
        <v>782554</v>
      </c>
      <c r="L160">
        <f t="shared" si="17"/>
        <v>6810</v>
      </c>
    </row>
    <row r="161" spans="1:12" outlineLevel="1">
      <c r="A161" s="195">
        <v>45754</v>
      </c>
      <c r="B161" s="197"/>
      <c r="C161" s="196"/>
      <c r="D161" s="198">
        <f t="shared" si="18"/>
        <v>560784</v>
      </c>
      <c r="E161" s="334"/>
      <c r="F161" s="196">
        <v>0.35</v>
      </c>
      <c r="G161" s="278">
        <f t="shared" si="19"/>
        <v>258.58999999999958</v>
      </c>
      <c r="H161" s="200" t="s">
        <v>2560</v>
      </c>
      <c r="I161" s="200" t="s">
        <v>101</v>
      </c>
      <c r="J161" t="s">
        <v>3044</v>
      </c>
      <c r="K161">
        <f t="shared" si="16"/>
        <v>782554</v>
      </c>
      <c r="L161">
        <f t="shared" si="17"/>
        <v>6810</v>
      </c>
    </row>
    <row r="162" spans="1:12" outlineLevel="1">
      <c r="A162" s="139">
        <v>45757</v>
      </c>
      <c r="B162" s="124"/>
      <c r="C162" s="123">
        <v>5000</v>
      </c>
      <c r="D162" s="146">
        <f t="shared" si="18"/>
        <v>565784</v>
      </c>
      <c r="E162" s="331"/>
      <c r="F162" s="123"/>
      <c r="G162" s="279">
        <f t="shared" si="19"/>
        <v>258.58999999999958</v>
      </c>
      <c r="I162" s="65" t="s">
        <v>2771</v>
      </c>
      <c r="J162" t="s">
        <v>3041</v>
      </c>
      <c r="K162">
        <f t="shared" si="16"/>
        <v>787554</v>
      </c>
      <c r="L162">
        <f t="shared" si="17"/>
        <v>6810</v>
      </c>
    </row>
    <row r="163" spans="1:12" outlineLevel="1">
      <c r="A163" s="195">
        <v>45762</v>
      </c>
      <c r="B163" s="197"/>
      <c r="C163" s="196">
        <v>348</v>
      </c>
      <c r="D163" s="198">
        <f t="shared" si="18"/>
        <v>566132</v>
      </c>
      <c r="E163" s="334"/>
      <c r="F163" s="196"/>
      <c r="G163" s="278">
        <f t="shared" si="19"/>
        <v>258.58999999999958</v>
      </c>
      <c r="H163" s="200" t="s">
        <v>1801</v>
      </c>
      <c r="I163" s="200" t="s">
        <v>101</v>
      </c>
      <c r="J163" t="s">
        <v>3044</v>
      </c>
      <c r="K163">
        <f t="shared" si="16"/>
        <v>787554</v>
      </c>
      <c r="L163">
        <f t="shared" si="17"/>
        <v>6810</v>
      </c>
    </row>
    <row r="164" spans="1:12" outlineLevel="1">
      <c r="A164" s="139">
        <v>45763</v>
      </c>
      <c r="B164" s="124">
        <v>4872</v>
      </c>
      <c r="C164" s="123"/>
      <c r="D164" s="146">
        <f t="shared" si="18"/>
        <v>561260</v>
      </c>
      <c r="E164" s="331"/>
      <c r="F164" s="123"/>
      <c r="G164" s="279">
        <f t="shared" si="19"/>
        <v>258.58999999999958</v>
      </c>
      <c r="H164" t="s">
        <v>1682</v>
      </c>
      <c r="I164" s="65" t="s">
        <v>2772</v>
      </c>
      <c r="J164" t="s">
        <v>3044</v>
      </c>
      <c r="K164">
        <f t="shared" si="16"/>
        <v>787554</v>
      </c>
      <c r="L164">
        <f t="shared" si="17"/>
        <v>6810</v>
      </c>
    </row>
    <row r="165" spans="1:12" outlineLevel="1">
      <c r="A165" s="139">
        <v>45763</v>
      </c>
      <c r="B165" s="124">
        <v>4988</v>
      </c>
      <c r="C165" s="123"/>
      <c r="D165" s="146">
        <f t="shared" si="18"/>
        <v>556272</v>
      </c>
      <c r="E165" s="331"/>
      <c r="F165" s="123"/>
      <c r="G165" s="279">
        <f t="shared" si="19"/>
        <v>258.58999999999958</v>
      </c>
      <c r="H165" t="s">
        <v>1954</v>
      </c>
      <c r="I165" s="65" t="s">
        <v>2772</v>
      </c>
      <c r="J165" t="s">
        <v>3044</v>
      </c>
      <c r="K165">
        <f t="shared" si="16"/>
        <v>787554</v>
      </c>
      <c r="L165">
        <f t="shared" si="17"/>
        <v>6810</v>
      </c>
    </row>
    <row r="166" spans="1:12" outlineLevel="1">
      <c r="A166" s="139">
        <v>45775</v>
      </c>
      <c r="B166" s="124">
        <v>5001</v>
      </c>
      <c r="C166" s="123"/>
      <c r="D166" s="146">
        <f t="shared" si="18"/>
        <v>551271</v>
      </c>
      <c r="E166" s="331"/>
      <c r="F166" s="123"/>
      <c r="G166" s="279">
        <f t="shared" si="19"/>
        <v>258.58999999999958</v>
      </c>
      <c r="H166" t="s">
        <v>1801</v>
      </c>
      <c r="I166" s="65" t="s">
        <v>2772</v>
      </c>
      <c r="J166" t="s">
        <v>3044</v>
      </c>
      <c r="K166">
        <f t="shared" si="16"/>
        <v>787554</v>
      </c>
      <c r="L166">
        <f t="shared" si="17"/>
        <v>6810</v>
      </c>
    </row>
    <row r="167" spans="1:12" outlineLevel="1">
      <c r="A167" s="139">
        <v>45787</v>
      </c>
      <c r="B167" s="124"/>
      <c r="C167" s="123">
        <v>5000</v>
      </c>
      <c r="D167" s="146">
        <f t="shared" si="18"/>
        <v>556271</v>
      </c>
      <c r="E167" s="331"/>
      <c r="F167" s="123"/>
      <c r="G167" s="279">
        <f t="shared" si="19"/>
        <v>258.58999999999958</v>
      </c>
      <c r="I167" s="65" t="s">
        <v>2771</v>
      </c>
      <c r="J167" t="s">
        <v>3041</v>
      </c>
      <c r="K167">
        <f t="shared" si="16"/>
        <v>792554</v>
      </c>
      <c r="L167">
        <f t="shared" si="17"/>
        <v>6810</v>
      </c>
    </row>
    <row r="168" spans="1:12" outlineLevel="1">
      <c r="A168" s="195">
        <v>45791</v>
      </c>
      <c r="B168" s="197"/>
      <c r="C168" s="196">
        <v>103</v>
      </c>
      <c r="D168" s="198">
        <f t="shared" si="18"/>
        <v>556374</v>
      </c>
      <c r="E168" s="334"/>
      <c r="F168" s="196"/>
      <c r="G168" s="278">
        <f t="shared" si="19"/>
        <v>258.58999999999958</v>
      </c>
      <c r="H168" s="200" t="s">
        <v>2988</v>
      </c>
      <c r="I168" s="200" t="s">
        <v>101</v>
      </c>
      <c r="J168" t="s">
        <v>3044</v>
      </c>
      <c r="K168">
        <f t="shared" si="16"/>
        <v>792554</v>
      </c>
      <c r="L168">
        <f t="shared" si="17"/>
        <v>6810</v>
      </c>
    </row>
    <row r="169" spans="1:12" outlineLevel="1">
      <c r="A169" s="139">
        <v>45793</v>
      </c>
      <c r="B169" s="124">
        <v>4934</v>
      </c>
      <c r="C169" s="123"/>
      <c r="D169" s="146">
        <f t="shared" si="18"/>
        <v>551440</v>
      </c>
      <c r="E169" s="331"/>
      <c r="F169" s="123"/>
      <c r="G169" s="279">
        <f t="shared" si="19"/>
        <v>258.58999999999958</v>
      </c>
      <c r="H169" t="s">
        <v>1682</v>
      </c>
      <c r="I169" s="65" t="s">
        <v>2772</v>
      </c>
      <c r="J169" t="s">
        <v>3044</v>
      </c>
      <c r="K169">
        <f t="shared" si="16"/>
        <v>792554</v>
      </c>
      <c r="L169">
        <f t="shared" si="17"/>
        <v>6810</v>
      </c>
    </row>
    <row r="170" spans="1:12" outlineLevel="1">
      <c r="A170" s="139">
        <v>45793</v>
      </c>
      <c r="B170" s="124">
        <v>4980</v>
      </c>
      <c r="C170" s="123"/>
      <c r="D170" s="146">
        <f t="shared" si="18"/>
        <v>546460</v>
      </c>
      <c r="E170" s="331"/>
      <c r="F170" s="123"/>
      <c r="G170" s="279">
        <f t="shared" si="19"/>
        <v>258.58999999999958</v>
      </c>
      <c r="H170" t="s">
        <v>1954</v>
      </c>
      <c r="I170" s="65" t="s">
        <v>2772</v>
      </c>
      <c r="J170" t="s">
        <v>3044</v>
      </c>
      <c r="K170">
        <f t="shared" si="16"/>
        <v>792554</v>
      </c>
      <c r="L170">
        <f t="shared" si="17"/>
        <v>6810</v>
      </c>
    </row>
    <row r="171" spans="1:12" outlineLevel="1">
      <c r="A171" s="139">
        <v>45803</v>
      </c>
      <c r="B171" s="124">
        <v>4950</v>
      </c>
      <c r="C171" s="123"/>
      <c r="D171" s="146">
        <f t="shared" si="18"/>
        <v>541510</v>
      </c>
      <c r="E171" s="331"/>
      <c r="F171" s="123"/>
      <c r="G171" s="279">
        <f t="shared" si="19"/>
        <v>258.58999999999958</v>
      </c>
      <c r="H171" t="s">
        <v>1801</v>
      </c>
      <c r="I171" s="65" t="s">
        <v>2772</v>
      </c>
      <c r="J171" t="s">
        <v>3044</v>
      </c>
      <c r="K171">
        <f t="shared" si="16"/>
        <v>792554</v>
      </c>
      <c r="L171">
        <f t="shared" si="17"/>
        <v>6810</v>
      </c>
    </row>
    <row r="172" spans="1:12" outlineLevel="1">
      <c r="A172" s="139">
        <v>45818</v>
      </c>
      <c r="B172" s="124">
        <v>110056</v>
      </c>
      <c r="C172" s="123"/>
      <c r="D172" s="146">
        <f t="shared" si="18"/>
        <v>431454</v>
      </c>
      <c r="E172" s="331"/>
      <c r="F172" s="123"/>
      <c r="G172" s="279">
        <f t="shared" si="19"/>
        <v>258.58999999999958</v>
      </c>
      <c r="H172" t="s">
        <v>2992</v>
      </c>
      <c r="I172" s="65"/>
      <c r="J172" t="s">
        <v>3044</v>
      </c>
      <c r="K172">
        <f t="shared" si="16"/>
        <v>792554</v>
      </c>
      <c r="L172">
        <f t="shared" si="17"/>
        <v>6810</v>
      </c>
    </row>
    <row r="173" spans="1:12" outlineLevel="1">
      <c r="A173" s="139">
        <v>45818</v>
      </c>
      <c r="B173" s="124">
        <v>110056</v>
      </c>
      <c r="C173" s="123"/>
      <c r="D173" s="146">
        <f t="shared" si="18"/>
        <v>321398</v>
      </c>
      <c r="E173" s="331"/>
      <c r="F173" s="123"/>
      <c r="G173" s="279">
        <f t="shared" si="19"/>
        <v>258.58999999999958</v>
      </c>
      <c r="H173" t="s">
        <v>2993</v>
      </c>
      <c r="I173" s="65"/>
      <c r="J173" t="s">
        <v>3044</v>
      </c>
      <c r="K173">
        <f t="shared" si="16"/>
        <v>792554</v>
      </c>
      <c r="L173">
        <f t="shared" si="17"/>
        <v>6810</v>
      </c>
    </row>
    <row r="174" spans="1:12" outlineLevel="1">
      <c r="A174" s="139">
        <v>45818</v>
      </c>
      <c r="B174" s="124"/>
      <c r="C174" s="123">
        <v>5000</v>
      </c>
      <c r="D174" s="146">
        <f t="shared" si="18"/>
        <v>326398</v>
      </c>
      <c r="E174" s="331"/>
      <c r="F174" s="123"/>
      <c r="G174" s="279">
        <f t="shared" si="19"/>
        <v>258.58999999999958</v>
      </c>
      <c r="I174" s="65" t="s">
        <v>2771</v>
      </c>
      <c r="J174" t="s">
        <v>3041</v>
      </c>
      <c r="K174">
        <f t="shared" si="16"/>
        <v>797554</v>
      </c>
      <c r="L174">
        <f t="shared" si="17"/>
        <v>6810</v>
      </c>
    </row>
    <row r="175" spans="1:12" outlineLevel="1">
      <c r="A175" s="195">
        <v>45821</v>
      </c>
      <c r="B175" s="197"/>
      <c r="C175" s="196">
        <v>74</v>
      </c>
      <c r="D175" s="198">
        <f t="shared" si="18"/>
        <v>326472</v>
      </c>
      <c r="E175" s="334"/>
      <c r="F175" s="196"/>
      <c r="G175" s="278">
        <f t="shared" si="19"/>
        <v>258.58999999999958</v>
      </c>
      <c r="H175" s="200" t="s">
        <v>2991</v>
      </c>
      <c r="I175" s="200" t="s">
        <v>101</v>
      </c>
      <c r="J175" t="s">
        <v>3044</v>
      </c>
      <c r="K175">
        <f t="shared" si="16"/>
        <v>797554</v>
      </c>
      <c r="L175">
        <f t="shared" si="17"/>
        <v>6810</v>
      </c>
    </row>
    <row r="176" spans="1:12" outlineLevel="1">
      <c r="A176" s="139">
        <v>45824</v>
      </c>
      <c r="B176" s="124">
        <v>4989</v>
      </c>
      <c r="C176" s="123"/>
      <c r="D176" s="146">
        <f t="shared" si="18"/>
        <v>321483</v>
      </c>
      <c r="E176" s="331"/>
      <c r="F176" s="123"/>
      <c r="G176" s="279">
        <f t="shared" si="19"/>
        <v>258.58999999999958</v>
      </c>
      <c r="H176" t="s">
        <v>1954</v>
      </c>
      <c r="I176" s="65" t="s">
        <v>2772</v>
      </c>
      <c r="J176" t="s">
        <v>3044</v>
      </c>
      <c r="K176">
        <f t="shared" si="16"/>
        <v>797554</v>
      </c>
      <c r="L176">
        <f t="shared" si="17"/>
        <v>6810</v>
      </c>
    </row>
    <row r="177" spans="1:12" outlineLevel="1">
      <c r="A177" s="153">
        <v>45829</v>
      </c>
      <c r="B177" s="155"/>
      <c r="C177" s="154">
        <v>1783</v>
      </c>
      <c r="D177" s="156">
        <f t="shared" si="18"/>
        <v>323266</v>
      </c>
      <c r="E177" s="332"/>
      <c r="F177" s="154"/>
      <c r="G177" s="280">
        <f t="shared" si="19"/>
        <v>258.58999999999958</v>
      </c>
      <c r="H177" s="158" t="s">
        <v>48</v>
      </c>
      <c r="I177" s="159"/>
      <c r="J177" t="s">
        <v>3044</v>
      </c>
      <c r="K177">
        <f t="shared" si="16"/>
        <v>797554</v>
      </c>
      <c r="L177">
        <f t="shared" si="17"/>
        <v>6810</v>
      </c>
    </row>
    <row r="178" spans="1:12" outlineLevel="1">
      <c r="A178" s="282">
        <v>45829</v>
      </c>
      <c r="B178" s="283"/>
      <c r="C178" s="284"/>
      <c r="D178" s="285">
        <f t="shared" si="18"/>
        <v>323266</v>
      </c>
      <c r="E178" s="335"/>
      <c r="F178" s="284">
        <v>3.36</v>
      </c>
      <c r="G178" s="286">
        <f t="shared" si="19"/>
        <v>261.94999999999959</v>
      </c>
      <c r="H178" s="287" t="s">
        <v>48</v>
      </c>
      <c r="I178" s="288"/>
      <c r="J178" t="s">
        <v>3044</v>
      </c>
      <c r="K178">
        <f t="shared" si="16"/>
        <v>797554</v>
      </c>
      <c r="L178">
        <f t="shared" si="17"/>
        <v>6810</v>
      </c>
    </row>
    <row r="179" spans="1:12" outlineLevel="1">
      <c r="A179" s="139">
        <v>45834</v>
      </c>
      <c r="B179" s="124">
        <v>4981</v>
      </c>
      <c r="C179" s="123"/>
      <c r="D179" s="146">
        <f t="shared" si="18"/>
        <v>318285</v>
      </c>
      <c r="E179" s="331"/>
      <c r="F179" s="123"/>
      <c r="G179" s="279">
        <f t="shared" si="19"/>
        <v>261.94999999999959</v>
      </c>
      <c r="H179" t="s">
        <v>2990</v>
      </c>
      <c r="I179" s="65" t="s">
        <v>2772</v>
      </c>
      <c r="J179" t="s">
        <v>3044</v>
      </c>
      <c r="K179">
        <f t="shared" si="16"/>
        <v>797554</v>
      </c>
      <c r="L179">
        <f t="shared" si="17"/>
        <v>6810</v>
      </c>
    </row>
    <row r="180" spans="1:12" outlineLevel="1">
      <c r="A180" s="147">
        <v>45842</v>
      </c>
      <c r="B180" s="149"/>
      <c r="C180" s="148">
        <v>124</v>
      </c>
      <c r="D180" s="150">
        <f t="shared" ref="D180" si="20">D179+C180-B180</f>
        <v>318409</v>
      </c>
      <c r="E180" s="333"/>
      <c r="F180" s="148"/>
      <c r="G180" s="281">
        <f t="shared" ref="G180" si="21">G179+F180-E180</f>
        <v>261.94999999999959</v>
      </c>
      <c r="H180" s="152" t="s">
        <v>84</v>
      </c>
      <c r="I180" s="152"/>
      <c r="J180" t="s">
        <v>3044</v>
      </c>
      <c r="K180">
        <f t="shared" si="16"/>
        <v>797554</v>
      </c>
      <c r="L180">
        <f t="shared" si="17"/>
        <v>6810</v>
      </c>
    </row>
    <row r="181" spans="1:12" outlineLevel="1">
      <c r="A181" s="195">
        <v>45842</v>
      </c>
      <c r="B181" s="197"/>
      <c r="C181" s="196"/>
      <c r="D181" s="198">
        <f t="shared" ref="D181:D236" si="22">D180+C181-B181</f>
        <v>318409</v>
      </c>
      <c r="E181" s="334"/>
      <c r="F181" s="196">
        <v>0.35</v>
      </c>
      <c r="G181" s="278">
        <f t="shared" ref="G181:G236" si="23">G180+F181-E181</f>
        <v>262.29999999999961</v>
      </c>
      <c r="H181" s="200" t="s">
        <v>2560</v>
      </c>
      <c r="I181" s="200" t="s">
        <v>101</v>
      </c>
      <c r="J181" t="s">
        <v>3044</v>
      </c>
      <c r="K181">
        <f t="shared" si="16"/>
        <v>797554</v>
      </c>
      <c r="L181">
        <f t="shared" si="17"/>
        <v>6810</v>
      </c>
    </row>
    <row r="182" spans="1:12" outlineLevel="1">
      <c r="A182" s="139">
        <v>45848</v>
      </c>
      <c r="B182" s="124"/>
      <c r="C182" s="123">
        <v>5000</v>
      </c>
      <c r="D182" s="146">
        <f t="shared" si="22"/>
        <v>323409</v>
      </c>
      <c r="E182" s="331"/>
      <c r="F182" s="123"/>
      <c r="G182" s="279">
        <f t="shared" si="23"/>
        <v>262.29999999999961</v>
      </c>
      <c r="I182" s="65" t="s">
        <v>2771</v>
      </c>
      <c r="J182" t="s">
        <v>3041</v>
      </c>
      <c r="K182">
        <f t="shared" si="16"/>
        <v>802554</v>
      </c>
      <c r="L182">
        <f t="shared" si="17"/>
        <v>6810</v>
      </c>
    </row>
    <row r="183" spans="1:12" outlineLevel="1">
      <c r="A183" s="195">
        <v>45849</v>
      </c>
      <c r="B183" s="197"/>
      <c r="C183" s="196">
        <v>3490</v>
      </c>
      <c r="D183" s="198">
        <f t="shared" si="22"/>
        <v>326899</v>
      </c>
      <c r="E183" s="334"/>
      <c r="F183" s="196"/>
      <c r="G183" s="278">
        <f t="shared" si="23"/>
        <v>262.29999999999961</v>
      </c>
      <c r="H183" s="200" t="s">
        <v>2992</v>
      </c>
      <c r="I183" s="200" t="s">
        <v>101</v>
      </c>
      <c r="J183" t="s">
        <v>3044</v>
      </c>
      <c r="K183">
        <f t="shared" si="16"/>
        <v>802554</v>
      </c>
      <c r="L183">
        <f t="shared" si="17"/>
        <v>6810</v>
      </c>
    </row>
    <row r="184" spans="1:12" outlineLevel="1">
      <c r="A184" s="195">
        <v>45849</v>
      </c>
      <c r="B184" s="197"/>
      <c r="C184" s="196">
        <v>587</v>
      </c>
      <c r="D184" s="198">
        <f t="shared" si="22"/>
        <v>327486</v>
      </c>
      <c r="E184" s="334"/>
      <c r="F184" s="196"/>
      <c r="G184" s="278">
        <f t="shared" si="23"/>
        <v>262.29999999999961</v>
      </c>
      <c r="H184" s="200" t="s">
        <v>2990</v>
      </c>
      <c r="I184" s="200" t="s">
        <v>101</v>
      </c>
      <c r="J184" t="s">
        <v>3044</v>
      </c>
      <c r="K184">
        <f t="shared" si="16"/>
        <v>802554</v>
      </c>
      <c r="L184">
        <f t="shared" si="17"/>
        <v>6810</v>
      </c>
    </row>
    <row r="185" spans="1:12" outlineLevel="1">
      <c r="A185" s="195">
        <v>45849</v>
      </c>
      <c r="B185" s="197"/>
      <c r="C185" s="196">
        <v>3590</v>
      </c>
      <c r="D185" s="198">
        <f t="shared" si="22"/>
        <v>331076</v>
      </c>
      <c r="E185" s="334"/>
      <c r="F185" s="196"/>
      <c r="G185" s="278">
        <f t="shared" si="23"/>
        <v>262.29999999999961</v>
      </c>
      <c r="H185" s="200" t="s">
        <v>2993</v>
      </c>
      <c r="I185" s="200" t="s">
        <v>101</v>
      </c>
      <c r="J185" t="s">
        <v>3044</v>
      </c>
      <c r="K185">
        <f t="shared" si="16"/>
        <v>802554</v>
      </c>
      <c r="L185">
        <f t="shared" si="17"/>
        <v>6810</v>
      </c>
    </row>
    <row r="186" spans="1:12" outlineLevel="1">
      <c r="A186" s="139">
        <v>45854</v>
      </c>
      <c r="B186" s="124">
        <v>4957</v>
      </c>
      <c r="C186" s="123"/>
      <c r="D186" s="146">
        <f t="shared" si="22"/>
        <v>326119</v>
      </c>
      <c r="E186" s="331"/>
      <c r="F186" s="123"/>
      <c r="G186" s="279">
        <f t="shared" si="23"/>
        <v>262.29999999999961</v>
      </c>
      <c r="H186" t="s">
        <v>1682</v>
      </c>
      <c r="I186" s="65" t="s">
        <v>2772</v>
      </c>
      <c r="J186" t="s">
        <v>3044</v>
      </c>
      <c r="K186">
        <f t="shared" si="16"/>
        <v>802554</v>
      </c>
      <c r="L186">
        <f t="shared" si="17"/>
        <v>6810</v>
      </c>
    </row>
    <row r="187" spans="1:12" outlineLevel="1">
      <c r="A187" s="139">
        <v>45854</v>
      </c>
      <c r="B187" s="124">
        <v>4983</v>
      </c>
      <c r="C187" s="123"/>
      <c r="D187" s="146">
        <f t="shared" si="22"/>
        <v>321136</v>
      </c>
      <c r="E187" s="331"/>
      <c r="F187" s="123"/>
      <c r="G187" s="279">
        <f t="shared" si="23"/>
        <v>262.29999999999961</v>
      </c>
      <c r="H187" t="s">
        <v>1954</v>
      </c>
      <c r="I187" s="65" t="s">
        <v>2772</v>
      </c>
      <c r="J187" t="s">
        <v>3044</v>
      </c>
      <c r="K187">
        <f t="shared" si="16"/>
        <v>802554</v>
      </c>
      <c r="L187">
        <f t="shared" si="17"/>
        <v>6810</v>
      </c>
    </row>
    <row r="188" spans="1:12" outlineLevel="1">
      <c r="A188" s="139">
        <v>45854</v>
      </c>
      <c r="B188" s="124"/>
      <c r="C188" s="123">
        <v>600</v>
      </c>
      <c r="D188" s="146">
        <f t="shared" si="22"/>
        <v>321736</v>
      </c>
      <c r="E188" s="331"/>
      <c r="F188" s="123"/>
      <c r="G188" s="279">
        <f t="shared" si="23"/>
        <v>262.29999999999961</v>
      </c>
      <c r="I188" s="65" t="s">
        <v>2994</v>
      </c>
      <c r="J188" t="s">
        <v>3041</v>
      </c>
      <c r="K188">
        <f t="shared" si="16"/>
        <v>803154</v>
      </c>
      <c r="L188">
        <f t="shared" si="17"/>
        <v>6810</v>
      </c>
    </row>
    <row r="189" spans="1:12" outlineLevel="1">
      <c r="A189" s="139">
        <v>45866</v>
      </c>
      <c r="B189" s="124">
        <v>4957</v>
      </c>
      <c r="C189" s="123"/>
      <c r="D189" s="146">
        <f t="shared" si="22"/>
        <v>316779</v>
      </c>
      <c r="E189" s="331"/>
      <c r="F189" s="123"/>
      <c r="G189" s="279">
        <f t="shared" si="23"/>
        <v>262.29999999999961</v>
      </c>
      <c r="H189" t="s">
        <v>2990</v>
      </c>
      <c r="I189" s="65" t="s">
        <v>2772</v>
      </c>
      <c r="J189" t="s">
        <v>3044</v>
      </c>
      <c r="K189">
        <f t="shared" si="16"/>
        <v>803154</v>
      </c>
      <c r="L189">
        <f t="shared" si="17"/>
        <v>6810</v>
      </c>
    </row>
    <row r="190" spans="1:12" outlineLevel="1">
      <c r="A190" s="139">
        <v>45870</v>
      </c>
      <c r="B190" s="124"/>
      <c r="C190" s="123">
        <v>888</v>
      </c>
      <c r="D190" s="146">
        <f t="shared" si="22"/>
        <v>317667</v>
      </c>
      <c r="E190" s="331"/>
      <c r="F190" s="123"/>
      <c r="G190" s="279">
        <f t="shared" si="23"/>
        <v>262.29999999999961</v>
      </c>
      <c r="I190" s="65" t="s">
        <v>2995</v>
      </c>
      <c r="J190" t="s">
        <v>3041</v>
      </c>
      <c r="K190">
        <f t="shared" si="16"/>
        <v>804042</v>
      </c>
      <c r="L190">
        <f t="shared" si="17"/>
        <v>6810</v>
      </c>
    </row>
    <row r="191" spans="1:12" outlineLevel="1">
      <c r="A191" s="195">
        <v>45877</v>
      </c>
      <c r="B191" s="197"/>
      <c r="C191" s="196">
        <v>2502</v>
      </c>
      <c r="D191" s="198">
        <f t="shared" si="22"/>
        <v>320169</v>
      </c>
      <c r="E191" s="334"/>
      <c r="F191" s="196"/>
      <c r="G191" s="278">
        <f t="shared" si="23"/>
        <v>262.29999999999961</v>
      </c>
      <c r="H191" s="200" t="s">
        <v>2996</v>
      </c>
      <c r="I191" s="200" t="s">
        <v>101</v>
      </c>
      <c r="J191" t="s">
        <v>3044</v>
      </c>
      <c r="K191">
        <f t="shared" si="16"/>
        <v>804042</v>
      </c>
      <c r="L191">
        <f t="shared" si="17"/>
        <v>6810</v>
      </c>
    </row>
    <row r="192" spans="1:12" outlineLevel="1">
      <c r="A192" s="195">
        <v>45877</v>
      </c>
      <c r="B192" s="197"/>
      <c r="C192" s="196">
        <v>218</v>
      </c>
      <c r="D192" s="198">
        <f t="shared" si="22"/>
        <v>320387</v>
      </c>
      <c r="E192" s="334"/>
      <c r="F192" s="196"/>
      <c r="G192" s="278">
        <f t="shared" si="23"/>
        <v>262.29999999999961</v>
      </c>
      <c r="H192" s="200" t="s">
        <v>2989</v>
      </c>
      <c r="I192" s="200" t="s">
        <v>101</v>
      </c>
      <c r="J192" t="s">
        <v>3044</v>
      </c>
      <c r="K192">
        <f t="shared" si="16"/>
        <v>804042</v>
      </c>
      <c r="L192">
        <f t="shared" si="17"/>
        <v>6810</v>
      </c>
    </row>
    <row r="193" spans="1:12" outlineLevel="1">
      <c r="A193" s="195">
        <v>45877</v>
      </c>
      <c r="B193" s="197"/>
      <c r="C193" s="196">
        <v>82</v>
      </c>
      <c r="D193" s="198">
        <f t="shared" si="22"/>
        <v>320469</v>
      </c>
      <c r="E193" s="334"/>
      <c r="F193" s="196"/>
      <c r="G193" s="278">
        <f t="shared" si="23"/>
        <v>262.29999999999961</v>
      </c>
      <c r="H193" s="200" t="s">
        <v>2988</v>
      </c>
      <c r="I193" s="200" t="s">
        <v>101</v>
      </c>
      <c r="J193" t="s">
        <v>3044</v>
      </c>
      <c r="K193">
        <f t="shared" si="16"/>
        <v>804042</v>
      </c>
      <c r="L193">
        <f t="shared" si="17"/>
        <v>6810</v>
      </c>
    </row>
    <row r="194" spans="1:12" outlineLevel="1">
      <c r="A194" s="139">
        <v>45879</v>
      </c>
      <c r="B194" s="124"/>
      <c r="C194" s="123">
        <v>5000</v>
      </c>
      <c r="D194" s="146">
        <f t="shared" si="22"/>
        <v>325469</v>
      </c>
      <c r="E194" s="331"/>
      <c r="F194" s="123"/>
      <c r="G194" s="279">
        <f t="shared" si="23"/>
        <v>262.29999999999961</v>
      </c>
      <c r="I194" s="65" t="s">
        <v>2771</v>
      </c>
      <c r="J194" t="s">
        <v>3041</v>
      </c>
      <c r="K194">
        <f t="shared" si="16"/>
        <v>809042</v>
      </c>
      <c r="L194">
        <f t="shared" si="17"/>
        <v>6810</v>
      </c>
    </row>
    <row r="195" spans="1:12" outlineLevel="1">
      <c r="A195" s="139">
        <v>45887</v>
      </c>
      <c r="B195" s="124">
        <v>5000</v>
      </c>
      <c r="C195" s="123"/>
      <c r="D195" s="146">
        <f t="shared" si="22"/>
        <v>320469</v>
      </c>
      <c r="E195" s="331"/>
      <c r="F195" s="123"/>
      <c r="G195" s="279">
        <f t="shared" si="23"/>
        <v>262.29999999999961</v>
      </c>
      <c r="H195" t="s">
        <v>1682</v>
      </c>
      <c r="I195" s="65" t="s">
        <v>2772</v>
      </c>
      <c r="J195" t="s">
        <v>3044</v>
      </c>
      <c r="K195">
        <f t="shared" ref="K195:K243" si="24">IF(J195="本金",C195+K194,K194)</f>
        <v>809042</v>
      </c>
      <c r="L195">
        <f t="shared" ref="L195:L243" si="25">IF(J195="本金",F195+L194,L194)</f>
        <v>6810</v>
      </c>
    </row>
    <row r="196" spans="1:12" outlineLevel="1">
      <c r="A196" s="139">
        <v>45887</v>
      </c>
      <c r="B196" s="124">
        <v>4973</v>
      </c>
      <c r="C196" s="123"/>
      <c r="D196" s="146">
        <f t="shared" si="22"/>
        <v>315496</v>
      </c>
      <c r="E196" s="331"/>
      <c r="F196" s="123"/>
      <c r="G196" s="279">
        <f t="shared" si="23"/>
        <v>262.29999999999961</v>
      </c>
      <c r="H196" t="s">
        <v>1954</v>
      </c>
      <c r="I196" s="65" t="s">
        <v>2772</v>
      </c>
      <c r="J196" t="s">
        <v>3044</v>
      </c>
      <c r="K196">
        <f t="shared" si="24"/>
        <v>809042</v>
      </c>
      <c r="L196">
        <f t="shared" si="25"/>
        <v>6810</v>
      </c>
    </row>
    <row r="197" spans="1:12" outlineLevel="1">
      <c r="A197" s="139">
        <v>45895</v>
      </c>
      <c r="B197" s="124">
        <v>4953</v>
      </c>
      <c r="C197" s="123"/>
      <c r="D197" s="146">
        <f t="shared" si="22"/>
        <v>310543</v>
      </c>
      <c r="E197" s="331"/>
      <c r="F197" s="123"/>
      <c r="G197" s="279">
        <f t="shared" si="23"/>
        <v>262.29999999999961</v>
      </c>
      <c r="H197" t="s">
        <v>2990</v>
      </c>
      <c r="I197" s="65" t="s">
        <v>2772</v>
      </c>
      <c r="J197" t="s">
        <v>3044</v>
      </c>
      <c r="K197">
        <f t="shared" si="24"/>
        <v>809042</v>
      </c>
      <c r="L197">
        <f t="shared" si="25"/>
        <v>6810</v>
      </c>
    </row>
    <row r="198" spans="1:12" outlineLevel="1">
      <c r="A198" s="139">
        <v>45903</v>
      </c>
      <c r="B198" s="124"/>
      <c r="C198" s="123"/>
      <c r="D198" s="146">
        <f t="shared" si="22"/>
        <v>310543</v>
      </c>
      <c r="E198" s="331"/>
      <c r="F198" s="123">
        <v>1692.66</v>
      </c>
      <c r="G198" s="279">
        <f t="shared" si="23"/>
        <v>1954.9599999999996</v>
      </c>
      <c r="H198" t="s">
        <v>2802</v>
      </c>
      <c r="I198" s="65" t="s">
        <v>3118</v>
      </c>
      <c r="J198" t="s">
        <v>3044</v>
      </c>
      <c r="K198">
        <f t="shared" si="24"/>
        <v>809042</v>
      </c>
      <c r="L198">
        <f t="shared" si="25"/>
        <v>6810</v>
      </c>
    </row>
    <row r="199" spans="1:12" outlineLevel="1">
      <c r="A199" s="139">
        <v>45908</v>
      </c>
      <c r="B199" s="124"/>
      <c r="C199" s="123">
        <v>5000</v>
      </c>
      <c r="D199" s="146">
        <f t="shared" si="22"/>
        <v>315543</v>
      </c>
      <c r="E199" s="331"/>
      <c r="F199" s="123"/>
      <c r="G199" s="279">
        <f t="shared" si="23"/>
        <v>1954.9599999999996</v>
      </c>
      <c r="I199" s="65" t="s">
        <v>2997</v>
      </c>
      <c r="J199" t="s">
        <v>3041</v>
      </c>
      <c r="K199">
        <f t="shared" si="24"/>
        <v>814042</v>
      </c>
      <c r="L199">
        <f t="shared" si="25"/>
        <v>6810</v>
      </c>
    </row>
    <row r="200" spans="1:12" outlineLevel="1">
      <c r="A200" s="139">
        <v>45910</v>
      </c>
      <c r="B200" s="124"/>
      <c r="C200" s="123">
        <v>5000</v>
      </c>
      <c r="D200" s="146">
        <f t="shared" si="22"/>
        <v>320543</v>
      </c>
      <c r="E200" s="331"/>
      <c r="F200" s="123"/>
      <c r="G200" s="279">
        <f t="shared" si="23"/>
        <v>1954.9599999999996</v>
      </c>
      <c r="I200" s="65" t="s">
        <v>2771</v>
      </c>
      <c r="J200" t="s">
        <v>3041</v>
      </c>
      <c r="K200">
        <f t="shared" si="24"/>
        <v>819042</v>
      </c>
      <c r="L200">
        <f t="shared" si="25"/>
        <v>6810</v>
      </c>
    </row>
    <row r="201" spans="1:12" outlineLevel="1">
      <c r="A201" s="195">
        <v>45911</v>
      </c>
      <c r="B201" s="197"/>
      <c r="C201" s="196">
        <v>62</v>
      </c>
      <c r="D201" s="198">
        <f t="shared" si="22"/>
        <v>320605</v>
      </c>
      <c r="E201" s="334"/>
      <c r="F201" s="196"/>
      <c r="G201" s="278">
        <f t="shared" si="23"/>
        <v>1954.9599999999996</v>
      </c>
      <c r="H201" s="200" t="s">
        <v>2991</v>
      </c>
      <c r="I201" s="200" t="s">
        <v>101</v>
      </c>
      <c r="J201" t="s">
        <v>3044</v>
      </c>
      <c r="K201">
        <f t="shared" si="24"/>
        <v>819042</v>
      </c>
      <c r="L201">
        <f t="shared" si="25"/>
        <v>6810</v>
      </c>
    </row>
    <row r="202" spans="1:12" outlineLevel="1">
      <c r="A202" s="139">
        <v>45916</v>
      </c>
      <c r="B202" s="124">
        <v>4990</v>
      </c>
      <c r="C202" s="123"/>
      <c r="D202" s="146">
        <f t="shared" si="22"/>
        <v>315615</v>
      </c>
      <c r="E202" s="331"/>
      <c r="F202" s="123"/>
      <c r="G202" s="279">
        <f t="shared" si="23"/>
        <v>1954.9599999999996</v>
      </c>
      <c r="H202" t="s">
        <v>1682</v>
      </c>
      <c r="I202" s="65" t="s">
        <v>2772</v>
      </c>
      <c r="J202" t="s">
        <v>3044</v>
      </c>
      <c r="K202">
        <f t="shared" si="24"/>
        <v>819042</v>
      </c>
      <c r="L202">
        <f t="shared" si="25"/>
        <v>6810</v>
      </c>
    </row>
    <row r="203" spans="1:12" outlineLevel="1">
      <c r="A203" s="139">
        <v>45916</v>
      </c>
      <c r="B203" s="124">
        <v>4989</v>
      </c>
      <c r="C203" s="123"/>
      <c r="D203" s="146">
        <f t="shared" si="22"/>
        <v>310626</v>
      </c>
      <c r="E203" s="331"/>
      <c r="F203" s="123"/>
      <c r="G203" s="279">
        <f t="shared" si="23"/>
        <v>1954.9599999999996</v>
      </c>
      <c r="H203" t="s">
        <v>1954</v>
      </c>
      <c r="I203" s="65" t="s">
        <v>2772</v>
      </c>
      <c r="J203" t="s">
        <v>3044</v>
      </c>
      <c r="K203">
        <f t="shared" si="24"/>
        <v>819042</v>
      </c>
      <c r="L203">
        <f t="shared" si="25"/>
        <v>6810</v>
      </c>
    </row>
    <row r="204" spans="1:12" outlineLevel="1">
      <c r="A204" s="139">
        <v>45926</v>
      </c>
      <c r="B204" s="124">
        <v>4961</v>
      </c>
      <c r="C204" s="123"/>
      <c r="D204" s="146">
        <f t="shared" si="22"/>
        <v>305665</v>
      </c>
      <c r="E204" s="331"/>
      <c r="F204" s="123"/>
      <c r="G204" s="279">
        <f t="shared" si="23"/>
        <v>1954.9599999999996</v>
      </c>
      <c r="H204" t="s">
        <v>2990</v>
      </c>
      <c r="I204" s="65" t="s">
        <v>2772</v>
      </c>
      <c r="J204" t="s">
        <v>3044</v>
      </c>
      <c r="K204">
        <f t="shared" si="24"/>
        <v>819042</v>
      </c>
      <c r="L204">
        <f t="shared" si="25"/>
        <v>6810</v>
      </c>
    </row>
    <row r="205" spans="1:12" outlineLevel="1">
      <c r="A205" s="139">
        <v>45932</v>
      </c>
      <c r="B205" s="124"/>
      <c r="C205" s="123"/>
      <c r="D205" s="146">
        <f t="shared" si="22"/>
        <v>305665</v>
      </c>
      <c r="E205" s="331">
        <v>817.89</v>
      </c>
      <c r="F205" s="123"/>
      <c r="G205" s="279">
        <f t="shared" si="23"/>
        <v>1137.0699999999997</v>
      </c>
      <c r="H205" t="s">
        <v>2873</v>
      </c>
      <c r="I205" s="65" t="s">
        <v>3119</v>
      </c>
      <c r="J205" t="s">
        <v>3044</v>
      </c>
      <c r="K205">
        <f t="shared" si="24"/>
        <v>819042</v>
      </c>
      <c r="L205">
        <f t="shared" si="25"/>
        <v>6810</v>
      </c>
    </row>
    <row r="206" spans="1:12" outlineLevel="1">
      <c r="A206" s="195">
        <v>45933</v>
      </c>
      <c r="B206" s="197"/>
      <c r="C206" s="196"/>
      <c r="D206" s="198">
        <f t="shared" si="22"/>
        <v>305665</v>
      </c>
      <c r="E206" s="334"/>
      <c r="F206" s="196">
        <v>0.35</v>
      </c>
      <c r="G206" s="278">
        <f t="shared" si="23"/>
        <v>1137.4199999999996</v>
      </c>
      <c r="H206" s="200" t="s">
        <v>2560</v>
      </c>
      <c r="I206" s="200" t="s">
        <v>101</v>
      </c>
      <c r="J206" t="s">
        <v>3044</v>
      </c>
      <c r="K206">
        <f t="shared" si="24"/>
        <v>819042</v>
      </c>
      <c r="L206">
        <f t="shared" si="25"/>
        <v>6810</v>
      </c>
    </row>
    <row r="207" spans="1:12" outlineLevel="1">
      <c r="A207" s="139">
        <v>45940</v>
      </c>
      <c r="B207" s="124"/>
      <c r="C207" s="123">
        <v>5000</v>
      </c>
      <c r="D207" s="146">
        <f t="shared" si="22"/>
        <v>310665</v>
      </c>
      <c r="E207" s="331"/>
      <c r="F207" s="123"/>
      <c r="G207" s="279">
        <f t="shared" si="23"/>
        <v>1137.4199999999996</v>
      </c>
      <c r="I207" s="65" t="s">
        <v>2771</v>
      </c>
      <c r="J207" t="s">
        <v>3041</v>
      </c>
      <c r="K207">
        <f t="shared" si="24"/>
        <v>824042</v>
      </c>
      <c r="L207">
        <f t="shared" si="25"/>
        <v>6810</v>
      </c>
    </row>
    <row r="208" spans="1:12" outlineLevel="1">
      <c r="A208" s="195">
        <v>45945</v>
      </c>
      <c r="B208" s="197"/>
      <c r="C208" s="196">
        <v>643</v>
      </c>
      <c r="D208" s="198">
        <f t="shared" si="22"/>
        <v>311308</v>
      </c>
      <c r="E208" s="334"/>
      <c r="F208" s="196"/>
      <c r="G208" s="278">
        <f t="shared" si="23"/>
        <v>1137.4199999999996</v>
      </c>
      <c r="H208" s="200" t="s">
        <v>2990</v>
      </c>
      <c r="I208" s="200" t="s">
        <v>101</v>
      </c>
      <c r="J208" t="s">
        <v>3044</v>
      </c>
      <c r="K208">
        <f t="shared" si="24"/>
        <v>824042</v>
      </c>
      <c r="L208">
        <f t="shared" si="25"/>
        <v>6810</v>
      </c>
    </row>
    <row r="209" spans="1:12" outlineLevel="1">
      <c r="A209" s="195">
        <v>45945</v>
      </c>
      <c r="B209" s="197"/>
      <c r="C209" s="196">
        <v>2690</v>
      </c>
      <c r="D209" s="198">
        <f t="shared" si="22"/>
        <v>313998</v>
      </c>
      <c r="E209" s="334"/>
      <c r="F209" s="196"/>
      <c r="G209" s="278">
        <f t="shared" si="23"/>
        <v>1137.4199999999996</v>
      </c>
      <c r="H209" s="200" t="s">
        <v>2993</v>
      </c>
      <c r="I209" s="200" t="s">
        <v>101</v>
      </c>
      <c r="J209" t="s">
        <v>3044</v>
      </c>
      <c r="K209">
        <f t="shared" si="24"/>
        <v>824042</v>
      </c>
      <c r="L209">
        <f t="shared" si="25"/>
        <v>6810</v>
      </c>
    </row>
    <row r="210" spans="1:12" outlineLevel="1">
      <c r="A210" s="195">
        <v>45945</v>
      </c>
      <c r="B210" s="197"/>
      <c r="C210" s="196">
        <v>2590</v>
      </c>
      <c r="D210" s="198">
        <f t="shared" si="22"/>
        <v>316588</v>
      </c>
      <c r="E210" s="334"/>
      <c r="F210" s="196"/>
      <c r="G210" s="278">
        <f t="shared" si="23"/>
        <v>1137.4199999999996</v>
      </c>
      <c r="H210" s="200" t="s">
        <v>2992</v>
      </c>
      <c r="I210" s="200" t="s">
        <v>101</v>
      </c>
      <c r="J210" t="s">
        <v>3044</v>
      </c>
      <c r="K210">
        <f t="shared" si="24"/>
        <v>824042</v>
      </c>
      <c r="L210">
        <f t="shared" si="25"/>
        <v>6810</v>
      </c>
    </row>
    <row r="211" spans="1:12" outlineLevel="1">
      <c r="A211" s="139">
        <v>45946</v>
      </c>
      <c r="B211" s="124">
        <v>4945</v>
      </c>
      <c r="C211" s="123"/>
      <c r="D211" s="146">
        <f t="shared" si="22"/>
        <v>311643</v>
      </c>
      <c r="E211" s="331"/>
      <c r="F211" s="123"/>
      <c r="G211" s="279">
        <f t="shared" si="23"/>
        <v>1137.4199999999996</v>
      </c>
      <c r="H211" t="s">
        <v>1682</v>
      </c>
      <c r="I211" s="65" t="s">
        <v>2772</v>
      </c>
      <c r="J211" t="s">
        <v>3044</v>
      </c>
      <c r="K211">
        <f t="shared" si="24"/>
        <v>824042</v>
      </c>
      <c r="L211">
        <f t="shared" si="25"/>
        <v>6810</v>
      </c>
    </row>
    <row r="212" spans="1:12" outlineLevel="1">
      <c r="A212" s="139">
        <v>45946</v>
      </c>
      <c r="B212" s="124">
        <v>4979</v>
      </c>
      <c r="C212" s="123"/>
      <c r="D212" s="146">
        <f t="shared" si="22"/>
        <v>306664</v>
      </c>
      <c r="E212" s="331"/>
      <c r="F212" s="123"/>
      <c r="G212" s="279">
        <f t="shared" si="23"/>
        <v>1137.4199999999996</v>
      </c>
      <c r="H212" t="s">
        <v>1954</v>
      </c>
      <c r="I212" s="65" t="s">
        <v>2772</v>
      </c>
      <c r="J212" t="s">
        <v>3044</v>
      </c>
      <c r="K212">
        <f t="shared" si="24"/>
        <v>824042</v>
      </c>
      <c r="L212">
        <f t="shared" si="25"/>
        <v>6810</v>
      </c>
    </row>
    <row r="213" spans="1:12" outlineLevel="1">
      <c r="A213" s="139">
        <v>45957</v>
      </c>
      <c r="B213" s="124">
        <v>4969</v>
      </c>
      <c r="C213" s="123"/>
      <c r="D213" s="146">
        <f t="shared" si="22"/>
        <v>301695</v>
      </c>
      <c r="E213" s="331"/>
      <c r="F213" s="123"/>
      <c r="G213" s="279">
        <f t="shared" si="23"/>
        <v>1137.4199999999996</v>
      </c>
      <c r="H213" t="s">
        <v>2990</v>
      </c>
      <c r="I213" s="65" t="s">
        <v>2772</v>
      </c>
      <c r="J213" t="s">
        <v>3044</v>
      </c>
      <c r="K213">
        <f t="shared" si="24"/>
        <v>824042</v>
      </c>
      <c r="L213">
        <f t="shared" si="25"/>
        <v>6810</v>
      </c>
    </row>
    <row r="214" spans="1:12" outlineLevel="1">
      <c r="A214" s="139">
        <v>45971</v>
      </c>
      <c r="B214" s="124"/>
      <c r="C214" s="123">
        <v>5000</v>
      </c>
      <c r="D214" s="146">
        <f t="shared" si="22"/>
        <v>306695</v>
      </c>
      <c r="E214" s="331"/>
      <c r="F214" s="123"/>
      <c r="G214" s="279">
        <f t="shared" si="23"/>
        <v>1137.4199999999996</v>
      </c>
      <c r="I214" s="65" t="s">
        <v>2771</v>
      </c>
      <c r="J214" t="s">
        <v>3041</v>
      </c>
      <c r="K214">
        <f t="shared" si="24"/>
        <v>829042</v>
      </c>
      <c r="L214">
        <f t="shared" si="25"/>
        <v>6810</v>
      </c>
    </row>
    <row r="215" spans="1:12" outlineLevel="1">
      <c r="A215" s="195">
        <v>45975</v>
      </c>
      <c r="B215" s="197"/>
      <c r="C215" s="196">
        <v>82</v>
      </c>
      <c r="D215" s="198">
        <f t="shared" si="22"/>
        <v>306777</v>
      </c>
      <c r="E215" s="334"/>
      <c r="F215" s="196"/>
      <c r="G215" s="278">
        <f t="shared" si="23"/>
        <v>1137.4199999999996</v>
      </c>
      <c r="H215" s="200" t="s">
        <v>2988</v>
      </c>
      <c r="I215" s="200" t="s">
        <v>101</v>
      </c>
      <c r="J215" t="s">
        <v>3044</v>
      </c>
      <c r="K215">
        <f t="shared" si="24"/>
        <v>829042</v>
      </c>
      <c r="L215">
        <f t="shared" si="25"/>
        <v>6810</v>
      </c>
    </row>
    <row r="216" spans="1:12" outlineLevel="1">
      <c r="A216" s="139">
        <v>45978</v>
      </c>
      <c r="B216" s="124">
        <v>4961</v>
      </c>
      <c r="C216" s="123"/>
      <c r="D216" s="146">
        <f t="shared" si="22"/>
        <v>301816</v>
      </c>
      <c r="E216" s="331"/>
      <c r="F216" s="123"/>
      <c r="G216" s="279">
        <f t="shared" si="23"/>
        <v>1137.4199999999996</v>
      </c>
      <c r="H216" t="s">
        <v>1682</v>
      </c>
      <c r="I216" s="65" t="s">
        <v>2772</v>
      </c>
      <c r="J216" t="s">
        <v>3044</v>
      </c>
      <c r="K216">
        <f t="shared" si="24"/>
        <v>829042</v>
      </c>
      <c r="L216">
        <f t="shared" si="25"/>
        <v>6810</v>
      </c>
    </row>
    <row r="217" spans="1:12" outlineLevel="1">
      <c r="A217" s="139">
        <v>45978</v>
      </c>
      <c r="B217" s="124">
        <v>4984</v>
      </c>
      <c r="C217" s="123"/>
      <c r="D217" s="146">
        <f t="shared" si="22"/>
        <v>296832</v>
      </c>
      <c r="E217" s="331"/>
      <c r="F217" s="123"/>
      <c r="G217" s="279">
        <f t="shared" si="23"/>
        <v>1137.4199999999996</v>
      </c>
      <c r="H217" t="s">
        <v>1954</v>
      </c>
      <c r="I217" s="65" t="s">
        <v>2772</v>
      </c>
      <c r="J217" t="s">
        <v>3044</v>
      </c>
      <c r="K217">
        <f t="shared" si="24"/>
        <v>829042</v>
      </c>
      <c r="L217">
        <f t="shared" si="25"/>
        <v>6810</v>
      </c>
    </row>
    <row r="218" spans="1:12" outlineLevel="1">
      <c r="A218" s="139">
        <v>45987</v>
      </c>
      <c r="B218" s="124">
        <v>4985</v>
      </c>
      <c r="C218" s="123"/>
      <c r="D218" s="146">
        <f t="shared" si="22"/>
        <v>291847</v>
      </c>
      <c r="E218" s="331"/>
      <c r="F218" s="123"/>
      <c r="G218" s="279">
        <f t="shared" si="23"/>
        <v>1137.4199999999996</v>
      </c>
      <c r="H218" t="s">
        <v>2990</v>
      </c>
      <c r="I218" s="65" t="s">
        <v>2772</v>
      </c>
      <c r="J218" t="s">
        <v>3044</v>
      </c>
      <c r="K218">
        <f t="shared" si="24"/>
        <v>829042</v>
      </c>
      <c r="L218">
        <f t="shared" si="25"/>
        <v>6810</v>
      </c>
    </row>
    <row r="219" spans="1:12" outlineLevel="1">
      <c r="A219" s="139">
        <v>46001</v>
      </c>
      <c r="B219" s="124"/>
      <c r="C219" s="123">
        <v>5000</v>
      </c>
      <c r="D219" s="146">
        <f t="shared" si="22"/>
        <v>296847</v>
      </c>
      <c r="E219" s="331"/>
      <c r="F219" s="123"/>
      <c r="G219" s="279">
        <f t="shared" si="23"/>
        <v>1137.4199999999996</v>
      </c>
      <c r="I219" s="65" t="s">
        <v>2771</v>
      </c>
      <c r="J219" t="s">
        <v>3041</v>
      </c>
      <c r="K219">
        <f t="shared" si="24"/>
        <v>834042</v>
      </c>
      <c r="L219">
        <f t="shared" si="25"/>
        <v>6810</v>
      </c>
    </row>
    <row r="220" spans="1:12" outlineLevel="1">
      <c r="A220" s="195">
        <v>46002</v>
      </c>
      <c r="B220" s="197"/>
      <c r="C220" s="196">
        <v>4998</v>
      </c>
      <c r="D220" s="198">
        <f t="shared" si="22"/>
        <v>301845</v>
      </c>
      <c r="E220" s="334"/>
      <c r="F220" s="196"/>
      <c r="G220" s="278">
        <f t="shared" si="23"/>
        <v>1137.4199999999996</v>
      </c>
      <c r="H220" s="200" t="s">
        <v>2996</v>
      </c>
      <c r="I220" s="200" t="s">
        <v>101</v>
      </c>
      <c r="J220" t="s">
        <v>3044</v>
      </c>
      <c r="K220">
        <f t="shared" si="24"/>
        <v>834042</v>
      </c>
      <c r="L220">
        <f t="shared" si="25"/>
        <v>6810</v>
      </c>
    </row>
    <row r="221" spans="1:12" outlineLevel="1">
      <c r="A221" s="195">
        <v>46002</v>
      </c>
      <c r="B221" s="197"/>
      <c r="C221" s="196"/>
      <c r="D221" s="198">
        <f t="shared" si="22"/>
        <v>301845</v>
      </c>
      <c r="E221" s="334"/>
      <c r="F221" s="196">
        <v>1.05</v>
      </c>
      <c r="G221" s="278">
        <f t="shared" si="23"/>
        <v>1138.4699999999996</v>
      </c>
      <c r="H221" s="200" t="s">
        <v>2873</v>
      </c>
      <c r="I221" s="200" t="s">
        <v>101</v>
      </c>
      <c r="J221" t="s">
        <v>3044</v>
      </c>
      <c r="K221">
        <f t="shared" si="24"/>
        <v>834042</v>
      </c>
      <c r="L221">
        <f t="shared" si="25"/>
        <v>6810</v>
      </c>
    </row>
    <row r="222" spans="1:12" outlineLevel="1">
      <c r="A222" s="195">
        <v>46003</v>
      </c>
      <c r="B222" s="197"/>
      <c r="C222" s="196">
        <v>62</v>
      </c>
      <c r="D222" s="198">
        <f t="shared" si="22"/>
        <v>301907</v>
      </c>
      <c r="E222" s="334"/>
      <c r="F222" s="196"/>
      <c r="G222" s="278">
        <f t="shared" si="23"/>
        <v>1138.4699999999996</v>
      </c>
      <c r="H222" s="200" t="s">
        <v>2991</v>
      </c>
      <c r="I222" s="200" t="s">
        <v>101</v>
      </c>
      <c r="J222" t="s">
        <v>3044</v>
      </c>
      <c r="K222">
        <f t="shared" si="24"/>
        <v>834042</v>
      </c>
      <c r="L222">
        <f t="shared" si="25"/>
        <v>6810</v>
      </c>
    </row>
    <row r="223" spans="1:12" outlineLevel="1">
      <c r="A223" s="139">
        <v>46006</v>
      </c>
      <c r="B223" s="124"/>
      <c r="C223" s="123">
        <v>2000</v>
      </c>
      <c r="D223" s="146">
        <f t="shared" si="22"/>
        <v>303907</v>
      </c>
      <c r="E223" s="331"/>
      <c r="F223" s="123"/>
      <c r="G223" s="279">
        <f t="shared" si="23"/>
        <v>1138.4699999999996</v>
      </c>
      <c r="I223" s="65" t="s">
        <v>2775</v>
      </c>
      <c r="J223" t="s">
        <v>3041</v>
      </c>
      <c r="K223">
        <f t="shared" si="24"/>
        <v>836042</v>
      </c>
      <c r="L223">
        <f t="shared" si="25"/>
        <v>6810</v>
      </c>
    </row>
    <row r="224" spans="1:12" outlineLevel="1">
      <c r="A224" s="139">
        <v>46007</v>
      </c>
      <c r="B224" s="124">
        <v>4956</v>
      </c>
      <c r="C224" s="123"/>
      <c r="D224" s="146">
        <f t="shared" si="22"/>
        <v>298951</v>
      </c>
      <c r="E224" s="331"/>
      <c r="F224" s="123"/>
      <c r="G224" s="279">
        <f t="shared" si="23"/>
        <v>1138.4699999999996</v>
      </c>
      <c r="H224" t="s">
        <v>1682</v>
      </c>
      <c r="I224" s="65" t="s">
        <v>2772</v>
      </c>
      <c r="J224" t="s">
        <v>3044</v>
      </c>
      <c r="K224">
        <f t="shared" si="24"/>
        <v>836042</v>
      </c>
      <c r="L224">
        <f t="shared" si="25"/>
        <v>6810</v>
      </c>
    </row>
    <row r="225" spans="1:12" outlineLevel="1">
      <c r="A225" s="139">
        <v>46007</v>
      </c>
      <c r="B225" s="124">
        <v>4982</v>
      </c>
      <c r="C225" s="123"/>
      <c r="D225" s="146">
        <f t="shared" si="22"/>
        <v>293969</v>
      </c>
      <c r="E225" s="331"/>
      <c r="F225" s="123"/>
      <c r="G225" s="279">
        <f t="shared" si="23"/>
        <v>1138.4699999999996</v>
      </c>
      <c r="H225" t="s">
        <v>1954</v>
      </c>
      <c r="I225" s="65" t="s">
        <v>2772</v>
      </c>
      <c r="J225" t="s">
        <v>3044</v>
      </c>
      <c r="K225">
        <f t="shared" si="24"/>
        <v>836042</v>
      </c>
      <c r="L225">
        <f t="shared" si="25"/>
        <v>6810</v>
      </c>
    </row>
    <row r="226" spans="1:12" ht="33" outlineLevel="1">
      <c r="A226" s="139">
        <v>46009</v>
      </c>
      <c r="B226" s="124"/>
      <c r="C226" s="123"/>
      <c r="D226" s="146">
        <f t="shared" si="22"/>
        <v>293969</v>
      </c>
      <c r="E226" s="331"/>
      <c r="F226" s="123">
        <v>3500</v>
      </c>
      <c r="G226" s="279">
        <f t="shared" si="23"/>
        <v>4638.4699999999993</v>
      </c>
      <c r="H226" s="386" t="s">
        <v>3221</v>
      </c>
      <c r="I226" s="385" t="s">
        <v>3220</v>
      </c>
      <c r="J226" t="s">
        <v>3041</v>
      </c>
      <c r="K226">
        <f t="shared" si="24"/>
        <v>836042</v>
      </c>
      <c r="L226">
        <f t="shared" si="25"/>
        <v>10310</v>
      </c>
    </row>
    <row r="227" spans="1:12" outlineLevel="1">
      <c r="A227" s="139">
        <v>46009</v>
      </c>
      <c r="B227" s="124"/>
      <c r="C227" s="123">
        <v>1000</v>
      </c>
      <c r="D227" s="146">
        <f t="shared" si="22"/>
        <v>294969</v>
      </c>
      <c r="E227" s="331"/>
      <c r="F227" s="123"/>
      <c r="G227" s="279">
        <f t="shared" si="23"/>
        <v>4638.4699999999993</v>
      </c>
      <c r="I227" s="65" t="s">
        <v>2999</v>
      </c>
      <c r="J227" t="s">
        <v>3041</v>
      </c>
      <c r="K227">
        <f t="shared" si="24"/>
        <v>837042</v>
      </c>
      <c r="L227">
        <f t="shared" si="25"/>
        <v>10310</v>
      </c>
    </row>
    <row r="228" spans="1:12" outlineLevel="1">
      <c r="A228" s="139">
        <v>46010</v>
      </c>
      <c r="B228" s="124">
        <v>80070</v>
      </c>
      <c r="C228" s="123"/>
      <c r="D228" s="146">
        <f t="shared" si="22"/>
        <v>214899</v>
      </c>
      <c r="E228" s="331"/>
      <c r="F228" s="123"/>
      <c r="G228" s="279">
        <f t="shared" si="23"/>
        <v>4638.4699999999993</v>
      </c>
      <c r="H228" t="s">
        <v>3000</v>
      </c>
      <c r="I228" s="65" t="s">
        <v>57</v>
      </c>
      <c r="J228" t="s">
        <v>3044</v>
      </c>
      <c r="K228">
        <f t="shared" si="24"/>
        <v>837042</v>
      </c>
      <c r="L228">
        <f t="shared" si="25"/>
        <v>10310</v>
      </c>
    </row>
    <row r="229" spans="1:12" outlineLevel="1">
      <c r="A229" s="153">
        <v>46012</v>
      </c>
      <c r="B229" s="155"/>
      <c r="C229" s="154">
        <v>941</v>
      </c>
      <c r="D229" s="156">
        <f t="shared" si="22"/>
        <v>215840</v>
      </c>
      <c r="E229" s="332"/>
      <c r="F229" s="154"/>
      <c r="G229" s="280">
        <f t="shared" si="23"/>
        <v>4638.4699999999993</v>
      </c>
      <c r="H229" s="158" t="s">
        <v>48</v>
      </c>
      <c r="I229" s="159"/>
      <c r="J229" t="s">
        <v>3044</v>
      </c>
      <c r="K229">
        <f t="shared" si="24"/>
        <v>837042</v>
      </c>
      <c r="L229">
        <f t="shared" si="25"/>
        <v>10310</v>
      </c>
    </row>
    <row r="230" spans="1:12" outlineLevel="1">
      <c r="A230" s="282">
        <v>46012</v>
      </c>
      <c r="B230" s="283"/>
      <c r="C230" s="284"/>
      <c r="D230" s="285">
        <f t="shared" si="22"/>
        <v>215840</v>
      </c>
      <c r="E230" s="335"/>
      <c r="F230" s="284">
        <v>2.66</v>
      </c>
      <c r="G230" s="286">
        <f t="shared" si="23"/>
        <v>4641.1299999999992</v>
      </c>
      <c r="H230" s="287" t="s">
        <v>48</v>
      </c>
      <c r="I230" s="288"/>
      <c r="J230" t="s">
        <v>3044</v>
      </c>
      <c r="K230">
        <f t="shared" si="24"/>
        <v>837042</v>
      </c>
      <c r="L230">
        <f t="shared" si="25"/>
        <v>10310</v>
      </c>
    </row>
    <row r="231" spans="1:12" outlineLevel="1">
      <c r="A231" s="139">
        <v>46017</v>
      </c>
      <c r="B231" s="124">
        <v>4983</v>
      </c>
      <c r="C231" s="123"/>
      <c r="D231" s="146">
        <f t="shared" si="22"/>
        <v>210857</v>
      </c>
      <c r="E231" s="331"/>
      <c r="F231" s="123"/>
      <c r="G231" s="279">
        <f t="shared" si="23"/>
        <v>4641.1299999999992</v>
      </c>
      <c r="H231" t="s">
        <v>2990</v>
      </c>
      <c r="I231" s="65" t="s">
        <v>2772</v>
      </c>
      <c r="J231" t="s">
        <v>3044</v>
      </c>
      <c r="K231">
        <f t="shared" si="24"/>
        <v>837042</v>
      </c>
      <c r="L231">
        <f t="shared" si="25"/>
        <v>10310</v>
      </c>
    </row>
    <row r="232" spans="1:12" outlineLevel="1">
      <c r="A232" s="282">
        <v>46017</v>
      </c>
      <c r="B232" s="283"/>
      <c r="C232" s="284"/>
      <c r="D232" s="285">
        <f t="shared" si="22"/>
        <v>210857</v>
      </c>
      <c r="E232" s="335"/>
      <c r="F232" s="284">
        <v>1155</v>
      </c>
      <c r="G232" s="286">
        <f t="shared" si="23"/>
        <v>5796.1299999999992</v>
      </c>
      <c r="H232" s="287"/>
      <c r="I232" s="288" t="s">
        <v>2749</v>
      </c>
      <c r="J232" t="s">
        <v>3041</v>
      </c>
      <c r="K232">
        <f t="shared" si="24"/>
        <v>837042</v>
      </c>
      <c r="L232">
        <f t="shared" si="25"/>
        <v>11465</v>
      </c>
    </row>
    <row r="233" spans="1:12" outlineLevel="1">
      <c r="A233" s="195">
        <v>46021</v>
      </c>
      <c r="B233" s="197"/>
      <c r="C233" s="196"/>
      <c r="D233" s="198">
        <f t="shared" si="22"/>
        <v>210857</v>
      </c>
      <c r="E233" s="334"/>
      <c r="F233" s="196">
        <v>0.35</v>
      </c>
      <c r="G233" s="278">
        <f t="shared" si="23"/>
        <v>5796.48</v>
      </c>
      <c r="H233" s="200" t="s">
        <v>2560</v>
      </c>
      <c r="I233" s="200" t="s">
        <v>101</v>
      </c>
      <c r="J233" t="s">
        <v>3044</v>
      </c>
      <c r="K233">
        <f t="shared" si="24"/>
        <v>837042</v>
      </c>
      <c r="L233">
        <f t="shared" si="25"/>
        <v>11465</v>
      </c>
    </row>
    <row r="234" spans="1:12" outlineLevel="1">
      <c r="A234" s="139">
        <v>46022</v>
      </c>
      <c r="B234" s="124">
        <v>1220</v>
      </c>
      <c r="C234" s="123"/>
      <c r="D234" s="146">
        <f t="shared" si="22"/>
        <v>209637</v>
      </c>
      <c r="E234" s="331"/>
      <c r="F234" s="123"/>
      <c r="G234" s="279">
        <f t="shared" si="23"/>
        <v>5796.48</v>
      </c>
      <c r="I234" s="65" t="s">
        <v>3002</v>
      </c>
      <c r="J234" t="s">
        <v>3044</v>
      </c>
      <c r="K234">
        <f t="shared" si="24"/>
        <v>837042</v>
      </c>
      <c r="L234">
        <f t="shared" si="25"/>
        <v>11465</v>
      </c>
    </row>
    <row r="235" spans="1:12">
      <c r="A235" s="139">
        <v>46026</v>
      </c>
      <c r="B235" s="124"/>
      <c r="C235" s="123">
        <v>888</v>
      </c>
      <c r="D235" s="146">
        <f t="shared" si="22"/>
        <v>210525</v>
      </c>
      <c r="E235" s="331"/>
      <c r="F235" s="123"/>
      <c r="G235" s="279">
        <f t="shared" si="23"/>
        <v>5796.48</v>
      </c>
      <c r="I235" s="65" t="s">
        <v>3003</v>
      </c>
      <c r="J235" t="s">
        <v>3044</v>
      </c>
      <c r="K235">
        <f t="shared" si="24"/>
        <v>837042</v>
      </c>
      <c r="L235">
        <f t="shared" si="25"/>
        <v>11465</v>
      </c>
    </row>
    <row r="236" spans="1:12">
      <c r="A236" s="139">
        <v>46032</v>
      </c>
      <c r="B236" s="124"/>
      <c r="C236" s="123">
        <v>5000</v>
      </c>
      <c r="D236" s="146">
        <f t="shared" si="22"/>
        <v>215525</v>
      </c>
      <c r="E236" s="331"/>
      <c r="F236" s="123"/>
      <c r="G236" s="279">
        <f t="shared" si="23"/>
        <v>5796.48</v>
      </c>
      <c r="I236" s="65" t="s">
        <v>2771</v>
      </c>
      <c r="J236" t="s">
        <v>3041</v>
      </c>
      <c r="K236">
        <f t="shared" si="24"/>
        <v>842042</v>
      </c>
      <c r="L236">
        <f t="shared" si="25"/>
        <v>11465</v>
      </c>
    </row>
    <row r="237" spans="1:12">
      <c r="A237" s="195">
        <v>46034</v>
      </c>
      <c r="B237" s="197"/>
      <c r="C237" s="196">
        <v>870</v>
      </c>
      <c r="D237" s="198">
        <f t="shared" ref="D237:D253" si="26">D236+C237-B237</f>
        <v>216395</v>
      </c>
      <c r="E237" s="334"/>
      <c r="F237" s="196"/>
      <c r="G237" s="278">
        <f t="shared" ref="G237:G250" si="27">G236+F237-E237</f>
        <v>5796.48</v>
      </c>
      <c r="H237" s="200" t="s">
        <v>2990</v>
      </c>
      <c r="I237" s="200" t="s">
        <v>101</v>
      </c>
      <c r="J237" t="s">
        <v>3044</v>
      </c>
      <c r="K237">
        <f t="shared" si="24"/>
        <v>842042</v>
      </c>
      <c r="L237">
        <f t="shared" si="25"/>
        <v>11465</v>
      </c>
    </row>
    <row r="238" spans="1:12">
      <c r="A238" s="195">
        <v>46035</v>
      </c>
      <c r="B238" s="197"/>
      <c r="C238" s="196">
        <v>2815</v>
      </c>
      <c r="D238" s="198">
        <f t="shared" si="26"/>
        <v>219210</v>
      </c>
      <c r="E238" s="334"/>
      <c r="F238" s="196"/>
      <c r="G238" s="278">
        <f t="shared" si="27"/>
        <v>5796.48</v>
      </c>
      <c r="H238" s="200" t="s">
        <v>2992</v>
      </c>
      <c r="I238" s="200" t="s">
        <v>101</v>
      </c>
      <c r="J238" t="s">
        <v>3044</v>
      </c>
      <c r="K238">
        <f t="shared" si="24"/>
        <v>842042</v>
      </c>
      <c r="L238">
        <f t="shared" si="25"/>
        <v>11465</v>
      </c>
    </row>
    <row r="239" spans="1:12">
      <c r="A239" s="195">
        <v>46035</v>
      </c>
      <c r="B239" s="197"/>
      <c r="C239" s="196">
        <v>2690</v>
      </c>
      <c r="D239" s="198">
        <f t="shared" si="26"/>
        <v>221900</v>
      </c>
      <c r="E239" s="334"/>
      <c r="F239" s="196"/>
      <c r="G239" s="278">
        <f t="shared" si="27"/>
        <v>5796.48</v>
      </c>
      <c r="H239" s="200" t="s">
        <v>2993</v>
      </c>
      <c r="I239" s="200" t="s">
        <v>101</v>
      </c>
      <c r="J239" t="s">
        <v>3044</v>
      </c>
      <c r="K239">
        <f t="shared" si="24"/>
        <v>842042</v>
      </c>
      <c r="L239">
        <f t="shared" si="25"/>
        <v>11465</v>
      </c>
    </row>
    <row r="240" spans="1:12">
      <c r="A240" s="139">
        <v>46038</v>
      </c>
      <c r="B240" s="124">
        <v>4947</v>
      </c>
      <c r="C240" s="123"/>
      <c r="D240" s="146">
        <f t="shared" si="26"/>
        <v>216953</v>
      </c>
      <c r="E240" s="331"/>
      <c r="F240" s="123"/>
      <c r="G240" s="279">
        <f t="shared" si="27"/>
        <v>5796.48</v>
      </c>
      <c r="H240" t="s">
        <v>1682</v>
      </c>
      <c r="I240" s="65" t="s">
        <v>2772</v>
      </c>
      <c r="J240" t="s">
        <v>3044</v>
      </c>
      <c r="K240">
        <f t="shared" si="24"/>
        <v>842042</v>
      </c>
      <c r="L240">
        <f t="shared" si="25"/>
        <v>11465</v>
      </c>
    </row>
    <row r="241" spans="1:12">
      <c r="A241" s="139">
        <v>46038</v>
      </c>
      <c r="B241" s="124">
        <v>4985</v>
      </c>
      <c r="C241" s="123"/>
      <c r="D241" s="146">
        <f t="shared" si="26"/>
        <v>211968</v>
      </c>
      <c r="E241" s="331"/>
      <c r="F241" s="123"/>
      <c r="G241" s="279">
        <f t="shared" si="27"/>
        <v>5796.48</v>
      </c>
      <c r="H241" t="s">
        <v>1954</v>
      </c>
      <c r="I241" s="65" t="s">
        <v>2772</v>
      </c>
      <c r="J241" t="s">
        <v>3044</v>
      </c>
      <c r="K241">
        <f t="shared" si="24"/>
        <v>842042</v>
      </c>
      <c r="L241">
        <f t="shared" si="25"/>
        <v>11465</v>
      </c>
    </row>
    <row r="242" spans="1:12">
      <c r="A242" s="139">
        <v>46040</v>
      </c>
      <c r="B242" s="124"/>
      <c r="C242" s="123">
        <v>3600</v>
      </c>
      <c r="D242" s="146">
        <f t="shared" si="26"/>
        <v>215568</v>
      </c>
      <c r="E242" s="331"/>
      <c r="F242" s="123"/>
      <c r="G242" s="279">
        <f t="shared" si="27"/>
        <v>5796.48</v>
      </c>
      <c r="I242" s="65" t="s">
        <v>3004</v>
      </c>
      <c r="J242" t="s">
        <v>3041</v>
      </c>
      <c r="K242">
        <f t="shared" si="24"/>
        <v>845642</v>
      </c>
      <c r="L242">
        <f t="shared" si="25"/>
        <v>11465</v>
      </c>
    </row>
    <row r="243" spans="1:12">
      <c r="A243" s="139">
        <v>46042</v>
      </c>
      <c r="B243" s="124"/>
      <c r="C243" s="123">
        <v>50000</v>
      </c>
      <c r="D243" s="146">
        <f t="shared" si="26"/>
        <v>265568</v>
      </c>
      <c r="E243" s="331"/>
      <c r="F243" s="123"/>
      <c r="G243" s="279">
        <f t="shared" si="27"/>
        <v>5796.48</v>
      </c>
      <c r="I243" s="65" t="s">
        <v>3005</v>
      </c>
      <c r="J243" t="s">
        <v>3041</v>
      </c>
      <c r="K243">
        <f t="shared" si="24"/>
        <v>895642</v>
      </c>
      <c r="L243">
        <f t="shared" si="25"/>
        <v>11465</v>
      </c>
    </row>
    <row r="244" spans="1:12">
      <c r="A244" s="139">
        <v>46043</v>
      </c>
      <c r="B244" s="124"/>
      <c r="C244" s="123">
        <v>150000</v>
      </c>
      <c r="D244" s="146">
        <f t="shared" si="26"/>
        <v>415568</v>
      </c>
      <c r="E244" s="331"/>
      <c r="F244" s="123"/>
      <c r="G244" s="279">
        <f t="shared" si="27"/>
        <v>5796.48</v>
      </c>
      <c r="I244" s="65" t="s">
        <v>3006</v>
      </c>
      <c r="J244" t="s">
        <v>3041</v>
      </c>
      <c r="K244">
        <f t="shared" ref="K244:K250" si="28">IF(J244="本金",C244+K243,K243)</f>
        <v>1045642</v>
      </c>
      <c r="L244">
        <f t="shared" ref="L244:L250" si="29">IF(J244="本金",F244+L243,L243)</f>
        <v>11465</v>
      </c>
    </row>
    <row r="245" spans="1:12">
      <c r="A245" s="139">
        <v>46044</v>
      </c>
      <c r="B245" s="124">
        <v>144905</v>
      </c>
      <c r="C245" s="123"/>
      <c r="D245" s="146">
        <f t="shared" si="26"/>
        <v>270663</v>
      </c>
      <c r="E245" s="331"/>
      <c r="F245" s="123"/>
      <c r="G245" s="279">
        <f t="shared" si="27"/>
        <v>5796.48</v>
      </c>
      <c r="H245" t="s">
        <v>1682</v>
      </c>
      <c r="I245" s="65" t="s">
        <v>3007</v>
      </c>
      <c r="J245" t="s">
        <v>3044</v>
      </c>
      <c r="K245">
        <f t="shared" si="28"/>
        <v>1045642</v>
      </c>
      <c r="L245">
        <f t="shared" si="29"/>
        <v>11465</v>
      </c>
    </row>
    <row r="246" spans="1:12">
      <c r="A246" s="139">
        <v>46048</v>
      </c>
      <c r="B246" s="124">
        <v>4988</v>
      </c>
      <c r="C246" s="123"/>
      <c r="D246" s="146">
        <f t="shared" si="26"/>
        <v>265675</v>
      </c>
      <c r="E246" s="331"/>
      <c r="F246" s="123"/>
      <c r="G246" s="279">
        <f t="shared" si="27"/>
        <v>5796.48</v>
      </c>
      <c r="H246" t="s">
        <v>2990</v>
      </c>
      <c r="I246" s="65" t="s">
        <v>2772</v>
      </c>
      <c r="J246" t="s">
        <v>3044</v>
      </c>
      <c r="K246">
        <f t="shared" si="28"/>
        <v>1045642</v>
      </c>
      <c r="L246">
        <f t="shared" si="29"/>
        <v>11465</v>
      </c>
    </row>
    <row r="247" spans="1:12">
      <c r="A247" s="139">
        <v>46049</v>
      </c>
      <c r="B247" s="124"/>
      <c r="C247" s="123"/>
      <c r="D247" s="146">
        <f t="shared" si="26"/>
        <v>265675</v>
      </c>
      <c r="E247" s="331">
        <v>321.8</v>
      </c>
      <c r="F247" s="123"/>
      <c r="G247" s="279">
        <f t="shared" si="27"/>
        <v>5474.6799999999994</v>
      </c>
      <c r="H247" t="s">
        <v>3021</v>
      </c>
      <c r="I247" s="65" t="s">
        <v>3119</v>
      </c>
      <c r="J247" t="s">
        <v>3044</v>
      </c>
      <c r="K247">
        <f t="shared" si="28"/>
        <v>1045642</v>
      </c>
      <c r="L247">
        <f t="shared" si="29"/>
        <v>11465</v>
      </c>
    </row>
    <row r="248" spans="1:12">
      <c r="A248" s="139">
        <v>46052</v>
      </c>
      <c r="B248" s="124"/>
      <c r="C248" s="123">
        <v>221462</v>
      </c>
      <c r="D248" s="146">
        <f t="shared" si="26"/>
        <v>487137</v>
      </c>
      <c r="E248" s="331"/>
      <c r="F248" s="123"/>
      <c r="G248" s="279">
        <f t="shared" si="27"/>
        <v>5474.6799999999994</v>
      </c>
      <c r="H248" t="s">
        <v>1682</v>
      </c>
      <c r="I248" s="65"/>
      <c r="J248" t="s">
        <v>3044</v>
      </c>
      <c r="K248">
        <f t="shared" si="28"/>
        <v>1045642</v>
      </c>
      <c r="L248">
        <f t="shared" si="29"/>
        <v>11465</v>
      </c>
    </row>
    <row r="249" spans="1:12">
      <c r="A249" s="139">
        <v>46055</v>
      </c>
      <c r="B249" s="124"/>
      <c r="C249" s="123">
        <v>103905</v>
      </c>
      <c r="D249" s="146">
        <f t="shared" si="26"/>
        <v>591042</v>
      </c>
      <c r="E249" s="331"/>
      <c r="F249" s="123"/>
      <c r="G249" s="279">
        <f t="shared" si="27"/>
        <v>5474.6799999999994</v>
      </c>
      <c r="H249" t="s">
        <v>3000</v>
      </c>
      <c r="I249" s="65"/>
      <c r="J249" t="s">
        <v>3044</v>
      </c>
      <c r="K249">
        <f t="shared" si="28"/>
        <v>1045642</v>
      </c>
      <c r="L249">
        <f t="shared" si="29"/>
        <v>11465</v>
      </c>
    </row>
    <row r="250" spans="1:12">
      <c r="A250" s="147">
        <v>46058</v>
      </c>
      <c r="B250" s="149"/>
      <c r="C250" s="148">
        <v>286</v>
      </c>
      <c r="D250" s="150">
        <f t="shared" si="26"/>
        <v>591328</v>
      </c>
      <c r="E250" s="333"/>
      <c r="F250" s="148"/>
      <c r="G250" s="281">
        <f t="shared" si="27"/>
        <v>5474.6799999999994</v>
      </c>
      <c r="H250" s="152" t="s">
        <v>84</v>
      </c>
      <c r="I250" s="152"/>
      <c r="J250" t="s">
        <v>3044</v>
      </c>
      <c r="K250">
        <f t="shared" si="28"/>
        <v>1045642</v>
      </c>
      <c r="L250">
        <f t="shared" si="29"/>
        <v>11465</v>
      </c>
    </row>
    <row r="251" spans="1:12">
      <c r="A251" s="139">
        <v>46058</v>
      </c>
      <c r="B251" s="124">
        <v>5000</v>
      </c>
      <c r="C251" s="123"/>
      <c r="D251" s="146">
        <f t="shared" ref="D251" si="30">D250+C251-B251</f>
        <v>586328</v>
      </c>
      <c r="E251" s="331"/>
      <c r="F251" s="123"/>
      <c r="G251" s="279">
        <f t="shared" ref="G251:G265" si="31">G250+F251-E251</f>
        <v>5474.6799999999994</v>
      </c>
      <c r="H251" t="s">
        <v>2813</v>
      </c>
      <c r="I251" s="65" t="s">
        <v>2772</v>
      </c>
      <c r="J251" t="s">
        <v>3044</v>
      </c>
      <c r="K251">
        <f t="shared" ref="K251:K261" si="32">IF(J251="本金",C251+K250,K250)</f>
        <v>1045642</v>
      </c>
      <c r="L251">
        <f t="shared" ref="L251:L261" si="33">IF(J251="本金",F251+L250,L250)</f>
        <v>11465</v>
      </c>
    </row>
    <row r="252" spans="1:12">
      <c r="A252" s="139">
        <v>46059</v>
      </c>
      <c r="B252" s="124"/>
      <c r="C252" s="123">
        <v>10000</v>
      </c>
      <c r="D252" s="146">
        <f t="shared" si="26"/>
        <v>596328</v>
      </c>
      <c r="E252" s="331"/>
      <c r="F252" s="123"/>
      <c r="G252" s="279">
        <f t="shared" si="31"/>
        <v>5474.6799999999994</v>
      </c>
      <c r="I252" s="65" t="s">
        <v>3116</v>
      </c>
      <c r="J252" t="s">
        <v>3041</v>
      </c>
      <c r="K252">
        <f t="shared" si="32"/>
        <v>1055642</v>
      </c>
      <c r="L252">
        <f t="shared" si="33"/>
        <v>11465</v>
      </c>
    </row>
    <row r="253" spans="1:12">
      <c r="A253" s="139">
        <v>46063</v>
      </c>
      <c r="B253" s="124"/>
      <c r="C253" s="123">
        <v>5000</v>
      </c>
      <c r="D253" s="146">
        <f t="shared" si="26"/>
        <v>601328</v>
      </c>
      <c r="E253" s="331"/>
      <c r="F253" s="123"/>
      <c r="G253" s="279">
        <f t="shared" si="31"/>
        <v>5474.6799999999994</v>
      </c>
      <c r="I253" s="65" t="s">
        <v>2771</v>
      </c>
      <c r="J253" t="s">
        <v>3041</v>
      </c>
      <c r="K253">
        <f t="shared" si="32"/>
        <v>1060642</v>
      </c>
      <c r="L253">
        <f t="shared" si="33"/>
        <v>11465</v>
      </c>
    </row>
    <row r="254" spans="1:12">
      <c r="A254" s="195">
        <v>46064</v>
      </c>
      <c r="B254" s="197"/>
      <c r="C254" s="196">
        <v>3114</v>
      </c>
      <c r="D254" s="198">
        <f t="shared" ref="D254:D255" si="34">D253+C254-B254</f>
        <v>604442</v>
      </c>
      <c r="E254" s="334"/>
      <c r="F254" s="196"/>
      <c r="G254" s="278">
        <f t="shared" si="31"/>
        <v>5474.6799999999994</v>
      </c>
      <c r="H254" s="200" t="s">
        <v>1682</v>
      </c>
      <c r="I254" s="200" t="s">
        <v>101</v>
      </c>
      <c r="J254" t="s">
        <v>3044</v>
      </c>
      <c r="K254">
        <f t="shared" si="32"/>
        <v>1060642</v>
      </c>
      <c r="L254">
        <f t="shared" si="33"/>
        <v>11465</v>
      </c>
    </row>
    <row r="255" spans="1:12">
      <c r="A255" s="195">
        <v>46064</v>
      </c>
      <c r="B255" s="197"/>
      <c r="C255" s="196">
        <v>82</v>
      </c>
      <c r="D255" s="198">
        <f t="shared" si="34"/>
        <v>604524</v>
      </c>
      <c r="E255" s="334"/>
      <c r="F255" s="196"/>
      <c r="G255" s="278">
        <f t="shared" si="31"/>
        <v>5474.6799999999994</v>
      </c>
      <c r="H255" s="200" t="s">
        <v>2988</v>
      </c>
      <c r="I255" s="200" t="s">
        <v>101</v>
      </c>
      <c r="J255" t="s">
        <v>3044</v>
      </c>
      <c r="K255">
        <f t="shared" si="32"/>
        <v>1060642</v>
      </c>
      <c r="L255">
        <f t="shared" si="33"/>
        <v>11465</v>
      </c>
    </row>
    <row r="256" spans="1:12">
      <c r="A256" s="139">
        <v>46076</v>
      </c>
      <c r="B256" s="124">
        <v>4968</v>
      </c>
      <c r="C256" s="123"/>
      <c r="D256" s="146">
        <f>D255+C256-B256</f>
        <v>599556</v>
      </c>
      <c r="E256" s="331"/>
      <c r="F256" s="123"/>
      <c r="G256" s="279">
        <f t="shared" si="31"/>
        <v>5474.6799999999994</v>
      </c>
      <c r="H256" t="s">
        <v>1954</v>
      </c>
      <c r="I256" s="65" t="s">
        <v>2772</v>
      </c>
      <c r="J256" t="s">
        <v>3044</v>
      </c>
      <c r="K256">
        <f t="shared" si="32"/>
        <v>1060642</v>
      </c>
      <c r="L256">
        <f t="shared" si="33"/>
        <v>11465</v>
      </c>
    </row>
    <row r="257" spans="1:12">
      <c r="A257" s="139">
        <v>46079</v>
      </c>
      <c r="B257" s="124">
        <v>4967</v>
      </c>
      <c r="C257" s="123"/>
      <c r="D257" s="146">
        <f>D256+C257-B257</f>
        <v>594589</v>
      </c>
      <c r="E257" s="331"/>
      <c r="F257" s="123"/>
      <c r="G257" s="279">
        <f t="shared" si="31"/>
        <v>5474.6799999999994</v>
      </c>
      <c r="H257" t="s">
        <v>2990</v>
      </c>
      <c r="I257" s="65" t="s">
        <v>2772</v>
      </c>
      <c r="J257" t="s">
        <v>3044</v>
      </c>
      <c r="K257">
        <f>IF(J257="本金",C257+K256,K256)</f>
        <v>1060642</v>
      </c>
      <c r="L257">
        <f t="shared" si="33"/>
        <v>11465</v>
      </c>
    </row>
    <row r="258" spans="1:12">
      <c r="A258" s="139">
        <v>46086</v>
      </c>
      <c r="B258" s="124">
        <v>4990</v>
      </c>
      <c r="C258" s="123"/>
      <c r="D258" s="146">
        <f t="shared" ref="D258:D261" si="35">D257+C258-B258</f>
        <v>589599</v>
      </c>
      <c r="E258" s="331"/>
      <c r="F258" s="123"/>
      <c r="G258" s="279">
        <f t="shared" si="31"/>
        <v>5474.6799999999994</v>
      </c>
      <c r="H258" t="s">
        <v>2813</v>
      </c>
      <c r="I258" s="65" t="s">
        <v>2772</v>
      </c>
      <c r="J258" t="s">
        <v>3044</v>
      </c>
      <c r="K258">
        <f t="shared" ref="K258" si="36">IF(J258="本金",C258+K257,K257)</f>
        <v>1060642</v>
      </c>
      <c r="L258">
        <f t="shared" ref="L258" si="37">IF(J258="本金",F258+L257,L257)</f>
        <v>11465</v>
      </c>
    </row>
    <row r="259" spans="1:12">
      <c r="A259" s="139">
        <v>46091</v>
      </c>
      <c r="B259" s="124"/>
      <c r="C259" s="123">
        <v>5000</v>
      </c>
      <c r="D259" s="146">
        <f t="shared" si="35"/>
        <v>594599</v>
      </c>
      <c r="E259" s="331"/>
      <c r="F259" s="123"/>
      <c r="G259" s="279">
        <f t="shared" si="31"/>
        <v>5474.6799999999994</v>
      </c>
      <c r="I259" s="65" t="s">
        <v>2771</v>
      </c>
      <c r="J259" t="s">
        <v>3041</v>
      </c>
      <c r="K259">
        <f>IF(J259="本金",C259+K258,K258)</f>
        <v>1065642</v>
      </c>
      <c r="L259">
        <f>IF(J259="本金",F259+L258,L258)</f>
        <v>11465</v>
      </c>
    </row>
    <row r="260" spans="1:12">
      <c r="A260" s="139">
        <v>46091</v>
      </c>
      <c r="B260" s="124"/>
      <c r="C260" s="123"/>
      <c r="D260" s="146">
        <f t="shared" si="35"/>
        <v>594599</v>
      </c>
      <c r="E260" s="331"/>
      <c r="F260" s="123">
        <v>1307.27</v>
      </c>
      <c r="G260" s="279">
        <f t="shared" si="31"/>
        <v>6781.9499999999989</v>
      </c>
      <c r="H260" t="s">
        <v>3117</v>
      </c>
      <c r="I260" s="65" t="s">
        <v>3118</v>
      </c>
      <c r="J260" t="s">
        <v>3044</v>
      </c>
      <c r="K260">
        <f>IF(J260="本金",C260+K259,K259)</f>
        <v>1065642</v>
      </c>
      <c r="L260">
        <f>IF(J260="本金",F260+L259,L259)</f>
        <v>11465</v>
      </c>
    </row>
    <row r="261" spans="1:12">
      <c r="A261" s="139">
        <v>46092</v>
      </c>
      <c r="B261" s="124"/>
      <c r="C261" s="123">
        <v>444475</v>
      </c>
      <c r="D261" s="146">
        <f t="shared" si="35"/>
        <v>1039074</v>
      </c>
      <c r="E261" s="331"/>
      <c r="F261" s="123"/>
      <c r="G261" s="279">
        <f t="shared" si="31"/>
        <v>6781.9499999999989</v>
      </c>
      <c r="I261" s="65" t="s">
        <v>3120</v>
      </c>
      <c r="J261" t="s">
        <v>3044</v>
      </c>
      <c r="K261">
        <f t="shared" si="32"/>
        <v>1065642</v>
      </c>
      <c r="L261">
        <f t="shared" si="33"/>
        <v>11465</v>
      </c>
    </row>
    <row r="262" spans="1:12">
      <c r="A262" s="139">
        <v>46093</v>
      </c>
      <c r="B262" s="124"/>
      <c r="C262" s="123">
        <v>29251</v>
      </c>
      <c r="D262" s="146">
        <f>D261+C262-B262</f>
        <v>1068325</v>
      </c>
      <c r="E262" s="331"/>
      <c r="F262" s="123"/>
      <c r="G262" s="279">
        <f t="shared" si="31"/>
        <v>6781.9499999999989</v>
      </c>
      <c r="I262" s="65" t="s">
        <v>3120</v>
      </c>
      <c r="J262" t="s">
        <v>3044</v>
      </c>
      <c r="K262">
        <f t="shared" ref="K262" si="38">IF(J262="本金",C262+K261,K261)</f>
        <v>1065642</v>
      </c>
      <c r="L262">
        <f t="shared" ref="L262" si="39">IF(J262="本金",F262+L261,L261)</f>
        <v>11465</v>
      </c>
    </row>
    <row r="263" spans="1:12">
      <c r="A263" s="195">
        <v>46093</v>
      </c>
      <c r="B263" s="197"/>
      <c r="C263" s="196"/>
      <c r="D263" s="198">
        <f>D262+C263-B263</f>
        <v>1068325</v>
      </c>
      <c r="E263" s="334"/>
      <c r="F263" s="196">
        <v>1.21</v>
      </c>
      <c r="G263" s="278">
        <f t="shared" ref="G263" si="40">G262+F263-E263</f>
        <v>6783.1599999999989</v>
      </c>
      <c r="H263" s="200" t="s">
        <v>2873</v>
      </c>
      <c r="I263" s="200" t="s">
        <v>101</v>
      </c>
      <c r="J263" t="s">
        <v>3044</v>
      </c>
      <c r="K263">
        <f t="shared" ref="K263:K269" si="41">IF(J263="本金",C263+K262,K262)</f>
        <v>1065642</v>
      </c>
      <c r="L263">
        <f t="shared" ref="L263:L269" si="42">IF(J263="本金",F263+L262,L262)</f>
        <v>11465</v>
      </c>
    </row>
    <row r="264" spans="1:12">
      <c r="A264" s="139">
        <v>46096</v>
      </c>
      <c r="B264" s="124"/>
      <c r="C264" s="123">
        <v>13100</v>
      </c>
      <c r="D264" s="146">
        <f>D263+C264-B264</f>
        <v>1081425</v>
      </c>
      <c r="E264" s="331"/>
      <c r="F264" s="123"/>
      <c r="G264" s="279">
        <f t="shared" si="31"/>
        <v>6783.1599999999989</v>
      </c>
      <c r="I264" s="65" t="s">
        <v>2738</v>
      </c>
      <c r="J264" t="s">
        <v>3041</v>
      </c>
      <c r="K264">
        <f t="shared" si="41"/>
        <v>1078742</v>
      </c>
      <c r="L264">
        <f t="shared" si="42"/>
        <v>11465</v>
      </c>
    </row>
    <row r="265" spans="1:12">
      <c r="A265" s="139">
        <v>46097</v>
      </c>
      <c r="B265" s="124">
        <v>5001</v>
      </c>
      <c r="C265" s="123"/>
      <c r="D265" s="146">
        <f t="shared" ref="D265:D269" si="43">D264+C265-B265</f>
        <v>1076424</v>
      </c>
      <c r="E265" s="331"/>
      <c r="F265" s="123"/>
      <c r="G265" s="279">
        <f t="shared" si="31"/>
        <v>6783.1599999999989</v>
      </c>
      <c r="H265" t="s">
        <v>1954</v>
      </c>
      <c r="I265" s="65" t="s">
        <v>2772</v>
      </c>
      <c r="J265" t="s">
        <v>3044</v>
      </c>
      <c r="K265">
        <f t="shared" si="41"/>
        <v>1078742</v>
      </c>
      <c r="L265">
        <f t="shared" si="42"/>
        <v>11465</v>
      </c>
    </row>
    <row r="266" spans="1:12">
      <c r="A266" s="195">
        <v>46104</v>
      </c>
      <c r="B266" s="197"/>
      <c r="C266" s="196">
        <v>65</v>
      </c>
      <c r="D266" s="198">
        <f t="shared" si="43"/>
        <v>1076489</v>
      </c>
      <c r="E266" s="334"/>
      <c r="F266" s="196"/>
      <c r="G266" s="278">
        <f t="shared" ref="G266:G269" si="44">G265+F266-E266</f>
        <v>6783.1599999999989</v>
      </c>
      <c r="H266" s="200" t="s">
        <v>1940</v>
      </c>
      <c r="I266" s="200" t="s">
        <v>101</v>
      </c>
      <c r="J266" t="s">
        <v>3044</v>
      </c>
      <c r="K266">
        <f t="shared" si="41"/>
        <v>1078742</v>
      </c>
      <c r="L266">
        <f t="shared" si="42"/>
        <v>11465</v>
      </c>
    </row>
    <row r="267" spans="1:12">
      <c r="A267" s="147">
        <v>46114</v>
      </c>
      <c r="B267" s="149"/>
      <c r="C267" s="148">
        <v>267</v>
      </c>
      <c r="D267" s="150">
        <f t="shared" si="43"/>
        <v>1076756</v>
      </c>
      <c r="E267" s="333"/>
      <c r="F267" s="148"/>
      <c r="G267" s="281">
        <f t="shared" si="44"/>
        <v>6783.1599999999989</v>
      </c>
      <c r="H267" s="152" t="s">
        <v>84</v>
      </c>
      <c r="I267" s="152"/>
      <c r="J267" t="s">
        <v>3044</v>
      </c>
      <c r="K267">
        <f t="shared" si="41"/>
        <v>1078742</v>
      </c>
      <c r="L267">
        <f t="shared" si="42"/>
        <v>11465</v>
      </c>
    </row>
    <row r="268" spans="1:12">
      <c r="A268" s="195">
        <v>46114</v>
      </c>
      <c r="B268" s="197"/>
      <c r="C268" s="196"/>
      <c r="D268" s="198">
        <f t="shared" si="43"/>
        <v>1076756</v>
      </c>
      <c r="E268" s="334"/>
      <c r="F268" s="196">
        <v>0.35</v>
      </c>
      <c r="G268" s="278">
        <f t="shared" si="44"/>
        <v>6783.5099999999993</v>
      </c>
      <c r="H268" s="200" t="s">
        <v>2560</v>
      </c>
      <c r="I268" s="200" t="s">
        <v>101</v>
      </c>
      <c r="J268" t="s">
        <v>3044</v>
      </c>
      <c r="K268">
        <f t="shared" si="41"/>
        <v>1078742</v>
      </c>
      <c r="L268">
        <f t="shared" si="42"/>
        <v>11465</v>
      </c>
    </row>
    <row r="269" spans="1:12">
      <c r="A269" s="139">
        <v>46119</v>
      </c>
      <c r="B269" s="124">
        <v>4996</v>
      </c>
      <c r="C269" s="123"/>
      <c r="D269" s="146">
        <f t="shared" si="43"/>
        <v>1071760</v>
      </c>
      <c r="E269" s="331"/>
      <c r="F269" s="123"/>
      <c r="G269" s="279">
        <f t="shared" si="44"/>
        <v>6783.5099999999993</v>
      </c>
      <c r="H269" t="s">
        <v>2813</v>
      </c>
      <c r="I269" s="65" t="s">
        <v>2772</v>
      </c>
      <c r="J269" t="s">
        <v>3044</v>
      </c>
      <c r="K269">
        <f t="shared" si="41"/>
        <v>1078742</v>
      </c>
      <c r="L269">
        <f t="shared" si="42"/>
        <v>11465</v>
      </c>
    </row>
    <row r="270" spans="1:12">
      <c r="A270" s="195">
        <v>46122</v>
      </c>
      <c r="B270" s="197"/>
      <c r="C270" s="196">
        <v>616</v>
      </c>
      <c r="D270" s="198">
        <f t="shared" ref="D270:D278" si="45">D269+C270-B270</f>
        <v>1072376</v>
      </c>
      <c r="E270" s="334"/>
      <c r="F270" s="196"/>
      <c r="G270" s="278">
        <f t="shared" ref="G270:G275" si="46">G269+F270-E270</f>
        <v>6783.5099999999993</v>
      </c>
      <c r="H270" s="200" t="s">
        <v>2813</v>
      </c>
      <c r="I270" s="200" t="s">
        <v>101</v>
      </c>
      <c r="J270" t="s">
        <v>3044</v>
      </c>
      <c r="K270">
        <f t="shared" ref="K270:K271" si="47">IF(J270="本金",C270+K269,K269)</f>
        <v>1078742</v>
      </c>
      <c r="L270">
        <f t="shared" ref="L270:L271" si="48">IF(J270="本金",F270+L269,L269)</f>
        <v>11465</v>
      </c>
    </row>
    <row r="271" spans="1:12">
      <c r="A271" s="139">
        <v>46122</v>
      </c>
      <c r="B271" s="124"/>
      <c r="C271" s="123">
        <v>5000</v>
      </c>
      <c r="D271" s="146">
        <f t="shared" si="45"/>
        <v>1077376</v>
      </c>
      <c r="E271" s="331"/>
      <c r="F271" s="123"/>
      <c r="G271" s="279">
        <f t="shared" si="46"/>
        <v>6783.5099999999993</v>
      </c>
      <c r="I271" s="65" t="s">
        <v>2771</v>
      </c>
      <c r="J271" t="s">
        <v>3041</v>
      </c>
      <c r="K271">
        <f t="shared" si="47"/>
        <v>1083742</v>
      </c>
      <c r="L271">
        <f t="shared" si="48"/>
        <v>11465</v>
      </c>
    </row>
    <row r="272" spans="1:12">
      <c r="A272" s="139">
        <v>46128</v>
      </c>
      <c r="B272" s="124">
        <v>4958</v>
      </c>
      <c r="C272" s="123"/>
      <c r="D272" s="146">
        <f t="shared" si="45"/>
        <v>1072418</v>
      </c>
      <c r="E272" s="331"/>
      <c r="F272" s="123"/>
      <c r="G272" s="279">
        <f t="shared" si="46"/>
        <v>6783.5099999999993</v>
      </c>
      <c r="H272" t="s">
        <v>1954</v>
      </c>
      <c r="I272" s="65" t="s">
        <v>2772</v>
      </c>
      <c r="J272" t="s">
        <v>3044</v>
      </c>
      <c r="K272">
        <f t="shared" ref="K272" si="49">IF(J272="本金",C272+K271,K271)</f>
        <v>1083742</v>
      </c>
      <c r="L272">
        <f t="shared" ref="L272" si="50">IF(J272="本金",F272+L271,L271)</f>
        <v>11465</v>
      </c>
    </row>
    <row r="273" spans="1:12">
      <c r="A273" s="139">
        <v>46132</v>
      </c>
      <c r="B273" s="124">
        <v>205292</v>
      </c>
      <c r="C273" s="123"/>
      <c r="D273" s="146">
        <f t="shared" si="45"/>
        <v>867126</v>
      </c>
      <c r="E273" s="331"/>
      <c r="F273" s="123"/>
      <c r="G273" s="279">
        <f t="shared" si="46"/>
        <v>6783.5099999999993</v>
      </c>
      <c r="H273" s="65" t="s">
        <v>1549</v>
      </c>
      <c r="I273" s="65"/>
      <c r="J273" t="s">
        <v>3044</v>
      </c>
      <c r="K273">
        <f t="shared" ref="K273:K306" si="51">IF(J273="本金",C273+K272,K272)</f>
        <v>1083742</v>
      </c>
      <c r="L273">
        <f t="shared" ref="L273:L306" si="52">IF(J273="本金",F273+L272,L272)</f>
        <v>11465</v>
      </c>
    </row>
    <row r="274" spans="1:12">
      <c r="A274" s="139">
        <v>46136</v>
      </c>
      <c r="B274" s="124"/>
      <c r="C274" s="123"/>
      <c r="D274" s="146">
        <f t="shared" si="45"/>
        <v>867126</v>
      </c>
      <c r="E274" s="331">
        <v>4174.17</v>
      </c>
      <c r="F274" s="123"/>
      <c r="G274" s="279">
        <f t="shared" si="46"/>
        <v>2609.3399999999992</v>
      </c>
      <c r="H274" t="s">
        <v>3158</v>
      </c>
      <c r="I274" s="65" t="s">
        <v>3119</v>
      </c>
      <c r="J274" t="s">
        <v>3044</v>
      </c>
      <c r="K274">
        <f t="shared" si="51"/>
        <v>1083742</v>
      </c>
      <c r="L274">
        <f t="shared" si="52"/>
        <v>11465</v>
      </c>
    </row>
    <row r="275" spans="1:12">
      <c r="A275" s="139">
        <v>46140</v>
      </c>
      <c r="B275" s="124">
        <v>455997</v>
      </c>
      <c r="C275" s="123"/>
      <c r="D275" s="146">
        <f t="shared" si="45"/>
        <v>411129</v>
      </c>
      <c r="E275" s="331"/>
      <c r="F275" s="123"/>
      <c r="G275" s="279">
        <f t="shared" si="46"/>
        <v>2609.3399999999992</v>
      </c>
      <c r="I275" s="65" t="s">
        <v>3143</v>
      </c>
      <c r="J275" t="s">
        <v>3044</v>
      </c>
      <c r="K275">
        <f t="shared" si="51"/>
        <v>1083742</v>
      </c>
      <c r="L275">
        <f t="shared" si="52"/>
        <v>11465</v>
      </c>
    </row>
    <row r="276" spans="1:12">
      <c r="A276" s="147">
        <v>46147</v>
      </c>
      <c r="B276" s="149"/>
      <c r="C276" s="148">
        <v>374</v>
      </c>
      <c r="D276" s="150">
        <f t="shared" si="45"/>
        <v>411503</v>
      </c>
      <c r="E276" s="333"/>
      <c r="F276" s="148"/>
      <c r="G276" s="281">
        <f t="shared" ref="G276:G281" si="53">G275+F276-E276</f>
        <v>2609.3399999999992</v>
      </c>
      <c r="H276" s="152" t="s">
        <v>84</v>
      </c>
      <c r="I276" s="152"/>
      <c r="J276" t="s">
        <v>3044</v>
      </c>
      <c r="K276">
        <f t="shared" si="51"/>
        <v>1083742</v>
      </c>
      <c r="L276">
        <f t="shared" si="52"/>
        <v>11465</v>
      </c>
    </row>
    <row r="277" spans="1:12">
      <c r="A277" s="139">
        <v>46147</v>
      </c>
      <c r="B277" s="124">
        <v>4978</v>
      </c>
      <c r="C277" s="123"/>
      <c r="D277" s="146">
        <f t="shared" si="45"/>
        <v>406525</v>
      </c>
      <c r="E277" s="331"/>
      <c r="F277" s="123"/>
      <c r="G277" s="279">
        <f t="shared" si="53"/>
        <v>2609.3399999999992</v>
      </c>
      <c r="H277" t="s">
        <v>2813</v>
      </c>
      <c r="I277" s="65" t="s">
        <v>2772</v>
      </c>
      <c r="J277" t="s">
        <v>3044</v>
      </c>
      <c r="K277">
        <f t="shared" si="51"/>
        <v>1083742</v>
      </c>
      <c r="L277">
        <f t="shared" si="52"/>
        <v>11465</v>
      </c>
    </row>
    <row r="278" spans="1:12">
      <c r="A278" s="195">
        <v>46149</v>
      </c>
      <c r="B278" s="197"/>
      <c r="C278" s="196"/>
      <c r="D278" s="198">
        <f t="shared" si="45"/>
        <v>406525</v>
      </c>
      <c r="E278" s="334"/>
      <c r="F278" s="196">
        <v>0.93</v>
      </c>
      <c r="G278" s="278">
        <f t="shared" si="53"/>
        <v>2610.2699999999991</v>
      </c>
      <c r="H278" s="200" t="s">
        <v>3134</v>
      </c>
      <c r="I278" s="200" t="s">
        <v>101</v>
      </c>
      <c r="J278" t="s">
        <v>3044</v>
      </c>
      <c r="K278">
        <f t="shared" si="51"/>
        <v>1083742</v>
      </c>
      <c r="L278">
        <f t="shared" si="52"/>
        <v>11465</v>
      </c>
    </row>
    <row r="279" spans="1:12">
      <c r="A279" s="139">
        <v>46152</v>
      </c>
      <c r="B279" s="124"/>
      <c r="C279" s="123">
        <v>5000</v>
      </c>
      <c r="D279" s="146">
        <f t="shared" ref="D279:D281" si="54">D278+C279-B279</f>
        <v>411525</v>
      </c>
      <c r="E279" s="331"/>
      <c r="F279" s="123"/>
      <c r="G279" s="279">
        <f t="shared" si="53"/>
        <v>2610.2699999999991</v>
      </c>
      <c r="I279" s="65" t="s">
        <v>2771</v>
      </c>
      <c r="J279" t="s">
        <v>3041</v>
      </c>
      <c r="K279">
        <f t="shared" si="51"/>
        <v>1088742</v>
      </c>
      <c r="L279">
        <f t="shared" si="52"/>
        <v>11465</v>
      </c>
    </row>
    <row r="280" spans="1:12">
      <c r="A280" s="139">
        <v>46160</v>
      </c>
      <c r="B280" s="124">
        <v>4969</v>
      </c>
      <c r="C280" s="123"/>
      <c r="D280" s="146">
        <f t="shared" si="54"/>
        <v>406556</v>
      </c>
      <c r="E280" s="331"/>
      <c r="F280" s="123"/>
      <c r="G280" s="279">
        <f t="shared" si="53"/>
        <v>2610.2699999999991</v>
      </c>
      <c r="H280" t="s">
        <v>3218</v>
      </c>
      <c r="I280" s="65" t="s">
        <v>2772</v>
      </c>
      <c r="J280" t="s">
        <v>3044</v>
      </c>
      <c r="K280">
        <f t="shared" si="51"/>
        <v>1088742</v>
      </c>
      <c r="L280">
        <f t="shared" si="52"/>
        <v>11465</v>
      </c>
    </row>
    <row r="281" spans="1:12">
      <c r="A281" s="139">
        <v>46169</v>
      </c>
      <c r="B281" s="124"/>
      <c r="C281" s="123"/>
      <c r="D281" s="146">
        <f t="shared" si="54"/>
        <v>406556</v>
      </c>
      <c r="E281" s="331">
        <v>100.1</v>
      </c>
      <c r="F281" s="123"/>
      <c r="G281" s="279">
        <f t="shared" si="53"/>
        <v>2510.1699999999992</v>
      </c>
      <c r="H281" t="s">
        <v>3136</v>
      </c>
      <c r="I281" s="65" t="s">
        <v>3119</v>
      </c>
      <c r="J281" t="s">
        <v>3044</v>
      </c>
      <c r="K281">
        <f t="shared" si="51"/>
        <v>1088742</v>
      </c>
      <c r="L281">
        <f t="shared" si="52"/>
        <v>11465</v>
      </c>
    </row>
    <row r="282" spans="1:12">
      <c r="A282" s="139">
        <v>46174</v>
      </c>
      <c r="B282" s="124">
        <v>87324</v>
      </c>
      <c r="C282" s="123"/>
      <c r="D282" s="146">
        <f t="shared" ref="D282:D284" si="55">D281+C282-B282</f>
        <v>319232</v>
      </c>
      <c r="E282" s="331"/>
      <c r="F282" s="123"/>
      <c r="G282" s="279">
        <f t="shared" ref="G282:G284" si="56">G281+F282-E282</f>
        <v>2510.1699999999992</v>
      </c>
      <c r="H282" t="s">
        <v>2996</v>
      </c>
      <c r="I282" s="384"/>
      <c r="J282" t="s">
        <v>3044</v>
      </c>
      <c r="K282">
        <f t="shared" si="51"/>
        <v>1088742</v>
      </c>
      <c r="L282">
        <f t="shared" si="52"/>
        <v>11465</v>
      </c>
    </row>
    <row r="283" spans="1:12">
      <c r="A283" s="147">
        <v>46178</v>
      </c>
      <c r="B283" s="149"/>
      <c r="C283" s="148">
        <v>49</v>
      </c>
      <c r="D283" s="150">
        <f t="shared" si="55"/>
        <v>319281</v>
      </c>
      <c r="E283" s="333"/>
      <c r="F283" s="148"/>
      <c r="G283" s="281">
        <f t="shared" si="56"/>
        <v>2510.1699999999992</v>
      </c>
      <c r="H283" s="152" t="s">
        <v>84</v>
      </c>
      <c r="I283" s="152"/>
      <c r="J283" t="s">
        <v>3044</v>
      </c>
      <c r="K283">
        <f t="shared" si="51"/>
        <v>1088742</v>
      </c>
      <c r="L283">
        <f t="shared" si="52"/>
        <v>11465</v>
      </c>
    </row>
    <row r="284" spans="1:12">
      <c r="A284" s="139">
        <v>46178</v>
      </c>
      <c r="B284" s="124">
        <v>4979</v>
      </c>
      <c r="C284" s="123"/>
      <c r="D284" s="146">
        <f t="shared" si="55"/>
        <v>314302</v>
      </c>
      <c r="E284" s="331"/>
      <c r="F284" s="123"/>
      <c r="G284" s="279">
        <f t="shared" si="56"/>
        <v>2510.1699999999992</v>
      </c>
      <c r="H284" t="s">
        <v>2813</v>
      </c>
      <c r="I284" s="65" t="s">
        <v>2772</v>
      </c>
      <c r="J284" t="s">
        <v>3044</v>
      </c>
      <c r="K284">
        <f t="shared" si="51"/>
        <v>1088742</v>
      </c>
      <c r="L284">
        <f t="shared" si="52"/>
        <v>11465</v>
      </c>
    </row>
    <row r="285" spans="1:12">
      <c r="A285" s="139">
        <v>46183</v>
      </c>
      <c r="B285" s="124">
        <v>23082</v>
      </c>
      <c r="C285" s="123"/>
      <c r="D285" s="146">
        <f t="shared" ref="D285:D286" si="57">D284+C285-B285</f>
        <v>291220</v>
      </c>
      <c r="E285" s="331"/>
      <c r="F285" s="123"/>
      <c r="G285" s="279">
        <f t="shared" ref="G285:G287" si="58">G284+F285-E285</f>
        <v>2510.1699999999992</v>
      </c>
      <c r="H285" s="65" t="s">
        <v>1549</v>
      </c>
      <c r="I285" s="384"/>
      <c r="J285" t="s">
        <v>3044</v>
      </c>
      <c r="K285">
        <f t="shared" si="51"/>
        <v>1088742</v>
      </c>
      <c r="L285">
        <f t="shared" si="52"/>
        <v>11465</v>
      </c>
    </row>
    <row r="286" spans="1:12">
      <c r="A286" s="139">
        <v>46183</v>
      </c>
      <c r="B286" s="124"/>
      <c r="C286" s="123">
        <v>5000</v>
      </c>
      <c r="D286" s="146">
        <f t="shared" si="57"/>
        <v>296220</v>
      </c>
      <c r="E286" s="331"/>
      <c r="F286" s="123"/>
      <c r="G286" s="279">
        <f t="shared" si="58"/>
        <v>2510.1699999999992</v>
      </c>
      <c r="I286" s="65" t="s">
        <v>2771</v>
      </c>
      <c r="J286" t="s">
        <v>3041</v>
      </c>
      <c r="K286">
        <f t="shared" si="51"/>
        <v>1093742</v>
      </c>
      <c r="L286">
        <f t="shared" si="52"/>
        <v>11465</v>
      </c>
    </row>
    <row r="287" spans="1:12">
      <c r="A287" s="195">
        <v>46185</v>
      </c>
      <c r="B287" s="197"/>
      <c r="C287" s="196"/>
      <c r="D287" s="198">
        <f>D286+C287-B287</f>
        <v>296220</v>
      </c>
      <c r="E287" s="334"/>
      <c r="F287" s="196">
        <v>0.59</v>
      </c>
      <c r="G287" s="278">
        <f t="shared" si="58"/>
        <v>2510.7599999999993</v>
      </c>
      <c r="H287" s="200" t="s">
        <v>2873</v>
      </c>
      <c r="I287" s="200" t="s">
        <v>101</v>
      </c>
      <c r="J287" t="s">
        <v>3044</v>
      </c>
      <c r="K287">
        <f t="shared" si="51"/>
        <v>1093742</v>
      </c>
      <c r="L287">
        <f t="shared" si="52"/>
        <v>11465</v>
      </c>
    </row>
    <row r="288" spans="1:12">
      <c r="A288" s="195">
        <v>46185</v>
      </c>
      <c r="B288" s="197"/>
      <c r="C288" s="196"/>
      <c r="D288" s="198">
        <f>D287+C288-B288</f>
        <v>296220</v>
      </c>
      <c r="E288" s="334"/>
      <c r="F288" s="196">
        <v>0.76</v>
      </c>
      <c r="G288" s="278">
        <f t="shared" ref="G288:G292" si="59">G287+F288-E288</f>
        <v>2511.5199999999995</v>
      </c>
      <c r="H288" s="200" t="s">
        <v>3135</v>
      </c>
      <c r="I288" s="200" t="s">
        <v>101</v>
      </c>
      <c r="J288" t="s">
        <v>3044</v>
      </c>
      <c r="K288">
        <f t="shared" si="51"/>
        <v>1093742</v>
      </c>
      <c r="L288">
        <f t="shared" si="52"/>
        <v>11465</v>
      </c>
    </row>
    <row r="289" spans="1:12">
      <c r="A289" s="139">
        <v>46189</v>
      </c>
      <c r="B289" s="124">
        <v>4991</v>
      </c>
      <c r="C289" s="123"/>
      <c r="D289" s="146">
        <f t="shared" ref="D289:D292" si="60">D288+C289-B289</f>
        <v>291229</v>
      </c>
      <c r="E289" s="331"/>
      <c r="F289" s="123"/>
      <c r="G289" s="279">
        <f t="shared" si="59"/>
        <v>2511.5199999999995</v>
      </c>
      <c r="H289" t="s">
        <v>3218</v>
      </c>
      <c r="I289" s="65" t="s">
        <v>2772</v>
      </c>
      <c r="J289" t="s">
        <v>3044</v>
      </c>
      <c r="K289">
        <f t="shared" si="51"/>
        <v>1093742</v>
      </c>
      <c r="L289">
        <f t="shared" si="52"/>
        <v>11465</v>
      </c>
    </row>
    <row r="290" spans="1:12">
      <c r="A290" s="153">
        <v>46194</v>
      </c>
      <c r="B290" s="155"/>
      <c r="C290" s="154">
        <v>1721</v>
      </c>
      <c r="D290" s="156">
        <f t="shared" si="60"/>
        <v>292950</v>
      </c>
      <c r="E290" s="332"/>
      <c r="F290" s="154"/>
      <c r="G290" s="280">
        <f t="shared" si="59"/>
        <v>2511.5199999999995</v>
      </c>
      <c r="H290" s="158" t="s">
        <v>48</v>
      </c>
      <c r="I290" s="159"/>
      <c r="J290" t="s">
        <v>3044</v>
      </c>
      <c r="K290">
        <f t="shared" si="51"/>
        <v>1093742</v>
      </c>
      <c r="L290">
        <f t="shared" si="52"/>
        <v>11465</v>
      </c>
    </row>
    <row r="291" spans="1:12">
      <c r="A291" s="282">
        <v>46194</v>
      </c>
      <c r="B291" s="283"/>
      <c r="C291" s="284"/>
      <c r="D291" s="285">
        <f t="shared" si="60"/>
        <v>292950</v>
      </c>
      <c r="E291" s="335"/>
      <c r="F291" s="284">
        <v>8.68</v>
      </c>
      <c r="G291" s="286">
        <f t="shared" si="59"/>
        <v>2520.1999999999994</v>
      </c>
      <c r="H291" s="287" t="s">
        <v>48</v>
      </c>
      <c r="I291" s="288"/>
      <c r="J291" t="s">
        <v>3044</v>
      </c>
      <c r="K291">
        <f t="shared" si="51"/>
        <v>1093742</v>
      </c>
      <c r="L291">
        <f t="shared" si="52"/>
        <v>11465</v>
      </c>
    </row>
    <row r="292" spans="1:12">
      <c r="A292" s="139">
        <v>46195</v>
      </c>
      <c r="B292" s="124"/>
      <c r="C292" s="123"/>
      <c r="D292" s="146">
        <f t="shared" si="60"/>
        <v>292950</v>
      </c>
      <c r="E292" s="331">
        <v>100.1</v>
      </c>
      <c r="F292" s="123"/>
      <c r="G292" s="279">
        <f t="shared" si="59"/>
        <v>2420.0999999999995</v>
      </c>
      <c r="H292" t="s">
        <v>2802</v>
      </c>
      <c r="I292" s="65" t="s">
        <v>3119</v>
      </c>
      <c r="J292" t="s">
        <v>3044</v>
      </c>
      <c r="K292">
        <f t="shared" si="51"/>
        <v>1093742</v>
      </c>
      <c r="L292">
        <f t="shared" si="52"/>
        <v>11465</v>
      </c>
    </row>
    <row r="293" spans="1:12">
      <c r="A293" s="139">
        <v>46197</v>
      </c>
      <c r="B293" s="124"/>
      <c r="C293" s="123"/>
      <c r="D293" s="146">
        <f t="shared" ref="D293:D298" si="61">D292+C293-B293</f>
        <v>292950</v>
      </c>
      <c r="E293" s="331">
        <v>100.1</v>
      </c>
      <c r="F293" s="123"/>
      <c r="G293" s="279">
        <f t="shared" ref="G293:G298" si="62">G292+F293-E293</f>
        <v>2319.9999999999995</v>
      </c>
      <c r="H293" t="s">
        <v>2802</v>
      </c>
      <c r="I293" s="65" t="s">
        <v>3119</v>
      </c>
      <c r="J293" t="s">
        <v>3044</v>
      </c>
      <c r="K293">
        <f t="shared" si="51"/>
        <v>1093742</v>
      </c>
      <c r="L293">
        <f t="shared" si="52"/>
        <v>11465</v>
      </c>
    </row>
    <row r="294" spans="1:12" s="65" customFormat="1" ht="33">
      <c r="A294" s="139">
        <v>46174</v>
      </c>
      <c r="B294" s="387">
        <v>53808</v>
      </c>
      <c r="C294" s="123"/>
      <c r="D294" s="388">
        <f t="shared" si="61"/>
        <v>239142</v>
      </c>
      <c r="E294" s="389"/>
      <c r="F294" s="123"/>
      <c r="G294" s="390">
        <f t="shared" si="62"/>
        <v>2319.9999999999995</v>
      </c>
      <c r="H294" s="384" t="s">
        <v>3222</v>
      </c>
      <c r="I294" s="384" t="s">
        <v>3219</v>
      </c>
      <c r="J294" s="65" t="s">
        <v>3044</v>
      </c>
      <c r="K294" s="65">
        <f t="shared" si="51"/>
        <v>1093742</v>
      </c>
      <c r="L294" s="65">
        <f t="shared" si="52"/>
        <v>11465</v>
      </c>
    </row>
    <row r="295" spans="1:12">
      <c r="A295" s="195">
        <v>46203</v>
      </c>
      <c r="B295" s="197"/>
      <c r="C295" s="196"/>
      <c r="D295" s="198">
        <f t="shared" si="61"/>
        <v>239142</v>
      </c>
      <c r="E295" s="334"/>
      <c r="F295" s="196">
        <v>8.75</v>
      </c>
      <c r="G295" s="278">
        <f t="shared" si="62"/>
        <v>2328.7499999999995</v>
      </c>
      <c r="H295" s="200" t="s">
        <v>2560</v>
      </c>
      <c r="I295" s="200" t="s">
        <v>101</v>
      </c>
      <c r="J295" t="s">
        <v>3044</v>
      </c>
      <c r="K295">
        <f t="shared" si="51"/>
        <v>1093742</v>
      </c>
      <c r="L295">
        <f t="shared" si="52"/>
        <v>11465</v>
      </c>
    </row>
    <row r="296" spans="1:12">
      <c r="A296" s="147">
        <v>46206</v>
      </c>
      <c r="B296" s="149"/>
      <c r="C296" s="148">
        <v>147</v>
      </c>
      <c r="D296" s="150">
        <f t="shared" si="61"/>
        <v>239289</v>
      </c>
      <c r="E296" s="333"/>
      <c r="F296" s="148"/>
      <c r="G296" s="281">
        <f t="shared" si="62"/>
        <v>2328.7499999999995</v>
      </c>
      <c r="H296" s="152" t="s">
        <v>84</v>
      </c>
      <c r="I296" s="152"/>
      <c r="J296" t="s">
        <v>3044</v>
      </c>
      <c r="K296">
        <f t="shared" si="51"/>
        <v>1093742</v>
      </c>
      <c r="L296">
        <f t="shared" si="52"/>
        <v>11465</v>
      </c>
    </row>
    <row r="297" spans="1:12">
      <c r="A297" s="139">
        <v>46209</v>
      </c>
      <c r="B297" s="124">
        <v>4985</v>
      </c>
      <c r="C297" s="123"/>
      <c r="D297" s="146">
        <f t="shared" si="61"/>
        <v>234304</v>
      </c>
      <c r="E297" s="331"/>
      <c r="F297" s="123"/>
      <c r="G297" s="279">
        <f t="shared" si="62"/>
        <v>2328.7499999999995</v>
      </c>
      <c r="H297" t="s">
        <v>2813</v>
      </c>
      <c r="I297" s="65" t="s">
        <v>2772</v>
      </c>
      <c r="J297" t="s">
        <v>3044</v>
      </c>
      <c r="K297">
        <f t="shared" si="51"/>
        <v>1093742</v>
      </c>
      <c r="L297">
        <f t="shared" si="52"/>
        <v>11465</v>
      </c>
    </row>
    <row r="298" spans="1:12">
      <c r="A298" s="195">
        <v>46212</v>
      </c>
      <c r="B298" s="197"/>
      <c r="C298" s="196">
        <v>1313</v>
      </c>
      <c r="D298" s="198">
        <f t="shared" si="61"/>
        <v>235617</v>
      </c>
      <c r="E298" s="334"/>
      <c r="F298" s="196"/>
      <c r="G298" s="278">
        <f t="shared" si="62"/>
        <v>2328.7499999999995</v>
      </c>
      <c r="H298" s="200" t="s">
        <v>3224</v>
      </c>
      <c r="I298" s="200" t="s">
        <v>101</v>
      </c>
      <c r="J298" t="s">
        <v>3044</v>
      </c>
      <c r="K298">
        <f t="shared" si="51"/>
        <v>1093742</v>
      </c>
      <c r="L298">
        <f t="shared" si="52"/>
        <v>11465</v>
      </c>
    </row>
    <row r="299" spans="1:12">
      <c r="A299" s="195">
        <v>46212</v>
      </c>
      <c r="B299" s="197"/>
      <c r="C299" s="196">
        <v>655</v>
      </c>
      <c r="D299" s="198">
        <f t="shared" ref="D299:D307" si="63">D298+C299-B299</f>
        <v>236272</v>
      </c>
      <c r="E299" s="334"/>
      <c r="F299" s="196"/>
      <c r="G299" s="278">
        <f t="shared" ref="G299:G304" si="64">G298+F299-E299</f>
        <v>2328.7499999999995</v>
      </c>
      <c r="H299" s="200" t="s">
        <v>2743</v>
      </c>
      <c r="I299" s="200" t="s">
        <v>101</v>
      </c>
      <c r="J299" t="s">
        <v>3044</v>
      </c>
      <c r="K299">
        <f t="shared" si="51"/>
        <v>1093742</v>
      </c>
      <c r="L299">
        <f t="shared" si="52"/>
        <v>11465</v>
      </c>
    </row>
    <row r="300" spans="1:12">
      <c r="A300" s="139">
        <v>46213</v>
      </c>
      <c r="B300" s="124"/>
      <c r="C300" s="123">
        <v>5000</v>
      </c>
      <c r="D300" s="146">
        <f t="shared" si="63"/>
        <v>241272</v>
      </c>
      <c r="E300" s="331"/>
      <c r="F300" s="123"/>
      <c r="G300" s="279">
        <f t="shared" si="64"/>
        <v>2328.7499999999995</v>
      </c>
      <c r="I300" s="65" t="s">
        <v>2771</v>
      </c>
      <c r="J300" t="s">
        <v>3041</v>
      </c>
      <c r="K300">
        <f t="shared" si="51"/>
        <v>1098742</v>
      </c>
      <c r="L300">
        <f t="shared" si="52"/>
        <v>11465</v>
      </c>
    </row>
    <row r="301" spans="1:12">
      <c r="A301" s="139">
        <v>46216</v>
      </c>
      <c r="B301" s="124">
        <v>4992</v>
      </c>
      <c r="C301" s="123"/>
      <c r="D301" s="146">
        <f t="shared" si="63"/>
        <v>236280</v>
      </c>
      <c r="E301" s="331"/>
      <c r="F301" s="123"/>
      <c r="G301" s="279">
        <f t="shared" si="64"/>
        <v>2328.7499999999995</v>
      </c>
      <c r="H301" t="s">
        <v>3223</v>
      </c>
      <c r="I301" s="65" t="s">
        <v>2772</v>
      </c>
      <c r="J301" t="s">
        <v>3044</v>
      </c>
      <c r="K301">
        <f t="shared" si="51"/>
        <v>1098742</v>
      </c>
      <c r="L301">
        <f t="shared" si="52"/>
        <v>11465</v>
      </c>
    </row>
    <row r="302" spans="1:12">
      <c r="A302" s="195">
        <v>46203</v>
      </c>
      <c r="B302" s="197"/>
      <c r="C302" s="196"/>
      <c r="D302" s="198">
        <f t="shared" si="63"/>
        <v>236280</v>
      </c>
      <c r="E302" s="334"/>
      <c r="F302" s="196">
        <v>2.08</v>
      </c>
      <c r="G302" s="278">
        <f t="shared" si="64"/>
        <v>2330.8299999999995</v>
      </c>
      <c r="H302" s="200" t="s">
        <v>3136</v>
      </c>
      <c r="I302" s="200" t="s">
        <v>101</v>
      </c>
      <c r="J302" t="s">
        <v>3044</v>
      </c>
      <c r="K302">
        <f t="shared" si="51"/>
        <v>1098742</v>
      </c>
      <c r="L302">
        <f t="shared" si="52"/>
        <v>11465</v>
      </c>
    </row>
    <row r="303" spans="1:12">
      <c r="A303" s="391">
        <v>46217</v>
      </c>
      <c r="B303" s="392">
        <v>1294</v>
      </c>
      <c r="C303" s="393"/>
      <c r="D303" s="394">
        <f t="shared" ref="D303" si="65">D302+C303-B303</f>
        <v>234986</v>
      </c>
      <c r="E303" s="395"/>
      <c r="F303" s="393"/>
      <c r="G303" s="396">
        <f t="shared" ref="G303" si="66">G302+F303-E303</f>
        <v>2330.8299999999995</v>
      </c>
      <c r="H303" s="397" t="s">
        <v>3224</v>
      </c>
      <c r="I303" s="398" t="s">
        <v>3217</v>
      </c>
      <c r="J303" t="s">
        <v>3044</v>
      </c>
      <c r="K303">
        <f t="shared" si="51"/>
        <v>1098742</v>
      </c>
      <c r="L303">
        <f t="shared" si="52"/>
        <v>11465</v>
      </c>
    </row>
    <row r="304" spans="1:12">
      <c r="A304" s="139">
        <v>46219</v>
      </c>
      <c r="B304" s="124">
        <v>4964</v>
      </c>
      <c r="C304" s="123"/>
      <c r="D304" s="146">
        <f t="shared" si="63"/>
        <v>230022</v>
      </c>
      <c r="E304" s="331"/>
      <c r="F304" s="123"/>
      <c r="G304" s="279">
        <f t="shared" si="64"/>
        <v>2330.8299999999995</v>
      </c>
      <c r="H304" t="s">
        <v>3218</v>
      </c>
      <c r="I304" s="65" t="s">
        <v>2772</v>
      </c>
      <c r="J304" t="s">
        <v>3044</v>
      </c>
      <c r="K304">
        <f t="shared" si="51"/>
        <v>1098742</v>
      </c>
      <c r="L304">
        <f t="shared" si="52"/>
        <v>11465</v>
      </c>
    </row>
    <row r="305" spans="1:12">
      <c r="A305" s="139">
        <v>46219</v>
      </c>
      <c r="B305" s="124"/>
      <c r="C305" s="123">
        <v>188</v>
      </c>
      <c r="D305" s="146">
        <f t="shared" si="63"/>
        <v>230210</v>
      </c>
      <c r="E305" s="331"/>
      <c r="F305" s="123"/>
      <c r="G305" s="279">
        <f t="shared" ref="G305:G306" si="67">G304+F305-E305</f>
        <v>2330.8299999999995</v>
      </c>
      <c r="H305" t="s">
        <v>3225</v>
      </c>
      <c r="I305" s="65" t="s">
        <v>3226</v>
      </c>
      <c r="J305" t="s">
        <v>3041</v>
      </c>
      <c r="K305">
        <f t="shared" si="51"/>
        <v>1098930</v>
      </c>
      <c r="L305">
        <f t="shared" si="52"/>
        <v>11465</v>
      </c>
    </row>
    <row r="306" spans="1:12">
      <c r="A306" s="139">
        <v>46223</v>
      </c>
      <c r="B306" s="124">
        <v>1020</v>
      </c>
      <c r="C306" s="123"/>
      <c r="D306" s="146">
        <f t="shared" si="63"/>
        <v>229190</v>
      </c>
      <c r="E306" s="331"/>
      <c r="F306" s="123"/>
      <c r="G306" s="279">
        <f t="shared" si="67"/>
        <v>2330.8299999999995</v>
      </c>
      <c r="I306" s="65" t="s">
        <v>3121</v>
      </c>
      <c r="J306" t="s">
        <v>3044</v>
      </c>
      <c r="K306">
        <f t="shared" si="51"/>
        <v>1098930</v>
      </c>
      <c r="L306">
        <f t="shared" si="52"/>
        <v>11465</v>
      </c>
    </row>
    <row r="307" spans="1:12">
      <c r="A307" s="139">
        <v>46224</v>
      </c>
      <c r="B307" s="124">
        <v>23333</v>
      </c>
      <c r="C307" s="123"/>
      <c r="D307" s="146">
        <f t="shared" si="63"/>
        <v>205857</v>
      </c>
      <c r="E307" s="331"/>
      <c r="F307" s="123"/>
      <c r="G307" s="279">
        <f t="shared" ref="G307:G308" si="68">G306+F307-E307</f>
        <v>2330.8299999999995</v>
      </c>
      <c r="H307" t="s">
        <v>2743</v>
      </c>
      <c r="I307" s="65"/>
      <c r="J307" t="s">
        <v>3044</v>
      </c>
      <c r="K307">
        <f t="shared" ref="K307:K308" si="69">IF(J307="本金",C307+K306,K306)</f>
        <v>1098930</v>
      </c>
      <c r="L307">
        <f t="shared" ref="L307:L308" si="70">IF(J307="本金",F307+L306,L306)</f>
        <v>11465</v>
      </c>
    </row>
    <row r="308" spans="1:12">
      <c r="A308" s="195">
        <v>46225</v>
      </c>
      <c r="B308" s="197"/>
      <c r="C308" s="196">
        <v>1150</v>
      </c>
      <c r="D308" s="198">
        <f>D307+C308-B308</f>
        <v>207007</v>
      </c>
      <c r="E308" s="334"/>
      <c r="F308" s="196"/>
      <c r="G308" s="278">
        <f t="shared" si="68"/>
        <v>2330.8299999999995</v>
      </c>
      <c r="H308" s="200" t="s">
        <v>3233</v>
      </c>
      <c r="I308" s="200" t="s">
        <v>101</v>
      </c>
      <c r="J308" t="s">
        <v>3044</v>
      </c>
      <c r="K308">
        <f t="shared" si="69"/>
        <v>1098930</v>
      </c>
      <c r="L308">
        <f t="shared" si="70"/>
        <v>11465</v>
      </c>
    </row>
    <row r="309" spans="1:12">
      <c r="A309" s="139">
        <v>46231</v>
      </c>
      <c r="B309" s="124"/>
      <c r="C309" s="123"/>
      <c r="D309" s="146">
        <f>D308+C309-B309</f>
        <v>207007</v>
      </c>
      <c r="E309" s="331"/>
      <c r="F309" s="123">
        <v>43126</v>
      </c>
      <c r="G309" s="279">
        <f t="shared" ref="G309" si="71">G308+F309-E309</f>
        <v>45456.83</v>
      </c>
      <c r="H309" t="s">
        <v>3234</v>
      </c>
      <c r="I309" s="65" t="s">
        <v>3235</v>
      </c>
      <c r="J309" t="s">
        <v>3041</v>
      </c>
      <c r="K309">
        <f t="shared" ref="K309" si="72">IF(J309="本金",C309+K308,K308)</f>
        <v>1098930</v>
      </c>
      <c r="L309">
        <f t="shared" ref="L309" si="73">IF(J309="本金",F309+L308,L308)</f>
        <v>54591</v>
      </c>
    </row>
    <row r="310" spans="1:12">
      <c r="A310" s="139">
        <v>46234</v>
      </c>
      <c r="B310" s="124">
        <v>21931</v>
      </c>
      <c r="C310" s="123"/>
      <c r="D310" s="146">
        <f t="shared" ref="D310:D312" si="74">D309+C310-B310</f>
        <v>185076</v>
      </c>
      <c r="E310" s="331"/>
      <c r="F310" s="123"/>
      <c r="G310" s="279">
        <f>G308+F310-E310</f>
        <v>2330.8299999999995</v>
      </c>
      <c r="H310" t="s">
        <v>2743</v>
      </c>
      <c r="I310" s="65"/>
      <c r="J310" t="s">
        <v>3044</v>
      </c>
      <c r="K310">
        <f>IF(J310="本金",C310+K308,K308)</f>
        <v>1098930</v>
      </c>
      <c r="L310">
        <f>IF(J310="本金",F310+L308,L308)</f>
        <v>11465</v>
      </c>
    </row>
    <row r="311" spans="1:12">
      <c r="A311" s="139">
        <v>46238</v>
      </c>
      <c r="B311" s="124"/>
      <c r="C311" s="123">
        <v>23795</v>
      </c>
      <c r="D311" s="146">
        <f t="shared" si="74"/>
        <v>208871</v>
      </c>
      <c r="E311" s="331"/>
      <c r="F311" s="123"/>
      <c r="G311" s="279">
        <f>G309+F311-E311</f>
        <v>45456.83</v>
      </c>
      <c r="H311" t="s">
        <v>2743</v>
      </c>
      <c r="I311" s="65"/>
      <c r="J311" t="s">
        <v>3044</v>
      </c>
      <c r="K311">
        <f>IF(J311="本金",C311+K309,K309)</f>
        <v>1098930</v>
      </c>
      <c r="L311">
        <f>IF(J311="本金",F311+L309,L309)</f>
        <v>54591</v>
      </c>
    </row>
    <row r="312" spans="1:12">
      <c r="A312" s="147">
        <v>46239</v>
      </c>
      <c r="B312" s="149"/>
      <c r="C312" s="148">
        <v>38</v>
      </c>
      <c r="D312" s="150">
        <f t="shared" si="74"/>
        <v>208909</v>
      </c>
      <c r="E312" s="333"/>
      <c r="F312" s="148"/>
      <c r="G312" s="281">
        <f t="shared" ref="G312:G316" si="75">G311+F312-E312</f>
        <v>45456.83</v>
      </c>
      <c r="H312" s="152" t="s">
        <v>84</v>
      </c>
      <c r="I312" s="152"/>
      <c r="J312" t="s">
        <v>3044</v>
      </c>
      <c r="K312">
        <f t="shared" ref="K312:K313" si="76">IF(J312="本金",C312+K311,K311)</f>
        <v>1098930</v>
      </c>
      <c r="L312">
        <f t="shared" ref="L312:L313" si="77">IF(J312="本金",F312+L311,L311)</f>
        <v>54591</v>
      </c>
    </row>
    <row r="313" spans="1:12">
      <c r="A313" s="139">
        <v>46239</v>
      </c>
      <c r="B313" s="124">
        <v>4988</v>
      </c>
      <c r="C313" s="123"/>
      <c r="D313" s="146">
        <f>D312+C313-B313</f>
        <v>203921</v>
      </c>
      <c r="E313" s="331"/>
      <c r="F313" s="123"/>
      <c r="G313" s="279">
        <f t="shared" si="75"/>
        <v>45456.83</v>
      </c>
      <c r="H313" t="s">
        <v>2813</v>
      </c>
      <c r="I313" s="65" t="s">
        <v>2772</v>
      </c>
      <c r="J313" t="s">
        <v>3044</v>
      </c>
      <c r="K313">
        <f t="shared" si="76"/>
        <v>1098930</v>
      </c>
      <c r="L313">
        <f t="shared" si="77"/>
        <v>54591</v>
      </c>
    </row>
    <row r="314" spans="1:12">
      <c r="A314" s="195">
        <v>46241</v>
      </c>
      <c r="B314" s="197"/>
      <c r="C314" s="196"/>
      <c r="D314" s="198">
        <f>D313+C314-B314</f>
        <v>203921</v>
      </c>
      <c r="E314" s="334"/>
      <c r="F314" s="196">
        <v>0.63</v>
      </c>
      <c r="G314" s="278">
        <f t="shared" si="75"/>
        <v>45457.46</v>
      </c>
      <c r="H314" s="200" t="s">
        <v>3135</v>
      </c>
      <c r="I314" s="200" t="s">
        <v>101</v>
      </c>
      <c r="J314" t="s">
        <v>3044</v>
      </c>
      <c r="K314">
        <f t="shared" ref="K314:K316" si="78">IF(J314="本金",C314+K313,K313)</f>
        <v>1098930</v>
      </c>
      <c r="L314">
        <f t="shared" ref="L314:L316" si="79">IF(J314="本金",F314+L313,L313)</f>
        <v>54591</v>
      </c>
    </row>
    <row r="315" spans="1:12">
      <c r="A315" s="195">
        <v>46244</v>
      </c>
      <c r="B315" s="197"/>
      <c r="C315" s="196">
        <v>590</v>
      </c>
      <c r="D315" s="198">
        <f>D314+C315-B315</f>
        <v>204511</v>
      </c>
      <c r="E315" s="334"/>
      <c r="F315" s="196"/>
      <c r="G315" s="278">
        <f t="shared" si="75"/>
        <v>45457.46</v>
      </c>
      <c r="H315" s="200" t="s">
        <v>2989</v>
      </c>
      <c r="I315" s="200" t="s">
        <v>3217</v>
      </c>
      <c r="J315" t="s">
        <v>3044</v>
      </c>
      <c r="K315">
        <f t="shared" si="78"/>
        <v>1098930</v>
      </c>
      <c r="L315">
        <f t="shared" si="79"/>
        <v>54591</v>
      </c>
    </row>
    <row r="316" spans="1:12">
      <c r="A316" s="195">
        <v>46244</v>
      </c>
      <c r="B316" s="197"/>
      <c r="C316" s="196">
        <v>5750</v>
      </c>
      <c r="D316" s="198">
        <f>D315+C316-B316</f>
        <v>210261</v>
      </c>
      <c r="E316" s="334"/>
      <c r="F316" s="196"/>
      <c r="G316" s="278">
        <f t="shared" si="75"/>
        <v>45457.46</v>
      </c>
      <c r="H316" s="200" t="s">
        <v>2996</v>
      </c>
      <c r="I316" s="200" t="s">
        <v>101</v>
      </c>
      <c r="J316" t="s">
        <v>3044</v>
      </c>
      <c r="K316">
        <f t="shared" si="78"/>
        <v>1098930</v>
      </c>
      <c r="L316">
        <f t="shared" si="79"/>
        <v>54591</v>
      </c>
    </row>
    <row r="317" spans="1:12">
      <c r="A317" s="139">
        <v>46244</v>
      </c>
      <c r="B317" s="124"/>
      <c r="C317" s="123">
        <v>5000</v>
      </c>
      <c r="D317" s="146">
        <f t="shared" ref="D317" si="80">D316+C317-B317</f>
        <v>215261</v>
      </c>
      <c r="E317" s="331"/>
      <c r="F317" s="123"/>
      <c r="G317" s="279">
        <f t="shared" ref="G317:G320" si="81">G316+F317-E317</f>
        <v>45457.46</v>
      </c>
      <c r="I317" s="65" t="s">
        <v>2771</v>
      </c>
      <c r="J317" t="s">
        <v>3041</v>
      </c>
      <c r="K317">
        <f t="shared" ref="K317:K320" si="82">IF(J317="本金",C317+K316,K316)</f>
        <v>1103930</v>
      </c>
      <c r="L317">
        <f t="shared" ref="L317:L320" si="83">IF(J317="本金",F317+L316,L316)</f>
        <v>54591</v>
      </c>
    </row>
    <row r="318" spans="1:12">
      <c r="A318" s="139">
        <v>46244</v>
      </c>
      <c r="B318" s="124">
        <v>4986</v>
      </c>
      <c r="C318" s="123"/>
      <c r="D318" s="146">
        <f>D317+C318-B318</f>
        <v>210275</v>
      </c>
      <c r="E318" s="331"/>
      <c r="F318" s="123"/>
      <c r="G318" s="279">
        <f t="shared" si="81"/>
        <v>45457.46</v>
      </c>
      <c r="H318" t="s">
        <v>3223</v>
      </c>
      <c r="I318" s="65" t="s">
        <v>2772</v>
      </c>
      <c r="J318" t="s">
        <v>3044</v>
      </c>
      <c r="K318">
        <f t="shared" si="82"/>
        <v>1103930</v>
      </c>
      <c r="L318">
        <f t="shared" si="83"/>
        <v>54591</v>
      </c>
    </row>
    <row r="319" spans="1:12">
      <c r="A319" s="139">
        <v>46259</v>
      </c>
      <c r="B319" s="124"/>
      <c r="C319" s="123"/>
      <c r="D319" s="146">
        <f t="shared" ref="D319:D320" si="84">D318+C319-B319</f>
        <v>210275</v>
      </c>
      <c r="E319" s="331">
        <v>7710.75</v>
      </c>
      <c r="F319" s="123"/>
      <c r="G319" s="279">
        <f t="shared" si="81"/>
        <v>37746.71</v>
      </c>
      <c r="H319" t="s">
        <v>3257</v>
      </c>
      <c r="I319" s="65" t="s">
        <v>3119</v>
      </c>
      <c r="J319" t="s">
        <v>3044</v>
      </c>
      <c r="K319">
        <f t="shared" si="82"/>
        <v>1103930</v>
      </c>
      <c r="L319">
        <f t="shared" si="83"/>
        <v>54591</v>
      </c>
    </row>
    <row r="320" spans="1:12">
      <c r="A320" s="139">
        <v>46259</v>
      </c>
      <c r="B320" s="124"/>
      <c r="C320" s="123"/>
      <c r="D320" s="146">
        <f t="shared" si="84"/>
        <v>210275</v>
      </c>
      <c r="E320" s="331">
        <v>11354.72</v>
      </c>
      <c r="F320" s="123"/>
      <c r="G320" s="279">
        <f t="shared" si="81"/>
        <v>26391.989999999998</v>
      </c>
      <c r="H320" t="s">
        <v>3136</v>
      </c>
      <c r="I320" s="65" t="s">
        <v>3119</v>
      </c>
      <c r="J320" t="s">
        <v>3044</v>
      </c>
      <c r="K320">
        <f t="shared" si="82"/>
        <v>1103930</v>
      </c>
      <c r="L320">
        <f t="shared" si="83"/>
        <v>54591</v>
      </c>
    </row>
    <row r="321" spans="1:9">
      <c r="A321" s="139"/>
      <c r="B321" s="124"/>
      <c r="C321" s="123"/>
      <c r="D321" s="146"/>
      <c r="E321" s="331"/>
      <c r="F321" s="123"/>
      <c r="G321" s="279"/>
      <c r="I321" s="65"/>
    </row>
    <row r="322" spans="1:9">
      <c r="A322" s="139"/>
      <c r="B322" s="124"/>
      <c r="C322" s="123"/>
      <c r="D322" s="146"/>
      <c r="E322" s="331"/>
      <c r="F322" s="123"/>
      <c r="G322" s="279"/>
      <c r="I322" s="65"/>
    </row>
    <row r="323" spans="1:9">
      <c r="A323" s="290"/>
      <c r="B323" s="290"/>
      <c r="C323" s="290"/>
      <c r="D323" s="291">
        <f>D320</f>
        <v>210275</v>
      </c>
      <c r="E323" s="336"/>
      <c r="F323" s="290"/>
      <c r="G323" s="290">
        <f>G320*匯率!B3</f>
        <v>834936.99563999986</v>
      </c>
      <c r="H323" s="290"/>
      <c r="I323" s="290"/>
    </row>
  </sheetData>
  <phoneticPr fontId="7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1614-66B2-4B0F-AFCE-F3AEA030E0EB}">
  <sheetPr codeName="工作表2"/>
  <dimension ref="A1:C4"/>
  <sheetViews>
    <sheetView workbookViewId="0">
      <selection activeCell="M14" sqref="M14"/>
    </sheetView>
  </sheetViews>
  <sheetFormatPr defaultRowHeight="16.5"/>
  <cols>
    <col min="1" max="1" width="10.375" bestFit="1" customWidth="1"/>
    <col min="2" max="2" width="17.5" bestFit="1" customWidth="1"/>
    <col min="3" max="3" width="42.75" bestFit="1" customWidth="1"/>
  </cols>
  <sheetData>
    <row r="1" spans="1:3">
      <c r="A1">
        <v>20200805</v>
      </c>
      <c r="B1" t="s">
        <v>110</v>
      </c>
      <c r="C1" t="s">
        <v>111</v>
      </c>
    </row>
    <row r="2" spans="1:3">
      <c r="A2">
        <v>20211014</v>
      </c>
      <c r="C2" t="s">
        <v>1581</v>
      </c>
    </row>
    <row r="3" spans="1:3">
      <c r="A3">
        <v>20260206</v>
      </c>
      <c r="C3" t="s">
        <v>3067</v>
      </c>
    </row>
    <row r="4" spans="1:3">
      <c r="A4">
        <v>20260226</v>
      </c>
      <c r="C4" t="s">
        <v>3137</v>
      </c>
    </row>
  </sheetData>
  <phoneticPr fontId="7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2BA7BA-B2BA-4EE5-94B7-B23A03F50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總投報率</vt:lpstr>
      <vt:lpstr>2026</vt:lpstr>
      <vt:lpstr>25</vt:lpstr>
      <vt:lpstr>24</vt:lpstr>
      <vt:lpstr>23</vt:lpstr>
      <vt:lpstr>22</vt:lpstr>
      <vt:lpstr>21</vt:lpstr>
      <vt:lpstr>20</vt:lpstr>
      <vt:lpstr>19</vt:lpstr>
      <vt:lpstr>Family</vt:lpstr>
      <vt:lpstr>Richard</vt:lpstr>
      <vt:lpstr>台股行情</vt:lpstr>
      <vt:lpstr>美股行情</vt:lpstr>
      <vt:lpstr>匯率</vt:lpstr>
      <vt:lpstr>Family-帳戶紀錄_old</vt:lpstr>
      <vt:lpstr>Family-帳戶紀錄</vt:lpstr>
      <vt:lpstr>Richard-帳戶紀錄</vt:lpstr>
      <vt:lpstr>改版紀錄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准提部林－金千里</dc:creator>
  <cp:lastModifiedBy>YuHui Hsu</cp:lastModifiedBy>
  <cp:lastPrinted>2018-08-23T13:28:24Z</cp:lastPrinted>
  <dcterms:created xsi:type="dcterms:W3CDTF">1997-01-14T01:50:29Z</dcterms:created>
  <dcterms:modified xsi:type="dcterms:W3CDTF">2026-10-15T12:40:11Z</dcterms:modified>
</cp:coreProperties>
</file>